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tsuboshidia-my.sharepoint.com/personal/mingyuan_yan_mdi-k_co_kr/Documents/바탕 화면/8.4G_8.6G_신작/SDC 8.6G_SISW-OLED2300-4_개발/IO LIST/"/>
    </mc:Choice>
  </mc:AlternateContent>
  <xr:revisionPtr revIDLastSave="203" documentId="13_ncr:1_{189F6DD0-77EE-40B1-B0EC-9C3246825E44}" xr6:coauthVersionLast="47" xr6:coauthVersionMax="47" xr10:uidLastSave="{FD7E4787-C173-46C8-B337-5516476DFA78}"/>
  <bookViews>
    <workbookView xWindow="-108" yWindow="-108" windowWidth="23256" windowHeight="12576" tabRatio="684" firstSheet="2" activeTab="4" xr2:uid="{00000000-000D-0000-FFFF-FFFF00000000}"/>
  </bookViews>
  <sheets>
    <sheet name="표지" sheetId="1" r:id="rId1"/>
    <sheet name="0. 변경이력" sheetId="58" r:id="rId2"/>
    <sheet name="SCT(1st)" sheetId="73" r:id="rId3"/>
    <sheet name="LCCT(2nd)" sheetId="79" r:id="rId4"/>
    <sheet name="RCCT(2nd)" sheetId="8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" localSheetId="2">#REF!</definedName>
    <definedName name="_">#REF!</definedName>
    <definedName name="_1" localSheetId="2">#REF!</definedName>
    <definedName name="_1">#REF!</definedName>
    <definedName name="_11Extr" localSheetId="2">#REF!</definedName>
    <definedName name="_11Extr">#REF!</definedName>
    <definedName name="_13P0921_" localSheetId="2">'[1]GK차체EO-CUT전'!#REF!</definedName>
    <definedName name="_13P0921_">'[1]GK차체EO-CUT전'!#REF!</definedName>
    <definedName name="_15____S" localSheetId="2">#REF!</definedName>
    <definedName name="_15____S">#REF!</definedName>
    <definedName name="_17ㅁ">#REF!</definedName>
    <definedName name="_2">#REF!</definedName>
    <definedName name="_2_">'[2]#REF'!#REF!</definedName>
    <definedName name="_3_">'[2]#REF'!#REF!</definedName>
    <definedName name="_4_">'[2]#REF'!#REF!</definedName>
    <definedName name="_5_?">#REF!</definedName>
    <definedName name="_6_?쨲?f">#REF!</definedName>
    <definedName name="_7Ａ４_">[3]주행!#REF!</definedName>
    <definedName name="_9Crite">#REF!</definedName>
    <definedName name="_Ａ４">'[4]p2-1'!#REF!</definedName>
    <definedName name="_Ａ４1">#N/A</definedName>
    <definedName name="_Fill" hidden="1">#REF!</definedName>
    <definedName name="_xlnm._FilterDatabase" hidden="1">#REF!</definedName>
    <definedName name="_GoA1" localSheetId="1">'0. 변경이력'!_GoA1</definedName>
    <definedName name="_GoA1" localSheetId="2">'SCT(1st)'!_GoA1</definedName>
    <definedName name="_GoA1">[0]!_GoA1</definedName>
    <definedName name="_LX25" localSheetId="2">[5]PILOT품!#REF!</definedName>
    <definedName name="_LX25">[5]PILOT품!#REF!</definedName>
    <definedName name="_Sort" localSheetId="2" hidden="1">#REF!</definedName>
    <definedName name="_Sort" hidden="1">#REF!</definedName>
    <definedName name="\a" localSheetId="2">#REF!</definedName>
    <definedName name="\a">#REF!</definedName>
    <definedName name="※_추후_NAVA__PROJECT는__부품_" localSheetId="2">[6]품의서!#REF!</definedName>
    <definedName name="※_추후_NAVA__PROJECT는__부품_">[6]품의서!#REF!</definedName>
    <definedName name="②도입임차금_기타" localSheetId="2">#REF!</definedName>
    <definedName name="②도입임차금_기타">#REF!</definedName>
    <definedName name="③단자인건비_인건비">#REF!</definedName>
    <definedName name="⑤이자리스료_일반">#REF!</definedName>
    <definedName name="a">#REF!</definedName>
    <definedName name="aa" localSheetId="2" hidden="1">{#N/A,#N/A,FALSE,"단축1";#N/A,#N/A,FALSE,"단축2";#N/A,#N/A,FALSE,"단축3";#N/A,#N/A,FALSE,"장축";#N/A,#N/A,FALSE,"4WD"}</definedName>
    <definedName name="aa" hidden="1">{#N/A,#N/A,FALSE,"단축1";#N/A,#N/A,FALSE,"단축2";#N/A,#N/A,FALSE,"단축3";#N/A,#N/A,FALSE,"장축";#N/A,#N/A,FALSE,"4WD"}</definedName>
    <definedName name="AAA">#REF!</definedName>
    <definedName name="Aaaaaa">#REF!</definedName>
    <definedName name="ALIGNMENT_MARK_POSITION_LEAD">#REF!</definedName>
    <definedName name="AS">#REF!</definedName>
    <definedName name="AZ">#REF!</definedName>
    <definedName name="B">#REF!</definedName>
    <definedName name="BBB">#REF!</definedName>
    <definedName name="Capture.Capture" localSheetId="1">'0. 변경이력'!Capture.Capture</definedName>
    <definedName name="Capture.Capture" localSheetId="2">'SCT(1st)'!Capture.Capture</definedName>
    <definedName name="Capture.Capture">[0]!Capture.Capture</definedName>
    <definedName name="CC.QQ">#N/A</definedName>
    <definedName name="_xlnm.Database">[7]提出先一覧!$A$1:$G$65536</definedName>
    <definedName name="DD">#REF!</definedName>
    <definedName name="DKDKFG8TBTB2RT">#REF!</definedName>
    <definedName name="DRAW_PEN_0_COORD_POS_LEAD">#REF!</definedName>
    <definedName name="DRFDGH" localSheetId="2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EE">#REF!</definedName>
    <definedName name="_xlnm.Extract">#REF!</definedName>
    <definedName name="FF">#REF!</definedName>
    <definedName name="fgPRPRRKRKRKRKRKTBTB2RT">'[8]11'!#REF!</definedName>
    <definedName name="FGPRTBTB2RTDKDKGMR3C9RT">'[9]품-(주)코①'!#REF!</definedName>
    <definedName name="FGRKRKRKRKRKRKRKRKRKRKRKRKRKTBT">'[5]M96현황-동아'!#REF!</definedName>
    <definedName name="FY_200">#REF!</definedName>
    <definedName name="GH">#REF!</definedName>
    <definedName name="hhhh">[10]주행!#REF!</definedName>
    <definedName name="II">#REF!</definedName>
    <definedName name="JJ">#REF!</definedName>
    <definedName name="KK">#REF!</definedName>
    <definedName name="LLZZ">#REF!</definedName>
    <definedName name="LXCPK" localSheetId="1">'0. 변경이력'!LXCPK</definedName>
    <definedName name="LXCPK" localSheetId="2">'SCT(1st)'!LXCPK</definedName>
    <definedName name="LXCPK">[0]!LXCPK</definedName>
    <definedName name="LZ목표" localSheetId="2">#REF!</definedName>
    <definedName name="LZ목표">#REF!</definedName>
    <definedName name="MACHINE_0_COORD_POS_LEAD" localSheetId="2">#REF!</definedName>
    <definedName name="MACHINE_0_COORD_POS_LEAD">#REF!</definedName>
    <definedName name="Macro1">[11]Macro1!$A$1</definedName>
    <definedName name="Macro7">[12]Macro1!$A$1</definedName>
    <definedName name="mmm">'[13]p2-1'!#REF!</definedName>
    <definedName name="MSW" localSheetId="2" hidden="1">{#N/A,#N/A,FALSE,"단축1";#N/A,#N/A,FALSE,"단축2";#N/A,#N/A,FALSE,"단축3";#N/A,#N/A,FALSE,"장축";#N/A,#N/A,FALSE,"4WD"}</definedName>
    <definedName name="MSW" hidden="1">{#N/A,#N/A,FALSE,"단축1";#N/A,#N/A,FALSE,"단축2";#N/A,#N/A,FALSE,"단축3";#N/A,#N/A,FALSE,"장축";#N/A,#N/A,FALSE,"4WD"}</definedName>
    <definedName name="N">#REF!</definedName>
    <definedName name="NN">[14]동아합의!#REF!</definedName>
    <definedName name="O">#REF!</definedName>
    <definedName name="POR510C138RTSKS15C5LRTMTBTBTBTB">#REF!</definedName>
    <definedName name="ppp">#REF!</definedName>
    <definedName name="_xlnm.Print_Area" localSheetId="3">'LCCT(2nd)'!$A$1:$Z$607</definedName>
    <definedName name="_xlnm.Print_Area" localSheetId="4">'RCCT(2nd)'!$A$1:$Y$607</definedName>
    <definedName name="_xlnm.Print_Area" localSheetId="2">'SCT(1st)'!$A$1:$T$600</definedName>
    <definedName name="_xlnm.Print_Area" localSheetId="0">표지!$A$1:$AZ$47</definedName>
    <definedName name="_xlnm.Print_Area">#REF!</definedName>
    <definedName name="PRINT_AREA_MI" localSheetId="2">#REF!</definedName>
    <definedName name="PRINT_AREA_MI">#REF!</definedName>
    <definedName name="_xlnm.Print_Titles" localSheetId="2">#REF!</definedName>
    <definedName name="_xlnm.Print_Titles">#REF!</definedName>
    <definedName name="PSKS13C5LRTOR04C1R23C7RTMTBTBTB" localSheetId="2">'[9]품-(주)코①'!#REF!</definedName>
    <definedName name="PSKS13C5LRTOR04C1R23C7RTMTBTBTB">'[9]품-(주)코①'!#REF!</definedName>
    <definedName name="PSKS13C6LRTOR4C1R23C7RTMTBTBTBT" localSheetId="2">'[9]품-(주)코①'!#REF!</definedName>
    <definedName name="PSKS13C6LRTOR4C1R23C7RTMTBTBTBT">'[9]품-(주)코①'!#REF!</definedName>
    <definedName name="PSLQ13C6LRTOR4C1R23C7RTMTBTBTBT" localSheetId="2">'[9]품-(주)코①'!#REF!</definedName>
    <definedName name="PSLQ13C6LRTOR4C1R23C7RTMTBTBTBT">'[9]품-(주)코①'!#REF!</definedName>
    <definedName name="PSQKS13C6LRTOR4C1R23C7RTMTBTBTB" localSheetId="2">'[9]품-(주)코①'!#REF!</definedName>
    <definedName name="PSQKS13C6LRTOR4C1R23C7RTMTBTBTB">'[9]품-(주)코①'!#REF!</definedName>
    <definedName name="QQ" localSheetId="2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qq">'[15]2.대외공문'!#REF!</definedName>
    <definedName name="RANDR폭" localSheetId="1">'0. 변경이력'!RANDR폭</definedName>
    <definedName name="RANDR폭" localSheetId="2">'SCT(1st)'!RANDR폭</definedName>
    <definedName name="RANDR폭">[0]!RANDR폭</definedName>
    <definedName name="RR" localSheetId="2">#REF!</definedName>
    <definedName name="RR">#REF!</definedName>
    <definedName name="RRR" localSheetId="2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" localSheetId="2" hidden="1">{#N/A,#N/A,FALSE,"단축1";#N/A,#N/A,FALSE,"단축2";#N/A,#N/A,FALSE,"단축3";#N/A,#N/A,FALSE,"장축";#N/A,#N/A,FALSE,"4WD"}</definedName>
    <definedName name="rrrr" hidden="1">{#N/A,#N/A,FALSE,"단축1";#N/A,#N/A,FALSE,"단축2";#N/A,#N/A,FALSE,"단축3";#N/A,#N/A,FALSE,"장축";#N/A,#N/A,FALSE,"4WD"}</definedName>
    <definedName name="RT.RTDK">#REF!</definedName>
    <definedName name="RTCLSPRT">'[8]11'!#REF!</definedName>
    <definedName name="run">#REF!</definedName>
    <definedName name="R행">#REF!</definedName>
    <definedName name="SD" localSheetId="2" hidden="1">{#N/A,#N/A,FALSE,"단축1";#N/A,#N/A,FALSE,"단축2";#N/A,#N/A,FALSE,"단축3";#N/A,#N/A,FALSE,"장축";#N/A,#N/A,FALSE,"4WD"}</definedName>
    <definedName name="SD" hidden="1">{#N/A,#N/A,FALSE,"단축1";#N/A,#N/A,FALSE,"단축2";#N/A,#N/A,FALSE,"단축3";#N/A,#N/A,FALSE,"장축";#N/A,#N/A,FALSE,"4WD"}</definedName>
    <definedName name="sdddd">#REF!</definedName>
    <definedName name="SKFK">#REF!</definedName>
    <definedName name="SS">#REF!</definedName>
    <definedName name="sss">#REF!</definedName>
    <definedName name="S행">#REF!</definedName>
    <definedName name="tab">[16]BASE!$E$5:$G$14</definedName>
    <definedName name="table">[16]BASE!$E$5:$G$14</definedName>
    <definedName name="TLS" localSheetId="2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행">#REF!</definedName>
    <definedName name="UU">#REF!</definedName>
    <definedName name="VOLUME">#REF!</definedName>
    <definedName name="VOLUME1">#REF!</definedName>
    <definedName name="VOLUME3">[17]HP!#REF!</definedName>
    <definedName name="W" localSheetId="2">#REF!</definedName>
    <definedName name="W">#REF!</definedName>
    <definedName name="WER" localSheetId="2" hidden="1">{#N/A,#N/A,FALSE,"단축1";#N/A,#N/A,FALSE,"단축2";#N/A,#N/A,FALSE,"단축3";#N/A,#N/A,FALSE,"장축";#N/A,#N/A,FALSE,"4WD"}</definedName>
    <definedName name="WER" hidden="1">{#N/A,#N/A,FALSE,"단축1";#N/A,#N/A,FALSE,"단축2";#N/A,#N/A,FALSE,"단축3";#N/A,#N/A,FALSE,"장축";#N/A,#N/A,FALSE,"4WD"}</definedName>
    <definedName name="wrn.PRETENSIONER._.COMPARISON." localSheetId="2" hidden="1">{#N/A,#N/A,FALSE,"PT비교DATA"}</definedName>
    <definedName name="wrn.PRETENSIONER._.COMPARISON." hidden="1">{#N/A,#N/A,FALSE,"PT비교DATA"}</definedName>
    <definedName name="wrn.전부인쇄." localSheetId="2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'[18]2.대외공문'!#REF!</definedName>
    <definedName name="XX">[5]금형품의서!#REF!</definedName>
    <definedName name="YY" localSheetId="2">#REF!</definedName>
    <definedName name="YY">#REF!</definedName>
    <definedName name="タイトル" localSheetId="2">#REF!,#REF!,#REF!,#REF!,#REF!,#REF!,#REF!,#REF!,#REF!,#REF!,#REF!,#REF!</definedName>
    <definedName name="タイトル">#REF!,#REF!,#REF!,#REF!,#REF!,#REF!,#REF!,#REF!,#REF!,#REF!,#REF!,#REF!</definedName>
    <definedName name="タイトル２" localSheetId="2">#REF!,#REF!,#REF!,#REF!,#REF!,#REF!,#REF!,#REF!,#REF!,#REF!,#REF!,#REF!</definedName>
    <definedName name="タイトル２">#REF!,#REF!,#REF!,#REF!,#REF!,#REF!,#REF!,#REF!,#REF!,#REF!,#REF!,#REF!</definedName>
    <definedName name="가">'[19]협력사 일반현황'!#REF!</definedName>
    <definedName name="결과" localSheetId="2">#REF!</definedName>
    <definedName name="결과">#REF!</definedName>
    <definedName name="경원원">[14]동아합의!#REF!</definedName>
    <definedName name="계">#REF!</definedName>
    <definedName name="罫線範囲" localSheetId="2">#REF!,#REF!,#REF!,#REF!,#REF!,#REF!,#REF!,#REF!,#REF!,#REF!</definedName>
    <definedName name="罫線範囲">#REF!,#REF!,#REF!,#REF!,#REF!,#REF!,#REF!,#REF!,#REF!,#REF!</definedName>
    <definedName name="기기">#REF!</definedName>
    <definedName name="기안갑">'[18]2.대외공문'!#REF!</definedName>
    <definedName name="기안을">'[18]2.대외공문'!#REF!</definedName>
    <definedName name="기준월" localSheetId="2">#REF!</definedName>
    <definedName name="기준월">#REF!</definedName>
    <definedName name="김" localSheetId="2" hidden="1">{#N/A,#N/A,FALSE,"단축1";#N/A,#N/A,FALSE,"단축2";#N/A,#N/A,FALSE,"단축3";#N/A,#N/A,FALSE,"장축";#N/A,#N/A,FALSE,"4WD"}</definedName>
    <definedName name="김" hidden="1">{#N/A,#N/A,FALSE,"단축1";#N/A,#N/A,FALSE,"단축2";#N/A,#N/A,FALSE,"단축3";#N/A,#N/A,FALSE,"장축";#N/A,#N/A,FALSE,"4WD"}</definedName>
    <definedName name="김경수" localSheetId="2" hidden="1">{#N/A,#N/A,FALSE,"단축1";#N/A,#N/A,FALSE,"단축2";#N/A,#N/A,FALSE,"단축3";#N/A,#N/A,FALSE,"장축";#N/A,#N/A,FALSE,"4WD"}</definedName>
    <definedName name="김경수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ㄴㅇㄹ" localSheetId="2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ㅇㄴㄹ" localSheetId="2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ㅊㄹㄴㅇㄹ" localSheetId="2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나">#REF!</definedName>
    <definedName name="나라">#REF!</definedName>
    <definedName name="ㄷㄱㄷㄱ" localSheetId="2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다">#REF!</definedName>
    <definedName name="단계별일정">#REF!</definedName>
    <definedName name="單位阡원_阡￥">#REF!</definedName>
    <definedName name="대부" localSheetId="2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ㄹㄹ">#REF!</definedName>
    <definedName name="라라라라라라" localSheetId="2" hidden="1">{#N/A,#N/A,FALSE,"단축1";#N/A,#N/A,FALSE,"단축2";#N/A,#N/A,FALSE,"단축3";#N/A,#N/A,FALSE,"장축";#N/A,#N/A,FALSE,"4WD"}</definedName>
    <definedName name="라라라라라라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ㄻㅇㄴㄹㅇㅁㄹㅇㄴ">#REF!</definedName>
    <definedName name="ㅁ100">#REF!</definedName>
    <definedName name="ㅁㄴㅇㄹ" localSheetId="2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ㅁㅁ" localSheetId="2" hidden="1">{#N/A,#N/A,FALSE,"단축1";#N/A,#N/A,FALSE,"단축2";#N/A,#N/A,FALSE,"단축3";#N/A,#N/A,FALSE,"장축";#N/A,#N/A,FALSE,"4WD"}</definedName>
    <definedName name="ㅁㅁㅁ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모델">#REF!</definedName>
    <definedName name="미ㅏ어리ㅏ머리" localSheetId="2" hidden="1">{#N/A,#N/A,FALSE,"단축1";#N/A,#N/A,FALSE,"단축2";#N/A,#N/A,FALSE,"단축3";#N/A,#N/A,FALSE,"장축";#N/A,#N/A,FALSE,"4WD"}</definedName>
    <definedName name="미ㅏ어리ㅏ머리" hidden="1">{#N/A,#N/A,FALSE,"단축1";#N/A,#N/A,FALSE,"단축2";#N/A,#N/A,FALSE,"단축3";#N/A,#N/A,FALSE,"장축";#N/A,#N/A,FALSE,"4WD"}</definedName>
    <definedName name="바보">#REF!</definedName>
    <definedName name="발">#REF!</definedName>
    <definedName name="변경">[6]품의서!#REF!</definedName>
    <definedName name="사랑" localSheetId="2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山本">#REF!</definedName>
    <definedName name="삼성블루텍">#REF!</definedName>
    <definedName name="셀리카" hidden="1">#REF!</definedName>
    <definedName name="신">'[19]협력사 일반현황'!#REF!</definedName>
    <definedName name="신차개발" localSheetId="2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ㄻㄴㅇㄻㄴ">#REF!</definedName>
    <definedName name="ㅇㅎ오" localSheetId="2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허">#REF!</definedName>
    <definedName name="오" localSheetId="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이동">#REF!</definedName>
    <definedName name="ㅈ고모" localSheetId="2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ㄷ">#REF!</definedName>
    <definedName name="자산관리대장">[20]KMO!$A$2:$AK$1487</definedName>
    <definedName name="田澤" localSheetId="2">#REF!</definedName>
    <definedName name="田澤">#REF!</definedName>
    <definedName name="切断評価結果">[21]報告書!$M$15</definedName>
    <definedName name="조사" localSheetId="2">#REF!</definedName>
    <definedName name="조사">#REF!</definedName>
    <definedName name="준비시간은__가동율_80__적용반영" localSheetId="2">#REF!</definedName>
    <definedName name="준비시간은__가동율_80__적용반영">#REF!</definedName>
    <definedName name="중" localSheetId="2">#REF!</definedName>
    <definedName name="중">#REF!</definedName>
    <definedName name="지연">#REF!</definedName>
    <definedName name="차종">#REF!</definedName>
    <definedName name="ㅋ후ㅊ">#REF!</definedName>
    <definedName name="코">'[19]협력사 일반현황'!#REF!</definedName>
    <definedName name="폭CPK" localSheetId="1">'0. 변경이력'!폭CPK</definedName>
    <definedName name="폭CPK" localSheetId="2">'SCT(1st)'!폭CPK</definedName>
    <definedName name="폭CPK">[0]!폭CPK</definedName>
    <definedName name="ㅎㄴ" localSheetId="2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활동이력">#REF!</definedName>
    <definedName name="흵____R3_t">#REF!</definedName>
    <definedName name="ㅏㅏㅏ" localSheetId="2" hidden="1">{#N/A,#N/A,FALSE,"단축1";#N/A,#N/A,FALSE,"단축2";#N/A,#N/A,FALSE,"단축3";#N/A,#N/A,FALSE,"장축";#N/A,#N/A,FALSE,"4WD"}</definedName>
    <definedName name="ㅏㅏㅏ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ㅣㅣㅣ" localSheetId="2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86" l="1"/>
  <c r="W8" i="86"/>
  <c r="W7" i="86"/>
  <c r="X9" i="79"/>
  <c r="X8" i="79"/>
  <c r="X7" i="79"/>
  <c r="X9" i="73"/>
  <c r="X8" i="73"/>
  <c r="X7" i="73"/>
  <c r="N348" i="86" l="1"/>
  <c r="N349" i="86" s="1"/>
  <c r="N350" i="86" s="1"/>
  <c r="N351" i="86" s="1"/>
  <c r="N352" i="86" s="1"/>
  <c r="N353" i="86" s="1"/>
  <c r="N354" i="86" s="1"/>
  <c r="N355" i="86" s="1"/>
  <c r="N356" i="86" s="1"/>
  <c r="N357" i="86" s="1"/>
  <c r="N358" i="86" s="1"/>
  <c r="N359" i="86" s="1"/>
  <c r="N360" i="86" s="1"/>
  <c r="N361" i="86" s="1"/>
  <c r="N362" i="86" s="1"/>
  <c r="N363" i="86" s="1"/>
  <c r="N364" i="86" s="1"/>
  <c r="N365" i="86" s="1"/>
  <c r="N366" i="86" s="1"/>
  <c r="N367" i="86" s="1"/>
  <c r="N368" i="86" s="1"/>
  <c r="N369" i="86" s="1"/>
  <c r="N370" i="86" s="1"/>
  <c r="N371" i="86" s="1"/>
  <c r="N372" i="86" s="1"/>
  <c r="N373" i="86" s="1"/>
  <c r="N374" i="86" s="1"/>
  <c r="N375" i="86" s="1"/>
  <c r="N376" i="86" s="1"/>
  <c r="N377" i="86" s="1"/>
  <c r="N378" i="86" s="1"/>
  <c r="N379" i="86" s="1"/>
  <c r="N380" i="86" s="1"/>
  <c r="N381" i="86" s="1"/>
  <c r="N382" i="86" s="1"/>
  <c r="N383" i="86" s="1"/>
  <c r="N384" i="86" s="1"/>
  <c r="N385" i="86" s="1"/>
  <c r="N386" i="86" s="1"/>
  <c r="N387" i="86" s="1"/>
  <c r="N388" i="86" s="1"/>
  <c r="N389" i="86" s="1"/>
  <c r="N390" i="86" s="1"/>
  <c r="N391" i="86" s="1"/>
  <c r="N392" i="86" s="1"/>
  <c r="N393" i="86" s="1"/>
  <c r="N394" i="86" s="1"/>
  <c r="N395" i="86" s="1"/>
  <c r="N396" i="86" s="1"/>
  <c r="N397" i="86" s="1"/>
  <c r="N398" i="86" s="1"/>
  <c r="N399" i="86" s="1"/>
  <c r="N400" i="86" s="1"/>
  <c r="N401" i="86" s="1"/>
  <c r="N402" i="86" s="1"/>
  <c r="N403" i="86" s="1"/>
  <c r="N404" i="86" s="1"/>
  <c r="N405" i="86" s="1"/>
  <c r="N406" i="86" s="1"/>
  <c r="N407" i="86" s="1"/>
  <c r="N408" i="86" s="1"/>
  <c r="N409" i="86" s="1"/>
  <c r="N410" i="86" s="1"/>
  <c r="N411" i="86" s="1"/>
  <c r="N412" i="86" s="1"/>
  <c r="N413" i="86" s="1"/>
  <c r="N414" i="86" s="1"/>
  <c r="N415" i="86" s="1"/>
  <c r="N416" i="86" s="1"/>
  <c r="N417" i="86" s="1"/>
  <c r="N418" i="86" s="1"/>
  <c r="N419" i="86" s="1"/>
  <c r="N420" i="86" s="1"/>
  <c r="N421" i="86" s="1"/>
  <c r="N422" i="86" s="1"/>
  <c r="N423" i="86" s="1"/>
  <c r="N424" i="86" s="1"/>
  <c r="N425" i="86" s="1"/>
  <c r="N426" i="86" s="1"/>
  <c r="N427" i="86" s="1"/>
  <c r="N428" i="86" s="1"/>
  <c r="N429" i="86" s="1"/>
  <c r="N430" i="86" s="1"/>
  <c r="N431" i="86" s="1"/>
  <c r="N432" i="86" s="1"/>
  <c r="N433" i="86" s="1"/>
  <c r="N434" i="86" s="1"/>
  <c r="N435" i="86" s="1"/>
  <c r="N436" i="86" s="1"/>
  <c r="N437" i="86" s="1"/>
  <c r="N438" i="86" s="1"/>
  <c r="N439" i="86" s="1"/>
  <c r="N440" i="86" s="1"/>
  <c r="N441" i="86" s="1"/>
  <c r="N442" i="86" s="1"/>
  <c r="N443" i="86" s="1"/>
  <c r="N444" i="86" s="1"/>
  <c r="N445" i="86" s="1"/>
  <c r="N446" i="86" s="1"/>
  <c r="N447" i="86" s="1"/>
  <c r="N448" i="86" s="1"/>
  <c r="N449" i="86" s="1"/>
  <c r="N450" i="86" s="1"/>
  <c r="N451" i="86" s="1"/>
  <c r="N452" i="86" s="1"/>
  <c r="N453" i="86" s="1"/>
  <c r="N454" i="86" s="1"/>
  <c r="N455" i="86" s="1"/>
  <c r="N456" i="86" s="1"/>
  <c r="N457" i="86" s="1"/>
  <c r="N458" i="86" s="1"/>
  <c r="N459" i="86" s="1"/>
  <c r="N460" i="86" s="1"/>
  <c r="N461" i="86" s="1"/>
  <c r="N462" i="86" s="1"/>
  <c r="N463" i="86" s="1"/>
  <c r="N464" i="86" s="1"/>
  <c r="N465" i="86" s="1"/>
  <c r="N466" i="86" s="1"/>
  <c r="N467" i="86" s="1"/>
  <c r="N468" i="86" s="1"/>
  <c r="N469" i="86" s="1"/>
  <c r="N470" i="86" s="1"/>
  <c r="N471" i="86" s="1"/>
  <c r="N472" i="86" s="1"/>
  <c r="N473" i="86" s="1"/>
  <c r="N474" i="86" s="1"/>
  <c r="N475" i="86" s="1"/>
  <c r="N476" i="86" s="1"/>
  <c r="N477" i="86" s="1"/>
  <c r="N478" i="86" s="1"/>
  <c r="N479" i="86" s="1"/>
  <c r="N480" i="86" s="1"/>
  <c r="N481" i="86" s="1"/>
  <c r="N482" i="86" s="1"/>
  <c r="N483" i="86" s="1"/>
  <c r="N484" i="86" s="1"/>
  <c r="N485" i="86" s="1"/>
  <c r="N486" i="86" s="1"/>
  <c r="N487" i="86" s="1"/>
  <c r="N488" i="86" s="1"/>
  <c r="N489" i="86" s="1"/>
  <c r="N490" i="86" s="1"/>
  <c r="N491" i="86" s="1"/>
  <c r="N492" i="86" s="1"/>
  <c r="N493" i="86" s="1"/>
  <c r="N494" i="86" s="1"/>
  <c r="N495" i="86" s="1"/>
  <c r="N496" i="86" s="1"/>
  <c r="N497" i="86" s="1"/>
  <c r="N498" i="86" s="1"/>
  <c r="N499" i="86" s="1"/>
  <c r="N500" i="86" s="1"/>
  <c r="N501" i="86" s="1"/>
  <c r="N502" i="86" s="1"/>
  <c r="N503" i="86" s="1"/>
  <c r="N504" i="86" s="1"/>
  <c r="N505" i="86" s="1"/>
  <c r="N506" i="86" s="1"/>
  <c r="N507" i="86" s="1"/>
  <c r="N508" i="86" s="1"/>
  <c r="N509" i="86" s="1"/>
  <c r="N510" i="86" s="1"/>
  <c r="N511" i="86" s="1"/>
  <c r="N512" i="86" s="1"/>
  <c r="N513" i="86" s="1"/>
  <c r="N514" i="86" s="1"/>
  <c r="N515" i="86" s="1"/>
  <c r="N516" i="86" s="1"/>
  <c r="N517" i="86" s="1"/>
  <c r="N518" i="86" s="1"/>
  <c r="N519" i="86" s="1"/>
  <c r="N520" i="86" s="1"/>
  <c r="N521" i="86" s="1"/>
  <c r="N522" i="86" s="1"/>
  <c r="N523" i="86" s="1"/>
  <c r="N524" i="86" s="1"/>
  <c r="N525" i="86" s="1"/>
  <c r="N526" i="86" s="1"/>
  <c r="N527" i="86" s="1"/>
  <c r="N528" i="86" s="1"/>
  <c r="N529" i="86" s="1"/>
  <c r="N530" i="86" s="1"/>
  <c r="N531" i="86" s="1"/>
  <c r="N532" i="86" s="1"/>
  <c r="N533" i="86" s="1"/>
  <c r="N534" i="86" s="1"/>
  <c r="N535" i="86" s="1"/>
  <c r="N536" i="86" s="1"/>
  <c r="N537" i="86" s="1"/>
  <c r="N538" i="86" s="1"/>
  <c r="N539" i="86" s="1"/>
  <c r="N540" i="86" s="1"/>
  <c r="N541" i="86" s="1"/>
  <c r="N542" i="86" s="1"/>
  <c r="N543" i="86" s="1"/>
  <c r="N544" i="86" s="1"/>
  <c r="N545" i="86" s="1"/>
  <c r="N546" i="86" s="1"/>
  <c r="N547" i="86" s="1"/>
  <c r="N548" i="86" s="1"/>
  <c r="N549" i="86" s="1"/>
  <c r="N550" i="86" s="1"/>
  <c r="N551" i="86" s="1"/>
  <c r="N552" i="86" s="1"/>
  <c r="N553" i="86" s="1"/>
  <c r="N554" i="86" s="1"/>
  <c r="N555" i="86" s="1"/>
  <c r="N556" i="86" s="1"/>
  <c r="N557" i="86" s="1"/>
  <c r="N558" i="86" s="1"/>
  <c r="N559" i="86" s="1"/>
  <c r="N560" i="86" s="1"/>
  <c r="N561" i="86" s="1"/>
  <c r="N562" i="86" s="1"/>
  <c r="N563" i="86" s="1"/>
  <c r="N564" i="86" s="1"/>
  <c r="N565" i="86" s="1"/>
  <c r="N566" i="86" s="1"/>
  <c r="N567" i="86" s="1"/>
  <c r="N568" i="86" s="1"/>
  <c r="N569" i="86" s="1"/>
  <c r="N570" i="86" s="1"/>
  <c r="N571" i="86" s="1"/>
  <c r="N572" i="86" s="1"/>
  <c r="N573" i="86" s="1"/>
  <c r="N574" i="86" s="1"/>
  <c r="N575" i="86" s="1"/>
  <c r="N576" i="86" s="1"/>
  <c r="N577" i="86" s="1"/>
  <c r="N578" i="86" s="1"/>
  <c r="N579" i="86" s="1"/>
  <c r="N580" i="86" s="1"/>
  <c r="N581" i="86" s="1"/>
  <c r="N582" i="86" s="1"/>
  <c r="N583" i="86" s="1"/>
  <c r="N584" i="86" s="1"/>
  <c r="N585" i="86" s="1"/>
  <c r="N586" i="86" s="1"/>
  <c r="N587" i="86" s="1"/>
  <c r="N588" i="86" s="1"/>
  <c r="N589" i="86" s="1"/>
  <c r="N590" i="86" s="1"/>
  <c r="N591" i="86" s="1"/>
  <c r="N592" i="86" s="1"/>
  <c r="N593" i="86" s="1"/>
  <c r="N594" i="86" s="1"/>
  <c r="N595" i="86" s="1"/>
  <c r="N596" i="86" s="1"/>
  <c r="N597" i="86" s="1"/>
  <c r="N598" i="86" s="1"/>
  <c r="N599" i="86" s="1"/>
  <c r="N600" i="86" s="1"/>
  <c r="N601" i="86" s="1"/>
  <c r="N602" i="86" s="1"/>
  <c r="N605" i="86" s="1"/>
  <c r="N606" i="86" s="1"/>
  <c r="N607" i="86" s="1"/>
  <c r="N608" i="86" s="1"/>
  <c r="N609" i="86" s="1"/>
  <c r="N610" i="86" s="1"/>
  <c r="N611" i="86" s="1"/>
  <c r="N612" i="86" s="1"/>
  <c r="N613" i="86" s="1"/>
  <c r="N614" i="86" s="1"/>
  <c r="N615" i="86" s="1"/>
  <c r="N616" i="86" s="1"/>
  <c r="N617" i="86" s="1"/>
  <c r="N618" i="86" s="1"/>
  <c r="N619" i="86" s="1"/>
  <c r="N620" i="86" s="1"/>
  <c r="N621" i="86" s="1"/>
  <c r="N622" i="86" s="1"/>
  <c r="N623" i="86" s="1"/>
  <c r="N624" i="86" s="1"/>
  <c r="N625" i="86" s="1"/>
  <c r="N626" i="86" s="1"/>
  <c r="N627" i="86" s="1"/>
  <c r="N628" i="86" s="1"/>
  <c r="N629" i="86" s="1"/>
  <c r="N630" i="86" s="1"/>
  <c r="N631" i="86" s="1"/>
  <c r="N632" i="86" s="1"/>
  <c r="N633" i="86" s="1"/>
  <c r="N634" i="86" s="1"/>
  <c r="N635" i="86" s="1"/>
  <c r="N636" i="86" s="1"/>
  <c r="N637" i="86" s="1"/>
  <c r="N638" i="86" s="1"/>
  <c r="N639" i="86" s="1"/>
  <c r="N640" i="86" s="1"/>
  <c r="N641" i="86" s="1"/>
  <c r="N642" i="86" s="1"/>
  <c r="N643" i="86" s="1"/>
  <c r="N644" i="86" s="1"/>
  <c r="N645" i="86" s="1"/>
  <c r="N646" i="86" s="1"/>
  <c r="N647" i="86" s="1"/>
  <c r="N648" i="86" s="1"/>
  <c r="N649" i="86" s="1"/>
  <c r="N650" i="86" s="1"/>
  <c r="N651" i="86" s="1"/>
  <c r="N652" i="86" s="1"/>
  <c r="N653" i="86" s="1"/>
  <c r="N654" i="86" s="1"/>
  <c r="N655" i="86" s="1"/>
  <c r="N656" i="86" s="1"/>
  <c r="N657" i="86" s="1"/>
  <c r="N658" i="86" s="1"/>
  <c r="N659" i="86" s="1"/>
  <c r="N660" i="86" s="1"/>
  <c r="N661" i="86" s="1"/>
  <c r="N662" i="86" s="1"/>
  <c r="N663" i="86" s="1"/>
  <c r="N664" i="86" s="1"/>
  <c r="N665" i="86" s="1"/>
  <c r="N666" i="86" s="1"/>
  <c r="N667" i="86" s="1"/>
  <c r="N668" i="86" s="1"/>
  <c r="N669" i="86" s="1"/>
  <c r="N670" i="86" s="1"/>
  <c r="N671" i="86" s="1"/>
  <c r="N672" i="86" s="1"/>
  <c r="N673" i="86" s="1"/>
  <c r="N674" i="86" s="1"/>
  <c r="N675" i="86" s="1"/>
  <c r="N676" i="86" s="1"/>
  <c r="N677" i="86" s="1"/>
  <c r="N678" i="86" s="1"/>
  <c r="N679" i="86" s="1"/>
  <c r="N680" i="86" s="1"/>
  <c r="N681" i="86" s="1"/>
  <c r="N682" i="86" s="1"/>
  <c r="N683" i="86" s="1"/>
  <c r="N684" i="86" s="1"/>
  <c r="N685" i="86" s="1"/>
  <c r="N686" i="86" s="1"/>
  <c r="N687" i="86" s="1"/>
  <c r="N688" i="86" s="1"/>
  <c r="N689" i="86" s="1"/>
  <c r="N690" i="86" s="1"/>
  <c r="N691" i="86" s="1"/>
  <c r="N692" i="86" s="1"/>
  <c r="N693" i="86" s="1"/>
  <c r="N694" i="86" s="1"/>
  <c r="N695" i="86" s="1"/>
  <c r="N696" i="86" s="1"/>
  <c r="N697" i="86" s="1"/>
  <c r="N698" i="86" s="1"/>
  <c r="N699" i="86" s="1"/>
  <c r="N700" i="86" s="1"/>
  <c r="N701" i="86" s="1"/>
  <c r="N702" i="86" s="1"/>
  <c r="N703" i="86" s="1"/>
  <c r="N704" i="86" s="1"/>
  <c r="N705" i="86" s="1"/>
  <c r="N706" i="86" s="1"/>
  <c r="N707" i="86" s="1"/>
  <c r="N708" i="86" s="1"/>
  <c r="N709" i="86" s="1"/>
  <c r="N710" i="86" s="1"/>
  <c r="N711" i="86" s="1"/>
  <c r="N712" i="86" s="1"/>
  <c r="N713" i="86" s="1"/>
  <c r="N714" i="86" s="1"/>
  <c r="N715" i="86" s="1"/>
  <c r="N716" i="86" s="1"/>
  <c r="N717" i="86" s="1"/>
  <c r="N718" i="86" s="1"/>
  <c r="N719" i="86" s="1"/>
  <c r="N720" i="86" s="1"/>
  <c r="N721" i="86" s="1"/>
  <c r="N722" i="86" s="1"/>
  <c r="N723" i="86" s="1"/>
  <c r="N724" i="86" s="1"/>
  <c r="N725" i="86" s="1"/>
  <c r="N726" i="86" s="1"/>
  <c r="N727" i="86" s="1"/>
  <c r="N728" i="86" s="1"/>
  <c r="N729" i="86" s="1"/>
  <c r="N730" i="86" s="1"/>
  <c r="N731" i="86" s="1"/>
  <c r="N732" i="86" s="1"/>
  <c r="N733" i="86" s="1"/>
  <c r="N734" i="86" s="1"/>
  <c r="N735" i="86" s="1"/>
  <c r="N736" i="86" s="1"/>
  <c r="N737" i="86" s="1"/>
  <c r="N738" i="86" s="1"/>
  <c r="N739" i="86" s="1"/>
  <c r="N740" i="86" s="1"/>
  <c r="N741" i="86" s="1"/>
  <c r="N742" i="86" s="1"/>
  <c r="N743" i="86" s="1"/>
  <c r="N744" i="86" s="1"/>
  <c r="N745" i="86" s="1"/>
  <c r="N746" i="86" s="1"/>
  <c r="N747" i="86" s="1"/>
  <c r="N748" i="86" s="1"/>
  <c r="F348" i="86"/>
  <c r="F349" i="86" s="1"/>
  <c r="F350" i="86" s="1"/>
  <c r="F351" i="86" s="1"/>
  <c r="F352" i="86" s="1"/>
  <c r="F353" i="86" s="1"/>
  <c r="F354" i="86" s="1"/>
  <c r="F355" i="86" s="1"/>
  <c r="F356" i="86" s="1"/>
  <c r="F357" i="86" s="1"/>
  <c r="F358" i="86" s="1"/>
  <c r="F359" i="86" s="1"/>
  <c r="F360" i="86" s="1"/>
  <c r="F361" i="86" s="1"/>
  <c r="F362" i="86" s="1"/>
  <c r="F363" i="86" s="1"/>
  <c r="F364" i="86" s="1"/>
  <c r="F365" i="86" s="1"/>
  <c r="F366" i="86" s="1"/>
  <c r="F367" i="86" s="1"/>
  <c r="F368" i="86" s="1"/>
  <c r="F369" i="86" s="1"/>
  <c r="F370" i="86" s="1"/>
  <c r="F371" i="86" s="1"/>
  <c r="F372" i="86" s="1"/>
  <c r="F373" i="86" s="1"/>
  <c r="F374" i="86" s="1"/>
  <c r="F375" i="86" s="1"/>
  <c r="F376" i="86" s="1"/>
  <c r="F377" i="86" s="1"/>
  <c r="F378" i="86" s="1"/>
  <c r="F379" i="86" s="1"/>
  <c r="F380" i="86" s="1"/>
  <c r="F381" i="86" s="1"/>
  <c r="F382" i="86" s="1"/>
  <c r="F383" i="86" s="1"/>
  <c r="F384" i="86" s="1"/>
  <c r="F385" i="86" s="1"/>
  <c r="F386" i="86" s="1"/>
  <c r="F387" i="86" s="1"/>
  <c r="F388" i="86" s="1"/>
  <c r="F389" i="86" s="1"/>
  <c r="F390" i="86" s="1"/>
  <c r="F391" i="86" s="1"/>
  <c r="F392" i="86" s="1"/>
  <c r="F393" i="86" s="1"/>
  <c r="F394" i="86" s="1"/>
  <c r="F395" i="86" s="1"/>
  <c r="F396" i="86" s="1"/>
  <c r="F397" i="86" s="1"/>
  <c r="F398" i="86" s="1"/>
  <c r="F399" i="86" s="1"/>
  <c r="F400" i="86" s="1"/>
  <c r="F401" i="86" s="1"/>
  <c r="F402" i="86" s="1"/>
  <c r="F403" i="86" s="1"/>
  <c r="F404" i="86" s="1"/>
  <c r="F405" i="86" s="1"/>
  <c r="F406" i="86" s="1"/>
  <c r="F407" i="86" s="1"/>
  <c r="F408" i="86" s="1"/>
  <c r="F409" i="86" s="1"/>
  <c r="F410" i="86" s="1"/>
  <c r="F411" i="86" s="1"/>
  <c r="F412" i="86" s="1"/>
  <c r="F413" i="86" s="1"/>
  <c r="F414" i="86" s="1"/>
  <c r="F415" i="86" s="1"/>
  <c r="F416" i="86" s="1"/>
  <c r="F417" i="86" s="1"/>
  <c r="F418" i="86" s="1"/>
  <c r="F419" i="86" s="1"/>
  <c r="F420" i="86" s="1"/>
  <c r="F421" i="86" s="1"/>
  <c r="F422" i="86" s="1"/>
  <c r="F423" i="86" s="1"/>
  <c r="F424" i="86" s="1"/>
  <c r="F425" i="86" s="1"/>
  <c r="F426" i="86" s="1"/>
  <c r="F427" i="86" s="1"/>
  <c r="F428" i="86" s="1"/>
  <c r="F429" i="86" s="1"/>
  <c r="F430" i="86" s="1"/>
  <c r="F431" i="86" s="1"/>
  <c r="F432" i="86" s="1"/>
  <c r="F433" i="86" s="1"/>
  <c r="F434" i="86" s="1"/>
  <c r="F435" i="86" s="1"/>
  <c r="F436" i="86" s="1"/>
  <c r="F437" i="86" s="1"/>
  <c r="F438" i="86" s="1"/>
  <c r="F439" i="86" s="1"/>
  <c r="F440" i="86" s="1"/>
  <c r="F441" i="86" s="1"/>
  <c r="F442" i="86" s="1"/>
  <c r="F443" i="86" s="1"/>
  <c r="F444" i="86" s="1"/>
  <c r="F445" i="86" s="1"/>
  <c r="F446" i="86" s="1"/>
  <c r="F447" i="86" s="1"/>
  <c r="F448" i="86" s="1"/>
  <c r="F449" i="86" s="1"/>
  <c r="F450" i="86" s="1"/>
  <c r="F451" i="86" s="1"/>
  <c r="F452" i="86" s="1"/>
  <c r="F453" i="86" s="1"/>
  <c r="F454" i="86" s="1"/>
  <c r="F455" i="86" s="1"/>
  <c r="F456" i="86" s="1"/>
  <c r="F457" i="86" s="1"/>
  <c r="F458" i="86" s="1"/>
  <c r="F459" i="86" s="1"/>
  <c r="F460" i="86" s="1"/>
  <c r="F461" i="86" s="1"/>
  <c r="F462" i="86" s="1"/>
  <c r="F463" i="86" s="1"/>
  <c r="F464" i="86" s="1"/>
  <c r="F465" i="86" s="1"/>
  <c r="F466" i="86" s="1"/>
  <c r="F467" i="86" s="1"/>
  <c r="F468" i="86" s="1"/>
  <c r="F469" i="86" s="1"/>
  <c r="F470" i="86" s="1"/>
  <c r="F471" i="86" s="1"/>
  <c r="F472" i="86" s="1"/>
  <c r="F473" i="86" s="1"/>
  <c r="F474" i="86" s="1"/>
  <c r="F475" i="86" s="1"/>
  <c r="F476" i="86" s="1"/>
  <c r="F477" i="86" s="1"/>
  <c r="F478" i="86" s="1"/>
  <c r="F479" i="86" s="1"/>
  <c r="F480" i="86" s="1"/>
  <c r="F481" i="86" s="1"/>
  <c r="F482" i="86" s="1"/>
  <c r="F483" i="86" s="1"/>
  <c r="F484" i="86" s="1"/>
  <c r="F485" i="86" s="1"/>
  <c r="F486" i="86" s="1"/>
  <c r="F487" i="86" s="1"/>
  <c r="F488" i="86" s="1"/>
  <c r="F489" i="86" s="1"/>
  <c r="F490" i="86" s="1"/>
  <c r="F491" i="86" s="1"/>
  <c r="F492" i="86" s="1"/>
  <c r="F493" i="86" s="1"/>
  <c r="F494" i="86" s="1"/>
  <c r="F495" i="86" s="1"/>
  <c r="F496" i="86" s="1"/>
  <c r="F497" i="86" s="1"/>
  <c r="F498" i="86" s="1"/>
  <c r="F499" i="86" s="1"/>
  <c r="F500" i="86" s="1"/>
  <c r="F501" i="86" s="1"/>
  <c r="F502" i="86" s="1"/>
  <c r="F503" i="86" s="1"/>
  <c r="F504" i="86" s="1"/>
  <c r="F505" i="86" s="1"/>
  <c r="F506" i="86" s="1"/>
  <c r="F507" i="86" s="1"/>
  <c r="F508" i="86" s="1"/>
  <c r="F509" i="86" s="1"/>
  <c r="F510" i="86" s="1"/>
  <c r="F511" i="86" s="1"/>
  <c r="F512" i="86" s="1"/>
  <c r="F513" i="86" s="1"/>
  <c r="F514" i="86" s="1"/>
  <c r="F515" i="86" s="1"/>
  <c r="F516" i="86" s="1"/>
  <c r="F517" i="86" s="1"/>
  <c r="F518" i="86" s="1"/>
  <c r="F519" i="86" s="1"/>
  <c r="F520" i="86" s="1"/>
  <c r="F521" i="86" s="1"/>
  <c r="F522" i="86" s="1"/>
  <c r="F523" i="86" s="1"/>
  <c r="F524" i="86" s="1"/>
  <c r="F525" i="86" s="1"/>
  <c r="F526" i="86" s="1"/>
  <c r="F527" i="86" s="1"/>
  <c r="F528" i="86" s="1"/>
  <c r="F529" i="86" s="1"/>
  <c r="F530" i="86" s="1"/>
  <c r="F531" i="86" s="1"/>
  <c r="F532" i="86" s="1"/>
  <c r="F533" i="86" s="1"/>
  <c r="F534" i="86" s="1"/>
  <c r="F535" i="86" s="1"/>
  <c r="F536" i="86" s="1"/>
  <c r="F537" i="86" s="1"/>
  <c r="F538" i="86" s="1"/>
  <c r="F539" i="86" s="1"/>
  <c r="F540" i="86" s="1"/>
  <c r="F541" i="86" s="1"/>
  <c r="F542" i="86" s="1"/>
  <c r="F543" i="86" s="1"/>
  <c r="F544" i="86" s="1"/>
  <c r="F545" i="86" s="1"/>
  <c r="F546" i="86" s="1"/>
  <c r="F547" i="86" s="1"/>
  <c r="F548" i="86" s="1"/>
  <c r="F549" i="86" s="1"/>
  <c r="F550" i="86" s="1"/>
  <c r="F551" i="86" s="1"/>
  <c r="F552" i="86" s="1"/>
  <c r="F553" i="86" s="1"/>
  <c r="F554" i="86" s="1"/>
  <c r="F555" i="86" s="1"/>
  <c r="F556" i="86" s="1"/>
  <c r="F557" i="86" s="1"/>
  <c r="F558" i="86" s="1"/>
  <c r="F559" i="86" s="1"/>
  <c r="F560" i="86" s="1"/>
  <c r="F561" i="86" s="1"/>
  <c r="F562" i="86" s="1"/>
  <c r="F563" i="86" s="1"/>
  <c r="F564" i="86" s="1"/>
  <c r="F565" i="86" s="1"/>
  <c r="F566" i="86" s="1"/>
  <c r="F567" i="86" s="1"/>
  <c r="F568" i="86" s="1"/>
  <c r="F569" i="86" s="1"/>
  <c r="F570" i="86" s="1"/>
  <c r="F571" i="86" s="1"/>
  <c r="F572" i="86" s="1"/>
  <c r="F573" i="86" s="1"/>
  <c r="F574" i="86" s="1"/>
  <c r="F575" i="86" s="1"/>
  <c r="F576" i="86" s="1"/>
  <c r="F577" i="86" s="1"/>
  <c r="F578" i="86" s="1"/>
  <c r="F579" i="86" s="1"/>
  <c r="F580" i="86" s="1"/>
  <c r="F581" i="86" s="1"/>
  <c r="F582" i="86" s="1"/>
  <c r="F583" i="86" s="1"/>
  <c r="F584" i="86" s="1"/>
  <c r="F585" i="86" s="1"/>
  <c r="F586" i="86" s="1"/>
  <c r="F587" i="86" s="1"/>
  <c r="F588" i="86" s="1"/>
  <c r="F589" i="86" s="1"/>
  <c r="F590" i="86" s="1"/>
  <c r="F591" i="86" s="1"/>
  <c r="F592" i="86" s="1"/>
  <c r="F593" i="86" s="1"/>
  <c r="F594" i="86" s="1"/>
  <c r="F595" i="86" s="1"/>
  <c r="F596" i="86" s="1"/>
  <c r="F597" i="86" s="1"/>
  <c r="F598" i="86" s="1"/>
  <c r="F599" i="86" s="1"/>
  <c r="F600" i="86" s="1"/>
  <c r="F601" i="86" s="1"/>
  <c r="F602" i="86" s="1"/>
  <c r="F605" i="86" s="1"/>
  <c r="F606" i="86" s="1"/>
  <c r="F607" i="86" s="1"/>
  <c r="F608" i="86" s="1"/>
  <c r="F609" i="86" s="1"/>
  <c r="F610" i="86" s="1"/>
  <c r="F611" i="86" s="1"/>
  <c r="F612" i="86" s="1"/>
  <c r="F613" i="86" s="1"/>
  <c r="F614" i="86" s="1"/>
  <c r="F615" i="86" s="1"/>
  <c r="F616" i="86" s="1"/>
  <c r="F617" i="86" s="1"/>
  <c r="F618" i="86" s="1"/>
  <c r="F619" i="86" s="1"/>
  <c r="F620" i="86" s="1"/>
  <c r="F621" i="86" s="1"/>
  <c r="F622" i="86" s="1"/>
  <c r="F623" i="86" s="1"/>
  <c r="F624" i="86" s="1"/>
  <c r="F625" i="86" s="1"/>
  <c r="F626" i="86" s="1"/>
  <c r="F627" i="86" s="1"/>
  <c r="F628" i="86" s="1"/>
  <c r="F629" i="86" s="1"/>
  <c r="F630" i="86" s="1"/>
  <c r="F631" i="86" s="1"/>
  <c r="F632" i="86" s="1"/>
  <c r="F633" i="86" s="1"/>
  <c r="F634" i="86" s="1"/>
  <c r="F635" i="86" s="1"/>
  <c r="F636" i="86" s="1"/>
  <c r="F637" i="86" s="1"/>
  <c r="F638" i="86" s="1"/>
  <c r="F639" i="86" s="1"/>
  <c r="F640" i="86" s="1"/>
  <c r="F641" i="86" s="1"/>
  <c r="F642" i="86" s="1"/>
  <c r="F643" i="86" s="1"/>
  <c r="F644" i="86" s="1"/>
  <c r="F645" i="86" s="1"/>
  <c r="F646" i="86" s="1"/>
  <c r="F647" i="86" s="1"/>
  <c r="F648" i="86" s="1"/>
  <c r="F649" i="86" s="1"/>
  <c r="F650" i="86" s="1"/>
  <c r="F651" i="86" s="1"/>
  <c r="F652" i="86" s="1"/>
  <c r="F653" i="86" s="1"/>
  <c r="F654" i="86" s="1"/>
  <c r="F655" i="86" s="1"/>
  <c r="F656" i="86" s="1"/>
  <c r="F657" i="86" s="1"/>
  <c r="F658" i="86" s="1"/>
  <c r="F659" i="86" s="1"/>
  <c r="F660" i="86" s="1"/>
  <c r="F661" i="86" s="1"/>
  <c r="F662" i="86" s="1"/>
  <c r="F663" i="86" s="1"/>
  <c r="F664" i="86" s="1"/>
  <c r="F665" i="86" s="1"/>
  <c r="F666" i="86" s="1"/>
  <c r="F667" i="86" s="1"/>
  <c r="F668" i="86" s="1"/>
  <c r="F669" i="86" s="1"/>
  <c r="F670" i="86" s="1"/>
  <c r="F671" i="86" s="1"/>
  <c r="F672" i="86" s="1"/>
  <c r="F673" i="86" s="1"/>
  <c r="F674" i="86" s="1"/>
  <c r="F675" i="86" s="1"/>
  <c r="F676" i="86" s="1"/>
  <c r="F677" i="86" s="1"/>
  <c r="F678" i="86" s="1"/>
  <c r="F679" i="86" s="1"/>
  <c r="F680" i="86" s="1"/>
  <c r="F681" i="86" s="1"/>
  <c r="F682" i="86" s="1"/>
  <c r="F683" i="86" s="1"/>
  <c r="F684" i="86" s="1"/>
  <c r="F685" i="86" s="1"/>
  <c r="F686" i="86" s="1"/>
  <c r="F687" i="86" s="1"/>
  <c r="F688" i="86" s="1"/>
  <c r="F689" i="86" s="1"/>
  <c r="F690" i="86" s="1"/>
  <c r="F691" i="86" s="1"/>
  <c r="F692" i="86" s="1"/>
  <c r="F693" i="86" s="1"/>
  <c r="F694" i="86" s="1"/>
  <c r="F695" i="86" s="1"/>
  <c r="F696" i="86" s="1"/>
  <c r="F697" i="86" s="1"/>
  <c r="F698" i="86" s="1"/>
  <c r="F699" i="86" s="1"/>
  <c r="F700" i="86" s="1"/>
  <c r="F701" i="86" s="1"/>
  <c r="F702" i="86" s="1"/>
  <c r="F703" i="86" s="1"/>
  <c r="F704" i="86" s="1"/>
  <c r="F705" i="86" s="1"/>
  <c r="F706" i="86" s="1"/>
  <c r="F707" i="86" s="1"/>
  <c r="F708" i="86" s="1"/>
  <c r="F709" i="86" s="1"/>
  <c r="F710" i="86" s="1"/>
  <c r="F711" i="86" s="1"/>
  <c r="F712" i="86" s="1"/>
  <c r="F713" i="86" s="1"/>
  <c r="F714" i="86" s="1"/>
  <c r="F715" i="86" s="1"/>
  <c r="F716" i="86" s="1"/>
  <c r="F717" i="86" s="1"/>
  <c r="F718" i="86" s="1"/>
  <c r="F719" i="86" s="1"/>
  <c r="F720" i="86" s="1"/>
  <c r="F721" i="86" s="1"/>
  <c r="F722" i="86" s="1"/>
  <c r="F723" i="86" s="1"/>
  <c r="F724" i="86" s="1"/>
  <c r="F725" i="86" s="1"/>
  <c r="F726" i="86" s="1"/>
  <c r="F727" i="86" s="1"/>
  <c r="F728" i="86" s="1"/>
  <c r="F729" i="86" s="1"/>
  <c r="F730" i="86" s="1"/>
  <c r="F731" i="86" s="1"/>
  <c r="F732" i="86" s="1"/>
  <c r="F733" i="86" s="1"/>
  <c r="F734" i="86" s="1"/>
  <c r="F735" i="86" s="1"/>
  <c r="F736" i="86" s="1"/>
  <c r="F737" i="86" s="1"/>
  <c r="F738" i="86" s="1"/>
  <c r="F739" i="86" s="1"/>
  <c r="F740" i="86" s="1"/>
  <c r="F741" i="86" s="1"/>
  <c r="F742" i="86" s="1"/>
  <c r="F743" i="86" s="1"/>
  <c r="F744" i="86" s="1"/>
  <c r="F745" i="86" s="1"/>
  <c r="F746" i="86" s="1"/>
  <c r="F747" i="86" s="1"/>
  <c r="F748" i="86" s="1"/>
  <c r="N88" i="86"/>
  <c r="N89" i="86" s="1"/>
  <c r="N90" i="86" s="1"/>
  <c r="N91" i="86" s="1"/>
  <c r="N92" i="86" s="1"/>
  <c r="N93" i="86" s="1"/>
  <c r="N94" i="86" s="1"/>
  <c r="N95" i="86" s="1"/>
  <c r="N96" i="86" s="1"/>
  <c r="N97" i="86" s="1"/>
  <c r="N98" i="86" s="1"/>
  <c r="N99" i="86" s="1"/>
  <c r="N100" i="86" s="1"/>
  <c r="N101" i="86" s="1"/>
  <c r="N102" i="86" s="1"/>
  <c r="N103" i="86" s="1"/>
  <c r="N104" i="86" s="1"/>
  <c r="N105" i="86" s="1"/>
  <c r="N106" i="86" s="1"/>
  <c r="N107" i="86" s="1"/>
  <c r="N108" i="86" s="1"/>
  <c r="N109" i="86" s="1"/>
  <c r="N110" i="86" s="1"/>
  <c r="N111" i="86" s="1"/>
  <c r="N112" i="86" s="1"/>
  <c r="N113" i="86" s="1"/>
  <c r="N114" i="86" s="1"/>
  <c r="N115" i="86" s="1"/>
  <c r="N116" i="86" s="1"/>
  <c r="N117" i="86" s="1"/>
  <c r="N118" i="86" s="1"/>
  <c r="N119" i="86" s="1"/>
  <c r="N120" i="86" s="1"/>
  <c r="N121" i="86" s="1"/>
  <c r="N122" i="86" s="1"/>
  <c r="N123" i="86" s="1"/>
  <c r="N124" i="86" s="1"/>
  <c r="N125" i="86" s="1"/>
  <c r="N126" i="86" s="1"/>
  <c r="N127" i="86" s="1"/>
  <c r="N128" i="86" s="1"/>
  <c r="N129" i="86" s="1"/>
  <c r="N130" i="86" s="1"/>
  <c r="N131" i="86" s="1"/>
  <c r="N132" i="86" s="1"/>
  <c r="N133" i="86" s="1"/>
  <c r="N134" i="86" s="1"/>
  <c r="N135" i="86" s="1"/>
  <c r="N136" i="86" s="1"/>
  <c r="N137" i="86" s="1"/>
  <c r="N138" i="86" s="1"/>
  <c r="N139" i="86" s="1"/>
  <c r="N140" i="86" s="1"/>
  <c r="N141" i="86" s="1"/>
  <c r="N142" i="86" s="1"/>
  <c r="N143" i="86" s="1"/>
  <c r="N144" i="86" s="1"/>
  <c r="N145" i="86" s="1"/>
  <c r="N146" i="86" s="1"/>
  <c r="N147" i="86" s="1"/>
  <c r="N148" i="86" s="1"/>
  <c r="N149" i="86" s="1"/>
  <c r="N150" i="86" s="1"/>
  <c r="N151" i="86" s="1"/>
  <c r="N152" i="86" s="1"/>
  <c r="N153" i="86" s="1"/>
  <c r="N154" i="86" s="1"/>
  <c r="N155" i="86" s="1"/>
  <c r="N156" i="86" s="1"/>
  <c r="N157" i="86" s="1"/>
  <c r="N158" i="86" s="1"/>
  <c r="N159" i="86" s="1"/>
  <c r="N160" i="86" s="1"/>
  <c r="N161" i="86" s="1"/>
  <c r="N162" i="86" s="1"/>
  <c r="N163" i="86" s="1"/>
  <c r="N164" i="86" s="1"/>
  <c r="N165" i="86" s="1"/>
  <c r="N166" i="86" s="1"/>
  <c r="N167" i="86" s="1"/>
  <c r="N168" i="86" s="1"/>
  <c r="N169" i="86" s="1"/>
  <c r="N170" i="86" s="1"/>
  <c r="N171" i="86" s="1"/>
  <c r="N172" i="86" s="1"/>
  <c r="N173" i="86" s="1"/>
  <c r="N174" i="86" s="1"/>
  <c r="N175" i="86" s="1"/>
  <c r="N176" i="86" s="1"/>
  <c r="N177" i="86" s="1"/>
  <c r="N178" i="86" s="1"/>
  <c r="N179" i="86" s="1"/>
  <c r="N180" i="86" s="1"/>
  <c r="N181" i="86" s="1"/>
  <c r="N182" i="86" s="1"/>
  <c r="N183" i="86" s="1"/>
  <c r="N184" i="86" s="1"/>
  <c r="N185" i="86" s="1"/>
  <c r="N186" i="86" s="1"/>
  <c r="N187" i="86" s="1"/>
  <c r="N188" i="86" s="1"/>
  <c r="N189" i="86" s="1"/>
  <c r="N190" i="86" s="1"/>
  <c r="N191" i="86" s="1"/>
  <c r="N192" i="86" s="1"/>
  <c r="N193" i="86" s="1"/>
  <c r="N194" i="86" s="1"/>
  <c r="N195" i="86" s="1"/>
  <c r="N196" i="86" s="1"/>
  <c r="N197" i="86" s="1"/>
  <c r="N198" i="86" s="1"/>
  <c r="N199" i="86" s="1"/>
  <c r="N200" i="86" s="1"/>
  <c r="N201" i="86" s="1"/>
  <c r="N202" i="86" s="1"/>
  <c r="N203" i="86" s="1"/>
  <c r="N204" i="86" s="1"/>
  <c r="N205" i="86" s="1"/>
  <c r="N206" i="86" s="1"/>
  <c r="N207" i="86" s="1"/>
  <c r="N208" i="86" s="1"/>
  <c r="N209" i="86" s="1"/>
  <c r="N210" i="86" s="1"/>
  <c r="N211" i="86" s="1"/>
  <c r="N212" i="86" s="1"/>
  <c r="N213" i="86" s="1"/>
  <c r="N214" i="86" s="1"/>
  <c r="N215" i="86" s="1"/>
  <c r="N216" i="86" s="1"/>
  <c r="N217" i="86" s="1"/>
  <c r="N218" i="86" s="1"/>
  <c r="N219" i="86" s="1"/>
  <c r="N220" i="86" s="1"/>
  <c r="N221" i="86" s="1"/>
  <c r="N222" i="86" s="1"/>
  <c r="N223" i="86" s="1"/>
  <c r="N224" i="86" s="1"/>
  <c r="N225" i="86" s="1"/>
  <c r="N226" i="86" s="1"/>
  <c r="N227" i="86" s="1"/>
  <c r="N228" i="86" s="1"/>
  <c r="N229" i="86" s="1"/>
  <c r="N230" i="86" s="1"/>
  <c r="N231" i="86" s="1"/>
  <c r="N232" i="86" s="1"/>
  <c r="N233" i="86" s="1"/>
  <c r="N234" i="86" s="1"/>
  <c r="N235" i="86" s="1"/>
  <c r="N236" i="86" s="1"/>
  <c r="N237" i="86" s="1"/>
  <c r="N238" i="86" s="1"/>
  <c r="N239" i="86" s="1"/>
  <c r="N240" i="86" s="1"/>
  <c r="N241" i="86" s="1"/>
  <c r="N242" i="86" s="1"/>
  <c r="N243" i="86" s="1"/>
  <c r="N244" i="86" s="1"/>
  <c r="N245" i="86" s="1"/>
  <c r="N246" i="86" s="1"/>
  <c r="N247" i="86" s="1"/>
  <c r="N248" i="86" s="1"/>
  <c r="N249" i="86" s="1"/>
  <c r="N250" i="86" s="1"/>
  <c r="N251" i="86" s="1"/>
  <c r="N252" i="86" s="1"/>
  <c r="N253" i="86" s="1"/>
  <c r="N254" i="86" s="1"/>
  <c r="N255" i="86" s="1"/>
  <c r="N256" i="86" s="1"/>
  <c r="N257" i="86" s="1"/>
  <c r="N258" i="86" s="1"/>
  <c r="N259" i="86" s="1"/>
  <c r="N260" i="86" s="1"/>
  <c r="N261" i="86" s="1"/>
  <c r="N262" i="86" s="1"/>
  <c r="N263" i="86" s="1"/>
  <c r="N264" i="86" s="1"/>
  <c r="N265" i="86" s="1"/>
  <c r="N266" i="86" s="1"/>
  <c r="N267" i="86" s="1"/>
  <c r="N268" i="86" s="1"/>
  <c r="N269" i="86" s="1"/>
  <c r="N270" i="86" s="1"/>
  <c r="N271" i="86" s="1"/>
  <c r="N272" i="86" s="1"/>
  <c r="N273" i="86" s="1"/>
  <c r="N274" i="86" s="1"/>
  <c r="N275" i="86" s="1"/>
  <c r="N276" i="86" s="1"/>
  <c r="N277" i="86" s="1"/>
  <c r="N278" i="86" s="1"/>
  <c r="N279" i="86" s="1"/>
  <c r="N280" i="86" s="1"/>
  <c r="N281" i="86" s="1"/>
  <c r="N282" i="86" s="1"/>
  <c r="N283" i="86" s="1"/>
  <c r="N284" i="86" s="1"/>
  <c r="N285" i="86" s="1"/>
  <c r="N286" i="86" s="1"/>
  <c r="N287" i="86" s="1"/>
  <c r="N288" i="86" s="1"/>
  <c r="N289" i="86" s="1"/>
  <c r="N290" i="86" s="1"/>
  <c r="N291" i="86" s="1"/>
  <c r="N292" i="86" s="1"/>
  <c r="N293" i="86" s="1"/>
  <c r="N294" i="86" s="1"/>
  <c r="N295" i="86" s="1"/>
  <c r="N296" i="86" s="1"/>
  <c r="N297" i="86" s="1"/>
  <c r="N298" i="86" s="1"/>
  <c r="N299" i="86" s="1"/>
  <c r="N300" i="86" s="1"/>
  <c r="N301" i="86" s="1"/>
  <c r="N302" i="86" s="1"/>
  <c r="N303" i="86" s="1"/>
  <c r="N304" i="86" s="1"/>
  <c r="N305" i="86" s="1"/>
  <c r="N306" i="86" s="1"/>
  <c r="N307" i="86" s="1"/>
  <c r="N308" i="86" s="1"/>
  <c r="N309" i="86" s="1"/>
  <c r="N310" i="86" s="1"/>
  <c r="N311" i="86" s="1"/>
  <c r="N312" i="86" s="1"/>
  <c r="N313" i="86" s="1"/>
  <c r="N314" i="86" s="1"/>
  <c r="N315" i="86" s="1"/>
  <c r="N316" i="86" s="1"/>
  <c r="N317" i="86" s="1"/>
  <c r="N318" i="86" s="1"/>
  <c r="N319" i="86" s="1"/>
  <c r="N320" i="86" s="1"/>
  <c r="N321" i="86" s="1"/>
  <c r="N322" i="86" s="1"/>
  <c r="N323" i="86" s="1"/>
  <c r="N324" i="86" s="1"/>
  <c r="N325" i="86" s="1"/>
  <c r="N326" i="86" s="1"/>
  <c r="N327" i="86" s="1"/>
  <c r="N328" i="86" s="1"/>
  <c r="N329" i="86" s="1"/>
  <c r="N330" i="86" s="1"/>
  <c r="N331" i="86" s="1"/>
  <c r="N332" i="86" s="1"/>
  <c r="N333" i="86" s="1"/>
  <c r="N334" i="86" s="1"/>
  <c r="N335" i="86" s="1"/>
  <c r="N336" i="86" s="1"/>
  <c r="N337" i="86" s="1"/>
  <c r="N338" i="86" s="1"/>
  <c r="N339" i="86" s="1"/>
  <c r="N340" i="86" s="1"/>
  <c r="N341" i="86" s="1"/>
  <c r="N342" i="86" s="1"/>
  <c r="F88" i="86"/>
  <c r="F89" i="86" s="1"/>
  <c r="F90" i="86" s="1"/>
  <c r="F91" i="86" s="1"/>
  <c r="F92" i="86" s="1"/>
  <c r="F93" i="86" s="1"/>
  <c r="F94" i="86" s="1"/>
  <c r="F95" i="86" s="1"/>
  <c r="F96" i="86" s="1"/>
  <c r="F97" i="86" s="1"/>
  <c r="F98" i="86" s="1"/>
  <c r="F99" i="86" s="1"/>
  <c r="F100" i="86" s="1"/>
  <c r="F101" i="86" s="1"/>
  <c r="F102" i="86" s="1"/>
  <c r="F103" i="86" s="1"/>
  <c r="F104" i="86" s="1"/>
  <c r="F105" i="86" s="1"/>
  <c r="F106" i="86" s="1"/>
  <c r="F107" i="86" s="1"/>
  <c r="F108" i="86" s="1"/>
  <c r="F109" i="86" s="1"/>
  <c r="F110" i="86" s="1"/>
  <c r="F111" i="86" s="1"/>
  <c r="F112" i="86" s="1"/>
  <c r="F113" i="86" s="1"/>
  <c r="F114" i="86" s="1"/>
  <c r="F115" i="86" s="1"/>
  <c r="F116" i="86" s="1"/>
  <c r="F117" i="86" s="1"/>
  <c r="F118" i="86" s="1"/>
  <c r="F119" i="86" s="1"/>
  <c r="F120" i="86" s="1"/>
  <c r="F121" i="86" s="1"/>
  <c r="F122" i="86" s="1"/>
  <c r="F123" i="86" s="1"/>
  <c r="F124" i="86" s="1"/>
  <c r="F125" i="86" s="1"/>
  <c r="F126" i="86" s="1"/>
  <c r="F127" i="86" s="1"/>
  <c r="F128" i="86" s="1"/>
  <c r="F129" i="86" s="1"/>
  <c r="F130" i="86" s="1"/>
  <c r="F131" i="86" s="1"/>
  <c r="F132" i="86" s="1"/>
  <c r="F133" i="86" s="1"/>
  <c r="F134" i="86" s="1"/>
  <c r="F135" i="86" s="1"/>
  <c r="F136" i="86" s="1"/>
  <c r="F137" i="86" s="1"/>
  <c r="F138" i="86" s="1"/>
  <c r="F139" i="86" s="1"/>
  <c r="F140" i="86" s="1"/>
  <c r="F141" i="86" s="1"/>
  <c r="F142" i="86" s="1"/>
  <c r="F143" i="86" s="1"/>
  <c r="F144" i="86" s="1"/>
  <c r="F145" i="86" s="1"/>
  <c r="F146" i="86" s="1"/>
  <c r="F147" i="86" s="1"/>
  <c r="F148" i="86" s="1"/>
  <c r="F149" i="86" s="1"/>
  <c r="F150" i="86" s="1"/>
  <c r="F151" i="86" s="1"/>
  <c r="F152" i="86" s="1"/>
  <c r="F153" i="86" s="1"/>
  <c r="F154" i="86" s="1"/>
  <c r="F155" i="86" s="1"/>
  <c r="F156" i="86" s="1"/>
  <c r="F157" i="86" s="1"/>
  <c r="F158" i="86" s="1"/>
  <c r="F159" i="86" s="1"/>
  <c r="F160" i="86" s="1"/>
  <c r="F161" i="86" s="1"/>
  <c r="F162" i="86" s="1"/>
  <c r="F163" i="86" s="1"/>
  <c r="F164" i="86" s="1"/>
  <c r="F165" i="86" s="1"/>
  <c r="F166" i="86" s="1"/>
  <c r="F167" i="86" s="1"/>
  <c r="F168" i="86" s="1"/>
  <c r="F169" i="86" s="1"/>
  <c r="F170" i="86" s="1"/>
  <c r="F171" i="86" s="1"/>
  <c r="F172" i="86" s="1"/>
  <c r="F173" i="86" s="1"/>
  <c r="F174" i="86" s="1"/>
  <c r="F175" i="86" s="1"/>
  <c r="F176" i="86" s="1"/>
  <c r="F177" i="86" s="1"/>
  <c r="F178" i="86" s="1"/>
  <c r="F179" i="86" s="1"/>
  <c r="F180" i="86" s="1"/>
  <c r="F181" i="86" s="1"/>
  <c r="F182" i="86" s="1"/>
  <c r="F183" i="86" s="1"/>
  <c r="F184" i="86" s="1"/>
  <c r="F185" i="86" s="1"/>
  <c r="F186" i="86" s="1"/>
  <c r="F187" i="86" s="1"/>
  <c r="F188" i="86" s="1"/>
  <c r="F189" i="86" s="1"/>
  <c r="F190" i="86" s="1"/>
  <c r="F191" i="86" s="1"/>
  <c r="F192" i="86" s="1"/>
  <c r="F193" i="86" s="1"/>
  <c r="F194" i="86" s="1"/>
  <c r="F195" i="86" s="1"/>
  <c r="F196" i="86" s="1"/>
  <c r="F197" i="86" s="1"/>
  <c r="F198" i="86" s="1"/>
  <c r="F199" i="86" s="1"/>
  <c r="F200" i="86" s="1"/>
  <c r="F201" i="86" s="1"/>
  <c r="F202" i="86" s="1"/>
  <c r="F203" i="86" s="1"/>
  <c r="F204" i="86" s="1"/>
  <c r="F205" i="86" s="1"/>
  <c r="F206" i="86" s="1"/>
  <c r="F207" i="86" s="1"/>
  <c r="F208" i="86" s="1"/>
  <c r="F209" i="86" s="1"/>
  <c r="F210" i="86" s="1"/>
  <c r="F211" i="86" s="1"/>
  <c r="F212" i="86" s="1"/>
  <c r="F213" i="86" s="1"/>
  <c r="F214" i="86" s="1"/>
  <c r="F215" i="86" s="1"/>
  <c r="F216" i="86" s="1"/>
  <c r="F217" i="86" s="1"/>
  <c r="F218" i="86" s="1"/>
  <c r="F219" i="86" s="1"/>
  <c r="F220" i="86" s="1"/>
  <c r="F221" i="86" s="1"/>
  <c r="F222" i="86" s="1"/>
  <c r="F223" i="86" s="1"/>
  <c r="F224" i="86" s="1"/>
  <c r="F225" i="86" s="1"/>
  <c r="F226" i="86" s="1"/>
  <c r="F227" i="86" s="1"/>
  <c r="F228" i="86" s="1"/>
  <c r="F229" i="86" s="1"/>
  <c r="F230" i="86" s="1"/>
  <c r="F231" i="86" s="1"/>
  <c r="F232" i="86" s="1"/>
  <c r="F233" i="86" s="1"/>
  <c r="F234" i="86" s="1"/>
  <c r="F235" i="86" s="1"/>
  <c r="F236" i="86" s="1"/>
  <c r="F237" i="86" s="1"/>
  <c r="F238" i="86" s="1"/>
  <c r="F239" i="86" s="1"/>
  <c r="F240" i="86" s="1"/>
  <c r="F241" i="86" s="1"/>
  <c r="F242" i="86" s="1"/>
  <c r="F243" i="86" s="1"/>
  <c r="F244" i="86" s="1"/>
  <c r="F245" i="86" s="1"/>
  <c r="F246" i="86" s="1"/>
  <c r="F247" i="86" s="1"/>
  <c r="F248" i="86" s="1"/>
  <c r="F249" i="86" s="1"/>
  <c r="F250" i="86" s="1"/>
  <c r="F251" i="86" s="1"/>
  <c r="F252" i="86" s="1"/>
  <c r="F253" i="86" s="1"/>
  <c r="F254" i="86" s="1"/>
  <c r="F255" i="86" s="1"/>
  <c r="F256" i="86" s="1"/>
  <c r="F257" i="86" s="1"/>
  <c r="F258" i="86" s="1"/>
  <c r="F259" i="86" s="1"/>
  <c r="F260" i="86" s="1"/>
  <c r="F261" i="86" s="1"/>
  <c r="F262" i="86" s="1"/>
  <c r="F263" i="86" s="1"/>
  <c r="F264" i="86" s="1"/>
  <c r="F265" i="86" s="1"/>
  <c r="F266" i="86" s="1"/>
  <c r="F267" i="86" s="1"/>
  <c r="F268" i="86" s="1"/>
  <c r="F269" i="86" s="1"/>
  <c r="F270" i="86" s="1"/>
  <c r="F271" i="86" s="1"/>
  <c r="F272" i="86" s="1"/>
  <c r="F273" i="86" s="1"/>
  <c r="F274" i="86" s="1"/>
  <c r="F275" i="86" s="1"/>
  <c r="F276" i="86" s="1"/>
  <c r="F277" i="86" s="1"/>
  <c r="F278" i="86" s="1"/>
  <c r="F279" i="86" s="1"/>
  <c r="F280" i="86" s="1"/>
  <c r="F281" i="86" s="1"/>
  <c r="F282" i="86" s="1"/>
  <c r="F283" i="86" s="1"/>
  <c r="F284" i="86" s="1"/>
  <c r="F285" i="86" s="1"/>
  <c r="F286" i="86" s="1"/>
  <c r="F287" i="86" s="1"/>
  <c r="F288" i="86" s="1"/>
  <c r="F289" i="86" s="1"/>
  <c r="F290" i="86" s="1"/>
  <c r="F291" i="86" s="1"/>
  <c r="F292" i="86" s="1"/>
  <c r="F293" i="86" s="1"/>
  <c r="F294" i="86" s="1"/>
  <c r="F295" i="86" s="1"/>
  <c r="F296" i="86" s="1"/>
  <c r="F297" i="86" s="1"/>
  <c r="F298" i="86" s="1"/>
  <c r="F299" i="86" s="1"/>
  <c r="F300" i="86" s="1"/>
  <c r="F301" i="86" s="1"/>
  <c r="F302" i="86" s="1"/>
  <c r="F303" i="86" s="1"/>
  <c r="F304" i="86" s="1"/>
  <c r="F305" i="86" s="1"/>
  <c r="F306" i="86" s="1"/>
  <c r="F307" i="86" s="1"/>
  <c r="F308" i="86" s="1"/>
  <c r="F309" i="86" s="1"/>
  <c r="F310" i="86" s="1"/>
  <c r="F311" i="86" s="1"/>
  <c r="F312" i="86" s="1"/>
  <c r="F313" i="86" s="1"/>
  <c r="F314" i="86" s="1"/>
  <c r="F315" i="86" s="1"/>
  <c r="F316" i="86" s="1"/>
  <c r="F317" i="86" s="1"/>
  <c r="F318" i="86" s="1"/>
  <c r="F319" i="86" s="1"/>
  <c r="F320" i="86" s="1"/>
  <c r="F321" i="86" s="1"/>
  <c r="F322" i="86" s="1"/>
  <c r="F323" i="86" s="1"/>
  <c r="F324" i="86" s="1"/>
  <c r="F325" i="86" s="1"/>
  <c r="F326" i="86" s="1"/>
  <c r="F327" i="86" s="1"/>
  <c r="F328" i="86" s="1"/>
  <c r="F329" i="86" s="1"/>
  <c r="F330" i="86" s="1"/>
  <c r="F331" i="86" s="1"/>
  <c r="F332" i="86" s="1"/>
  <c r="F333" i="86" s="1"/>
  <c r="F334" i="86" s="1"/>
  <c r="F335" i="86" s="1"/>
  <c r="F336" i="86" s="1"/>
  <c r="F337" i="86" s="1"/>
  <c r="F338" i="86" s="1"/>
  <c r="F339" i="86" s="1"/>
  <c r="F340" i="86" s="1"/>
  <c r="F341" i="86" s="1"/>
  <c r="F342" i="86" s="1"/>
  <c r="N52" i="86"/>
  <c r="N53" i="86" s="1"/>
  <c r="N54" i="86" s="1"/>
  <c r="N55" i="86" s="1"/>
  <c r="N56" i="86" s="1"/>
  <c r="N57" i="86" s="1"/>
  <c r="N58" i="86" s="1"/>
  <c r="N59" i="86" s="1"/>
  <c r="N60" i="86" s="1"/>
  <c r="N61" i="86" s="1"/>
  <c r="N62" i="86" s="1"/>
  <c r="N63" i="86" s="1"/>
  <c r="N64" i="86" s="1"/>
  <c r="N65" i="86" s="1"/>
  <c r="N66" i="86" s="1"/>
  <c r="N67" i="86" s="1"/>
  <c r="N68" i="86" s="1"/>
  <c r="N69" i="86" s="1"/>
  <c r="N70" i="86" s="1"/>
  <c r="N71" i="86" s="1"/>
  <c r="N72" i="86" s="1"/>
  <c r="N73" i="86" s="1"/>
  <c r="N74" i="86" s="1"/>
  <c r="N75" i="86" s="1"/>
  <c r="N76" i="86" s="1"/>
  <c r="N77" i="86" s="1"/>
  <c r="N78" i="86" s="1"/>
  <c r="N79" i="86" s="1"/>
  <c r="N80" i="86" s="1"/>
  <c r="N81" i="86" s="1"/>
  <c r="N82" i="86" s="1"/>
  <c r="F52" i="86"/>
  <c r="F53" i="86" s="1"/>
  <c r="F54" i="86" s="1"/>
  <c r="F55" i="86" s="1"/>
  <c r="F56" i="86" s="1"/>
  <c r="F57" i="86" s="1"/>
  <c r="F58" i="86" s="1"/>
  <c r="F59" i="86" s="1"/>
  <c r="F60" i="86" s="1"/>
  <c r="F61" i="86" s="1"/>
  <c r="F62" i="86" s="1"/>
  <c r="F63" i="86" s="1"/>
  <c r="F64" i="86" s="1"/>
  <c r="F65" i="86" s="1"/>
  <c r="F66" i="86" s="1"/>
  <c r="F67" i="86" s="1"/>
  <c r="F68" i="86" s="1"/>
  <c r="F69" i="86" s="1"/>
  <c r="F70" i="86" s="1"/>
  <c r="F71" i="86" s="1"/>
  <c r="F72" i="86" s="1"/>
  <c r="F73" i="86" s="1"/>
  <c r="F74" i="86" s="1"/>
  <c r="F75" i="86" s="1"/>
  <c r="F76" i="86" s="1"/>
  <c r="F77" i="86" s="1"/>
  <c r="F78" i="86" s="1"/>
  <c r="F79" i="86" s="1"/>
  <c r="F80" i="86" s="1"/>
  <c r="F81" i="86" s="1"/>
  <c r="F82" i="86" s="1"/>
  <c r="N16" i="86"/>
  <c r="N17" i="86" s="1"/>
  <c r="F16" i="86"/>
  <c r="F17" i="86" s="1"/>
  <c r="F18" i="86" s="1"/>
  <c r="W10" i="86"/>
  <c r="X8" i="86"/>
  <c r="X6" i="86"/>
  <c r="AE5" i="86"/>
  <c r="X10" i="73"/>
  <c r="W6" i="86" l="1"/>
  <c r="N18" i="86"/>
  <c r="N19" i="86" s="1"/>
  <c r="N20" i="86" s="1"/>
  <c r="N21" i="86" s="1"/>
  <c r="N22" i="86" s="1"/>
  <c r="N23" i="86" s="1"/>
  <c r="N24" i="86" s="1"/>
  <c r="N25" i="86" s="1"/>
  <c r="N26" i="86" s="1"/>
  <c r="N27" i="86" s="1"/>
  <c r="N28" i="86" s="1"/>
  <c r="N29" i="86" s="1"/>
  <c r="N30" i="86" s="1"/>
  <c r="N31" i="86" s="1"/>
  <c r="N32" i="86" s="1"/>
  <c r="N33" i="86" s="1"/>
  <c r="N34" i="86" s="1"/>
  <c r="N35" i="86" s="1"/>
  <c r="N36" i="86" s="1"/>
  <c r="N37" i="86" s="1"/>
  <c r="N38" i="86" s="1"/>
  <c r="N39" i="86" s="1"/>
  <c r="N40" i="86" s="1"/>
  <c r="N41" i="86" s="1"/>
  <c r="N42" i="86" s="1"/>
  <c r="N43" i="86" s="1"/>
  <c r="N44" i="86" s="1"/>
  <c r="N45" i="86" s="1"/>
  <c r="N46" i="86" s="1"/>
  <c r="F19" i="86"/>
  <c r="F20" i="86" s="1"/>
  <c r="F21" i="86" s="1"/>
  <c r="F22" i="86" s="1"/>
  <c r="F23" i="86" s="1"/>
  <c r="F24" i="86" s="1"/>
  <c r="F25" i="86" s="1"/>
  <c r="F26" i="86" s="1"/>
  <c r="F27" i="86" s="1"/>
  <c r="F28" i="86" s="1"/>
  <c r="F29" i="86" s="1"/>
  <c r="F30" i="86" s="1"/>
  <c r="F31" i="86" s="1"/>
  <c r="F32" i="86" s="1"/>
  <c r="F33" i="86" s="1"/>
  <c r="F34" i="86" s="1"/>
  <c r="F35" i="86" s="1"/>
  <c r="F36" i="86" s="1"/>
  <c r="F37" i="86" s="1"/>
  <c r="F38" i="86" s="1"/>
  <c r="F39" i="86" s="1"/>
  <c r="F40" i="86" s="1"/>
  <c r="F41" i="86" s="1"/>
  <c r="F42" i="86" s="1"/>
  <c r="F43" i="86" s="1"/>
  <c r="F44" i="86" s="1"/>
  <c r="F45" i="86" s="1"/>
  <c r="F46" i="86" s="1"/>
  <c r="O10" i="86" l="1"/>
  <c r="S8" i="86"/>
  <c r="E10" i="86"/>
  <c r="I10" i="86"/>
  <c r="I7" i="86"/>
  <c r="S7" i="86"/>
  <c r="S10" i="86"/>
  <c r="O8" i="86"/>
  <c r="O7" i="86"/>
  <c r="I9" i="86"/>
  <c r="E9" i="86"/>
  <c r="E7" i="86"/>
  <c r="I8" i="86"/>
  <c r="E8" i="86"/>
  <c r="O9" i="86"/>
  <c r="S9" i="86"/>
  <c r="O16" i="79"/>
  <c r="O17" i="79" s="1"/>
  <c r="O18" i="79" s="1"/>
  <c r="O19" i="79" s="1"/>
  <c r="O20" i="79" s="1"/>
  <c r="O21" i="79" s="1"/>
  <c r="O22" i="79" s="1"/>
  <c r="O23" i="79" s="1"/>
  <c r="O24" i="79" s="1"/>
  <c r="O25" i="79" s="1"/>
  <c r="O26" i="79" s="1"/>
  <c r="O27" i="79" s="1"/>
  <c r="O28" i="79" s="1"/>
  <c r="O29" i="79" s="1"/>
  <c r="O30" i="79" s="1"/>
  <c r="O31" i="79" s="1"/>
  <c r="O32" i="79" s="1"/>
  <c r="O33" i="79" s="1"/>
  <c r="O34" i="79" s="1"/>
  <c r="O35" i="79" s="1"/>
  <c r="O36" i="79" s="1"/>
  <c r="O37" i="79" s="1"/>
  <c r="O38" i="79" s="1"/>
  <c r="O39" i="79" s="1"/>
  <c r="O40" i="79" s="1"/>
  <c r="O41" i="79" s="1"/>
  <c r="O42" i="79" s="1"/>
  <c r="O43" i="79" s="1"/>
  <c r="O44" i="79" s="1"/>
  <c r="O45" i="79" s="1"/>
  <c r="O46" i="79" s="1"/>
  <c r="F16" i="79"/>
  <c r="F17" i="79" s="1"/>
  <c r="F18" i="79" s="1"/>
  <c r="F19" i="79" s="1"/>
  <c r="F20" i="79" s="1"/>
  <c r="F21" i="79" s="1"/>
  <c r="F22" i="79" s="1"/>
  <c r="F23" i="79" s="1"/>
  <c r="F24" i="79" s="1"/>
  <c r="F25" i="79" s="1"/>
  <c r="F26" i="79" s="1"/>
  <c r="F27" i="79" s="1"/>
  <c r="F28" i="79" s="1"/>
  <c r="F29" i="79" s="1"/>
  <c r="F30" i="79" s="1"/>
  <c r="F31" i="79" s="1"/>
  <c r="F32" i="79" s="1"/>
  <c r="F33" i="79" s="1"/>
  <c r="F34" i="79" s="1"/>
  <c r="F35" i="79" s="1"/>
  <c r="F36" i="79" s="1"/>
  <c r="F37" i="79" s="1"/>
  <c r="F38" i="79" s="1"/>
  <c r="F39" i="79" s="1"/>
  <c r="F40" i="79" s="1"/>
  <c r="F41" i="79" s="1"/>
  <c r="F42" i="79" s="1"/>
  <c r="F43" i="79" s="1"/>
  <c r="F44" i="79" s="1"/>
  <c r="F45" i="79" s="1"/>
  <c r="F46" i="79" s="1"/>
  <c r="O16" i="73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F16" i="73"/>
  <c r="F17" i="73" s="1"/>
  <c r="F18" i="73" s="1"/>
  <c r="F19" i="73" s="1"/>
  <c r="F20" i="73" s="1"/>
  <c r="F21" i="73" s="1"/>
  <c r="F22" i="73" s="1"/>
  <c r="F23" i="73" s="1"/>
  <c r="F24" i="73" s="1"/>
  <c r="F25" i="73" s="1"/>
  <c r="F26" i="73" s="1"/>
  <c r="F27" i="73" s="1"/>
  <c r="F28" i="73" s="1"/>
  <c r="F29" i="73" s="1"/>
  <c r="F30" i="73" s="1"/>
  <c r="S11" i="86" l="1" a="1"/>
  <c r="S11" i="86" s="1"/>
  <c r="S6" i="86" a="1"/>
  <c r="S6" i="86" s="1"/>
  <c r="F31" i="73"/>
  <c r="F32" i="73" s="1"/>
  <c r="F33" i="73" s="1"/>
  <c r="F34" i="73" s="1"/>
  <c r="F35" i="73" s="1"/>
  <c r="F36" i="73" s="1"/>
  <c r="F37" i="73" s="1"/>
  <c r="F38" i="73" s="1"/>
  <c r="F39" i="73" s="1"/>
  <c r="F40" i="73" s="1"/>
  <c r="F41" i="73" s="1"/>
  <c r="F42" i="73" s="1"/>
  <c r="F43" i="73" s="1"/>
  <c r="F44" i="73" s="1"/>
  <c r="F45" i="73" s="1"/>
  <c r="F46" i="73" s="1"/>
  <c r="O31" i="73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I11" i="86"/>
  <c r="I6" i="86"/>
  <c r="E11" i="86"/>
  <c r="E6" i="86"/>
  <c r="O6" i="86"/>
  <c r="O11" i="86"/>
  <c r="F348" i="79"/>
  <c r="O348" i="79" l="1"/>
  <c r="O349" i="79" s="1"/>
  <c r="O350" i="79" s="1"/>
  <c r="O351" i="79" s="1"/>
  <c r="O352" i="79" s="1"/>
  <c r="O353" i="79" s="1"/>
  <c r="O354" i="79" s="1"/>
  <c r="O355" i="79" s="1"/>
  <c r="O356" i="79" s="1"/>
  <c r="O357" i="79" s="1"/>
  <c r="O358" i="79" s="1"/>
  <c r="O359" i="79" s="1"/>
  <c r="O360" i="79" s="1"/>
  <c r="O361" i="79" s="1"/>
  <c r="O362" i="79" s="1"/>
  <c r="O363" i="79" s="1"/>
  <c r="O364" i="79" s="1"/>
  <c r="O365" i="79" s="1"/>
  <c r="O366" i="79" s="1"/>
  <c r="O367" i="79" s="1"/>
  <c r="O368" i="79" s="1"/>
  <c r="O369" i="79" s="1"/>
  <c r="O370" i="79" s="1"/>
  <c r="O371" i="79" s="1"/>
  <c r="O372" i="79" s="1"/>
  <c r="O373" i="79" s="1"/>
  <c r="O374" i="79" s="1"/>
  <c r="O375" i="79" s="1"/>
  <c r="O376" i="79" s="1"/>
  <c r="O377" i="79" s="1"/>
  <c r="O378" i="79" s="1"/>
  <c r="O379" i="79" s="1"/>
  <c r="O380" i="79" s="1"/>
  <c r="O381" i="79" s="1"/>
  <c r="O382" i="79" s="1"/>
  <c r="O383" i="79" s="1"/>
  <c r="O384" i="79" s="1"/>
  <c r="O385" i="79" s="1"/>
  <c r="O386" i="79" s="1"/>
  <c r="O387" i="79" s="1"/>
  <c r="O388" i="79" s="1"/>
  <c r="O389" i="79" s="1"/>
  <c r="O390" i="79" s="1"/>
  <c r="O391" i="79" s="1"/>
  <c r="O392" i="79" s="1"/>
  <c r="O393" i="79" s="1"/>
  <c r="O394" i="79" s="1"/>
  <c r="O395" i="79" s="1"/>
  <c r="O396" i="79" s="1"/>
  <c r="O397" i="79" s="1"/>
  <c r="O398" i="79" s="1"/>
  <c r="O399" i="79" s="1"/>
  <c r="O400" i="79" s="1"/>
  <c r="O401" i="79" s="1"/>
  <c r="O402" i="79" s="1"/>
  <c r="O403" i="79" s="1"/>
  <c r="O404" i="79" s="1"/>
  <c r="O405" i="79" s="1"/>
  <c r="O406" i="79" s="1"/>
  <c r="O407" i="79" s="1"/>
  <c r="O408" i="79" s="1"/>
  <c r="O409" i="79" s="1"/>
  <c r="O410" i="79" s="1"/>
  <c r="O411" i="79" s="1"/>
  <c r="O412" i="79" s="1"/>
  <c r="O413" i="79" s="1"/>
  <c r="O414" i="79" s="1"/>
  <c r="O415" i="79" s="1"/>
  <c r="O416" i="79" s="1"/>
  <c r="O417" i="79" s="1"/>
  <c r="O418" i="79" s="1"/>
  <c r="O419" i="79" s="1"/>
  <c r="O420" i="79" s="1"/>
  <c r="O421" i="79" s="1"/>
  <c r="O422" i="79" s="1"/>
  <c r="O423" i="79" s="1"/>
  <c r="O424" i="79" s="1"/>
  <c r="O425" i="79" s="1"/>
  <c r="O426" i="79" s="1"/>
  <c r="O427" i="79" s="1"/>
  <c r="O428" i="79" s="1"/>
  <c r="O429" i="79" s="1"/>
  <c r="O430" i="79" s="1"/>
  <c r="O431" i="79" s="1"/>
  <c r="O432" i="79" s="1"/>
  <c r="O433" i="79" s="1"/>
  <c r="O434" i="79" s="1"/>
  <c r="O435" i="79" s="1"/>
  <c r="O436" i="79" s="1"/>
  <c r="O437" i="79" s="1"/>
  <c r="O438" i="79" s="1"/>
  <c r="O439" i="79" s="1"/>
  <c r="O440" i="79" s="1"/>
  <c r="O441" i="79" s="1"/>
  <c r="O442" i="79" s="1"/>
  <c r="O443" i="79" s="1"/>
  <c r="O444" i="79" s="1"/>
  <c r="O445" i="79" s="1"/>
  <c r="O446" i="79" s="1"/>
  <c r="O447" i="79" s="1"/>
  <c r="O448" i="79" s="1"/>
  <c r="O449" i="79" s="1"/>
  <c r="O450" i="79" s="1"/>
  <c r="O451" i="79" s="1"/>
  <c r="O452" i="79" s="1"/>
  <c r="O453" i="79" s="1"/>
  <c r="O454" i="79" s="1"/>
  <c r="O455" i="79" s="1"/>
  <c r="O456" i="79" s="1"/>
  <c r="O457" i="79" s="1"/>
  <c r="O458" i="79" s="1"/>
  <c r="O459" i="79" s="1"/>
  <c r="O460" i="79" s="1"/>
  <c r="O461" i="79" s="1"/>
  <c r="O462" i="79" s="1"/>
  <c r="O463" i="79" s="1"/>
  <c r="O464" i="79" s="1"/>
  <c r="O465" i="79" s="1"/>
  <c r="O466" i="79" s="1"/>
  <c r="O467" i="79" s="1"/>
  <c r="O468" i="79" s="1"/>
  <c r="O469" i="79" s="1"/>
  <c r="O470" i="79" s="1"/>
  <c r="O471" i="79" s="1"/>
  <c r="O472" i="79" s="1"/>
  <c r="O473" i="79" s="1"/>
  <c r="O474" i="79" s="1"/>
  <c r="O475" i="79" s="1"/>
  <c r="O476" i="79" s="1"/>
  <c r="O477" i="79" s="1"/>
  <c r="O478" i="79" s="1"/>
  <c r="O479" i="79" s="1"/>
  <c r="O480" i="79" s="1"/>
  <c r="O481" i="79" s="1"/>
  <c r="O482" i="79" s="1"/>
  <c r="O483" i="79" s="1"/>
  <c r="O484" i="79" s="1"/>
  <c r="O485" i="79" s="1"/>
  <c r="O486" i="79" s="1"/>
  <c r="O487" i="79" s="1"/>
  <c r="O488" i="79" s="1"/>
  <c r="O489" i="79" s="1"/>
  <c r="O490" i="79" s="1"/>
  <c r="O491" i="79" s="1"/>
  <c r="O492" i="79" s="1"/>
  <c r="O493" i="79" s="1"/>
  <c r="O494" i="79" s="1"/>
  <c r="O495" i="79" s="1"/>
  <c r="O496" i="79" s="1"/>
  <c r="O497" i="79" s="1"/>
  <c r="O498" i="79" s="1"/>
  <c r="O499" i="79" s="1"/>
  <c r="O500" i="79" s="1"/>
  <c r="O501" i="79" s="1"/>
  <c r="O502" i="79" s="1"/>
  <c r="O503" i="79" s="1"/>
  <c r="O504" i="79" s="1"/>
  <c r="O505" i="79" s="1"/>
  <c r="O506" i="79" s="1"/>
  <c r="F349" i="79"/>
  <c r="F350" i="79" s="1"/>
  <c r="F351" i="79" s="1"/>
  <c r="F352" i="79" s="1"/>
  <c r="F353" i="79" s="1"/>
  <c r="F354" i="79" s="1"/>
  <c r="F355" i="79" s="1"/>
  <c r="F356" i="79" s="1"/>
  <c r="F357" i="79" s="1"/>
  <c r="F358" i="79" s="1"/>
  <c r="F359" i="79" s="1"/>
  <c r="F360" i="79" s="1"/>
  <c r="F361" i="79" s="1"/>
  <c r="F362" i="79" s="1"/>
  <c r="F363" i="79" s="1"/>
  <c r="F364" i="79" s="1"/>
  <c r="F365" i="79" s="1"/>
  <c r="F366" i="79" s="1"/>
  <c r="F367" i="79" s="1"/>
  <c r="F368" i="79" s="1"/>
  <c r="F369" i="79" s="1"/>
  <c r="F370" i="79" s="1"/>
  <c r="F371" i="79" s="1"/>
  <c r="F372" i="79" s="1"/>
  <c r="F373" i="79" s="1"/>
  <c r="F374" i="79" s="1"/>
  <c r="F375" i="79" s="1"/>
  <c r="F376" i="79" s="1"/>
  <c r="F377" i="79" s="1"/>
  <c r="F378" i="79" s="1"/>
  <c r="F379" i="79" s="1"/>
  <c r="F380" i="79" s="1"/>
  <c r="F381" i="79" s="1"/>
  <c r="F382" i="79" s="1"/>
  <c r="F383" i="79" s="1"/>
  <c r="F384" i="79" s="1"/>
  <c r="F385" i="79" s="1"/>
  <c r="F386" i="79" s="1"/>
  <c r="F387" i="79" s="1"/>
  <c r="F388" i="79" s="1"/>
  <c r="F389" i="79" s="1"/>
  <c r="F390" i="79" s="1"/>
  <c r="F391" i="79" s="1"/>
  <c r="F392" i="79" s="1"/>
  <c r="F393" i="79" s="1"/>
  <c r="F394" i="79" s="1"/>
  <c r="F395" i="79" s="1"/>
  <c r="F396" i="79" s="1"/>
  <c r="F397" i="79" s="1"/>
  <c r="F398" i="79" s="1"/>
  <c r="F399" i="79" s="1"/>
  <c r="F400" i="79" s="1"/>
  <c r="F401" i="79" s="1"/>
  <c r="F402" i="79" s="1"/>
  <c r="F403" i="79" s="1"/>
  <c r="F404" i="79" s="1"/>
  <c r="F405" i="79" s="1"/>
  <c r="F406" i="79" s="1"/>
  <c r="F407" i="79" s="1"/>
  <c r="F408" i="79" s="1"/>
  <c r="F409" i="79" s="1"/>
  <c r="F410" i="79" s="1"/>
  <c r="F411" i="79" s="1"/>
  <c r="F412" i="79" s="1"/>
  <c r="F413" i="79" s="1"/>
  <c r="F414" i="79" s="1"/>
  <c r="F415" i="79" s="1"/>
  <c r="F416" i="79" s="1"/>
  <c r="F417" i="79" s="1"/>
  <c r="F418" i="79" s="1"/>
  <c r="F419" i="79" s="1"/>
  <c r="F420" i="79" s="1"/>
  <c r="F421" i="79" s="1"/>
  <c r="F422" i="79" s="1"/>
  <c r="F423" i="79" s="1"/>
  <c r="F424" i="79" s="1"/>
  <c r="F425" i="79" s="1"/>
  <c r="F426" i="79" s="1"/>
  <c r="F427" i="79" s="1"/>
  <c r="F428" i="79" s="1"/>
  <c r="F429" i="79" s="1"/>
  <c r="F430" i="79" s="1"/>
  <c r="F431" i="79" s="1"/>
  <c r="F432" i="79" s="1"/>
  <c r="F433" i="79" s="1"/>
  <c r="F434" i="79" s="1"/>
  <c r="F435" i="79" s="1"/>
  <c r="F436" i="79" s="1"/>
  <c r="F437" i="79" s="1"/>
  <c r="F438" i="79" s="1"/>
  <c r="F439" i="79" s="1"/>
  <c r="F440" i="79" s="1"/>
  <c r="F441" i="79" s="1"/>
  <c r="F442" i="79" s="1"/>
  <c r="F443" i="79" s="1"/>
  <c r="F444" i="79" s="1"/>
  <c r="F445" i="79" s="1"/>
  <c r="F446" i="79" s="1"/>
  <c r="F447" i="79" s="1"/>
  <c r="F448" i="79" s="1"/>
  <c r="F449" i="79" s="1"/>
  <c r="F450" i="79" s="1"/>
  <c r="F451" i="79" s="1"/>
  <c r="F452" i="79" s="1"/>
  <c r="F453" i="79" s="1"/>
  <c r="F454" i="79" s="1"/>
  <c r="F455" i="79" s="1"/>
  <c r="F456" i="79" s="1"/>
  <c r="F457" i="79" s="1"/>
  <c r="F458" i="79" s="1"/>
  <c r="F459" i="79" s="1"/>
  <c r="F460" i="79" s="1"/>
  <c r="F461" i="79" s="1"/>
  <c r="F462" i="79" s="1"/>
  <c r="F463" i="79" s="1"/>
  <c r="F464" i="79" s="1"/>
  <c r="F465" i="79" s="1"/>
  <c r="F466" i="79" s="1"/>
  <c r="F467" i="79" s="1"/>
  <c r="F468" i="79" s="1"/>
  <c r="F469" i="79" s="1"/>
  <c r="F470" i="79" s="1"/>
  <c r="F471" i="79" s="1"/>
  <c r="F472" i="79" s="1"/>
  <c r="F473" i="79" s="1"/>
  <c r="F474" i="79" s="1"/>
  <c r="F475" i="79" s="1"/>
  <c r="F476" i="79" s="1"/>
  <c r="F477" i="79" s="1"/>
  <c r="F478" i="79" s="1"/>
  <c r="F479" i="79" s="1"/>
  <c r="F480" i="79" s="1"/>
  <c r="F481" i="79" s="1"/>
  <c r="F482" i="79" s="1"/>
  <c r="F483" i="79" s="1"/>
  <c r="F484" i="79" s="1"/>
  <c r="F485" i="79" s="1"/>
  <c r="F486" i="79" s="1"/>
  <c r="F487" i="79" s="1"/>
  <c r="F488" i="79" s="1"/>
  <c r="F489" i="79" s="1"/>
  <c r="F490" i="79" s="1"/>
  <c r="F491" i="79" s="1"/>
  <c r="F492" i="79" s="1"/>
  <c r="F493" i="79" s="1"/>
  <c r="F494" i="79" s="1"/>
  <c r="F495" i="79" s="1"/>
  <c r="F496" i="79" s="1"/>
  <c r="F497" i="79" s="1"/>
  <c r="F498" i="79" s="1"/>
  <c r="F499" i="79" s="1"/>
  <c r="F500" i="79" s="1"/>
  <c r="F501" i="79" s="1"/>
  <c r="F502" i="79" s="1"/>
  <c r="F503" i="79" s="1"/>
  <c r="F504" i="79" s="1"/>
  <c r="F505" i="79" s="1"/>
  <c r="F506" i="79" s="1"/>
  <c r="F507" i="79" s="1"/>
  <c r="F508" i="79" s="1"/>
  <c r="F509" i="79" s="1"/>
  <c r="F510" i="79" s="1"/>
  <c r="F511" i="79" s="1"/>
  <c r="F512" i="79" s="1"/>
  <c r="F513" i="79" s="1"/>
  <c r="F514" i="79" s="1"/>
  <c r="F515" i="79" s="1"/>
  <c r="F516" i="79" s="1"/>
  <c r="F517" i="79" s="1"/>
  <c r="F518" i="79" s="1"/>
  <c r="F519" i="79" s="1"/>
  <c r="F520" i="79" s="1"/>
  <c r="F521" i="79" s="1"/>
  <c r="F522" i="79" s="1"/>
  <c r="F523" i="79" s="1"/>
  <c r="F524" i="79" s="1"/>
  <c r="F525" i="79" s="1"/>
  <c r="F526" i="79" s="1"/>
  <c r="F527" i="79" s="1"/>
  <c r="F528" i="79" s="1"/>
  <c r="F529" i="79" s="1"/>
  <c r="F530" i="79" s="1"/>
  <c r="F531" i="79" s="1"/>
  <c r="F532" i="79" s="1"/>
  <c r="F533" i="79" s="1"/>
  <c r="F534" i="79" s="1"/>
  <c r="F535" i="79" s="1"/>
  <c r="F536" i="79" s="1"/>
  <c r="F537" i="79" s="1"/>
  <c r="F538" i="79" s="1"/>
  <c r="F539" i="79" s="1"/>
  <c r="F540" i="79" s="1"/>
  <c r="F541" i="79" s="1"/>
  <c r="F542" i="79" s="1"/>
  <c r="F543" i="79" s="1"/>
  <c r="F544" i="79" s="1"/>
  <c r="F545" i="79" s="1"/>
  <c r="F546" i="79" s="1"/>
  <c r="F547" i="79" s="1"/>
  <c r="F548" i="79" s="1"/>
  <c r="F549" i="79" s="1"/>
  <c r="F550" i="79" s="1"/>
  <c r="F551" i="79" s="1"/>
  <c r="F552" i="79" s="1"/>
  <c r="F553" i="79" s="1"/>
  <c r="F554" i="79" s="1"/>
  <c r="F555" i="79" s="1"/>
  <c r="F556" i="79" s="1"/>
  <c r="F557" i="79" s="1"/>
  <c r="F558" i="79" s="1"/>
  <c r="F559" i="79" s="1"/>
  <c r="F560" i="79" s="1"/>
  <c r="F561" i="79" s="1"/>
  <c r="F562" i="79" s="1"/>
  <c r="F563" i="79" s="1"/>
  <c r="F564" i="79" s="1"/>
  <c r="F565" i="79" s="1"/>
  <c r="F566" i="79" s="1"/>
  <c r="F567" i="79" s="1"/>
  <c r="F568" i="79" s="1"/>
  <c r="F569" i="79" s="1"/>
  <c r="F570" i="79" s="1"/>
  <c r="F571" i="79" s="1"/>
  <c r="F572" i="79" s="1"/>
  <c r="F573" i="79" s="1"/>
  <c r="F574" i="79" s="1"/>
  <c r="F575" i="79" s="1"/>
  <c r="F576" i="79" s="1"/>
  <c r="F577" i="79" s="1"/>
  <c r="F578" i="79" s="1"/>
  <c r="F579" i="79" s="1"/>
  <c r="F580" i="79" s="1"/>
  <c r="F581" i="79" s="1"/>
  <c r="F582" i="79" s="1"/>
  <c r="F583" i="79" s="1"/>
  <c r="F584" i="79" s="1"/>
  <c r="F585" i="79" s="1"/>
  <c r="F586" i="79" s="1"/>
  <c r="F587" i="79" s="1"/>
  <c r="F588" i="79" s="1"/>
  <c r="F589" i="79" s="1"/>
  <c r="F590" i="79" s="1"/>
  <c r="F591" i="79" s="1"/>
  <c r="F592" i="79" s="1"/>
  <c r="F593" i="79" s="1"/>
  <c r="F594" i="79" s="1"/>
  <c r="F595" i="79" s="1"/>
  <c r="F596" i="79" s="1"/>
  <c r="F597" i="79" s="1"/>
  <c r="F598" i="79" s="1"/>
  <c r="F599" i="79" s="1"/>
  <c r="F600" i="79" s="1"/>
  <c r="F601" i="79" s="1"/>
  <c r="F602" i="79" s="1"/>
  <c r="F605" i="79" s="1"/>
  <c r="F606" i="79" s="1"/>
  <c r="F607" i="79" s="1"/>
  <c r="F608" i="79" s="1"/>
  <c r="F609" i="79" s="1"/>
  <c r="F610" i="79" s="1"/>
  <c r="F611" i="79" s="1"/>
  <c r="F612" i="79" s="1"/>
  <c r="F613" i="79" s="1"/>
  <c r="F614" i="79" s="1"/>
  <c r="F615" i="79" s="1"/>
  <c r="F616" i="79" s="1"/>
  <c r="F617" i="79" s="1"/>
  <c r="F618" i="79" s="1"/>
  <c r="F619" i="79" s="1"/>
  <c r="F620" i="79" s="1"/>
  <c r="F621" i="79" s="1"/>
  <c r="F622" i="79" s="1"/>
  <c r="F623" i="79" s="1"/>
  <c r="F624" i="79" s="1"/>
  <c r="F625" i="79" s="1"/>
  <c r="F626" i="79" s="1"/>
  <c r="F627" i="79" s="1"/>
  <c r="F628" i="79" s="1"/>
  <c r="F629" i="79" s="1"/>
  <c r="F630" i="79" s="1"/>
  <c r="F631" i="79" s="1"/>
  <c r="F632" i="79" s="1"/>
  <c r="F633" i="79" s="1"/>
  <c r="F634" i="79" s="1"/>
  <c r="F635" i="79" s="1"/>
  <c r="F636" i="79" s="1"/>
  <c r="F637" i="79" s="1"/>
  <c r="F638" i="79" s="1"/>
  <c r="F639" i="79" s="1"/>
  <c r="F640" i="79" s="1"/>
  <c r="F641" i="79" s="1"/>
  <c r="F642" i="79" s="1"/>
  <c r="F643" i="79" s="1"/>
  <c r="F644" i="79" s="1"/>
  <c r="F645" i="79" s="1"/>
  <c r="F646" i="79" s="1"/>
  <c r="F647" i="79" s="1"/>
  <c r="F648" i="79" s="1"/>
  <c r="F649" i="79" s="1"/>
  <c r="F650" i="79" s="1"/>
  <c r="F651" i="79" s="1"/>
  <c r="F652" i="79" s="1"/>
  <c r="F653" i="79" s="1"/>
  <c r="F654" i="79" s="1"/>
  <c r="F655" i="79" s="1"/>
  <c r="F656" i="79" s="1"/>
  <c r="F657" i="79" s="1"/>
  <c r="F658" i="79" s="1"/>
  <c r="F659" i="79" s="1"/>
  <c r="F660" i="79" s="1"/>
  <c r="F661" i="79" s="1"/>
  <c r="F662" i="79" s="1"/>
  <c r="F663" i="79" s="1"/>
  <c r="F664" i="79" s="1"/>
  <c r="F665" i="79" s="1"/>
  <c r="F666" i="79" s="1"/>
  <c r="F667" i="79" s="1"/>
  <c r="F668" i="79" s="1"/>
  <c r="O88" i="79"/>
  <c r="O89" i="79" s="1"/>
  <c r="O90" i="79" s="1"/>
  <c r="O91" i="79" s="1"/>
  <c r="O92" i="79" s="1"/>
  <c r="O93" i="79" s="1"/>
  <c r="O94" i="79" s="1"/>
  <c r="O95" i="79" s="1"/>
  <c r="O96" i="79" s="1"/>
  <c r="O97" i="79" s="1"/>
  <c r="O98" i="79" s="1"/>
  <c r="O99" i="79" s="1"/>
  <c r="O100" i="79" s="1"/>
  <c r="O101" i="79" s="1"/>
  <c r="O102" i="79" s="1"/>
  <c r="O103" i="79" s="1"/>
  <c r="O104" i="79" s="1"/>
  <c r="O105" i="79" s="1"/>
  <c r="O106" i="79" s="1"/>
  <c r="O107" i="79" s="1"/>
  <c r="O108" i="79" s="1"/>
  <c r="O109" i="79" s="1"/>
  <c r="O110" i="79" s="1"/>
  <c r="O111" i="79" s="1"/>
  <c r="O112" i="79" s="1"/>
  <c r="O113" i="79" s="1"/>
  <c r="O114" i="79" s="1"/>
  <c r="O115" i="79" s="1"/>
  <c r="O116" i="79" s="1"/>
  <c r="O117" i="79" s="1"/>
  <c r="O118" i="79" s="1"/>
  <c r="O119" i="79" s="1"/>
  <c r="O120" i="79" s="1"/>
  <c r="O121" i="79" s="1"/>
  <c r="O122" i="79" s="1"/>
  <c r="O123" i="79" s="1"/>
  <c r="O124" i="79" s="1"/>
  <c r="O125" i="79" s="1"/>
  <c r="O126" i="79" s="1"/>
  <c r="O127" i="79" s="1"/>
  <c r="O128" i="79" s="1"/>
  <c r="O129" i="79" s="1"/>
  <c r="O130" i="79" s="1"/>
  <c r="O131" i="79" s="1"/>
  <c r="O132" i="79" s="1"/>
  <c r="O133" i="79" s="1"/>
  <c r="O134" i="79" s="1"/>
  <c r="O135" i="79" s="1"/>
  <c r="O136" i="79" s="1"/>
  <c r="O137" i="79" s="1"/>
  <c r="O138" i="79" s="1"/>
  <c r="O139" i="79" s="1"/>
  <c r="O140" i="79" s="1"/>
  <c r="O141" i="79" s="1"/>
  <c r="O142" i="79" s="1"/>
  <c r="O143" i="79" s="1"/>
  <c r="O144" i="79" s="1"/>
  <c r="O145" i="79" s="1"/>
  <c r="O146" i="79" s="1"/>
  <c r="O147" i="79" s="1"/>
  <c r="O148" i="79" s="1"/>
  <c r="O149" i="79" s="1"/>
  <c r="O150" i="79" s="1"/>
  <c r="O151" i="79" s="1"/>
  <c r="O152" i="79" s="1"/>
  <c r="O153" i="79" s="1"/>
  <c r="O154" i="79" s="1"/>
  <c r="O155" i="79" s="1"/>
  <c r="O156" i="79" s="1"/>
  <c r="O157" i="79" s="1"/>
  <c r="O158" i="79" s="1"/>
  <c r="O159" i="79" s="1"/>
  <c r="O160" i="79" s="1"/>
  <c r="O161" i="79" s="1"/>
  <c r="O162" i="79" s="1"/>
  <c r="O163" i="79" s="1"/>
  <c r="O164" i="79" s="1"/>
  <c r="O165" i="79" s="1"/>
  <c r="O166" i="79" s="1"/>
  <c r="O167" i="79" s="1"/>
  <c r="O168" i="79" s="1"/>
  <c r="O169" i="79" s="1"/>
  <c r="O170" i="79" s="1"/>
  <c r="O171" i="79" s="1"/>
  <c r="O172" i="79" s="1"/>
  <c r="O173" i="79" s="1"/>
  <c r="O174" i="79" s="1"/>
  <c r="O175" i="79" s="1"/>
  <c r="O176" i="79" s="1"/>
  <c r="O177" i="79" s="1"/>
  <c r="O178" i="79" s="1"/>
  <c r="O179" i="79" s="1"/>
  <c r="O180" i="79" s="1"/>
  <c r="O181" i="79" s="1"/>
  <c r="O182" i="79" s="1"/>
  <c r="O183" i="79" s="1"/>
  <c r="O184" i="79" s="1"/>
  <c r="O185" i="79" s="1"/>
  <c r="O186" i="79" s="1"/>
  <c r="O187" i="79" s="1"/>
  <c r="O188" i="79" s="1"/>
  <c r="O189" i="79" s="1"/>
  <c r="O190" i="79" s="1"/>
  <c r="O191" i="79" s="1"/>
  <c r="O192" i="79" s="1"/>
  <c r="O193" i="79" s="1"/>
  <c r="O194" i="79" s="1"/>
  <c r="O195" i="79" s="1"/>
  <c r="O196" i="79" s="1"/>
  <c r="O197" i="79" s="1"/>
  <c r="O198" i="79" s="1"/>
  <c r="O199" i="79" s="1"/>
  <c r="O200" i="79" s="1"/>
  <c r="O201" i="79" s="1"/>
  <c r="O202" i="79" s="1"/>
  <c r="O203" i="79" s="1"/>
  <c r="O204" i="79" s="1"/>
  <c r="O205" i="79" s="1"/>
  <c r="O206" i="79" s="1"/>
  <c r="O207" i="79" s="1"/>
  <c r="O208" i="79" s="1"/>
  <c r="O209" i="79" s="1"/>
  <c r="O210" i="79" s="1"/>
  <c r="O211" i="79" s="1"/>
  <c r="O212" i="79" s="1"/>
  <c r="O213" i="79" s="1"/>
  <c r="O214" i="79" s="1"/>
  <c r="O215" i="79" s="1"/>
  <c r="O216" i="79" s="1"/>
  <c r="O217" i="79" s="1"/>
  <c r="O218" i="79" s="1"/>
  <c r="O219" i="79" s="1"/>
  <c r="O220" i="79" s="1"/>
  <c r="O221" i="79" s="1"/>
  <c r="O222" i="79" s="1"/>
  <c r="O223" i="79" s="1"/>
  <c r="O224" i="79" s="1"/>
  <c r="O225" i="79" s="1"/>
  <c r="O226" i="79" s="1"/>
  <c r="O227" i="79" s="1"/>
  <c r="O228" i="79" s="1"/>
  <c r="O229" i="79" s="1"/>
  <c r="O230" i="79" s="1"/>
  <c r="O231" i="79" s="1"/>
  <c r="O232" i="79" s="1"/>
  <c r="O233" i="79" s="1"/>
  <c r="O234" i="79" s="1"/>
  <c r="O235" i="79" s="1"/>
  <c r="O236" i="79" s="1"/>
  <c r="O237" i="79" s="1"/>
  <c r="O238" i="79" s="1"/>
  <c r="O239" i="79" s="1"/>
  <c r="O240" i="79" s="1"/>
  <c r="O241" i="79" s="1"/>
  <c r="O242" i="79" s="1"/>
  <c r="O243" i="79" s="1"/>
  <c r="O244" i="79" s="1"/>
  <c r="O245" i="79" s="1"/>
  <c r="O246" i="79" s="1"/>
  <c r="O247" i="79" s="1"/>
  <c r="O248" i="79" s="1"/>
  <c r="O249" i="79" s="1"/>
  <c r="O250" i="79" s="1"/>
  <c r="O251" i="79" s="1"/>
  <c r="O252" i="79" s="1"/>
  <c r="O253" i="79" s="1"/>
  <c r="O254" i="79" s="1"/>
  <c r="O255" i="79" s="1"/>
  <c r="O256" i="79" s="1"/>
  <c r="O257" i="79" s="1"/>
  <c r="O258" i="79" s="1"/>
  <c r="O259" i="79" s="1"/>
  <c r="O260" i="79" s="1"/>
  <c r="O261" i="79" s="1"/>
  <c r="O262" i="79" s="1"/>
  <c r="O263" i="79" s="1"/>
  <c r="O264" i="79" s="1"/>
  <c r="O265" i="79" s="1"/>
  <c r="O266" i="79" s="1"/>
  <c r="O267" i="79" s="1"/>
  <c r="O268" i="79" s="1"/>
  <c r="O269" i="79" s="1"/>
  <c r="O270" i="79" s="1"/>
  <c r="O271" i="79" s="1"/>
  <c r="O272" i="79" s="1"/>
  <c r="O273" i="79" s="1"/>
  <c r="O274" i="79" s="1"/>
  <c r="O275" i="79" s="1"/>
  <c r="O276" i="79" s="1"/>
  <c r="O277" i="79" s="1"/>
  <c r="O278" i="79" s="1"/>
  <c r="O279" i="79" s="1"/>
  <c r="O280" i="79" s="1"/>
  <c r="O281" i="79" s="1"/>
  <c r="O282" i="79" s="1"/>
  <c r="O283" i="79" s="1"/>
  <c r="O284" i="79" s="1"/>
  <c r="O285" i="79" s="1"/>
  <c r="O286" i="79" s="1"/>
  <c r="O287" i="79" s="1"/>
  <c r="O288" i="79" s="1"/>
  <c r="O289" i="79" s="1"/>
  <c r="O290" i="79" s="1"/>
  <c r="O291" i="79" s="1"/>
  <c r="O292" i="79" s="1"/>
  <c r="O293" i="79" s="1"/>
  <c r="O294" i="79" s="1"/>
  <c r="O295" i="79" s="1"/>
  <c r="O296" i="79" s="1"/>
  <c r="O297" i="79" s="1"/>
  <c r="O298" i="79" s="1"/>
  <c r="O299" i="79" s="1"/>
  <c r="O300" i="79" s="1"/>
  <c r="O301" i="79" s="1"/>
  <c r="O302" i="79" s="1"/>
  <c r="O303" i="79" s="1"/>
  <c r="O304" i="79" s="1"/>
  <c r="O305" i="79" s="1"/>
  <c r="O306" i="79" s="1"/>
  <c r="O307" i="79" s="1"/>
  <c r="O308" i="79" s="1"/>
  <c r="O309" i="79" s="1"/>
  <c r="O310" i="79" s="1"/>
  <c r="O311" i="79" s="1"/>
  <c r="O312" i="79" s="1"/>
  <c r="O313" i="79" s="1"/>
  <c r="O314" i="79" s="1"/>
  <c r="O315" i="79" s="1"/>
  <c r="O316" i="79" s="1"/>
  <c r="O317" i="79" s="1"/>
  <c r="O318" i="79" s="1"/>
  <c r="O319" i="79" s="1"/>
  <c r="O320" i="79" s="1"/>
  <c r="O321" i="79" s="1"/>
  <c r="O322" i="79" s="1"/>
  <c r="O323" i="79" s="1"/>
  <c r="O324" i="79" s="1"/>
  <c r="O325" i="79" s="1"/>
  <c r="O326" i="79" s="1"/>
  <c r="O327" i="79" s="1"/>
  <c r="O328" i="79" s="1"/>
  <c r="O329" i="79" s="1"/>
  <c r="O330" i="79" s="1"/>
  <c r="O331" i="79" s="1"/>
  <c r="O332" i="79" s="1"/>
  <c r="O333" i="79" s="1"/>
  <c r="O334" i="79" s="1"/>
  <c r="O335" i="79" s="1"/>
  <c r="O336" i="79" s="1"/>
  <c r="O337" i="79" s="1"/>
  <c r="O338" i="79" s="1"/>
  <c r="O339" i="79" s="1"/>
  <c r="O340" i="79" s="1"/>
  <c r="O341" i="79" s="1"/>
  <c r="O342" i="79" s="1"/>
  <c r="F88" i="79"/>
  <c r="F89" i="79" s="1"/>
  <c r="F90" i="79" s="1"/>
  <c r="F91" i="79" s="1"/>
  <c r="F92" i="79" s="1"/>
  <c r="F93" i="79" s="1"/>
  <c r="F94" i="79" s="1"/>
  <c r="F95" i="79" s="1"/>
  <c r="F96" i="79" s="1"/>
  <c r="F97" i="79" s="1"/>
  <c r="F98" i="79" s="1"/>
  <c r="F99" i="79" s="1"/>
  <c r="F100" i="79" s="1"/>
  <c r="F101" i="79" s="1"/>
  <c r="F102" i="79" s="1"/>
  <c r="F103" i="79" s="1"/>
  <c r="F104" i="79" s="1"/>
  <c r="F105" i="79" s="1"/>
  <c r="F106" i="79" s="1"/>
  <c r="F107" i="79" s="1"/>
  <c r="F108" i="79" s="1"/>
  <c r="F109" i="79" s="1"/>
  <c r="F110" i="79" s="1"/>
  <c r="F111" i="79" s="1"/>
  <c r="F112" i="79" s="1"/>
  <c r="F113" i="79" s="1"/>
  <c r="F114" i="79" s="1"/>
  <c r="F115" i="79" s="1"/>
  <c r="F116" i="79" s="1"/>
  <c r="F117" i="79" s="1"/>
  <c r="F118" i="79" s="1"/>
  <c r="F119" i="79" s="1"/>
  <c r="F120" i="79" s="1"/>
  <c r="F121" i="79" s="1"/>
  <c r="F122" i="79" s="1"/>
  <c r="F123" i="79" s="1"/>
  <c r="F124" i="79" s="1"/>
  <c r="F125" i="79" s="1"/>
  <c r="F126" i="79" s="1"/>
  <c r="F127" i="79" s="1"/>
  <c r="F128" i="79" s="1"/>
  <c r="F129" i="79" s="1"/>
  <c r="F130" i="79" s="1"/>
  <c r="F131" i="79" s="1"/>
  <c r="F132" i="79" s="1"/>
  <c r="F133" i="79" s="1"/>
  <c r="F134" i="79" s="1"/>
  <c r="F135" i="79" s="1"/>
  <c r="F136" i="79" s="1"/>
  <c r="F137" i="79" s="1"/>
  <c r="F138" i="79" s="1"/>
  <c r="F139" i="79" s="1"/>
  <c r="F140" i="79" s="1"/>
  <c r="F141" i="79" s="1"/>
  <c r="F142" i="79" s="1"/>
  <c r="F143" i="79" s="1"/>
  <c r="F144" i="79" s="1"/>
  <c r="F145" i="79" s="1"/>
  <c r="F146" i="79" s="1"/>
  <c r="F147" i="79" s="1"/>
  <c r="F148" i="79" s="1"/>
  <c r="F149" i="79" s="1"/>
  <c r="F150" i="79" s="1"/>
  <c r="F151" i="79" s="1"/>
  <c r="F152" i="79" s="1"/>
  <c r="F153" i="79" s="1"/>
  <c r="F154" i="79" s="1"/>
  <c r="F155" i="79" s="1"/>
  <c r="F156" i="79" s="1"/>
  <c r="F157" i="79" s="1"/>
  <c r="F158" i="79" s="1"/>
  <c r="F159" i="79" s="1"/>
  <c r="F160" i="79" s="1"/>
  <c r="F161" i="79" s="1"/>
  <c r="F162" i="79" s="1"/>
  <c r="F163" i="79" s="1"/>
  <c r="F164" i="79" s="1"/>
  <c r="F165" i="79" s="1"/>
  <c r="F166" i="79" s="1"/>
  <c r="F167" i="79" s="1"/>
  <c r="F168" i="79" s="1"/>
  <c r="F169" i="79" s="1"/>
  <c r="F170" i="79" s="1"/>
  <c r="F171" i="79" s="1"/>
  <c r="F172" i="79" s="1"/>
  <c r="F173" i="79" s="1"/>
  <c r="F174" i="79" s="1"/>
  <c r="F175" i="79" s="1"/>
  <c r="F176" i="79" s="1"/>
  <c r="F177" i="79" s="1"/>
  <c r="F178" i="79" s="1"/>
  <c r="F179" i="79" s="1"/>
  <c r="F180" i="79" s="1"/>
  <c r="F181" i="79" s="1"/>
  <c r="F182" i="79" s="1"/>
  <c r="F183" i="79" s="1"/>
  <c r="F184" i="79" s="1"/>
  <c r="F185" i="79" s="1"/>
  <c r="F186" i="79" s="1"/>
  <c r="F187" i="79" s="1"/>
  <c r="F188" i="79" s="1"/>
  <c r="F189" i="79" s="1"/>
  <c r="F190" i="79" s="1"/>
  <c r="F191" i="79" s="1"/>
  <c r="F192" i="79" s="1"/>
  <c r="F193" i="79" s="1"/>
  <c r="F194" i="79" s="1"/>
  <c r="F195" i="79" s="1"/>
  <c r="F196" i="79" s="1"/>
  <c r="F197" i="79" s="1"/>
  <c r="F198" i="79" s="1"/>
  <c r="F199" i="79" s="1"/>
  <c r="F200" i="79" s="1"/>
  <c r="F201" i="79" s="1"/>
  <c r="F202" i="79" s="1"/>
  <c r="F203" i="79" s="1"/>
  <c r="F204" i="79" s="1"/>
  <c r="F205" i="79" s="1"/>
  <c r="F206" i="79" s="1"/>
  <c r="F207" i="79" s="1"/>
  <c r="F208" i="79" s="1"/>
  <c r="F209" i="79" s="1"/>
  <c r="F210" i="79" s="1"/>
  <c r="F211" i="79" s="1"/>
  <c r="F212" i="79" s="1"/>
  <c r="F213" i="79" s="1"/>
  <c r="F214" i="79" s="1"/>
  <c r="F215" i="79" s="1"/>
  <c r="F216" i="79" s="1"/>
  <c r="F217" i="79" s="1"/>
  <c r="F218" i="79" s="1"/>
  <c r="F219" i="79" s="1"/>
  <c r="F220" i="79" s="1"/>
  <c r="F221" i="79" s="1"/>
  <c r="F222" i="79" s="1"/>
  <c r="F223" i="79" s="1"/>
  <c r="F224" i="79" s="1"/>
  <c r="F225" i="79" s="1"/>
  <c r="F226" i="79" s="1"/>
  <c r="F227" i="79" s="1"/>
  <c r="F228" i="79" s="1"/>
  <c r="F229" i="79" s="1"/>
  <c r="F230" i="79" s="1"/>
  <c r="F231" i="79" s="1"/>
  <c r="F232" i="79" s="1"/>
  <c r="F233" i="79" s="1"/>
  <c r="F234" i="79" s="1"/>
  <c r="F235" i="79" s="1"/>
  <c r="F236" i="79" s="1"/>
  <c r="F237" i="79" s="1"/>
  <c r="F238" i="79" s="1"/>
  <c r="F239" i="79" s="1"/>
  <c r="F240" i="79" s="1"/>
  <c r="F241" i="79" s="1"/>
  <c r="F242" i="79" s="1"/>
  <c r="F243" i="79" s="1"/>
  <c r="F244" i="79" s="1"/>
  <c r="F245" i="79" s="1"/>
  <c r="F246" i="79" s="1"/>
  <c r="F247" i="79" s="1"/>
  <c r="F248" i="79" s="1"/>
  <c r="F249" i="79" s="1"/>
  <c r="F250" i="79" s="1"/>
  <c r="F251" i="79" s="1"/>
  <c r="F252" i="79" s="1"/>
  <c r="F253" i="79" s="1"/>
  <c r="F254" i="79" s="1"/>
  <c r="F255" i="79" s="1"/>
  <c r="F256" i="79" s="1"/>
  <c r="F257" i="79" s="1"/>
  <c r="F258" i="79" s="1"/>
  <c r="F259" i="79" s="1"/>
  <c r="F260" i="79" s="1"/>
  <c r="F261" i="79" s="1"/>
  <c r="F262" i="79" s="1"/>
  <c r="F263" i="79" s="1"/>
  <c r="F264" i="79" s="1"/>
  <c r="F265" i="79" s="1"/>
  <c r="F266" i="79" s="1"/>
  <c r="F267" i="79" s="1"/>
  <c r="F268" i="79" s="1"/>
  <c r="F269" i="79" s="1"/>
  <c r="F270" i="79" s="1"/>
  <c r="F271" i="79" s="1"/>
  <c r="F272" i="79" s="1"/>
  <c r="F273" i="79" s="1"/>
  <c r="F274" i="79" s="1"/>
  <c r="F275" i="79" s="1"/>
  <c r="F276" i="79" s="1"/>
  <c r="F277" i="79" s="1"/>
  <c r="F278" i="79" s="1"/>
  <c r="F279" i="79" s="1"/>
  <c r="F280" i="79" s="1"/>
  <c r="F281" i="79" s="1"/>
  <c r="F282" i="79" s="1"/>
  <c r="F283" i="79" s="1"/>
  <c r="F284" i="79" s="1"/>
  <c r="F285" i="79" s="1"/>
  <c r="F286" i="79" s="1"/>
  <c r="F287" i="79" s="1"/>
  <c r="F288" i="79" s="1"/>
  <c r="F289" i="79" s="1"/>
  <c r="F290" i="79" s="1"/>
  <c r="F291" i="79" s="1"/>
  <c r="F292" i="79" s="1"/>
  <c r="F293" i="79" s="1"/>
  <c r="F294" i="79" s="1"/>
  <c r="F295" i="79" s="1"/>
  <c r="F296" i="79" s="1"/>
  <c r="F297" i="79" s="1"/>
  <c r="F298" i="79" s="1"/>
  <c r="F299" i="79" s="1"/>
  <c r="F300" i="79" s="1"/>
  <c r="F301" i="79" s="1"/>
  <c r="F302" i="79" s="1"/>
  <c r="F303" i="79" s="1"/>
  <c r="F304" i="79" s="1"/>
  <c r="F305" i="79" s="1"/>
  <c r="F306" i="79" s="1"/>
  <c r="F307" i="79" s="1"/>
  <c r="F308" i="79" s="1"/>
  <c r="F309" i="79" s="1"/>
  <c r="F310" i="79" s="1"/>
  <c r="F311" i="79" s="1"/>
  <c r="F312" i="79" s="1"/>
  <c r="F313" i="79" s="1"/>
  <c r="F314" i="79" s="1"/>
  <c r="F315" i="79" s="1"/>
  <c r="F316" i="79" s="1"/>
  <c r="F317" i="79" s="1"/>
  <c r="F318" i="79" s="1"/>
  <c r="F319" i="79" s="1"/>
  <c r="F320" i="79" s="1"/>
  <c r="F321" i="79" s="1"/>
  <c r="F322" i="79" s="1"/>
  <c r="F323" i="79" s="1"/>
  <c r="F324" i="79" s="1"/>
  <c r="F325" i="79" s="1"/>
  <c r="F326" i="79" s="1"/>
  <c r="F327" i="79" s="1"/>
  <c r="F328" i="79" s="1"/>
  <c r="F329" i="79" s="1"/>
  <c r="F330" i="79" s="1"/>
  <c r="F331" i="79" s="1"/>
  <c r="F332" i="79" s="1"/>
  <c r="F333" i="79" s="1"/>
  <c r="F334" i="79" s="1"/>
  <c r="F335" i="79" s="1"/>
  <c r="F336" i="79" s="1"/>
  <c r="F337" i="79" s="1"/>
  <c r="F338" i="79" s="1"/>
  <c r="F339" i="79" s="1"/>
  <c r="F340" i="79" s="1"/>
  <c r="F341" i="79" s="1"/>
  <c r="F342" i="79" s="1"/>
  <c r="O52" i="79"/>
  <c r="O53" i="79" s="1"/>
  <c r="F52" i="79"/>
  <c r="F53" i="79" s="1"/>
  <c r="F54" i="79" s="1"/>
  <c r="X10" i="79"/>
  <c r="Y8" i="79"/>
  <c r="Y6" i="79"/>
  <c r="Y8" i="73"/>
  <c r="Y6" i="73"/>
  <c r="AF5" i="73"/>
  <c r="O86" i="73"/>
  <c r="O87" i="73" s="1"/>
  <c r="O88" i="73" s="1"/>
  <c r="O89" i="73" s="1"/>
  <c r="O90" i="73" s="1"/>
  <c r="O91" i="73" s="1"/>
  <c r="O92" i="73" s="1"/>
  <c r="O93" i="73" s="1"/>
  <c r="O94" i="73" s="1"/>
  <c r="O95" i="73" s="1"/>
  <c r="O96" i="73" s="1"/>
  <c r="O97" i="73" s="1"/>
  <c r="O98" i="73" s="1"/>
  <c r="O99" i="73" s="1"/>
  <c r="O100" i="73" s="1"/>
  <c r="O101" i="73" s="1"/>
  <c r="O102" i="73" s="1"/>
  <c r="O103" i="73" s="1"/>
  <c r="O104" i="73" s="1"/>
  <c r="O105" i="73" s="1"/>
  <c r="O106" i="73" s="1"/>
  <c r="O107" i="73" s="1"/>
  <c r="O108" i="73" s="1"/>
  <c r="O109" i="73" s="1"/>
  <c r="O110" i="73" s="1"/>
  <c r="O111" i="73" s="1"/>
  <c r="O112" i="73" s="1"/>
  <c r="O113" i="73" s="1"/>
  <c r="O114" i="73" s="1"/>
  <c r="O115" i="73" s="1"/>
  <c r="O116" i="73" s="1"/>
  <c r="O117" i="73" s="1"/>
  <c r="O118" i="73" s="1"/>
  <c r="O119" i="73" s="1"/>
  <c r="O120" i="73" s="1"/>
  <c r="O121" i="73" s="1"/>
  <c r="O122" i="73" s="1"/>
  <c r="O123" i="73" s="1"/>
  <c r="O124" i="73" s="1"/>
  <c r="O125" i="73" s="1"/>
  <c r="O126" i="73" s="1"/>
  <c r="O127" i="73" s="1"/>
  <c r="O128" i="73" s="1"/>
  <c r="O129" i="73" s="1"/>
  <c r="O130" i="73" s="1"/>
  <c r="O131" i="73" s="1"/>
  <c r="O132" i="73" s="1"/>
  <c r="O133" i="73" s="1"/>
  <c r="O134" i="73" s="1"/>
  <c r="O135" i="73" s="1"/>
  <c r="O136" i="73" s="1"/>
  <c r="O137" i="73" s="1"/>
  <c r="O138" i="73" s="1"/>
  <c r="O139" i="73" s="1"/>
  <c r="O140" i="73" s="1"/>
  <c r="O141" i="73" s="1"/>
  <c r="O142" i="73" s="1"/>
  <c r="O143" i="73" s="1"/>
  <c r="O144" i="73" s="1"/>
  <c r="O145" i="73" s="1"/>
  <c r="O146" i="73" s="1"/>
  <c r="O147" i="73" s="1"/>
  <c r="O148" i="73" s="1"/>
  <c r="O149" i="73" s="1"/>
  <c r="O150" i="73" s="1"/>
  <c r="O151" i="73" s="1"/>
  <c r="O152" i="73" s="1"/>
  <c r="O153" i="73" s="1"/>
  <c r="O154" i="73" s="1"/>
  <c r="O155" i="73" s="1"/>
  <c r="O156" i="73" s="1"/>
  <c r="O157" i="73" s="1"/>
  <c r="O158" i="73" s="1"/>
  <c r="O159" i="73" s="1"/>
  <c r="O160" i="73" s="1"/>
  <c r="O161" i="73" s="1"/>
  <c r="O162" i="73" s="1"/>
  <c r="O163" i="73" s="1"/>
  <c r="O164" i="73" s="1"/>
  <c r="O165" i="73" s="1"/>
  <c r="O166" i="73" s="1"/>
  <c r="O167" i="73" s="1"/>
  <c r="O168" i="73" s="1"/>
  <c r="O169" i="73" s="1"/>
  <c r="O170" i="73" s="1"/>
  <c r="O171" i="73" s="1"/>
  <c r="O172" i="73" s="1"/>
  <c r="O173" i="73" s="1"/>
  <c r="O174" i="73" s="1"/>
  <c r="O175" i="73" s="1"/>
  <c r="O176" i="73" s="1"/>
  <c r="O177" i="73" s="1"/>
  <c r="O178" i="73" s="1"/>
  <c r="O179" i="73" s="1"/>
  <c r="O180" i="73" s="1"/>
  <c r="O181" i="73" s="1"/>
  <c r="O182" i="73" s="1"/>
  <c r="O183" i="73" s="1"/>
  <c r="O184" i="73" s="1"/>
  <c r="O185" i="73" s="1"/>
  <c r="O186" i="73" s="1"/>
  <c r="O187" i="73" s="1"/>
  <c r="O188" i="73" s="1"/>
  <c r="O189" i="73" s="1"/>
  <c r="O190" i="73" s="1"/>
  <c r="O191" i="73" s="1"/>
  <c r="O192" i="73" s="1"/>
  <c r="O193" i="73" s="1"/>
  <c r="O194" i="73" s="1"/>
  <c r="O195" i="73" s="1"/>
  <c r="O196" i="73" s="1"/>
  <c r="O197" i="73" s="1"/>
  <c r="O198" i="73" s="1"/>
  <c r="O199" i="73" s="1"/>
  <c r="O200" i="73" s="1"/>
  <c r="O201" i="73" s="1"/>
  <c r="O202" i="73" s="1"/>
  <c r="O203" i="73" s="1"/>
  <c r="O204" i="73" s="1"/>
  <c r="O205" i="73" s="1"/>
  <c r="O206" i="73" s="1"/>
  <c r="O207" i="73" s="1"/>
  <c r="O208" i="73" s="1"/>
  <c r="O209" i="73" s="1"/>
  <c r="O210" i="73" s="1"/>
  <c r="O211" i="73" s="1"/>
  <c r="O212" i="73" s="1"/>
  <c r="O213" i="73" s="1"/>
  <c r="O214" i="73" s="1"/>
  <c r="O215" i="73" s="1"/>
  <c r="O216" i="73" s="1"/>
  <c r="O217" i="73" s="1"/>
  <c r="O218" i="73" s="1"/>
  <c r="O219" i="73" s="1"/>
  <c r="O220" i="73" s="1"/>
  <c r="O221" i="73" s="1"/>
  <c r="O222" i="73" s="1"/>
  <c r="O223" i="73" s="1"/>
  <c r="O224" i="73" s="1"/>
  <c r="O225" i="73" s="1"/>
  <c r="O226" i="73" s="1"/>
  <c r="O227" i="73" s="1"/>
  <c r="O228" i="73" s="1"/>
  <c r="O229" i="73" s="1"/>
  <c r="O230" i="73" s="1"/>
  <c r="O231" i="73" s="1"/>
  <c r="O232" i="73" s="1"/>
  <c r="O233" i="73" s="1"/>
  <c r="O234" i="73" s="1"/>
  <c r="O235" i="73" s="1"/>
  <c r="O236" i="73" s="1"/>
  <c r="O237" i="73" s="1"/>
  <c r="O238" i="73" s="1"/>
  <c r="O239" i="73" s="1"/>
  <c r="O240" i="73" s="1"/>
  <c r="O241" i="73" s="1"/>
  <c r="O242" i="73" s="1"/>
  <c r="O243" i="73" s="1"/>
  <c r="O244" i="73" s="1"/>
  <c r="O245" i="73" s="1"/>
  <c r="O246" i="73" s="1"/>
  <c r="O247" i="73" s="1"/>
  <c r="O248" i="73" s="1"/>
  <c r="O249" i="73" s="1"/>
  <c r="O250" i="73" s="1"/>
  <c r="O251" i="73" s="1"/>
  <c r="O252" i="73" s="1"/>
  <c r="O253" i="73" s="1"/>
  <c r="O254" i="73" s="1"/>
  <c r="O255" i="73" s="1"/>
  <c r="O256" i="73" s="1"/>
  <c r="O257" i="73" s="1"/>
  <c r="O258" i="73" s="1"/>
  <c r="O259" i="73" s="1"/>
  <c r="O260" i="73" s="1"/>
  <c r="O261" i="73" s="1"/>
  <c r="O262" i="73" s="1"/>
  <c r="O263" i="73" s="1"/>
  <c r="O264" i="73" s="1"/>
  <c r="O265" i="73" s="1"/>
  <c r="O266" i="73" s="1"/>
  <c r="O267" i="73" s="1"/>
  <c r="O268" i="73" s="1"/>
  <c r="O269" i="73" s="1"/>
  <c r="O270" i="73" s="1"/>
  <c r="O271" i="73" s="1"/>
  <c r="O272" i="73" s="1"/>
  <c r="O273" i="73" s="1"/>
  <c r="O274" i="73" s="1"/>
  <c r="O275" i="73" s="1"/>
  <c r="O276" i="73" s="1"/>
  <c r="O277" i="73" s="1"/>
  <c r="O278" i="73" s="1"/>
  <c r="O279" i="73" s="1"/>
  <c r="O280" i="73" s="1"/>
  <c r="O281" i="73" s="1"/>
  <c r="O282" i="73" s="1"/>
  <c r="O283" i="73" s="1"/>
  <c r="O284" i="73" s="1"/>
  <c r="F86" i="73"/>
  <c r="F87" i="73" s="1"/>
  <c r="F88" i="73" s="1"/>
  <c r="F89" i="73" s="1"/>
  <c r="F90" i="73" s="1"/>
  <c r="F91" i="73" s="1"/>
  <c r="F92" i="73" s="1"/>
  <c r="F93" i="73" s="1"/>
  <c r="F94" i="73" s="1"/>
  <c r="F95" i="73" s="1"/>
  <c r="F96" i="73" s="1"/>
  <c r="F97" i="73" s="1"/>
  <c r="F98" i="73" s="1"/>
  <c r="F99" i="73" s="1"/>
  <c r="F100" i="73" s="1"/>
  <c r="F101" i="73" s="1"/>
  <c r="F102" i="73" s="1"/>
  <c r="F103" i="73" s="1"/>
  <c r="F104" i="73" s="1"/>
  <c r="F105" i="73" s="1"/>
  <c r="F106" i="73" s="1"/>
  <c r="F107" i="73" s="1"/>
  <c r="F108" i="73" s="1"/>
  <c r="F109" i="73" s="1"/>
  <c r="F110" i="73" s="1"/>
  <c r="F111" i="73" s="1"/>
  <c r="F112" i="73" s="1"/>
  <c r="F113" i="73" s="1"/>
  <c r="F114" i="73" s="1"/>
  <c r="F115" i="73" s="1"/>
  <c r="F116" i="73" s="1"/>
  <c r="F117" i="73" s="1"/>
  <c r="F118" i="73" s="1"/>
  <c r="F119" i="73" s="1"/>
  <c r="F120" i="73" s="1"/>
  <c r="F121" i="73" s="1"/>
  <c r="F122" i="73" s="1"/>
  <c r="F123" i="73" s="1"/>
  <c r="F124" i="73" s="1"/>
  <c r="F125" i="73" s="1"/>
  <c r="F126" i="73" s="1"/>
  <c r="F127" i="73" s="1"/>
  <c r="F128" i="73" s="1"/>
  <c r="F129" i="73" s="1"/>
  <c r="F130" i="73" s="1"/>
  <c r="F131" i="73" s="1"/>
  <c r="F132" i="73" s="1"/>
  <c r="F133" i="73" s="1"/>
  <c r="F134" i="73" s="1"/>
  <c r="F135" i="73" s="1"/>
  <c r="F136" i="73" s="1"/>
  <c r="F137" i="73" s="1"/>
  <c r="F138" i="73" s="1"/>
  <c r="F139" i="73" s="1"/>
  <c r="F140" i="73" s="1"/>
  <c r="F141" i="73" s="1"/>
  <c r="F142" i="73" s="1"/>
  <c r="F143" i="73" s="1"/>
  <c r="F144" i="73" s="1"/>
  <c r="F145" i="73" s="1"/>
  <c r="F146" i="73" s="1"/>
  <c r="F147" i="73" s="1"/>
  <c r="F148" i="73" s="1"/>
  <c r="F149" i="73" s="1"/>
  <c r="F150" i="73" s="1"/>
  <c r="F151" i="73" s="1"/>
  <c r="F152" i="73" s="1"/>
  <c r="F153" i="73" s="1"/>
  <c r="F154" i="73" s="1"/>
  <c r="F155" i="73" s="1"/>
  <c r="F156" i="73" s="1"/>
  <c r="F157" i="73" s="1"/>
  <c r="F158" i="73" s="1"/>
  <c r="F159" i="73" s="1"/>
  <c r="F160" i="73" s="1"/>
  <c r="F161" i="73" s="1"/>
  <c r="F162" i="73" s="1"/>
  <c r="F163" i="73" s="1"/>
  <c r="F164" i="73" s="1"/>
  <c r="F165" i="73" s="1"/>
  <c r="F166" i="73" s="1"/>
  <c r="F167" i="73" s="1"/>
  <c r="F168" i="73" s="1"/>
  <c r="F169" i="73" s="1"/>
  <c r="F170" i="73" s="1"/>
  <c r="F171" i="73" s="1"/>
  <c r="F172" i="73" s="1"/>
  <c r="F173" i="73" s="1"/>
  <c r="F174" i="73" s="1"/>
  <c r="F175" i="73" s="1"/>
  <c r="F176" i="73" s="1"/>
  <c r="F177" i="73" s="1"/>
  <c r="F178" i="73" s="1"/>
  <c r="F179" i="73" s="1"/>
  <c r="F180" i="73" s="1"/>
  <c r="F181" i="73" s="1"/>
  <c r="F182" i="73" s="1"/>
  <c r="F183" i="73" s="1"/>
  <c r="F184" i="73" s="1"/>
  <c r="F185" i="73" s="1"/>
  <c r="F186" i="73" s="1"/>
  <c r="F187" i="73" s="1"/>
  <c r="F188" i="73" s="1"/>
  <c r="F189" i="73" s="1"/>
  <c r="F190" i="73" s="1"/>
  <c r="F191" i="73" s="1"/>
  <c r="F192" i="73" s="1"/>
  <c r="F193" i="73" s="1"/>
  <c r="F194" i="73" s="1"/>
  <c r="F195" i="73" s="1"/>
  <c r="F196" i="73" s="1"/>
  <c r="F197" i="73" s="1"/>
  <c r="F198" i="73" s="1"/>
  <c r="F199" i="73" s="1"/>
  <c r="F200" i="73" s="1"/>
  <c r="F201" i="73" s="1"/>
  <c r="F202" i="73" s="1"/>
  <c r="F203" i="73" s="1"/>
  <c r="F204" i="73" s="1"/>
  <c r="F205" i="73" s="1"/>
  <c r="F206" i="73" s="1"/>
  <c r="F207" i="73" s="1"/>
  <c r="F208" i="73" s="1"/>
  <c r="F209" i="73" s="1"/>
  <c r="F210" i="73" s="1"/>
  <c r="F211" i="73" s="1"/>
  <c r="F212" i="73" s="1"/>
  <c r="F213" i="73" s="1"/>
  <c r="F214" i="73" s="1"/>
  <c r="F215" i="73" s="1"/>
  <c r="F216" i="73" s="1"/>
  <c r="F217" i="73" s="1"/>
  <c r="F218" i="73" s="1"/>
  <c r="F219" i="73" s="1"/>
  <c r="F220" i="73" s="1"/>
  <c r="F221" i="73" s="1"/>
  <c r="F222" i="73" s="1"/>
  <c r="F223" i="73" s="1"/>
  <c r="F224" i="73" s="1"/>
  <c r="F225" i="73" s="1"/>
  <c r="F226" i="73" s="1"/>
  <c r="F227" i="73" s="1"/>
  <c r="F228" i="73" s="1"/>
  <c r="F229" i="73" s="1"/>
  <c r="F230" i="73" s="1"/>
  <c r="F231" i="73" s="1"/>
  <c r="F232" i="73" s="1"/>
  <c r="F233" i="73" s="1"/>
  <c r="F234" i="73" s="1"/>
  <c r="F235" i="73" s="1"/>
  <c r="F236" i="73" s="1"/>
  <c r="F237" i="73" s="1"/>
  <c r="F238" i="73" s="1"/>
  <c r="F239" i="73" s="1"/>
  <c r="F240" i="73" s="1"/>
  <c r="F241" i="73" s="1"/>
  <c r="F242" i="73" s="1"/>
  <c r="F243" i="73" s="1"/>
  <c r="F244" i="73" s="1"/>
  <c r="F245" i="73" s="1"/>
  <c r="F246" i="73" s="1"/>
  <c r="F247" i="73" s="1"/>
  <c r="F248" i="73" s="1"/>
  <c r="F249" i="73" s="1"/>
  <c r="F250" i="73" s="1"/>
  <c r="F251" i="73" s="1"/>
  <c r="F252" i="73" s="1"/>
  <c r="F253" i="73" s="1"/>
  <c r="F254" i="73" s="1"/>
  <c r="F255" i="73" s="1"/>
  <c r="F256" i="73" s="1"/>
  <c r="F257" i="73" s="1"/>
  <c r="F258" i="73" s="1"/>
  <c r="F259" i="73" s="1"/>
  <c r="F260" i="73" s="1"/>
  <c r="F261" i="73" s="1"/>
  <c r="F262" i="73" s="1"/>
  <c r="F263" i="73" s="1"/>
  <c r="F264" i="73" s="1"/>
  <c r="F265" i="73" s="1"/>
  <c r="F266" i="73" s="1"/>
  <c r="F267" i="73" s="1"/>
  <c r="F268" i="73" s="1"/>
  <c r="F269" i="73" s="1"/>
  <c r="F270" i="73" s="1"/>
  <c r="F271" i="73" s="1"/>
  <c r="F272" i="73" s="1"/>
  <c r="F273" i="73" s="1"/>
  <c r="F274" i="73" s="1"/>
  <c r="F275" i="73" s="1"/>
  <c r="F276" i="73" s="1"/>
  <c r="F277" i="73" s="1"/>
  <c r="F278" i="73" s="1"/>
  <c r="F279" i="73" s="1"/>
  <c r="F280" i="73" s="1"/>
  <c r="F281" i="73" s="1"/>
  <c r="F282" i="73" s="1"/>
  <c r="F283" i="73" s="1"/>
  <c r="F284" i="73" s="1"/>
  <c r="F285" i="73" s="1"/>
  <c r="F286" i="73" s="1"/>
  <c r="F287" i="73" s="1"/>
  <c r="F288" i="73" s="1"/>
  <c r="F289" i="73" s="1"/>
  <c r="F290" i="73" s="1"/>
  <c r="F291" i="73" s="1"/>
  <c r="F292" i="73" s="1"/>
  <c r="F293" i="73" s="1"/>
  <c r="F294" i="73" s="1"/>
  <c r="F295" i="73" s="1"/>
  <c r="F296" i="73" s="1"/>
  <c r="F297" i="73" s="1"/>
  <c r="F298" i="73" s="1"/>
  <c r="F299" i="73" s="1"/>
  <c r="F300" i="73" s="1"/>
  <c r="F301" i="73" s="1"/>
  <c r="F302" i="73" s="1"/>
  <c r="F303" i="73" s="1"/>
  <c r="F304" i="73" s="1"/>
  <c r="F305" i="73" s="1"/>
  <c r="F306" i="73" s="1"/>
  <c r="F307" i="73" s="1"/>
  <c r="F308" i="73" s="1"/>
  <c r="F309" i="73" s="1"/>
  <c r="F310" i="73" s="1"/>
  <c r="F311" i="73" s="1"/>
  <c r="F312" i="73" s="1"/>
  <c r="F313" i="73" s="1"/>
  <c r="F314" i="73" s="1"/>
  <c r="F315" i="73" s="1"/>
  <c r="F316" i="73" s="1"/>
  <c r="F317" i="73" s="1"/>
  <c r="F318" i="73" s="1"/>
  <c r="F319" i="73" s="1"/>
  <c r="F320" i="73" s="1"/>
  <c r="F321" i="73" s="1"/>
  <c r="F322" i="73" s="1"/>
  <c r="F323" i="73" s="1"/>
  <c r="F324" i="73" s="1"/>
  <c r="F325" i="73" s="1"/>
  <c r="F326" i="73" s="1"/>
  <c r="F327" i="73" s="1"/>
  <c r="F328" i="73" s="1"/>
  <c r="F329" i="73" s="1"/>
  <c r="F330" i="73" s="1"/>
  <c r="F331" i="73" s="1"/>
  <c r="F332" i="73" s="1"/>
  <c r="F333" i="73" s="1"/>
  <c r="F334" i="73" s="1"/>
  <c r="F335" i="73" s="1"/>
  <c r="F336" i="73" s="1"/>
  <c r="F337" i="73" s="1"/>
  <c r="F338" i="73" s="1"/>
  <c r="F339" i="73" s="1"/>
  <c r="F340" i="73" s="1"/>
  <c r="F345" i="73" s="1"/>
  <c r="F346" i="73" s="1"/>
  <c r="F347" i="73" s="1"/>
  <c r="F348" i="73" s="1"/>
  <c r="F349" i="73" s="1"/>
  <c r="F350" i="73" s="1"/>
  <c r="F351" i="73" s="1"/>
  <c r="F352" i="73" s="1"/>
  <c r="F353" i="73" s="1"/>
  <c r="F354" i="73" s="1"/>
  <c r="F355" i="73" s="1"/>
  <c r="F356" i="73" s="1"/>
  <c r="F357" i="73" s="1"/>
  <c r="F358" i="73" s="1"/>
  <c r="F359" i="73" s="1"/>
  <c r="F360" i="73" s="1"/>
  <c r="F361" i="73" s="1"/>
  <c r="F362" i="73" s="1"/>
  <c r="F363" i="73" s="1"/>
  <c r="F364" i="73" s="1"/>
  <c r="F365" i="73" s="1"/>
  <c r="F366" i="73" s="1"/>
  <c r="F367" i="73" s="1"/>
  <c r="F368" i="73" s="1"/>
  <c r="F369" i="73" s="1"/>
  <c r="F370" i="73" s="1"/>
  <c r="F371" i="73" s="1"/>
  <c r="F372" i="73" s="1"/>
  <c r="F373" i="73" s="1"/>
  <c r="F374" i="73" s="1"/>
  <c r="F375" i="73" s="1"/>
  <c r="F376" i="73" s="1"/>
  <c r="F377" i="73" s="1"/>
  <c r="F378" i="73" s="1"/>
  <c r="F379" i="73" s="1"/>
  <c r="F380" i="73" s="1"/>
  <c r="F381" i="73" s="1"/>
  <c r="F382" i="73" s="1"/>
  <c r="F383" i="73" s="1"/>
  <c r="F384" i="73" s="1"/>
  <c r="F385" i="73" s="1"/>
  <c r="F386" i="73" s="1"/>
  <c r="F387" i="73" s="1"/>
  <c r="F388" i="73" s="1"/>
  <c r="F389" i="73" s="1"/>
  <c r="F390" i="73" s="1"/>
  <c r="F391" i="73" s="1"/>
  <c r="F392" i="73" s="1"/>
  <c r="F393" i="73" s="1"/>
  <c r="F394" i="73" s="1"/>
  <c r="F395" i="73" s="1"/>
  <c r="F396" i="73" s="1"/>
  <c r="F397" i="73" s="1"/>
  <c r="F398" i="73" s="1"/>
  <c r="F399" i="73" s="1"/>
  <c r="F400" i="73" s="1"/>
  <c r="F401" i="73" s="1"/>
  <c r="F402" i="73" s="1"/>
  <c r="F403" i="73" s="1"/>
  <c r="F404" i="73" s="1"/>
  <c r="F405" i="73" s="1"/>
  <c r="F406" i="73" s="1"/>
  <c r="F407" i="73" s="1"/>
  <c r="F408" i="73" s="1"/>
  <c r="F409" i="73" s="1"/>
  <c r="F410" i="73" s="1"/>
  <c r="F411" i="73" s="1"/>
  <c r="F412" i="73" s="1"/>
  <c r="F413" i="73" s="1"/>
  <c r="F414" i="73" s="1"/>
  <c r="F415" i="73" s="1"/>
  <c r="F416" i="73" s="1"/>
  <c r="F417" i="73" s="1"/>
  <c r="F418" i="73" s="1"/>
  <c r="F419" i="73" s="1"/>
  <c r="F420" i="73" s="1"/>
  <c r="F421" i="73" s="1"/>
  <c r="F422" i="73" s="1"/>
  <c r="F423" i="73" s="1"/>
  <c r="F424" i="73" s="1"/>
  <c r="F425" i="73" s="1"/>
  <c r="F426" i="73" s="1"/>
  <c r="F427" i="73" s="1"/>
  <c r="F428" i="73" s="1"/>
  <c r="F429" i="73" s="1"/>
  <c r="F430" i="73" s="1"/>
  <c r="F431" i="73" s="1"/>
  <c r="F432" i="73" s="1"/>
  <c r="F433" i="73" s="1"/>
  <c r="F434" i="73" s="1"/>
  <c r="F435" i="73" s="1"/>
  <c r="F436" i="73" s="1"/>
  <c r="F437" i="73" s="1"/>
  <c r="F438" i="73" s="1"/>
  <c r="F439" i="73" s="1"/>
  <c r="F440" i="73" s="1"/>
  <c r="F441" i="73" s="1"/>
  <c r="F442" i="73" s="1"/>
  <c r="F443" i="73" s="1"/>
  <c r="F444" i="73" s="1"/>
  <c r="F445" i="73" s="1"/>
  <c r="F446" i="73" s="1"/>
  <c r="F447" i="73" s="1"/>
  <c r="F448" i="73" s="1"/>
  <c r="F449" i="73" s="1"/>
  <c r="F450" i="73" s="1"/>
  <c r="F451" i="73" s="1"/>
  <c r="F452" i="73" s="1"/>
  <c r="F453" i="73" s="1"/>
  <c r="F454" i="73" s="1"/>
  <c r="F455" i="73" s="1"/>
  <c r="F456" i="73" s="1"/>
  <c r="F457" i="73" s="1"/>
  <c r="F458" i="73" s="1"/>
  <c r="F459" i="73" s="1"/>
  <c r="F460" i="73" s="1"/>
  <c r="F461" i="73" s="1"/>
  <c r="F462" i="73" s="1"/>
  <c r="F463" i="73" s="1"/>
  <c r="F464" i="73" s="1"/>
  <c r="F465" i="73" s="1"/>
  <c r="F466" i="73" s="1"/>
  <c r="F467" i="73" s="1"/>
  <c r="F468" i="73" s="1"/>
  <c r="F469" i="73" s="1"/>
  <c r="F470" i="73" s="1"/>
  <c r="F471" i="73" s="1"/>
  <c r="F472" i="73" s="1"/>
  <c r="F473" i="73" s="1"/>
  <c r="F474" i="73" s="1"/>
  <c r="F475" i="73" s="1"/>
  <c r="F476" i="73" s="1"/>
  <c r="F477" i="73" s="1"/>
  <c r="F478" i="73" s="1"/>
  <c r="F479" i="73" s="1"/>
  <c r="F480" i="73" s="1"/>
  <c r="F481" i="73" s="1"/>
  <c r="F482" i="73" s="1"/>
  <c r="F483" i="73" s="1"/>
  <c r="F484" i="73" s="1"/>
  <c r="F485" i="73" s="1"/>
  <c r="F486" i="73" s="1"/>
  <c r="F487" i="73" s="1"/>
  <c r="F488" i="73" s="1"/>
  <c r="F489" i="73" s="1"/>
  <c r="F490" i="73" s="1"/>
  <c r="F491" i="73" s="1"/>
  <c r="F492" i="73" s="1"/>
  <c r="F493" i="73" s="1"/>
  <c r="F494" i="73" s="1"/>
  <c r="F495" i="73" s="1"/>
  <c r="F496" i="73" s="1"/>
  <c r="F497" i="73" s="1"/>
  <c r="F498" i="73" s="1"/>
  <c r="F499" i="73" s="1"/>
  <c r="F500" i="73" s="1"/>
  <c r="F501" i="73" s="1"/>
  <c r="F502" i="73" s="1"/>
  <c r="F503" i="73" s="1"/>
  <c r="F504" i="73" s="1"/>
  <c r="F505" i="73" s="1"/>
  <c r="F506" i="73" s="1"/>
  <c r="F507" i="73" s="1"/>
  <c r="F508" i="73" s="1"/>
  <c r="F509" i="73" s="1"/>
  <c r="F510" i="73" s="1"/>
  <c r="F511" i="73" s="1"/>
  <c r="F512" i="73" s="1"/>
  <c r="F513" i="73" s="1"/>
  <c r="F514" i="73" s="1"/>
  <c r="F515" i="73" s="1"/>
  <c r="F516" i="73" s="1"/>
  <c r="F517" i="73" s="1"/>
  <c r="F518" i="73" s="1"/>
  <c r="F519" i="73" s="1"/>
  <c r="F520" i="73" s="1"/>
  <c r="F521" i="73" s="1"/>
  <c r="F522" i="73" s="1"/>
  <c r="F523" i="73" s="1"/>
  <c r="F524" i="73" s="1"/>
  <c r="F525" i="73" s="1"/>
  <c r="F526" i="73" s="1"/>
  <c r="F527" i="73" s="1"/>
  <c r="F528" i="73" s="1"/>
  <c r="F529" i="73" s="1"/>
  <c r="F530" i="73" s="1"/>
  <c r="F531" i="73" s="1"/>
  <c r="F532" i="73" s="1"/>
  <c r="F533" i="73" s="1"/>
  <c r="F534" i="73" s="1"/>
  <c r="F535" i="73" s="1"/>
  <c r="F536" i="73" s="1"/>
  <c r="F537" i="73" s="1"/>
  <c r="F538" i="73" s="1"/>
  <c r="F539" i="73" s="1"/>
  <c r="F540" i="73" s="1"/>
  <c r="F541" i="73" s="1"/>
  <c r="F542" i="73" s="1"/>
  <c r="F543" i="73" s="1"/>
  <c r="F544" i="73" s="1"/>
  <c r="F545" i="73" s="1"/>
  <c r="F546" i="73" s="1"/>
  <c r="F547" i="73" s="1"/>
  <c r="F548" i="73" s="1"/>
  <c r="F549" i="73" s="1"/>
  <c r="F550" i="73" s="1"/>
  <c r="F551" i="73" s="1"/>
  <c r="F552" i="73" s="1"/>
  <c r="F553" i="73" s="1"/>
  <c r="F554" i="73" s="1"/>
  <c r="F555" i="73" s="1"/>
  <c r="F556" i="73" s="1"/>
  <c r="F557" i="73" s="1"/>
  <c r="F558" i="73" s="1"/>
  <c r="F559" i="73" s="1"/>
  <c r="F560" i="73" s="1"/>
  <c r="F561" i="73" s="1"/>
  <c r="F562" i="73" s="1"/>
  <c r="F563" i="73" s="1"/>
  <c r="F564" i="73" s="1"/>
  <c r="F565" i="73" s="1"/>
  <c r="F566" i="73" s="1"/>
  <c r="F567" i="73" s="1"/>
  <c r="F568" i="73" s="1"/>
  <c r="F569" i="73" s="1"/>
  <c r="F570" i="73" s="1"/>
  <c r="F571" i="73" s="1"/>
  <c r="F572" i="73" s="1"/>
  <c r="F573" i="73" s="1"/>
  <c r="F574" i="73" s="1"/>
  <c r="F575" i="73" s="1"/>
  <c r="F576" i="73" s="1"/>
  <c r="F577" i="73" s="1"/>
  <c r="F578" i="73" s="1"/>
  <c r="F579" i="73" s="1"/>
  <c r="F580" i="73" s="1"/>
  <c r="F581" i="73" s="1"/>
  <c r="F582" i="73" s="1"/>
  <c r="F583" i="73" s="1"/>
  <c r="F584" i="73" s="1"/>
  <c r="F585" i="73" s="1"/>
  <c r="F586" i="73" s="1"/>
  <c r="F587" i="73" s="1"/>
  <c r="F588" i="73" s="1"/>
  <c r="F589" i="73" s="1"/>
  <c r="F590" i="73" s="1"/>
  <c r="F591" i="73" s="1"/>
  <c r="F592" i="73" s="1"/>
  <c r="F593" i="73" s="1"/>
  <c r="F594" i="73" s="1"/>
  <c r="F595" i="73" s="1"/>
  <c r="F596" i="73" s="1"/>
  <c r="F597" i="73" s="1"/>
  <c r="F598" i="73" s="1"/>
  <c r="F599" i="73" s="1"/>
  <c r="F600" i="73" s="1"/>
  <c r="F603" i="73" s="1"/>
  <c r="F604" i="73" s="1"/>
  <c r="F605" i="73" s="1"/>
  <c r="F606" i="73" s="1"/>
  <c r="F607" i="73" s="1"/>
  <c r="F608" i="73" s="1"/>
  <c r="F609" i="73" s="1"/>
  <c r="F610" i="73" s="1"/>
  <c r="F611" i="73" s="1"/>
  <c r="F612" i="73" s="1"/>
  <c r="F613" i="73" s="1"/>
  <c r="F614" i="73" s="1"/>
  <c r="F615" i="73" s="1"/>
  <c r="F616" i="73" s="1"/>
  <c r="F617" i="73" s="1"/>
  <c r="F618" i="73" s="1"/>
  <c r="F619" i="73" s="1"/>
  <c r="F620" i="73" s="1"/>
  <c r="F621" i="73" s="1"/>
  <c r="F622" i="73" s="1"/>
  <c r="F623" i="73" s="1"/>
  <c r="F624" i="73" s="1"/>
  <c r="F625" i="73" s="1"/>
  <c r="F626" i="73" s="1"/>
  <c r="F627" i="73" s="1"/>
  <c r="F628" i="73" s="1"/>
  <c r="F629" i="73" s="1"/>
  <c r="F630" i="73" s="1"/>
  <c r="F631" i="73" s="1"/>
  <c r="F632" i="73" s="1"/>
  <c r="F633" i="73" s="1"/>
  <c r="F634" i="73" s="1"/>
  <c r="F635" i="73" s="1"/>
  <c r="F636" i="73" s="1"/>
  <c r="F637" i="73" s="1"/>
  <c r="F638" i="73" s="1"/>
  <c r="F639" i="73" s="1"/>
  <c r="F640" i="73" s="1"/>
  <c r="F641" i="73" s="1"/>
  <c r="F642" i="73" s="1"/>
  <c r="F643" i="73" s="1"/>
  <c r="F644" i="73" s="1"/>
  <c r="F645" i="73" s="1"/>
  <c r="F646" i="73" s="1"/>
  <c r="F647" i="73" s="1"/>
  <c r="F648" i="73" s="1"/>
  <c r="F649" i="73" s="1"/>
  <c r="F650" i="73" s="1"/>
  <c r="F651" i="73" s="1"/>
  <c r="F652" i="73" s="1"/>
  <c r="F653" i="73" s="1"/>
  <c r="F654" i="73" s="1"/>
  <c r="F655" i="73" s="1"/>
  <c r="F656" i="73" s="1"/>
  <c r="F657" i="73" s="1"/>
  <c r="F658" i="73" s="1"/>
  <c r="F659" i="73" s="1"/>
  <c r="F660" i="73" s="1"/>
  <c r="F661" i="73" s="1"/>
  <c r="F662" i="73" s="1"/>
  <c r="F663" i="73" s="1"/>
  <c r="F664" i="73" s="1"/>
  <c r="F665" i="73" s="1"/>
  <c r="F666" i="73" s="1"/>
  <c r="F667" i="73" s="1"/>
  <c r="F668" i="73" s="1"/>
  <c r="F669" i="73" s="1"/>
  <c r="F670" i="73" s="1"/>
  <c r="F671" i="73" s="1"/>
  <c r="F672" i="73" s="1"/>
  <c r="F673" i="73" s="1"/>
  <c r="F674" i="73" s="1"/>
  <c r="F675" i="73" s="1"/>
  <c r="F676" i="73" s="1"/>
  <c r="F677" i="73" s="1"/>
  <c r="F678" i="73" s="1"/>
  <c r="F679" i="73" s="1"/>
  <c r="F680" i="73" s="1"/>
  <c r="F681" i="73" s="1"/>
  <c r="F682" i="73" s="1"/>
  <c r="F683" i="73" s="1"/>
  <c r="F684" i="73" s="1"/>
  <c r="F685" i="73" s="1"/>
  <c r="F686" i="73" s="1"/>
  <c r="F687" i="73" s="1"/>
  <c r="F688" i="73" s="1"/>
  <c r="F689" i="73" s="1"/>
  <c r="F690" i="73" s="1"/>
  <c r="F691" i="73" s="1"/>
  <c r="F692" i="73" s="1"/>
  <c r="F693" i="73" s="1"/>
  <c r="F694" i="73" s="1"/>
  <c r="F695" i="73" s="1"/>
  <c r="F696" i="73" s="1"/>
  <c r="F697" i="73" s="1"/>
  <c r="F698" i="73" s="1"/>
  <c r="F699" i="73" s="1"/>
  <c r="F700" i="73" s="1"/>
  <c r="F701" i="73" s="1"/>
  <c r="F702" i="73" s="1"/>
  <c r="F703" i="73" s="1"/>
  <c r="F704" i="73" s="1"/>
  <c r="F705" i="73" s="1"/>
  <c r="F706" i="73" s="1"/>
  <c r="F707" i="73" s="1"/>
  <c r="F708" i="73" s="1"/>
  <c r="F709" i="73" s="1"/>
  <c r="F710" i="73" s="1"/>
  <c r="F711" i="73" s="1"/>
  <c r="F712" i="73" s="1"/>
  <c r="F713" i="73" s="1"/>
  <c r="F714" i="73" s="1"/>
  <c r="F715" i="73" s="1"/>
  <c r="F716" i="73" s="1"/>
  <c r="F717" i="73" s="1"/>
  <c r="F718" i="73" s="1"/>
  <c r="F719" i="73" s="1"/>
  <c r="F720" i="73" s="1"/>
  <c r="F721" i="73" s="1"/>
  <c r="F722" i="73" s="1"/>
  <c r="F723" i="73" s="1"/>
  <c r="F724" i="73" s="1"/>
  <c r="F725" i="73" s="1"/>
  <c r="F726" i="73" s="1"/>
  <c r="F727" i="73" s="1"/>
  <c r="F728" i="73" s="1"/>
  <c r="F729" i="73" s="1"/>
  <c r="F730" i="73" s="1"/>
  <c r="F731" i="73" s="1"/>
  <c r="F732" i="73" s="1"/>
  <c r="F733" i="73" s="1"/>
  <c r="F734" i="73" s="1"/>
  <c r="F735" i="73" s="1"/>
  <c r="F736" i="73" s="1"/>
  <c r="F737" i="73" s="1"/>
  <c r="F738" i="73" s="1"/>
  <c r="F739" i="73" s="1"/>
  <c r="F740" i="73" s="1"/>
  <c r="F741" i="73" s="1"/>
  <c r="F742" i="73" s="1"/>
  <c r="F743" i="73" s="1"/>
  <c r="F744" i="73" s="1"/>
  <c r="F745" i="73" s="1"/>
  <c r="F746" i="73" s="1"/>
  <c r="F747" i="73" s="1"/>
  <c r="F748" i="73" s="1"/>
  <c r="F749" i="73" s="1"/>
  <c r="F750" i="73" s="1"/>
  <c r="F751" i="73" s="1"/>
  <c r="F752" i="73" s="1"/>
  <c r="F753" i="73" s="1"/>
  <c r="F754" i="73" s="1"/>
  <c r="F755" i="73" s="1"/>
  <c r="F756" i="73" s="1"/>
  <c r="F757" i="73" s="1"/>
  <c r="F758" i="73" s="1"/>
  <c r="F759" i="73" s="1"/>
  <c r="F760" i="73" s="1"/>
  <c r="F761" i="73" s="1"/>
  <c r="F762" i="73" s="1"/>
  <c r="O51" i="73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O67" i="73" s="1"/>
  <c r="O68" i="73" s="1"/>
  <c r="O69" i="73" s="1"/>
  <c r="O70" i="73" s="1"/>
  <c r="O71" i="73" s="1"/>
  <c r="O72" i="73" s="1"/>
  <c r="O73" i="73" s="1"/>
  <c r="O74" i="73" s="1"/>
  <c r="O75" i="73" s="1"/>
  <c r="O76" i="73" s="1"/>
  <c r="O77" i="73" s="1"/>
  <c r="O78" i="73" s="1"/>
  <c r="O79" i="73" s="1"/>
  <c r="O80" i="73" s="1"/>
  <c r="O81" i="73" s="1"/>
  <c r="F51" i="73"/>
  <c r="O285" i="73" l="1"/>
  <c r="O286" i="73" s="1"/>
  <c r="O287" i="73" s="1"/>
  <c r="O288" i="73" s="1"/>
  <c r="O289" i="73" s="1"/>
  <c r="O290" i="73" s="1"/>
  <c r="O291" i="73" s="1"/>
  <c r="O292" i="73" s="1"/>
  <c r="O293" i="73" s="1"/>
  <c r="O294" i="73" s="1"/>
  <c r="O295" i="73" s="1"/>
  <c r="O296" i="73" s="1"/>
  <c r="O297" i="73" s="1"/>
  <c r="O298" i="73" s="1"/>
  <c r="O299" i="73" s="1"/>
  <c r="O300" i="73" s="1"/>
  <c r="O301" i="73" s="1"/>
  <c r="O302" i="73" s="1"/>
  <c r="O303" i="73" s="1"/>
  <c r="O304" i="73" s="1"/>
  <c r="O305" i="73" s="1"/>
  <c r="O306" i="73" s="1"/>
  <c r="O307" i="73" s="1"/>
  <c r="O308" i="73" s="1"/>
  <c r="O309" i="73" s="1"/>
  <c r="O310" i="73" s="1"/>
  <c r="O311" i="73" s="1"/>
  <c r="O312" i="73" s="1"/>
  <c r="O313" i="73" s="1"/>
  <c r="O314" i="73" s="1"/>
  <c r="O315" i="73" s="1"/>
  <c r="O316" i="73" s="1"/>
  <c r="O317" i="73" s="1"/>
  <c r="O318" i="73" s="1"/>
  <c r="O319" i="73" s="1"/>
  <c r="O320" i="73" s="1"/>
  <c r="O321" i="73" s="1"/>
  <c r="O322" i="73" s="1"/>
  <c r="O323" i="73" s="1"/>
  <c r="O324" i="73" s="1"/>
  <c r="O325" i="73" s="1"/>
  <c r="O326" i="73" s="1"/>
  <c r="O327" i="73" s="1"/>
  <c r="O328" i="73" s="1"/>
  <c r="O329" i="73" s="1"/>
  <c r="O330" i="73" s="1"/>
  <c r="O331" i="73" s="1"/>
  <c r="O332" i="73" s="1"/>
  <c r="O333" i="73" s="1"/>
  <c r="O334" i="73" s="1"/>
  <c r="O335" i="73" s="1"/>
  <c r="O336" i="73" s="1"/>
  <c r="O337" i="73" s="1"/>
  <c r="O338" i="73" s="1"/>
  <c r="O339" i="73" s="1"/>
  <c r="O340" i="73" s="1"/>
  <c r="O345" i="73" s="1"/>
  <c r="O346" i="73" s="1"/>
  <c r="O347" i="73" s="1"/>
  <c r="O348" i="73" s="1"/>
  <c r="O349" i="73" s="1"/>
  <c r="O350" i="73" s="1"/>
  <c r="O351" i="73" s="1"/>
  <c r="O352" i="73" s="1"/>
  <c r="O353" i="73" s="1"/>
  <c r="O354" i="73" s="1"/>
  <c r="O355" i="73" s="1"/>
  <c r="O356" i="73" s="1"/>
  <c r="O357" i="73" s="1"/>
  <c r="O358" i="73" s="1"/>
  <c r="O359" i="73" s="1"/>
  <c r="O360" i="73" s="1"/>
  <c r="O361" i="73" s="1"/>
  <c r="O362" i="73" s="1"/>
  <c r="O363" i="73" s="1"/>
  <c r="O364" i="73" s="1"/>
  <c r="O365" i="73" s="1"/>
  <c r="O366" i="73" s="1"/>
  <c r="O367" i="73" s="1"/>
  <c r="O368" i="73" s="1"/>
  <c r="O369" i="73" s="1"/>
  <c r="O370" i="73" s="1"/>
  <c r="O371" i="73" s="1"/>
  <c r="O372" i="73" s="1"/>
  <c r="O373" i="73" s="1"/>
  <c r="O374" i="73" s="1"/>
  <c r="O375" i="73" s="1"/>
  <c r="O376" i="73" s="1"/>
  <c r="O377" i="73" s="1"/>
  <c r="O378" i="73" s="1"/>
  <c r="O379" i="73" s="1"/>
  <c r="O380" i="73" s="1"/>
  <c r="O381" i="73" s="1"/>
  <c r="O382" i="73" s="1"/>
  <c r="O383" i="73" s="1"/>
  <c r="O384" i="73" s="1"/>
  <c r="O385" i="73" s="1"/>
  <c r="O386" i="73" s="1"/>
  <c r="O387" i="73" s="1"/>
  <c r="O388" i="73" s="1"/>
  <c r="O389" i="73" s="1"/>
  <c r="O390" i="73" s="1"/>
  <c r="O391" i="73" s="1"/>
  <c r="O392" i="73" s="1"/>
  <c r="O393" i="73" s="1"/>
  <c r="O394" i="73" s="1"/>
  <c r="O395" i="73" s="1"/>
  <c r="O396" i="73" s="1"/>
  <c r="O397" i="73" s="1"/>
  <c r="O398" i="73" s="1"/>
  <c r="O399" i="73" s="1"/>
  <c r="O400" i="73" s="1"/>
  <c r="O401" i="73" s="1"/>
  <c r="O402" i="73" s="1"/>
  <c r="O403" i="73" s="1"/>
  <c r="O404" i="73" s="1"/>
  <c r="O405" i="73" s="1"/>
  <c r="O406" i="73" s="1"/>
  <c r="O407" i="73" s="1"/>
  <c r="O408" i="73" s="1"/>
  <c r="O409" i="73" s="1"/>
  <c r="O410" i="73" s="1"/>
  <c r="O411" i="73" s="1"/>
  <c r="O412" i="73" s="1"/>
  <c r="O413" i="73" s="1"/>
  <c r="O414" i="73" s="1"/>
  <c r="O415" i="73" s="1"/>
  <c r="O416" i="73" s="1"/>
  <c r="O417" i="73" s="1"/>
  <c r="O418" i="73" s="1"/>
  <c r="O419" i="73" s="1"/>
  <c r="O420" i="73" s="1"/>
  <c r="O421" i="73" s="1"/>
  <c r="O422" i="73" s="1"/>
  <c r="O423" i="73" s="1"/>
  <c r="O424" i="73" s="1"/>
  <c r="O425" i="73" s="1"/>
  <c r="O426" i="73" s="1"/>
  <c r="O427" i="73" s="1"/>
  <c r="O428" i="73" s="1"/>
  <c r="O429" i="73" s="1"/>
  <c r="O430" i="73" s="1"/>
  <c r="O431" i="73" s="1"/>
  <c r="O432" i="73" s="1"/>
  <c r="O433" i="73" s="1"/>
  <c r="O434" i="73" s="1"/>
  <c r="O435" i="73" s="1"/>
  <c r="O436" i="73" s="1"/>
  <c r="O437" i="73" s="1"/>
  <c r="O438" i="73" s="1"/>
  <c r="O439" i="73" s="1"/>
  <c r="O440" i="73" s="1"/>
  <c r="O441" i="73" s="1"/>
  <c r="O442" i="73" s="1"/>
  <c r="O443" i="73" s="1"/>
  <c r="O444" i="73" s="1"/>
  <c r="O445" i="73" s="1"/>
  <c r="O446" i="73" s="1"/>
  <c r="O447" i="73" s="1"/>
  <c r="O448" i="73" s="1"/>
  <c r="O449" i="73" s="1"/>
  <c r="O450" i="73" s="1"/>
  <c r="O451" i="73" s="1"/>
  <c r="O452" i="73" s="1"/>
  <c r="O453" i="73" s="1"/>
  <c r="O454" i="73" s="1"/>
  <c r="O455" i="73" s="1"/>
  <c r="O456" i="73" s="1"/>
  <c r="O457" i="73" s="1"/>
  <c r="O458" i="73" s="1"/>
  <c r="O459" i="73" s="1"/>
  <c r="O460" i="73" s="1"/>
  <c r="O461" i="73" s="1"/>
  <c r="O462" i="73" s="1"/>
  <c r="O463" i="73" s="1"/>
  <c r="O464" i="73" s="1"/>
  <c r="O465" i="73" s="1"/>
  <c r="O466" i="73" s="1"/>
  <c r="O467" i="73" s="1"/>
  <c r="O468" i="73" s="1"/>
  <c r="O469" i="73" s="1"/>
  <c r="O470" i="73" s="1"/>
  <c r="O471" i="73" s="1"/>
  <c r="O472" i="73" s="1"/>
  <c r="O473" i="73" s="1"/>
  <c r="O474" i="73" s="1"/>
  <c r="O475" i="73" s="1"/>
  <c r="O476" i="73" s="1"/>
  <c r="O477" i="73" s="1"/>
  <c r="O478" i="73" s="1"/>
  <c r="O479" i="73" s="1"/>
  <c r="O480" i="73" s="1"/>
  <c r="O481" i="73" s="1"/>
  <c r="O482" i="73" s="1"/>
  <c r="O483" i="73" s="1"/>
  <c r="O484" i="73" s="1"/>
  <c r="O485" i="73" s="1"/>
  <c r="O486" i="73" s="1"/>
  <c r="O487" i="73" s="1"/>
  <c r="O488" i="73" s="1"/>
  <c r="O489" i="73" s="1"/>
  <c r="O490" i="73" s="1"/>
  <c r="O491" i="73" s="1"/>
  <c r="O492" i="73" s="1"/>
  <c r="O493" i="73" s="1"/>
  <c r="O494" i="73" s="1"/>
  <c r="O495" i="73" s="1"/>
  <c r="O496" i="73" s="1"/>
  <c r="O497" i="73" s="1"/>
  <c r="O498" i="73" s="1"/>
  <c r="O499" i="73" s="1"/>
  <c r="O500" i="73" s="1"/>
  <c r="O501" i="73" s="1"/>
  <c r="O502" i="73" s="1"/>
  <c r="O503" i="73" s="1"/>
  <c r="O504" i="73" s="1"/>
  <c r="O505" i="73" s="1"/>
  <c r="O506" i="73" s="1"/>
  <c r="O507" i="73" s="1"/>
  <c r="O508" i="73" s="1"/>
  <c r="O509" i="73" s="1"/>
  <c r="O510" i="73" s="1"/>
  <c r="O511" i="73" s="1"/>
  <c r="O512" i="73" s="1"/>
  <c r="O513" i="73" s="1"/>
  <c r="O514" i="73" s="1"/>
  <c r="O515" i="73" s="1"/>
  <c r="O516" i="73" s="1"/>
  <c r="O517" i="73" s="1"/>
  <c r="O518" i="73" s="1"/>
  <c r="O519" i="73" s="1"/>
  <c r="O520" i="73" s="1"/>
  <c r="O521" i="73" s="1"/>
  <c r="O522" i="73" s="1"/>
  <c r="O523" i="73" s="1"/>
  <c r="O524" i="73" s="1"/>
  <c r="O525" i="73" s="1"/>
  <c r="O526" i="73" s="1"/>
  <c r="O527" i="73" s="1"/>
  <c r="O528" i="73" s="1"/>
  <c r="O529" i="73" s="1"/>
  <c r="O530" i="73" s="1"/>
  <c r="O531" i="73" s="1"/>
  <c r="O532" i="73" s="1"/>
  <c r="O533" i="73" s="1"/>
  <c r="O534" i="73" s="1"/>
  <c r="O535" i="73" s="1"/>
  <c r="O536" i="73" s="1"/>
  <c r="O537" i="73" s="1"/>
  <c r="O538" i="73" s="1"/>
  <c r="O539" i="73" s="1"/>
  <c r="O540" i="73" s="1"/>
  <c r="O541" i="73" s="1"/>
  <c r="O542" i="73" s="1"/>
  <c r="O543" i="73" s="1"/>
  <c r="O544" i="73" s="1"/>
  <c r="O545" i="73" s="1"/>
  <c r="O546" i="73" s="1"/>
  <c r="O547" i="73" s="1"/>
  <c r="O548" i="73" s="1"/>
  <c r="O549" i="73" s="1"/>
  <c r="O550" i="73" s="1"/>
  <c r="O551" i="73" s="1"/>
  <c r="O552" i="73" s="1"/>
  <c r="O553" i="73" s="1"/>
  <c r="O554" i="73" s="1"/>
  <c r="O555" i="73" s="1"/>
  <c r="O556" i="73" s="1"/>
  <c r="O557" i="73" s="1"/>
  <c r="O558" i="73" s="1"/>
  <c r="O559" i="73" s="1"/>
  <c r="O560" i="73" s="1"/>
  <c r="O561" i="73" s="1"/>
  <c r="O562" i="73" s="1"/>
  <c r="O563" i="73" s="1"/>
  <c r="O564" i="73" s="1"/>
  <c r="O565" i="73" s="1"/>
  <c r="O566" i="73" s="1"/>
  <c r="O567" i="73" s="1"/>
  <c r="O568" i="73" s="1"/>
  <c r="O569" i="73" s="1"/>
  <c r="O570" i="73" s="1"/>
  <c r="O571" i="73" s="1"/>
  <c r="O572" i="73" s="1"/>
  <c r="O573" i="73" s="1"/>
  <c r="O574" i="73" s="1"/>
  <c r="O575" i="73" s="1"/>
  <c r="O576" i="73" s="1"/>
  <c r="O577" i="73" s="1"/>
  <c r="O578" i="73" s="1"/>
  <c r="O579" i="73" s="1"/>
  <c r="O580" i="73" s="1"/>
  <c r="O581" i="73" s="1"/>
  <c r="O582" i="73" s="1"/>
  <c r="O583" i="73" s="1"/>
  <c r="O584" i="73" s="1"/>
  <c r="O585" i="73" s="1"/>
  <c r="O586" i="73" s="1"/>
  <c r="O587" i="73" s="1"/>
  <c r="O588" i="73" s="1"/>
  <c r="O589" i="73" s="1"/>
  <c r="O590" i="73" s="1"/>
  <c r="O591" i="73" s="1"/>
  <c r="O592" i="73" s="1"/>
  <c r="O593" i="73" s="1"/>
  <c r="O594" i="73" s="1"/>
  <c r="O595" i="73" s="1"/>
  <c r="O596" i="73" s="1"/>
  <c r="O597" i="73" s="1"/>
  <c r="O598" i="73" s="1"/>
  <c r="O599" i="73" s="1"/>
  <c r="O600" i="73" s="1"/>
  <c r="O603" i="73" s="1"/>
  <c r="O604" i="73" s="1"/>
  <c r="O605" i="73" s="1"/>
  <c r="O606" i="73" s="1"/>
  <c r="O607" i="73" s="1"/>
  <c r="O608" i="73" s="1"/>
  <c r="O609" i="73" s="1"/>
  <c r="O610" i="73" s="1"/>
  <c r="O611" i="73" s="1"/>
  <c r="O612" i="73" s="1"/>
  <c r="O613" i="73" s="1"/>
  <c r="O614" i="73" s="1"/>
  <c r="O615" i="73" s="1"/>
  <c r="O616" i="73" s="1"/>
  <c r="O617" i="73" s="1"/>
  <c r="O618" i="73" s="1"/>
  <c r="O619" i="73" s="1"/>
  <c r="F669" i="79"/>
  <c r="F670" i="79" s="1"/>
  <c r="F671" i="79" s="1"/>
  <c r="F672" i="79" s="1"/>
  <c r="F673" i="79" s="1"/>
  <c r="F674" i="79" s="1"/>
  <c r="F675" i="79" s="1"/>
  <c r="F676" i="79" s="1"/>
  <c r="F677" i="79" s="1"/>
  <c r="F678" i="79" s="1"/>
  <c r="F679" i="79" s="1"/>
  <c r="F680" i="79" s="1"/>
  <c r="F681" i="79" s="1"/>
  <c r="F682" i="79" s="1"/>
  <c r="F683" i="79" s="1"/>
  <c r="F684" i="79" s="1"/>
  <c r="F685" i="79" s="1"/>
  <c r="F686" i="79" s="1"/>
  <c r="F687" i="79" s="1"/>
  <c r="F688" i="79" s="1"/>
  <c r="F689" i="79" s="1"/>
  <c r="F690" i="79" s="1"/>
  <c r="F691" i="79" s="1"/>
  <c r="F692" i="79" s="1"/>
  <c r="F693" i="79" s="1"/>
  <c r="F694" i="79" s="1"/>
  <c r="F695" i="79" s="1"/>
  <c r="F696" i="79" s="1"/>
  <c r="F697" i="79" s="1"/>
  <c r="F698" i="79" s="1"/>
  <c r="F699" i="79" s="1"/>
  <c r="F700" i="79" s="1"/>
  <c r="F701" i="79" s="1"/>
  <c r="F702" i="79" s="1"/>
  <c r="F703" i="79" s="1"/>
  <c r="F704" i="79" s="1"/>
  <c r="F705" i="79" s="1"/>
  <c r="F706" i="79" s="1"/>
  <c r="F707" i="79" s="1"/>
  <c r="F708" i="79" s="1"/>
  <c r="F709" i="79" s="1"/>
  <c r="F710" i="79" s="1"/>
  <c r="F711" i="79" s="1"/>
  <c r="F712" i="79" s="1"/>
  <c r="F713" i="79" s="1"/>
  <c r="F714" i="79" s="1"/>
  <c r="F715" i="79" s="1"/>
  <c r="F716" i="79" s="1"/>
  <c r="F717" i="79" s="1"/>
  <c r="F718" i="79" s="1"/>
  <c r="F719" i="79" s="1"/>
  <c r="F720" i="79" s="1"/>
  <c r="F721" i="79" s="1"/>
  <c r="F722" i="79" s="1"/>
  <c r="F723" i="79" s="1"/>
  <c r="F724" i="79" s="1"/>
  <c r="F725" i="79" s="1"/>
  <c r="F726" i="79" s="1"/>
  <c r="F727" i="79" s="1"/>
  <c r="F728" i="79" s="1"/>
  <c r="F729" i="79" s="1"/>
  <c r="F730" i="79" s="1"/>
  <c r="F731" i="79" s="1"/>
  <c r="F732" i="79" s="1"/>
  <c r="F733" i="79" s="1"/>
  <c r="F734" i="79" s="1"/>
  <c r="F735" i="79" s="1"/>
  <c r="F736" i="79" s="1"/>
  <c r="F737" i="79" s="1"/>
  <c r="F738" i="79" s="1"/>
  <c r="F739" i="79" s="1"/>
  <c r="F740" i="79" s="1"/>
  <c r="F741" i="79" s="1"/>
  <c r="F742" i="79" s="1"/>
  <c r="F743" i="79" s="1"/>
  <c r="F744" i="79" s="1"/>
  <c r="F745" i="79" s="1"/>
  <c r="F746" i="79" s="1"/>
  <c r="F747" i="79" s="1"/>
  <c r="F748" i="79" s="1"/>
  <c r="O507" i="79"/>
  <c r="O508" i="79" s="1"/>
  <c r="O509" i="79" s="1"/>
  <c r="O510" i="79" s="1"/>
  <c r="O511" i="79" s="1"/>
  <c r="O512" i="79" s="1"/>
  <c r="O513" i="79" s="1"/>
  <c r="O514" i="79" s="1"/>
  <c r="O515" i="79" s="1"/>
  <c r="O516" i="79" s="1"/>
  <c r="O517" i="79" s="1"/>
  <c r="O518" i="79" s="1"/>
  <c r="O519" i="79" s="1"/>
  <c r="O520" i="79" s="1"/>
  <c r="O521" i="79" s="1"/>
  <c r="O522" i="79" s="1"/>
  <c r="X6" i="79"/>
  <c r="F55" i="79"/>
  <c r="F56" i="79" s="1"/>
  <c r="F57" i="79" s="1"/>
  <c r="F58" i="79" s="1"/>
  <c r="F59" i="79" s="1"/>
  <c r="F60" i="79" s="1"/>
  <c r="F61" i="79" s="1"/>
  <c r="F62" i="79" s="1"/>
  <c r="F63" i="79" s="1"/>
  <c r="F64" i="79" s="1"/>
  <c r="F65" i="79" s="1"/>
  <c r="F66" i="79" s="1"/>
  <c r="F67" i="79" s="1"/>
  <c r="F68" i="79" s="1"/>
  <c r="F69" i="79" s="1"/>
  <c r="F70" i="79" s="1"/>
  <c r="F71" i="79" s="1"/>
  <c r="F72" i="79" s="1"/>
  <c r="F73" i="79" s="1"/>
  <c r="F74" i="79" s="1"/>
  <c r="F75" i="79" s="1"/>
  <c r="F76" i="79" s="1"/>
  <c r="F77" i="79" s="1"/>
  <c r="F78" i="79" s="1"/>
  <c r="F79" i="79" s="1"/>
  <c r="F80" i="79" s="1"/>
  <c r="F81" i="79" s="1"/>
  <c r="F82" i="79" s="1"/>
  <c r="O54" i="79"/>
  <c r="O55" i="79" s="1"/>
  <c r="O56" i="79" s="1"/>
  <c r="O57" i="79" s="1"/>
  <c r="O58" i="79" s="1"/>
  <c r="O59" i="79" s="1"/>
  <c r="O60" i="79" s="1"/>
  <c r="O61" i="79" s="1"/>
  <c r="O62" i="79" s="1"/>
  <c r="O63" i="79" s="1"/>
  <c r="O64" i="79" s="1"/>
  <c r="O65" i="79" s="1"/>
  <c r="O66" i="79" s="1"/>
  <c r="O67" i="79" s="1"/>
  <c r="O68" i="79" s="1"/>
  <c r="O69" i="79" s="1"/>
  <c r="O70" i="79" s="1"/>
  <c r="O71" i="79" s="1"/>
  <c r="O72" i="79" s="1"/>
  <c r="O73" i="79" s="1"/>
  <c r="O74" i="79" s="1"/>
  <c r="O75" i="79" s="1"/>
  <c r="O76" i="79" s="1"/>
  <c r="O77" i="79" s="1"/>
  <c r="O78" i="79" s="1"/>
  <c r="O79" i="79" s="1"/>
  <c r="O80" i="79" s="1"/>
  <c r="O81" i="79" s="1"/>
  <c r="O82" i="79" s="1"/>
  <c r="X6" i="73"/>
  <c r="F52" i="73"/>
  <c r="O523" i="79" l="1"/>
  <c r="O524" i="79" s="1"/>
  <c r="O525" i="79" s="1"/>
  <c r="O526" i="79" s="1"/>
  <c r="O527" i="79" s="1"/>
  <c r="O528" i="79" s="1"/>
  <c r="O529" i="79" s="1"/>
  <c r="O530" i="79" s="1"/>
  <c r="O531" i="79" s="1"/>
  <c r="O532" i="79" s="1"/>
  <c r="O533" i="79" s="1"/>
  <c r="O534" i="79" s="1"/>
  <c r="O535" i="79" s="1"/>
  <c r="O620" i="73"/>
  <c r="P10" i="79"/>
  <c r="E8" i="79"/>
  <c r="E9" i="79"/>
  <c r="P9" i="79"/>
  <c r="P8" i="79"/>
  <c r="E7" i="79"/>
  <c r="E10" i="79"/>
  <c r="P7" i="79"/>
  <c r="F53" i="73"/>
  <c r="O536" i="79" l="1"/>
  <c r="O537" i="79" s="1"/>
  <c r="O538" i="79" s="1"/>
  <c r="O539" i="79" s="1"/>
  <c r="O540" i="79" s="1"/>
  <c r="O541" i="79" s="1"/>
  <c r="O542" i="79" s="1"/>
  <c r="O543" i="79" s="1"/>
  <c r="O544" i="79" s="1"/>
  <c r="O545" i="79" s="1"/>
  <c r="O546" i="79" s="1"/>
  <c r="O547" i="79" s="1"/>
  <c r="O548" i="79" s="1"/>
  <c r="O549" i="79" s="1"/>
  <c r="O550" i="79" s="1"/>
  <c r="O551" i="79" s="1"/>
  <c r="O552" i="79" s="1"/>
  <c r="O553" i="79" s="1"/>
  <c r="O554" i="79" s="1"/>
  <c r="O555" i="79" s="1"/>
  <c r="O556" i="79" s="1"/>
  <c r="O557" i="79" s="1"/>
  <c r="O558" i="79" s="1"/>
  <c r="O559" i="79" s="1"/>
  <c r="O560" i="79" s="1"/>
  <c r="O561" i="79" s="1"/>
  <c r="O562" i="79" s="1"/>
  <c r="O563" i="79" s="1"/>
  <c r="O564" i="79" s="1"/>
  <c r="O565" i="79" s="1"/>
  <c r="O566" i="79" s="1"/>
  <c r="O567" i="79" s="1"/>
  <c r="O568" i="79" s="1"/>
  <c r="O569" i="79" s="1"/>
  <c r="O570" i="79" s="1"/>
  <c r="O571" i="79" s="1"/>
  <c r="O572" i="79" s="1"/>
  <c r="O573" i="79" s="1"/>
  <c r="O574" i="79" s="1"/>
  <c r="O575" i="79" s="1"/>
  <c r="O576" i="79" s="1"/>
  <c r="O577" i="79" s="1"/>
  <c r="O578" i="79" s="1"/>
  <c r="O579" i="79" s="1"/>
  <c r="O580" i="79" s="1"/>
  <c r="O581" i="79" s="1"/>
  <c r="O582" i="79" s="1"/>
  <c r="O583" i="79" s="1"/>
  <c r="O584" i="79" s="1"/>
  <c r="O585" i="79" s="1"/>
  <c r="O586" i="79" s="1"/>
  <c r="O587" i="79" s="1"/>
  <c r="O588" i="79" s="1"/>
  <c r="O589" i="79" s="1"/>
  <c r="O590" i="79" s="1"/>
  <c r="O591" i="79" s="1"/>
  <c r="O592" i="79" s="1"/>
  <c r="O593" i="79" s="1"/>
  <c r="O594" i="79" s="1"/>
  <c r="O595" i="79" s="1"/>
  <c r="O596" i="79" s="1"/>
  <c r="O597" i="79" s="1"/>
  <c r="O598" i="79" s="1"/>
  <c r="O599" i="79" s="1"/>
  <c r="O600" i="79" s="1"/>
  <c r="O601" i="79" s="1"/>
  <c r="O602" i="79" s="1"/>
  <c r="O605" i="79" s="1"/>
  <c r="O606" i="79" s="1"/>
  <c r="O607" i="79" s="1"/>
  <c r="O608" i="79" s="1"/>
  <c r="O609" i="79" s="1"/>
  <c r="O610" i="79" s="1"/>
  <c r="O611" i="79" s="1"/>
  <c r="O612" i="79" s="1"/>
  <c r="O613" i="79" s="1"/>
  <c r="O614" i="79" s="1"/>
  <c r="O615" i="79" s="1"/>
  <c r="O616" i="79" s="1"/>
  <c r="O617" i="79" s="1"/>
  <c r="O618" i="79" s="1"/>
  <c r="O619" i="79" s="1"/>
  <c r="O620" i="79" s="1"/>
  <c r="O621" i="79" s="1"/>
  <c r="O622" i="79" s="1"/>
  <c r="O623" i="79" s="1"/>
  <c r="O624" i="79" s="1"/>
  <c r="O625" i="79" s="1"/>
  <c r="O626" i="79" s="1"/>
  <c r="O627" i="79" s="1"/>
  <c r="O628" i="79" s="1"/>
  <c r="O629" i="79" s="1"/>
  <c r="O630" i="79" s="1"/>
  <c r="O631" i="79" s="1"/>
  <c r="O632" i="79" s="1"/>
  <c r="O633" i="79" s="1"/>
  <c r="O634" i="79" s="1"/>
  <c r="O635" i="79" s="1"/>
  <c r="O636" i="79" s="1"/>
  <c r="O637" i="79" s="1"/>
  <c r="O638" i="79" s="1"/>
  <c r="O639" i="79" s="1"/>
  <c r="O640" i="79" s="1"/>
  <c r="O641" i="79" s="1"/>
  <c r="O642" i="79" s="1"/>
  <c r="O643" i="79" s="1"/>
  <c r="O644" i="79" s="1"/>
  <c r="O645" i="79" s="1"/>
  <c r="O646" i="79" s="1"/>
  <c r="O647" i="79" s="1"/>
  <c r="O648" i="79" s="1"/>
  <c r="O649" i="79" s="1"/>
  <c r="O650" i="79" s="1"/>
  <c r="O651" i="79" s="1"/>
  <c r="O652" i="79" s="1"/>
  <c r="O653" i="79" s="1"/>
  <c r="O654" i="79" s="1"/>
  <c r="O655" i="79" s="1"/>
  <c r="O656" i="79" s="1"/>
  <c r="O657" i="79" s="1"/>
  <c r="O658" i="79" s="1"/>
  <c r="O659" i="79" s="1"/>
  <c r="O660" i="79" s="1"/>
  <c r="O661" i="79" s="1"/>
  <c r="O662" i="79" s="1"/>
  <c r="O663" i="79" s="1"/>
  <c r="O664" i="79" s="1"/>
  <c r="O665" i="79" s="1"/>
  <c r="O666" i="79" s="1"/>
  <c r="O667" i="79" s="1"/>
  <c r="O668" i="79" s="1"/>
  <c r="O621" i="73"/>
  <c r="O622" i="73" s="1"/>
  <c r="O623" i="73" s="1"/>
  <c r="O624" i="73" s="1"/>
  <c r="O625" i="73" s="1"/>
  <c r="O626" i="73" s="1"/>
  <c r="O627" i="73" s="1"/>
  <c r="O628" i="73" s="1"/>
  <c r="O629" i="73" s="1"/>
  <c r="O630" i="73" s="1"/>
  <c r="O631" i="73" s="1"/>
  <c r="O632" i="73" s="1"/>
  <c r="O633" i="73" s="1"/>
  <c r="O634" i="73" s="1"/>
  <c r="P11" i="79"/>
  <c r="P6" i="79"/>
  <c r="E6" i="79"/>
  <c r="E11" i="79"/>
  <c r="F54" i="73"/>
  <c r="O669" i="79" l="1"/>
  <c r="O670" i="79" s="1"/>
  <c r="O671" i="79" s="1"/>
  <c r="O672" i="79" s="1"/>
  <c r="O673" i="79" s="1"/>
  <c r="O674" i="79" s="1"/>
  <c r="O675" i="79" s="1"/>
  <c r="O676" i="79" s="1"/>
  <c r="O677" i="79" s="1"/>
  <c r="O678" i="79" s="1"/>
  <c r="O679" i="79" s="1"/>
  <c r="O680" i="79" s="1"/>
  <c r="O681" i="79" s="1"/>
  <c r="O682" i="79" s="1"/>
  <c r="O683" i="79" s="1"/>
  <c r="O684" i="79" s="1"/>
  <c r="O685" i="79" s="1"/>
  <c r="O686" i="79" s="1"/>
  <c r="O687" i="79" s="1"/>
  <c r="O688" i="79" s="1"/>
  <c r="O689" i="79" s="1"/>
  <c r="O690" i="79" s="1"/>
  <c r="O691" i="79" s="1"/>
  <c r="O692" i="79" s="1"/>
  <c r="O693" i="79" s="1"/>
  <c r="O694" i="79" s="1"/>
  <c r="O695" i="79" s="1"/>
  <c r="O696" i="79" s="1"/>
  <c r="O697" i="79" s="1"/>
  <c r="O698" i="79" s="1"/>
  <c r="O699" i="79" s="1"/>
  <c r="O700" i="79" s="1"/>
  <c r="O701" i="79" s="1"/>
  <c r="O702" i="79" s="1"/>
  <c r="O703" i="79" s="1"/>
  <c r="O704" i="79" s="1"/>
  <c r="O705" i="79" s="1"/>
  <c r="O706" i="79" s="1"/>
  <c r="O707" i="79" s="1"/>
  <c r="O708" i="79" s="1"/>
  <c r="O709" i="79" s="1"/>
  <c r="T7" i="79"/>
  <c r="T9" i="79"/>
  <c r="I7" i="79"/>
  <c r="I9" i="79"/>
  <c r="T8" i="79"/>
  <c r="I8" i="79"/>
  <c r="O635" i="73"/>
  <c r="F55" i="73"/>
  <c r="O710" i="79" l="1"/>
  <c r="O711" i="79" s="1"/>
  <c r="O712" i="79" s="1"/>
  <c r="O713" i="79" s="1"/>
  <c r="O714" i="79" s="1"/>
  <c r="O715" i="79" s="1"/>
  <c r="O716" i="79" s="1"/>
  <c r="O717" i="79" s="1"/>
  <c r="O718" i="79" s="1"/>
  <c r="O719" i="79" s="1"/>
  <c r="O720" i="79" s="1"/>
  <c r="O721" i="79" s="1"/>
  <c r="O722" i="79" s="1"/>
  <c r="O723" i="79" s="1"/>
  <c r="O724" i="79" s="1"/>
  <c r="O725" i="79" s="1"/>
  <c r="O726" i="79" s="1"/>
  <c r="O727" i="79" s="1"/>
  <c r="O728" i="79" s="1"/>
  <c r="O729" i="79" s="1"/>
  <c r="O730" i="79" s="1"/>
  <c r="O731" i="79" s="1"/>
  <c r="O732" i="79" s="1"/>
  <c r="O733" i="79" s="1"/>
  <c r="O734" i="79" s="1"/>
  <c r="O735" i="79" s="1"/>
  <c r="O736" i="79" s="1"/>
  <c r="O737" i="79" s="1"/>
  <c r="O738" i="79" s="1"/>
  <c r="O739" i="79" s="1"/>
  <c r="O740" i="79" s="1"/>
  <c r="O741" i="79" s="1"/>
  <c r="O742" i="79" s="1"/>
  <c r="O743" i="79" s="1"/>
  <c r="O744" i="79" s="1"/>
  <c r="O745" i="79" s="1"/>
  <c r="O746" i="79" s="1"/>
  <c r="O747" i="79" s="1"/>
  <c r="O748" i="79" s="1"/>
  <c r="I10" i="79"/>
  <c r="I6" i="79" s="1"/>
  <c r="O636" i="73"/>
  <c r="O637" i="73" s="1"/>
  <c r="O638" i="73" s="1"/>
  <c r="O639" i="73" s="1"/>
  <c r="O640" i="73" s="1"/>
  <c r="O641" i="73" s="1"/>
  <c r="O642" i="73" s="1"/>
  <c r="O643" i="73" s="1"/>
  <c r="O644" i="73" s="1"/>
  <c r="O645" i="73" s="1"/>
  <c r="O646" i="73" s="1"/>
  <c r="O647" i="73" s="1"/>
  <c r="O648" i="73" s="1"/>
  <c r="O649" i="73" s="1"/>
  <c r="O650" i="73" s="1"/>
  <c r="F56" i="73"/>
  <c r="T10" i="79" l="1"/>
  <c r="T11" i="79" s="1"/>
  <c r="I11" i="79"/>
  <c r="O651" i="73"/>
  <c r="O652" i="73" s="1"/>
  <c r="O653" i="73" s="1"/>
  <c r="O654" i="73" s="1"/>
  <c r="O655" i="73" s="1"/>
  <c r="O656" i="73" s="1"/>
  <c r="O657" i="73" s="1"/>
  <c r="O658" i="73" s="1"/>
  <c r="O659" i="73" s="1"/>
  <c r="O660" i="73" s="1"/>
  <c r="O661" i="73" s="1"/>
  <c r="O662" i="73" s="1"/>
  <c r="O663" i="73" s="1"/>
  <c r="O664" i="73" s="1"/>
  <c r="O665" i="73" s="1"/>
  <c r="O666" i="73" s="1"/>
  <c r="O667" i="73" s="1"/>
  <c r="O668" i="73" s="1"/>
  <c r="O669" i="73" s="1"/>
  <c r="O670" i="73" s="1"/>
  <c r="O671" i="73" s="1"/>
  <c r="O672" i="73" s="1"/>
  <c r="O673" i="73" s="1"/>
  <c r="O674" i="73" s="1"/>
  <c r="O675" i="73" s="1"/>
  <c r="O676" i="73" s="1"/>
  <c r="O677" i="73" s="1"/>
  <c r="O678" i="73" s="1"/>
  <c r="O679" i="73" s="1"/>
  <c r="O680" i="73" s="1"/>
  <c r="O681" i="73" s="1"/>
  <c r="O682" i="73" s="1"/>
  <c r="O683" i="73" s="1"/>
  <c r="O684" i="73" s="1"/>
  <c r="O685" i="73" s="1"/>
  <c r="O686" i="73" s="1"/>
  <c r="O687" i="73" s="1"/>
  <c r="O688" i="73" s="1"/>
  <c r="O689" i="73" s="1"/>
  <c r="O690" i="73" s="1"/>
  <c r="O691" i="73" s="1"/>
  <c r="O692" i="73" s="1"/>
  <c r="O693" i="73" s="1"/>
  <c r="O694" i="73" s="1"/>
  <c r="O695" i="73" s="1"/>
  <c r="O696" i="73" s="1"/>
  <c r="O697" i="73" s="1"/>
  <c r="O698" i="73" s="1"/>
  <c r="O699" i="73" s="1"/>
  <c r="O700" i="73" s="1"/>
  <c r="O701" i="73" s="1"/>
  <c r="O702" i="73" s="1"/>
  <c r="O703" i="73" s="1"/>
  <c r="O704" i="73" s="1"/>
  <c r="O705" i="73" s="1"/>
  <c r="O706" i="73" s="1"/>
  <c r="O707" i="73" s="1"/>
  <c r="O708" i="73" s="1"/>
  <c r="O709" i="73" s="1"/>
  <c r="O710" i="73" s="1"/>
  <c r="O711" i="73" s="1"/>
  <c r="O712" i="73" s="1"/>
  <c r="O713" i="73" s="1"/>
  <c r="O714" i="73" s="1"/>
  <c r="O715" i="73" s="1"/>
  <c r="O716" i="73" s="1"/>
  <c r="O717" i="73" s="1"/>
  <c r="O718" i="73" s="1"/>
  <c r="O719" i="73" s="1"/>
  <c r="O720" i="73" s="1"/>
  <c r="O721" i="73" s="1"/>
  <c r="O722" i="73" s="1"/>
  <c r="O723" i="73" s="1"/>
  <c r="O724" i="73" s="1"/>
  <c r="O725" i="73" s="1"/>
  <c r="O726" i="73" s="1"/>
  <c r="O727" i="73" s="1"/>
  <c r="O728" i="73" s="1"/>
  <c r="O729" i="73" s="1"/>
  <c r="O730" i="73" s="1"/>
  <c r="O731" i="73" s="1"/>
  <c r="O732" i="73" s="1"/>
  <c r="O733" i="73" s="1"/>
  <c r="O734" i="73" s="1"/>
  <c r="O735" i="73" s="1"/>
  <c r="O736" i="73" s="1"/>
  <c r="O737" i="73" s="1"/>
  <c r="O738" i="73" s="1"/>
  <c r="O739" i="73" s="1"/>
  <c r="O740" i="73" s="1"/>
  <c r="O741" i="73" s="1"/>
  <c r="O742" i="73" s="1"/>
  <c r="O743" i="73" s="1"/>
  <c r="O744" i="73" s="1"/>
  <c r="O745" i="73" s="1"/>
  <c r="O746" i="73" s="1"/>
  <c r="O747" i="73" s="1"/>
  <c r="O748" i="73" s="1"/>
  <c r="O749" i="73" s="1"/>
  <c r="O750" i="73" s="1"/>
  <c r="O751" i="73" s="1"/>
  <c r="O752" i="73" s="1"/>
  <c r="O753" i="73" s="1"/>
  <c r="O754" i="73" s="1"/>
  <c r="O755" i="73" s="1"/>
  <c r="O756" i="73" s="1"/>
  <c r="O757" i="73" s="1"/>
  <c r="O758" i="73" s="1"/>
  <c r="O759" i="73" s="1"/>
  <c r="O760" i="73" s="1"/>
  <c r="O761" i="73" s="1"/>
  <c r="O762" i="73" s="1"/>
  <c r="F57" i="73"/>
  <c r="T6" i="79" l="1"/>
  <c r="I10" i="73"/>
  <c r="T10" i="73"/>
  <c r="I8" i="73"/>
  <c r="T7" i="73"/>
  <c r="I9" i="73"/>
  <c r="I7" i="73"/>
  <c r="T9" i="73"/>
  <c r="T8" i="73"/>
  <c r="F58" i="73"/>
  <c r="I6" i="73" l="1"/>
  <c r="T11" i="73"/>
  <c r="I11" i="73"/>
  <c r="T6" i="73"/>
  <c r="F59" i="73"/>
  <c r="F60" i="73" l="1"/>
  <c r="F61" i="73" s="1"/>
  <c r="F62" i="73" s="1"/>
  <c r="F63" i="73" s="1"/>
  <c r="F64" i="73" s="1"/>
  <c r="F65" i="73" s="1"/>
  <c r="F66" i="73" s="1"/>
  <c r="F67" i="73" s="1"/>
  <c r="F68" i="73" s="1"/>
  <c r="F69" i="73" s="1"/>
  <c r="F70" i="73" s="1"/>
  <c r="F71" i="73" s="1"/>
  <c r="F72" i="73" s="1"/>
  <c r="F73" i="73" s="1"/>
  <c r="F74" i="73" s="1"/>
  <c r="F75" i="73" s="1"/>
  <c r="F76" i="73" s="1"/>
  <c r="F77" i="73" s="1"/>
  <c r="F78" i="73" s="1"/>
  <c r="F79" i="73" s="1"/>
  <c r="F80" i="73" s="1"/>
  <c r="F81" i="73" s="1"/>
  <c r="P10" i="73" l="1"/>
  <c r="P7" i="73"/>
  <c r="E8" i="73"/>
  <c r="P9" i="73"/>
  <c r="E10" i="73"/>
  <c r="P8" i="73"/>
  <c r="E7" i="73"/>
  <c r="E9" i="73"/>
  <c r="P6" i="73" l="1"/>
  <c r="E11" i="73"/>
  <c r="E6" i="73"/>
  <c r="P11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趙 益衡 </author>
    <author>tnam</author>
  </authors>
  <commentList>
    <comment ref="Z1" authorId="0" shapeId="0" xr:uid="{D681739C-2AE0-44D8-95A6-D4E23D4045B8}">
      <text>
        <r>
          <rPr>
            <b/>
            <sz val="9"/>
            <color indexed="81"/>
            <rFont val="돋움"/>
            <family val="3"/>
            <charset val="129"/>
          </rPr>
          <t>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益衡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1. MDIK</t>
        </r>
        <r>
          <rPr>
            <sz val="14"/>
            <color indexed="81"/>
            <rFont val="돋움"/>
            <family val="3"/>
            <charset val="129"/>
          </rPr>
          <t>는</t>
        </r>
        <r>
          <rPr>
            <sz val="14"/>
            <color indexed="81"/>
            <rFont val="Tahoma"/>
            <family val="2"/>
          </rPr>
          <t xml:space="preserve"> SPL CHECK </t>
        </r>
        <r>
          <rPr>
            <sz val="14"/>
            <color indexed="81"/>
            <rFont val="돋움"/>
            <family val="3"/>
            <charset val="129"/>
          </rPr>
          <t>란에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총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5%</t>
        </r>
        <r>
          <rPr>
            <sz val="14"/>
            <color indexed="81"/>
            <rFont val="돋움"/>
            <family val="3"/>
            <charset val="129"/>
          </rPr>
          <t>를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무작위</t>
        </r>
        <r>
          <rPr>
            <sz val="14"/>
            <color indexed="81"/>
            <rFont val="Tahoma"/>
            <family val="2"/>
          </rPr>
          <t xml:space="preserve"> Test </t>
        </r>
        <r>
          <rPr>
            <sz val="14"/>
            <color indexed="81"/>
            <rFont val="돋움"/>
            <family val="3"/>
            <charset val="129"/>
          </rPr>
          <t>및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내용기록</t>
        </r>
        <r>
          <rPr>
            <sz val="14"/>
            <color indexed="81"/>
            <rFont val="Tahoma"/>
            <family val="2"/>
          </rPr>
          <t xml:space="preserve"> [</t>
        </r>
        <r>
          <rPr>
            <sz val="14"/>
            <color indexed="81"/>
            <rFont val="돋움"/>
            <family val="3"/>
            <charset val="129"/>
          </rPr>
          <t>오류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다발생개소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위주로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한다</t>
        </r>
        <r>
          <rPr>
            <sz val="14"/>
            <color indexed="81"/>
            <rFont val="Tahoma"/>
            <family val="2"/>
          </rPr>
          <t xml:space="preserve">]
2. </t>
        </r>
        <r>
          <rPr>
            <sz val="14"/>
            <color indexed="81"/>
            <rFont val="돋움"/>
            <family val="3"/>
            <charset val="129"/>
          </rPr>
          <t>입력</t>
        </r>
        <r>
          <rPr>
            <sz val="14"/>
            <color indexed="81"/>
            <rFont val="Tahoma"/>
            <family val="2"/>
          </rPr>
          <t xml:space="preserve"> Type</t>
        </r>
        <r>
          <rPr>
            <sz val="14"/>
            <color indexed="81"/>
            <rFont val="돋움"/>
            <family val="3"/>
            <charset val="129"/>
          </rPr>
          <t>에</t>
        </r>
        <r>
          <rPr>
            <sz val="14"/>
            <color indexed="81"/>
            <rFont val="Tahoma"/>
            <family val="2"/>
          </rPr>
          <t xml:space="preserve"> A</t>
        </r>
        <r>
          <rPr>
            <sz val="14"/>
            <color indexed="81"/>
            <rFont val="돋움"/>
            <family val="3"/>
            <charset val="129"/>
          </rPr>
          <t>접</t>
        </r>
        <r>
          <rPr>
            <sz val="14"/>
            <color indexed="81"/>
            <rFont val="Tahoma"/>
            <family val="2"/>
          </rPr>
          <t>, B</t>
        </r>
        <r>
          <rPr>
            <sz val="14"/>
            <color indexed="81"/>
            <rFont val="돋움"/>
            <family val="3"/>
            <charset val="129"/>
          </rPr>
          <t>접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기입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>반드시</t>
        </r>
        <r>
          <rPr>
            <sz val="14"/>
            <color indexed="81"/>
            <rFont val="Tahoma"/>
            <family val="2"/>
          </rPr>
          <t>, IO</t>
        </r>
        <r>
          <rPr>
            <sz val="14"/>
            <color indexed="81"/>
            <rFont val="돋움"/>
            <family val="3"/>
            <charset val="129"/>
          </rPr>
          <t>도면에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반영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할것</t>
        </r>
        <r>
          <rPr>
            <sz val="14"/>
            <color indexed="81"/>
            <rFont val="Tahoma"/>
            <family val="2"/>
          </rPr>
          <t>, "</t>
        </r>
        <r>
          <rPr>
            <sz val="14"/>
            <color indexed="81"/>
            <rFont val="돋움"/>
            <family val="3"/>
            <charset val="129"/>
          </rPr>
          <t>국번</t>
        </r>
        <r>
          <rPr>
            <sz val="14"/>
            <color indexed="81"/>
            <rFont val="Tahoma"/>
            <family val="2"/>
          </rPr>
          <t>"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내용을</t>
        </r>
        <r>
          <rPr>
            <sz val="14"/>
            <color indexed="81"/>
            <rFont val="Tahoma"/>
            <family val="2"/>
          </rPr>
          <t xml:space="preserve"> "</t>
        </r>
        <r>
          <rPr>
            <sz val="14"/>
            <color indexed="81"/>
            <rFont val="돋움"/>
            <family val="3"/>
            <charset val="129"/>
          </rPr>
          <t>변경이력</t>
        </r>
        <r>
          <rPr>
            <sz val="14"/>
            <color indexed="81"/>
            <rFont val="Tahoma"/>
            <family val="2"/>
          </rPr>
          <t>"</t>
        </r>
        <r>
          <rPr>
            <sz val="14"/>
            <color indexed="81"/>
            <rFont val="돋움"/>
            <family val="3"/>
            <charset val="129"/>
          </rPr>
          <t>으로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한다</t>
        </r>
        <r>
          <rPr>
            <sz val="14"/>
            <color indexed="81"/>
            <rFont val="Tahoma"/>
            <family val="2"/>
          </rPr>
          <t>.
3. 2017</t>
        </r>
        <r>
          <rPr>
            <sz val="14"/>
            <color indexed="81"/>
            <rFont val="돋움"/>
            <family val="3"/>
            <charset val="129"/>
          </rPr>
          <t>년</t>
        </r>
        <r>
          <rPr>
            <sz val="14"/>
            <color indexed="81"/>
            <rFont val="Tahoma"/>
            <family val="2"/>
          </rPr>
          <t xml:space="preserve"> 3</t>
        </r>
        <r>
          <rPr>
            <sz val="14"/>
            <color indexed="81"/>
            <rFont val="돋움"/>
            <family val="3"/>
            <charset val="129"/>
          </rPr>
          <t>월부터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신규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설계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하는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장치에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적용
</t>
        </r>
        <r>
          <rPr>
            <sz val="14"/>
            <color indexed="81"/>
            <rFont val="Tahoma"/>
            <family val="2"/>
          </rPr>
          <t xml:space="preserve">  -. </t>
        </r>
        <r>
          <rPr>
            <sz val="14"/>
            <color indexed="81"/>
            <rFont val="돋움"/>
            <family val="3"/>
            <charset val="129"/>
          </rPr>
          <t>전면개조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수준의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구형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리스트에서</t>
        </r>
        <r>
          <rPr>
            <sz val="14"/>
            <color indexed="81"/>
            <rFont val="Tahoma"/>
            <family val="2"/>
          </rPr>
          <t xml:space="preserve"> MP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영역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축구성이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변경시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적용
</t>
        </r>
        <r>
          <rPr>
            <sz val="14"/>
            <color indexed="81"/>
            <rFont val="Tahoma"/>
            <family val="2"/>
          </rPr>
          <t xml:space="preserve">  -. </t>
        </r>
        <r>
          <rPr>
            <sz val="14"/>
            <color indexed="81"/>
            <rFont val="돋움"/>
            <family val="3"/>
            <charset val="129"/>
          </rPr>
          <t>불분명한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부분은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보고후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적용여부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확인
</t>
        </r>
        <r>
          <rPr>
            <sz val="14"/>
            <color indexed="81"/>
            <rFont val="Tahoma"/>
            <family val="2"/>
          </rPr>
          <t xml:space="preserve">4. IO CHECK </t>
        </r>
        <r>
          <rPr>
            <sz val="14"/>
            <color indexed="81"/>
            <rFont val="돋움"/>
            <family val="3"/>
            <charset val="129"/>
          </rPr>
          <t>결과표는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미사용</t>
        </r>
        <r>
          <rPr>
            <sz val="14"/>
            <color indexed="81"/>
            <rFont val="Tahoma"/>
            <family val="2"/>
          </rPr>
          <t xml:space="preserve"> IO </t>
        </r>
        <r>
          <rPr>
            <sz val="14"/>
            <color indexed="81"/>
            <rFont val="돋움"/>
            <family val="3"/>
            <charset val="129"/>
          </rPr>
          <t>내용은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삭제후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실시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리스트는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이력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관리를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위하여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이전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장치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삭제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금지
</t>
        </r>
        <r>
          <rPr>
            <sz val="14"/>
            <color indexed="81"/>
            <rFont val="Tahoma"/>
            <family val="2"/>
          </rPr>
          <t>5. IO</t>
        </r>
        <r>
          <rPr>
            <sz val="14"/>
            <color indexed="81"/>
            <rFont val="돋움"/>
            <family val="3"/>
            <charset val="129"/>
          </rPr>
          <t>명칭이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숫자로만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구성되면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개수에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합계가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되지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않음</t>
        </r>
        <r>
          <rPr>
            <sz val="14"/>
            <color indexed="81"/>
            <rFont val="Tahoma"/>
            <family val="2"/>
          </rPr>
          <t xml:space="preserve"> " </t>
        </r>
        <r>
          <rPr>
            <sz val="14"/>
            <color indexed="81"/>
            <rFont val="돋움"/>
            <family val="3"/>
            <charset val="129"/>
          </rPr>
          <t>예</t>
        </r>
        <r>
          <rPr>
            <sz val="14"/>
            <color indexed="81"/>
            <rFont val="Tahoma"/>
            <family val="2"/>
          </rPr>
          <t xml:space="preserve"> : 251445"</t>
        </r>
      </text>
    </comment>
    <comment ref="Z14" authorId="1" shapeId="0" xr:uid="{6EA883F4-6309-451D-8DE7-B84257A4CC4F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C14" authorId="1" shapeId="0" xr:uid="{0AC8353E-7094-4DCE-994E-10F21FF3D083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F14" authorId="1" shapeId="0" xr:uid="{58B5E33A-2DF5-4179-AE95-495E1C1998F8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Z49" authorId="1" shapeId="0" xr:uid="{C5A52455-AE63-4FF1-8A14-D9F4B2386831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C49" authorId="1" shapeId="0" xr:uid="{EA135DB7-FC0C-4208-B616-E6BEF9D75776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F49" authorId="1" shapeId="0" xr:uid="{A294BD42-88F5-49B8-AFF4-505704BE20DA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Z84" authorId="1" shapeId="0" xr:uid="{2D51648D-AB93-4E1B-8333-EB8935171870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C84" authorId="1" shapeId="0" xr:uid="{624268DE-C2B0-4F47-8FCD-9683714BCE77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F84" authorId="1" shapeId="0" xr:uid="{7736101C-5BF1-42CF-9475-C41661351E8C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D85" authorId="0" shapeId="0" xr:uid="{61DBADBC-F461-48E3-8892-126412B1B6CC}">
      <text>
        <r>
          <rPr>
            <b/>
            <sz val="11"/>
            <color indexed="81"/>
            <rFont val="돋움"/>
            <family val="3"/>
            <charset val="129"/>
          </rPr>
          <t>여기는 초기 설계시 설치 예상 위치 기록</t>
        </r>
      </text>
    </comment>
    <comment ref="D101" authorId="0" shapeId="0" xr:uid="{495B08B8-9E66-4024-879F-188FEAD5A124}">
      <text>
        <r>
          <rPr>
            <b/>
            <sz val="11"/>
            <color indexed="81"/>
            <rFont val="돋움"/>
            <family val="3"/>
            <charset val="129"/>
          </rPr>
          <t>여기는 초기 설계시 설치 예상 위치 기록</t>
        </r>
      </text>
    </comment>
    <comment ref="D117" authorId="0" shapeId="0" xr:uid="{3FAAE465-9DB3-4D71-86F0-4D7D7825F8EE}">
      <text>
        <r>
          <rPr>
            <b/>
            <sz val="11"/>
            <color indexed="81"/>
            <rFont val="돋움"/>
            <family val="3"/>
            <charset val="129"/>
          </rPr>
          <t>여기는 초기 설계시 설치 예상 위치 기록</t>
        </r>
      </text>
    </comment>
    <comment ref="D133" authorId="0" shapeId="0" xr:uid="{554EF841-BD4E-4B09-B28E-B8C5B83C11A8}">
      <text>
        <r>
          <rPr>
            <b/>
            <sz val="11"/>
            <color indexed="81"/>
            <rFont val="돋움"/>
            <family val="3"/>
            <charset val="129"/>
          </rPr>
          <t>여기는 초기 설계시 설치 예상 위치 기록</t>
        </r>
      </text>
    </comment>
    <comment ref="Z344" authorId="1" shapeId="0" xr:uid="{BFBCD0C7-BB23-4C7D-8F96-BCB05D41C044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C344" authorId="1" shapeId="0" xr:uid="{8EF9B8BA-8E35-47C3-AB24-6891DFCB4ECB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F344" authorId="1" shapeId="0" xr:uid="{6C5AEECD-7764-4D13-B21C-0FAF27190832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D345" authorId="0" shapeId="0" xr:uid="{8C6F6A90-EF41-4FE3-AA3E-E759537E220B}">
      <text>
        <r>
          <rPr>
            <b/>
            <sz val="11"/>
            <color indexed="81"/>
            <rFont val="돋움"/>
            <family val="3"/>
            <charset val="129"/>
          </rPr>
          <t>여기는 초기 설계시 설치 예상 위치 기록</t>
        </r>
      </text>
    </comment>
    <comment ref="D361" authorId="0" shapeId="0" xr:uid="{7AEC4403-62BB-4789-8F79-A3716FACCA50}">
      <text>
        <r>
          <rPr>
            <b/>
            <sz val="11"/>
            <color indexed="81"/>
            <rFont val="돋움"/>
            <family val="3"/>
            <charset val="129"/>
          </rPr>
          <t>여기는 초기 설계시 설치 예상 위치 기록</t>
        </r>
      </text>
    </comment>
    <comment ref="D377" authorId="0" shapeId="0" xr:uid="{7F1DF375-C37C-4CAA-9FEB-D89ECFF9DD3A}">
      <text>
        <r>
          <rPr>
            <b/>
            <sz val="11"/>
            <color indexed="81"/>
            <rFont val="돋움"/>
            <family val="3"/>
            <charset val="129"/>
          </rPr>
          <t>여기는 초기 설계시 설치 예상 위치 기록</t>
        </r>
      </text>
    </comment>
    <comment ref="D393" authorId="0" shapeId="0" xr:uid="{60EED92D-D986-435A-ACD5-DD8E3E095037}">
      <text>
        <r>
          <rPr>
            <b/>
            <sz val="11"/>
            <color indexed="81"/>
            <rFont val="돋움"/>
            <family val="3"/>
            <charset val="129"/>
          </rPr>
          <t>여기는 초기 설계시 설치 예상 위치 기록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趙 益衡 </author>
    <author>tnam</author>
  </authors>
  <commentList>
    <comment ref="Z1" authorId="0" shapeId="0" xr:uid="{CF6C88F2-479D-4EF6-A104-2040E1B111C2}">
      <text>
        <r>
          <rPr>
            <b/>
            <sz val="9"/>
            <color indexed="81"/>
            <rFont val="돋움"/>
            <family val="3"/>
            <charset val="129"/>
          </rPr>
          <t>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益衡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1. MDIK</t>
        </r>
        <r>
          <rPr>
            <sz val="14"/>
            <color indexed="81"/>
            <rFont val="돋움"/>
            <family val="3"/>
            <charset val="129"/>
          </rPr>
          <t>는</t>
        </r>
        <r>
          <rPr>
            <sz val="14"/>
            <color indexed="81"/>
            <rFont val="Tahoma"/>
            <family val="2"/>
          </rPr>
          <t xml:space="preserve"> SPL CHECK </t>
        </r>
        <r>
          <rPr>
            <sz val="14"/>
            <color indexed="81"/>
            <rFont val="돋움"/>
            <family val="3"/>
            <charset val="129"/>
          </rPr>
          <t>란에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총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5%</t>
        </r>
        <r>
          <rPr>
            <sz val="14"/>
            <color indexed="81"/>
            <rFont val="돋움"/>
            <family val="3"/>
            <charset val="129"/>
          </rPr>
          <t>를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무작위</t>
        </r>
        <r>
          <rPr>
            <sz val="14"/>
            <color indexed="81"/>
            <rFont val="Tahoma"/>
            <family val="2"/>
          </rPr>
          <t xml:space="preserve"> Test </t>
        </r>
        <r>
          <rPr>
            <sz val="14"/>
            <color indexed="81"/>
            <rFont val="돋움"/>
            <family val="3"/>
            <charset val="129"/>
          </rPr>
          <t>및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내용기록</t>
        </r>
        <r>
          <rPr>
            <sz val="14"/>
            <color indexed="81"/>
            <rFont val="Tahoma"/>
            <family val="2"/>
          </rPr>
          <t xml:space="preserve"> [</t>
        </r>
        <r>
          <rPr>
            <sz val="14"/>
            <color indexed="81"/>
            <rFont val="돋움"/>
            <family val="3"/>
            <charset val="129"/>
          </rPr>
          <t>오류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다발생개소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위주로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한다</t>
        </r>
        <r>
          <rPr>
            <sz val="14"/>
            <color indexed="81"/>
            <rFont val="Tahoma"/>
            <family val="2"/>
          </rPr>
          <t xml:space="preserve">]
2. </t>
        </r>
        <r>
          <rPr>
            <sz val="14"/>
            <color indexed="81"/>
            <rFont val="돋움"/>
            <family val="3"/>
            <charset val="129"/>
          </rPr>
          <t>입력</t>
        </r>
        <r>
          <rPr>
            <sz val="14"/>
            <color indexed="81"/>
            <rFont val="Tahoma"/>
            <family val="2"/>
          </rPr>
          <t xml:space="preserve"> Type</t>
        </r>
        <r>
          <rPr>
            <sz val="14"/>
            <color indexed="81"/>
            <rFont val="돋움"/>
            <family val="3"/>
            <charset val="129"/>
          </rPr>
          <t>에</t>
        </r>
        <r>
          <rPr>
            <sz val="14"/>
            <color indexed="81"/>
            <rFont val="Tahoma"/>
            <family val="2"/>
          </rPr>
          <t xml:space="preserve"> A</t>
        </r>
        <r>
          <rPr>
            <sz val="14"/>
            <color indexed="81"/>
            <rFont val="돋움"/>
            <family val="3"/>
            <charset val="129"/>
          </rPr>
          <t>접</t>
        </r>
        <r>
          <rPr>
            <sz val="14"/>
            <color indexed="81"/>
            <rFont val="Tahoma"/>
            <family val="2"/>
          </rPr>
          <t>, B</t>
        </r>
        <r>
          <rPr>
            <sz val="14"/>
            <color indexed="81"/>
            <rFont val="돋움"/>
            <family val="3"/>
            <charset val="129"/>
          </rPr>
          <t>접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기입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>반드시</t>
        </r>
        <r>
          <rPr>
            <sz val="14"/>
            <color indexed="81"/>
            <rFont val="Tahoma"/>
            <family val="2"/>
          </rPr>
          <t>, IO</t>
        </r>
        <r>
          <rPr>
            <sz val="14"/>
            <color indexed="81"/>
            <rFont val="돋움"/>
            <family val="3"/>
            <charset val="129"/>
          </rPr>
          <t>도면에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반영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할것</t>
        </r>
        <r>
          <rPr>
            <sz val="14"/>
            <color indexed="81"/>
            <rFont val="Tahoma"/>
            <family val="2"/>
          </rPr>
          <t>, "</t>
        </r>
        <r>
          <rPr>
            <sz val="14"/>
            <color indexed="81"/>
            <rFont val="돋움"/>
            <family val="3"/>
            <charset val="129"/>
          </rPr>
          <t>국번</t>
        </r>
        <r>
          <rPr>
            <sz val="14"/>
            <color indexed="81"/>
            <rFont val="Tahoma"/>
            <family val="2"/>
          </rPr>
          <t>"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내용을</t>
        </r>
        <r>
          <rPr>
            <sz val="14"/>
            <color indexed="81"/>
            <rFont val="Tahoma"/>
            <family val="2"/>
          </rPr>
          <t xml:space="preserve"> "</t>
        </r>
        <r>
          <rPr>
            <sz val="14"/>
            <color indexed="81"/>
            <rFont val="돋움"/>
            <family val="3"/>
            <charset val="129"/>
          </rPr>
          <t>변경이력</t>
        </r>
        <r>
          <rPr>
            <sz val="14"/>
            <color indexed="81"/>
            <rFont val="Tahoma"/>
            <family val="2"/>
          </rPr>
          <t>"</t>
        </r>
        <r>
          <rPr>
            <sz val="14"/>
            <color indexed="81"/>
            <rFont val="돋움"/>
            <family val="3"/>
            <charset val="129"/>
          </rPr>
          <t>으로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한다</t>
        </r>
        <r>
          <rPr>
            <sz val="14"/>
            <color indexed="81"/>
            <rFont val="Tahoma"/>
            <family val="2"/>
          </rPr>
          <t>.
3. 2017</t>
        </r>
        <r>
          <rPr>
            <sz val="14"/>
            <color indexed="81"/>
            <rFont val="돋움"/>
            <family val="3"/>
            <charset val="129"/>
          </rPr>
          <t>년</t>
        </r>
        <r>
          <rPr>
            <sz val="14"/>
            <color indexed="81"/>
            <rFont val="Tahoma"/>
            <family val="2"/>
          </rPr>
          <t xml:space="preserve"> 3</t>
        </r>
        <r>
          <rPr>
            <sz val="14"/>
            <color indexed="81"/>
            <rFont val="돋움"/>
            <family val="3"/>
            <charset val="129"/>
          </rPr>
          <t>월부터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신규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설계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하는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장치에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적용
</t>
        </r>
        <r>
          <rPr>
            <sz val="14"/>
            <color indexed="81"/>
            <rFont val="Tahoma"/>
            <family val="2"/>
          </rPr>
          <t xml:space="preserve">  -. </t>
        </r>
        <r>
          <rPr>
            <sz val="14"/>
            <color indexed="81"/>
            <rFont val="돋움"/>
            <family val="3"/>
            <charset val="129"/>
          </rPr>
          <t>전면개조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수준의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구형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리스트에서</t>
        </r>
        <r>
          <rPr>
            <sz val="14"/>
            <color indexed="81"/>
            <rFont val="Tahoma"/>
            <family val="2"/>
          </rPr>
          <t xml:space="preserve"> MP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영역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축구성이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변경시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적용
</t>
        </r>
        <r>
          <rPr>
            <sz val="14"/>
            <color indexed="81"/>
            <rFont val="Tahoma"/>
            <family val="2"/>
          </rPr>
          <t xml:space="preserve">  -. </t>
        </r>
        <r>
          <rPr>
            <sz val="14"/>
            <color indexed="81"/>
            <rFont val="돋움"/>
            <family val="3"/>
            <charset val="129"/>
          </rPr>
          <t>불분명한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부분은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보고후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적용여부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확인
</t>
        </r>
        <r>
          <rPr>
            <sz val="14"/>
            <color indexed="81"/>
            <rFont val="Tahoma"/>
            <family val="2"/>
          </rPr>
          <t xml:space="preserve">4. IO CHECK </t>
        </r>
        <r>
          <rPr>
            <sz val="14"/>
            <color indexed="81"/>
            <rFont val="돋움"/>
            <family val="3"/>
            <charset val="129"/>
          </rPr>
          <t>결과표는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미사용</t>
        </r>
        <r>
          <rPr>
            <sz val="14"/>
            <color indexed="81"/>
            <rFont val="Tahoma"/>
            <family val="2"/>
          </rPr>
          <t xml:space="preserve"> IO </t>
        </r>
        <r>
          <rPr>
            <sz val="14"/>
            <color indexed="81"/>
            <rFont val="돋움"/>
            <family val="3"/>
            <charset val="129"/>
          </rPr>
          <t>내용은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삭제후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실시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리스트는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이력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관리를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위하여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이전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장치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삭제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금지
</t>
        </r>
        <r>
          <rPr>
            <sz val="14"/>
            <color indexed="81"/>
            <rFont val="Tahoma"/>
            <family val="2"/>
          </rPr>
          <t>5. IO</t>
        </r>
        <r>
          <rPr>
            <sz val="14"/>
            <color indexed="81"/>
            <rFont val="돋움"/>
            <family val="3"/>
            <charset val="129"/>
          </rPr>
          <t>명칭이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숫자로만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구성되면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개수에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합계가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되지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않음</t>
        </r>
        <r>
          <rPr>
            <sz val="14"/>
            <color indexed="81"/>
            <rFont val="Tahoma"/>
            <family val="2"/>
          </rPr>
          <t xml:space="preserve"> " </t>
        </r>
        <r>
          <rPr>
            <sz val="14"/>
            <color indexed="81"/>
            <rFont val="돋움"/>
            <family val="3"/>
            <charset val="129"/>
          </rPr>
          <t>예</t>
        </r>
        <r>
          <rPr>
            <sz val="14"/>
            <color indexed="81"/>
            <rFont val="Tahoma"/>
            <family val="2"/>
          </rPr>
          <t xml:space="preserve"> : 251445"</t>
        </r>
      </text>
    </comment>
    <comment ref="Z14" authorId="1" shapeId="0" xr:uid="{739596FB-D191-4F75-A2FA-B2CF4E774BD3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C14" authorId="1" shapeId="0" xr:uid="{2BF94156-8B62-43F5-94A6-D03FEAB32593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F14" authorId="1" shapeId="0" xr:uid="{A2A2DA09-DD94-48FE-9BCF-07E553D6AEA5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Z50" authorId="1" shapeId="0" xr:uid="{4B08CB0E-C91D-49B1-993B-D240567D7ED0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C50" authorId="1" shapeId="0" xr:uid="{F185D2B7-1844-4B80-A505-FA687B5F426E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F50" authorId="1" shapeId="0" xr:uid="{294AC76A-7A6B-4D71-B71E-D3929DEB8673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Z86" authorId="1" shapeId="0" xr:uid="{71F18384-EECA-422E-A8FB-BFA1CBB8B789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C86" authorId="1" shapeId="0" xr:uid="{B086AFF0-47FC-4A71-B8B7-EBB008C2AE04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F86" authorId="1" shapeId="0" xr:uid="{0DECBF84-1B1D-4A20-B4FD-1BD32C9C3364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Z346" authorId="1" shapeId="0" xr:uid="{64BFB234-7A42-49B1-AE42-6247C86B2A67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C346" authorId="1" shapeId="0" xr:uid="{6AB8E3C6-FFF0-433B-8B9C-20CDB98024D3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F346" authorId="1" shapeId="0" xr:uid="{607D289F-9534-4AF8-86DA-0080780A4CB9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趙 益衡 </author>
    <author>tnam</author>
  </authors>
  <commentList>
    <comment ref="Y1" authorId="0" shapeId="0" xr:uid="{576828F3-86EF-4E6E-AD00-C20E28E38868}">
      <text>
        <r>
          <rPr>
            <b/>
            <sz val="9"/>
            <color indexed="81"/>
            <rFont val="돋움"/>
            <family val="3"/>
            <charset val="129"/>
          </rPr>
          <t>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益衡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1. MDIK</t>
        </r>
        <r>
          <rPr>
            <sz val="14"/>
            <color indexed="81"/>
            <rFont val="돋움"/>
            <family val="3"/>
            <charset val="129"/>
          </rPr>
          <t>는</t>
        </r>
        <r>
          <rPr>
            <sz val="14"/>
            <color indexed="81"/>
            <rFont val="Tahoma"/>
            <family val="2"/>
          </rPr>
          <t xml:space="preserve"> SPL CHECK </t>
        </r>
        <r>
          <rPr>
            <sz val="14"/>
            <color indexed="81"/>
            <rFont val="돋움"/>
            <family val="3"/>
            <charset val="129"/>
          </rPr>
          <t>란에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총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5%</t>
        </r>
        <r>
          <rPr>
            <sz val="14"/>
            <color indexed="81"/>
            <rFont val="돋움"/>
            <family val="3"/>
            <charset val="129"/>
          </rPr>
          <t>를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무작위</t>
        </r>
        <r>
          <rPr>
            <sz val="14"/>
            <color indexed="81"/>
            <rFont val="Tahoma"/>
            <family val="2"/>
          </rPr>
          <t xml:space="preserve"> Test </t>
        </r>
        <r>
          <rPr>
            <sz val="14"/>
            <color indexed="81"/>
            <rFont val="돋움"/>
            <family val="3"/>
            <charset val="129"/>
          </rPr>
          <t>및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내용기록</t>
        </r>
        <r>
          <rPr>
            <sz val="14"/>
            <color indexed="81"/>
            <rFont val="Tahoma"/>
            <family val="2"/>
          </rPr>
          <t xml:space="preserve"> [</t>
        </r>
        <r>
          <rPr>
            <sz val="14"/>
            <color indexed="81"/>
            <rFont val="돋움"/>
            <family val="3"/>
            <charset val="129"/>
          </rPr>
          <t>오류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다발생개소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위주로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한다</t>
        </r>
        <r>
          <rPr>
            <sz val="14"/>
            <color indexed="81"/>
            <rFont val="Tahoma"/>
            <family val="2"/>
          </rPr>
          <t xml:space="preserve">]
2. </t>
        </r>
        <r>
          <rPr>
            <sz val="14"/>
            <color indexed="81"/>
            <rFont val="돋움"/>
            <family val="3"/>
            <charset val="129"/>
          </rPr>
          <t>입력</t>
        </r>
        <r>
          <rPr>
            <sz val="14"/>
            <color indexed="81"/>
            <rFont val="Tahoma"/>
            <family val="2"/>
          </rPr>
          <t xml:space="preserve"> Type</t>
        </r>
        <r>
          <rPr>
            <sz val="14"/>
            <color indexed="81"/>
            <rFont val="돋움"/>
            <family val="3"/>
            <charset val="129"/>
          </rPr>
          <t>에</t>
        </r>
        <r>
          <rPr>
            <sz val="14"/>
            <color indexed="81"/>
            <rFont val="Tahoma"/>
            <family val="2"/>
          </rPr>
          <t xml:space="preserve"> A</t>
        </r>
        <r>
          <rPr>
            <sz val="14"/>
            <color indexed="81"/>
            <rFont val="돋움"/>
            <family val="3"/>
            <charset val="129"/>
          </rPr>
          <t>접</t>
        </r>
        <r>
          <rPr>
            <sz val="14"/>
            <color indexed="81"/>
            <rFont val="Tahoma"/>
            <family val="2"/>
          </rPr>
          <t>, B</t>
        </r>
        <r>
          <rPr>
            <sz val="14"/>
            <color indexed="81"/>
            <rFont val="돋움"/>
            <family val="3"/>
            <charset val="129"/>
          </rPr>
          <t>접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기입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>반드시</t>
        </r>
        <r>
          <rPr>
            <sz val="14"/>
            <color indexed="81"/>
            <rFont val="Tahoma"/>
            <family val="2"/>
          </rPr>
          <t>, IO</t>
        </r>
        <r>
          <rPr>
            <sz val="14"/>
            <color indexed="81"/>
            <rFont val="돋움"/>
            <family val="3"/>
            <charset val="129"/>
          </rPr>
          <t>도면에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반영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할것</t>
        </r>
        <r>
          <rPr>
            <sz val="14"/>
            <color indexed="81"/>
            <rFont val="Tahoma"/>
            <family val="2"/>
          </rPr>
          <t>, "</t>
        </r>
        <r>
          <rPr>
            <sz val="14"/>
            <color indexed="81"/>
            <rFont val="돋움"/>
            <family val="3"/>
            <charset val="129"/>
          </rPr>
          <t>국번</t>
        </r>
        <r>
          <rPr>
            <sz val="14"/>
            <color indexed="81"/>
            <rFont val="Tahoma"/>
            <family val="2"/>
          </rPr>
          <t>"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내용을</t>
        </r>
        <r>
          <rPr>
            <sz val="14"/>
            <color indexed="81"/>
            <rFont val="Tahoma"/>
            <family val="2"/>
          </rPr>
          <t xml:space="preserve"> "</t>
        </r>
        <r>
          <rPr>
            <sz val="14"/>
            <color indexed="81"/>
            <rFont val="돋움"/>
            <family val="3"/>
            <charset val="129"/>
          </rPr>
          <t>변경이력</t>
        </r>
        <r>
          <rPr>
            <sz val="14"/>
            <color indexed="81"/>
            <rFont val="Tahoma"/>
            <family val="2"/>
          </rPr>
          <t>"</t>
        </r>
        <r>
          <rPr>
            <sz val="14"/>
            <color indexed="81"/>
            <rFont val="돋움"/>
            <family val="3"/>
            <charset val="129"/>
          </rPr>
          <t>으로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한다</t>
        </r>
        <r>
          <rPr>
            <sz val="14"/>
            <color indexed="81"/>
            <rFont val="Tahoma"/>
            <family val="2"/>
          </rPr>
          <t>.
3. 2017</t>
        </r>
        <r>
          <rPr>
            <sz val="14"/>
            <color indexed="81"/>
            <rFont val="돋움"/>
            <family val="3"/>
            <charset val="129"/>
          </rPr>
          <t>년</t>
        </r>
        <r>
          <rPr>
            <sz val="14"/>
            <color indexed="81"/>
            <rFont val="Tahoma"/>
            <family val="2"/>
          </rPr>
          <t xml:space="preserve"> 3</t>
        </r>
        <r>
          <rPr>
            <sz val="14"/>
            <color indexed="81"/>
            <rFont val="돋움"/>
            <family val="3"/>
            <charset val="129"/>
          </rPr>
          <t>월부터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신규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설계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하는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장치에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적용
</t>
        </r>
        <r>
          <rPr>
            <sz val="14"/>
            <color indexed="81"/>
            <rFont val="Tahoma"/>
            <family val="2"/>
          </rPr>
          <t xml:space="preserve">  -. </t>
        </r>
        <r>
          <rPr>
            <sz val="14"/>
            <color indexed="81"/>
            <rFont val="돋움"/>
            <family val="3"/>
            <charset val="129"/>
          </rPr>
          <t>전면개조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수준의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구형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리스트에서</t>
        </r>
        <r>
          <rPr>
            <sz val="14"/>
            <color indexed="81"/>
            <rFont val="Tahoma"/>
            <family val="2"/>
          </rPr>
          <t xml:space="preserve"> MP</t>
        </r>
        <r>
          <rPr>
            <sz val="14"/>
            <color indexed="81"/>
            <rFont val="돋움"/>
            <family val="3"/>
            <charset val="129"/>
          </rPr>
          <t>의</t>
        </r>
        <r>
          <rPr>
            <sz val="14"/>
            <color indexed="81"/>
            <rFont val="Tahoma"/>
            <family val="2"/>
          </rPr>
          <t xml:space="preserve"> IO</t>
        </r>
        <r>
          <rPr>
            <sz val="14"/>
            <color indexed="81"/>
            <rFont val="돋움"/>
            <family val="3"/>
            <charset val="129"/>
          </rPr>
          <t>영역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축구성이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변경시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적용
</t>
        </r>
        <r>
          <rPr>
            <sz val="14"/>
            <color indexed="81"/>
            <rFont val="Tahoma"/>
            <family val="2"/>
          </rPr>
          <t xml:space="preserve">  -. </t>
        </r>
        <r>
          <rPr>
            <sz val="14"/>
            <color indexed="81"/>
            <rFont val="돋움"/>
            <family val="3"/>
            <charset val="129"/>
          </rPr>
          <t>불분명한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부분은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보고후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적용여부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확인
</t>
        </r>
        <r>
          <rPr>
            <sz val="14"/>
            <color indexed="81"/>
            <rFont val="Tahoma"/>
            <family val="2"/>
          </rPr>
          <t xml:space="preserve">4. IO CHECK </t>
        </r>
        <r>
          <rPr>
            <sz val="14"/>
            <color indexed="81"/>
            <rFont val="돋움"/>
            <family val="3"/>
            <charset val="129"/>
          </rPr>
          <t>결과표는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미사용</t>
        </r>
        <r>
          <rPr>
            <sz val="14"/>
            <color indexed="81"/>
            <rFont val="Tahoma"/>
            <family val="2"/>
          </rPr>
          <t xml:space="preserve"> IO </t>
        </r>
        <r>
          <rPr>
            <sz val="14"/>
            <color indexed="81"/>
            <rFont val="돋움"/>
            <family val="3"/>
            <charset val="129"/>
          </rPr>
          <t>내용은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삭제후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실시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리스트는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이력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관리를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위하여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이전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장치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내용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삭제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금지
</t>
        </r>
        <r>
          <rPr>
            <sz val="14"/>
            <color indexed="81"/>
            <rFont val="Tahoma"/>
            <family val="2"/>
          </rPr>
          <t>5. IO</t>
        </r>
        <r>
          <rPr>
            <sz val="14"/>
            <color indexed="81"/>
            <rFont val="돋움"/>
            <family val="3"/>
            <charset val="129"/>
          </rPr>
          <t>명칭이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숫자로만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구성되면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개수에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합계가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되지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않음</t>
        </r>
        <r>
          <rPr>
            <sz val="14"/>
            <color indexed="81"/>
            <rFont val="Tahoma"/>
            <family val="2"/>
          </rPr>
          <t xml:space="preserve"> " </t>
        </r>
        <r>
          <rPr>
            <sz val="14"/>
            <color indexed="81"/>
            <rFont val="돋움"/>
            <family val="3"/>
            <charset val="129"/>
          </rPr>
          <t>예</t>
        </r>
        <r>
          <rPr>
            <sz val="14"/>
            <color indexed="81"/>
            <rFont val="Tahoma"/>
            <family val="2"/>
          </rPr>
          <t xml:space="preserve"> : 251445"</t>
        </r>
      </text>
    </comment>
    <comment ref="Y14" authorId="1" shapeId="0" xr:uid="{E9A3D38C-E3F7-4024-8450-B5EB02E3A2B4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B14" authorId="1" shapeId="0" xr:uid="{1188523A-296A-4AB4-9F37-BC28B54955FF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E14" authorId="1" shapeId="0" xr:uid="{13BF2DB9-95BD-4A0B-94A3-3D3EBE9A0FC6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Y50" authorId="1" shapeId="0" xr:uid="{A278E56E-5E00-4520-A9EA-95724786CF74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B50" authorId="1" shapeId="0" xr:uid="{EEC452F4-CED2-4D29-9294-51B08D10FD46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E50" authorId="1" shapeId="0" xr:uid="{D1C8C0C2-4654-419E-BFAD-4CB190E5AC6B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Y86" authorId="1" shapeId="0" xr:uid="{206EDFB6-80AF-4BAD-B522-489CA04785A3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B86" authorId="1" shapeId="0" xr:uid="{413F8A35-9612-462D-94E1-57AC7049F9A0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E86" authorId="1" shapeId="0" xr:uid="{E51110C9-FC7D-4A7A-8417-DF1BDC5C60D4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Y346" authorId="1" shapeId="0" xr:uid="{9DEE6D16-67CF-4CCB-8BFA-14A922257C3B}">
      <text>
        <r>
          <rPr>
            <sz val="11"/>
            <rFont val="ＭＳ Ｐゴシック"/>
            <family val="2"/>
            <charset val="128"/>
          </rPr>
          <t xml:space="preserve">미 CHECK 사유 </t>
        </r>
      </text>
    </comment>
    <comment ref="AB346" authorId="1" shapeId="0" xr:uid="{206F3DFB-52D2-4587-BA45-C1A3EF53752A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  <comment ref="AE346" authorId="1" shapeId="0" xr:uid="{94C5DA35-7728-42B2-AB60-E477C499C356}">
      <text>
        <r>
          <rPr>
            <sz val="11"/>
            <rFont val="ＭＳ Ｐゴシック"/>
            <family val="2"/>
            <charset val="128"/>
          </rPr>
          <t xml:space="preserve">미 CHECK 사유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<sst xmlns="http://schemas.openxmlformats.org/spreadsheetml/2006/main" count="8323" uniqueCount="1666">
  <si>
    <t>NO</t>
  </si>
  <si>
    <t>Ver.0.1</t>
    <phoneticPr fontId="2"/>
  </si>
  <si>
    <t>2. CHECK LIST</t>
    <phoneticPr fontId="2"/>
  </si>
  <si>
    <t>1. I/O CHECK LIST</t>
    <phoneticPr fontId="2"/>
  </si>
  <si>
    <t>Module</t>
    <phoneticPr fontId="1" type="noConversion"/>
  </si>
  <si>
    <t>Position</t>
    <phoneticPr fontId="1" type="noConversion"/>
  </si>
  <si>
    <t>I/O NUMBER</t>
  </si>
  <si>
    <t>Description</t>
  </si>
  <si>
    <t>TYPE</t>
  </si>
  <si>
    <t>MDIK SPL CHECK</t>
    <phoneticPr fontId="1" type="noConversion"/>
  </si>
  <si>
    <t>IB</t>
  </si>
  <si>
    <t>OB</t>
  </si>
  <si>
    <t>LIO-04</t>
    <phoneticPr fontId="1" type="noConversion"/>
  </si>
  <si>
    <t>변경이력</t>
    <phoneticPr fontId="1" type="noConversion"/>
  </si>
  <si>
    <t>변경이력</t>
    <phoneticPr fontId="1"/>
  </si>
  <si>
    <t xml:space="preserve"> </t>
    <phoneticPr fontId="1"/>
  </si>
  <si>
    <t>변경번호</t>
    <phoneticPr fontId="1"/>
  </si>
  <si>
    <t>일시</t>
    <phoneticPr fontId="1"/>
  </si>
  <si>
    <t>변경내용</t>
    <phoneticPr fontId="1"/>
  </si>
  <si>
    <t>변경자</t>
    <phoneticPr fontId="1"/>
  </si>
  <si>
    <t>승인자</t>
    <phoneticPr fontId="1"/>
  </si>
  <si>
    <t>Description</t>
    <phoneticPr fontId="1" type="noConversion"/>
  </si>
  <si>
    <t>R7F4DH-1-DC16A-R</t>
    <phoneticPr fontId="1" type="noConversion"/>
  </si>
  <si>
    <t>R7F4DH-1-DA16A-R</t>
    <phoneticPr fontId="1" type="noConversion"/>
  </si>
  <si>
    <t>R7F4DH-1-DAC16C-R</t>
  </si>
  <si>
    <t>R7K4DH-1-DAC32C-R</t>
  </si>
  <si>
    <t>Total</t>
    <phoneticPr fontId="1" type="noConversion"/>
  </si>
  <si>
    <t>Spare</t>
    <phoneticPr fontId="1" type="noConversion"/>
  </si>
  <si>
    <t>EMPTY</t>
    <phoneticPr fontId="1" type="noConversion"/>
  </si>
  <si>
    <t>IB</t>
    <phoneticPr fontId="1" type="noConversion"/>
  </si>
  <si>
    <t>R7F4DH-1-DA16A-R (04H)</t>
    <phoneticPr fontId="1" type="noConversion"/>
  </si>
  <si>
    <t>R7F4DH-1-DC16A-R (07H)</t>
    <phoneticPr fontId="1" type="noConversion"/>
  </si>
  <si>
    <t>IB11000</t>
    <phoneticPr fontId="1" type="noConversion"/>
  </si>
  <si>
    <t>OB11000</t>
    <phoneticPr fontId="1" type="noConversion"/>
  </si>
  <si>
    <t>IB21000</t>
    <phoneticPr fontId="1" type="noConversion"/>
  </si>
  <si>
    <t>OB21000</t>
    <phoneticPr fontId="1" type="noConversion"/>
  </si>
  <si>
    <t>IB21100</t>
    <phoneticPr fontId="1" type="noConversion"/>
  </si>
  <si>
    <t>OB21100</t>
    <phoneticPr fontId="1" type="noConversion"/>
  </si>
  <si>
    <t>R7F4DH-1-DA16A-R (03H)</t>
    <phoneticPr fontId="1" type="noConversion"/>
  </si>
  <si>
    <t>R7F4DH-1-DA16A-R (06H)</t>
    <phoneticPr fontId="1" type="noConversion"/>
  </si>
  <si>
    <t>R7F4DH-1-DA16A-R (08H)</t>
    <phoneticPr fontId="1" type="noConversion"/>
  </si>
  <si>
    <t>R7F4DH-1-DA16A-R (16H)</t>
    <phoneticPr fontId="1" type="noConversion"/>
  </si>
  <si>
    <t>R7F4DH-1-DA16A-R (18H)</t>
    <phoneticPr fontId="1" type="noConversion"/>
  </si>
  <si>
    <t>IB10000</t>
    <phoneticPr fontId="1" type="noConversion"/>
  </si>
  <si>
    <t>IB20000</t>
    <phoneticPr fontId="1" type="noConversion"/>
  </si>
  <si>
    <t>OB20000</t>
    <phoneticPr fontId="1" type="noConversion"/>
  </si>
  <si>
    <t>IB30000</t>
    <phoneticPr fontId="1" type="noConversion"/>
  </si>
  <si>
    <t>OB30000</t>
    <phoneticPr fontId="1" type="noConversion"/>
  </si>
  <si>
    <t>IB31000</t>
    <phoneticPr fontId="1" type="noConversion"/>
  </si>
  <si>
    <t>OB31000</t>
    <phoneticPr fontId="1" type="noConversion"/>
  </si>
  <si>
    <t>IB31100</t>
    <phoneticPr fontId="1" type="noConversion"/>
  </si>
  <si>
    <t>OB31100</t>
    <phoneticPr fontId="1" type="noConversion"/>
  </si>
  <si>
    <t>R7F4DH-1-DA16A-R (11H)</t>
    <phoneticPr fontId="1" type="noConversion"/>
  </si>
  <si>
    <t>R7F4DH-1-DC16A-R (21H)</t>
    <phoneticPr fontId="1" type="noConversion"/>
  </si>
  <si>
    <t>R7F4DH-1-DA16A-R (22H)</t>
    <phoneticPr fontId="1" type="noConversion"/>
  </si>
  <si>
    <t>R7F4DH-1-DC16A-R (23H)</t>
    <phoneticPr fontId="1" type="noConversion"/>
  </si>
  <si>
    <t>R7F4DH-1-DA16A-R (24H)</t>
    <phoneticPr fontId="1" type="noConversion"/>
  </si>
  <si>
    <t>R7F4DH-1-DA16A-R (28H)</t>
    <phoneticPr fontId="1" type="noConversion"/>
  </si>
  <si>
    <t>R7F4DH-1-DA16A-R (29H)</t>
    <phoneticPr fontId="1" type="noConversion"/>
  </si>
  <si>
    <t>R7F4DH-1-DA16A-R (30H)</t>
    <phoneticPr fontId="1" type="noConversion"/>
  </si>
  <si>
    <t>R7F4DH-1-DA16A-R (17H)</t>
    <phoneticPr fontId="1" type="noConversion"/>
  </si>
  <si>
    <t>R7F4DH-1-DA16A-R (21H)</t>
    <phoneticPr fontId="1" type="noConversion"/>
  </si>
  <si>
    <t>R7F4DH-1-DC16A-R (22H)</t>
    <phoneticPr fontId="1" type="noConversion"/>
  </si>
  <si>
    <t>R7F4DH-1-DA16A-R (23H)</t>
    <phoneticPr fontId="1" type="noConversion"/>
  </si>
  <si>
    <t>R7F4DH-1-DA16A-R (27H)</t>
    <phoneticPr fontId="1" type="noConversion"/>
  </si>
  <si>
    <t>R7F4DH-1-DA16A-R (31H)</t>
    <phoneticPr fontId="1" type="noConversion"/>
  </si>
  <si>
    <t>I/O NUMBER</t>
    <phoneticPr fontId="1" type="noConversion"/>
  </si>
  <si>
    <t>IB10020</t>
    <phoneticPr fontId="1" type="noConversion"/>
  </si>
  <si>
    <t>OB11020</t>
    <phoneticPr fontId="1" type="noConversion"/>
  </si>
  <si>
    <t>SCT2 PANEL</t>
  </si>
  <si>
    <t>R7F4DH-1-DA16A-R (32H)</t>
    <phoneticPr fontId="1" type="noConversion"/>
  </si>
  <si>
    <t>R7F4DH-1-DA16A-R (34H)</t>
    <phoneticPr fontId="1" type="noConversion"/>
  </si>
  <si>
    <t>LCCT2 PANEL</t>
  </si>
  <si>
    <t>R7F4DH-1-DA16A-R (33H)</t>
    <phoneticPr fontId="1" type="noConversion"/>
  </si>
  <si>
    <t>E-BOX 및 이온아이져 IO 변경</t>
    <phoneticPr fontId="1" type="noConversion"/>
  </si>
  <si>
    <t>SCT Buffer Table Glass Detect</t>
  </si>
  <si>
    <r>
      <t>1</t>
    </r>
    <r>
      <rPr>
        <sz val="9"/>
        <rFont val="맑은 고딕"/>
        <family val="3"/>
        <charset val="129"/>
        <scheme val="major"/>
      </rPr>
      <t>차 입출력 결과
 [SKIP은 미완료]</t>
    </r>
    <phoneticPr fontId="1" type="noConversion"/>
  </si>
  <si>
    <r>
      <t>2</t>
    </r>
    <r>
      <rPr>
        <sz val="9"/>
        <rFont val="맑은 고딕"/>
        <family val="3"/>
        <charset val="129"/>
        <scheme val="major"/>
      </rPr>
      <t>차 입출력 결과
[SKIP은 미완료] + 1차 OK 개수</t>
    </r>
    <phoneticPr fontId="1" type="noConversion"/>
  </si>
  <si>
    <t>입력</t>
    <phoneticPr fontId="1" type="noConversion"/>
  </si>
  <si>
    <t>출력</t>
    <phoneticPr fontId="1" type="noConversion"/>
  </si>
  <si>
    <t>1차 CHECK OK 개수</t>
    <phoneticPr fontId="1" type="noConversion"/>
  </si>
  <si>
    <t>2차 CHECK OK 개수</t>
    <phoneticPr fontId="1" type="noConversion"/>
  </si>
  <si>
    <t>1차 CHECK NG 개수</t>
    <phoneticPr fontId="1" type="noConversion"/>
  </si>
  <si>
    <t>2차 CHECK NG 개수</t>
    <phoneticPr fontId="1" type="noConversion"/>
  </si>
  <si>
    <t>1차 CHECK SKIP 개수</t>
    <phoneticPr fontId="1" type="noConversion"/>
  </si>
  <si>
    <t>2차 CHECK SKIP 개수</t>
    <phoneticPr fontId="1" type="noConversion"/>
  </si>
  <si>
    <t>입력 IO 개수</t>
    <phoneticPr fontId="1" type="noConversion"/>
  </si>
  <si>
    <t>출력 IO 개수</t>
    <phoneticPr fontId="1" type="noConversion"/>
  </si>
  <si>
    <t>SKIP 포함 확인 진행율</t>
    <phoneticPr fontId="1" type="noConversion"/>
  </si>
  <si>
    <t>1차 OK를 포함하는 진행율</t>
    <phoneticPr fontId="1" type="noConversion"/>
  </si>
  <si>
    <t>구분</t>
  </si>
  <si>
    <t>1차 CHECK</t>
  </si>
  <si>
    <t>2차 CHECK</t>
  </si>
  <si>
    <t>확인 일자</t>
  </si>
  <si>
    <t>결 과</t>
  </si>
  <si>
    <t>사 유</t>
  </si>
  <si>
    <t>1차 CHECK</t>
    <phoneticPr fontId="1" type="noConversion"/>
  </si>
  <si>
    <t>결 재</t>
  </si>
  <si>
    <t>승   인</t>
  </si>
  <si>
    <t>검   토</t>
  </si>
  <si>
    <t>작   성</t>
  </si>
  <si>
    <t xml:space="preserve">MDIK Check 담당 :                     </t>
  </si>
  <si>
    <t>E-BOX Temp Alarm 1</t>
  </si>
  <si>
    <t>E-BOX Temp Alarm 2</t>
  </si>
  <si>
    <t>E-BOX Smoke Detect Alarm</t>
  </si>
  <si>
    <t>SCT OP Signal Tower Red (L)</t>
  </si>
  <si>
    <t>SCT OP Signal Tower Green (L)</t>
  </si>
  <si>
    <t>SCT Door Lock Release Request</t>
  </si>
  <si>
    <t>SCT OP Select Key Enable</t>
  </si>
  <si>
    <t>UT 변경에 따른 IO추가및 IO위치 이동 , E-BOX Fan IO 추가 (SDC 8.6G Half OLED2300 UT_24.07.04_REV04)</t>
  </si>
  <si>
    <t>E-BOX Fan On 01</t>
  </si>
  <si>
    <t>E-BOX Fan On 02</t>
  </si>
  <si>
    <t>E-BOX Fan On 03</t>
  </si>
  <si>
    <t>E-BOX Fan On 04</t>
  </si>
  <si>
    <t>E-BOX Fan On 05</t>
  </si>
  <si>
    <t>E-BOX Fan On 06</t>
  </si>
  <si>
    <t>SCT Melody 01 (L)</t>
  </si>
  <si>
    <t>SCT Melody 02 (L)</t>
  </si>
  <si>
    <t>SCT Melody 03 (L)</t>
  </si>
  <si>
    <t>SCT Melody 04 (L)</t>
  </si>
  <si>
    <t>SCT Melody 05 (L)</t>
  </si>
  <si>
    <t>SCT Melody 06 (L)</t>
  </si>
  <si>
    <t>SCT Melody 07 (L)</t>
  </si>
  <si>
    <t>SCT Melody 08 (L)</t>
  </si>
  <si>
    <t>SCT Melody 1 (R)</t>
    <phoneticPr fontId="1" type="noConversion"/>
  </si>
  <si>
    <t>SCT Melody 2 (R)</t>
  </si>
  <si>
    <t>SCT Melody 3 (R)</t>
  </si>
  <si>
    <t>SCT Melody 4 (R)</t>
  </si>
  <si>
    <t>SCT Melody 5 (R)</t>
  </si>
  <si>
    <t>SCT Melody 6 (R)</t>
  </si>
  <si>
    <t>SCT Melody 7 (R)</t>
  </si>
  <si>
    <t>SCT Melody 8 (R)</t>
    <phoneticPr fontId="1" type="noConversion"/>
  </si>
  <si>
    <t>LCCT OP EMO 1 Inside</t>
    <phoneticPr fontId="1" type="noConversion"/>
  </si>
  <si>
    <t>LCCT OP EMO 1 Outside</t>
    <phoneticPr fontId="1" type="noConversion"/>
  </si>
  <si>
    <t>LCCT UNOP EMO 1 Inside</t>
    <phoneticPr fontId="1" type="noConversion"/>
  </si>
  <si>
    <t>LCCT UNOP EMO 1 Outside</t>
    <phoneticPr fontId="1" type="noConversion"/>
  </si>
  <si>
    <t>LCCTR Main CDA 1-1</t>
    <phoneticPr fontId="1" type="noConversion"/>
  </si>
  <si>
    <t>LCCTR Main CDA 1-2</t>
  </si>
  <si>
    <t>LCCTR Main CDA 1-3</t>
  </si>
  <si>
    <t>LCCTR Main CDA 1-4</t>
  </si>
  <si>
    <t>LCCTR Main CDA 2</t>
    <phoneticPr fontId="1" type="noConversion"/>
  </si>
  <si>
    <t>LCCTR Main CDA 3-1</t>
    <phoneticPr fontId="1" type="noConversion"/>
  </si>
  <si>
    <t>LCCTR Main CDA 3-2</t>
  </si>
  <si>
    <t>SCT Main CDA 1-1</t>
    <phoneticPr fontId="1" type="noConversion"/>
  </si>
  <si>
    <t>SCT Main CDA 1-2</t>
  </si>
  <si>
    <t>SCT Main CDA 1-3</t>
  </si>
  <si>
    <t>SCT Main CDA 1-4</t>
  </si>
  <si>
    <t>SCT Main CDA 1-5</t>
  </si>
  <si>
    <t>SCT Main CDA 2</t>
    <phoneticPr fontId="1" type="noConversion"/>
  </si>
  <si>
    <t>SCT Main CDA 3-1</t>
    <phoneticPr fontId="1" type="noConversion"/>
  </si>
  <si>
    <t>SCT Main CDA 3-2</t>
    <phoneticPr fontId="1" type="noConversion"/>
  </si>
  <si>
    <t>SCT Main CDA 4-1</t>
    <phoneticPr fontId="1" type="noConversion"/>
  </si>
  <si>
    <t>SCT Main CDA 4-2</t>
    <phoneticPr fontId="1" type="noConversion"/>
  </si>
  <si>
    <t>LCCT Melody 1</t>
    <phoneticPr fontId="1" type="noConversion"/>
  </si>
  <si>
    <t>LCCT Melody 2</t>
  </si>
  <si>
    <t>LCCT Melody 3</t>
  </si>
  <si>
    <t>LCCT Melody 4</t>
  </si>
  <si>
    <t>LCCT Melody 5</t>
  </si>
  <si>
    <t>LCCT Melody 6</t>
  </si>
  <si>
    <t>LCCT Melody 7</t>
  </si>
  <si>
    <t xml:space="preserve">LCCT Melody 8 </t>
    <phoneticPr fontId="1" type="noConversion"/>
  </si>
  <si>
    <t>LCCT Door Lock Release Request</t>
    <phoneticPr fontId="1" type="noConversion"/>
  </si>
  <si>
    <t>LCCT OP Signal Tower Red</t>
  </si>
  <si>
    <t>RCCT OP Signal Tower Red</t>
  </si>
  <si>
    <t xml:space="preserve">LCCT OP Signal Tower Yellow </t>
  </si>
  <si>
    <t xml:space="preserve">RCCT OP Signal Tower Yellow </t>
  </si>
  <si>
    <t xml:space="preserve">LCCT OP Signal Tower Green </t>
  </si>
  <si>
    <t xml:space="preserve">RCCT OP Signal Tower Green </t>
  </si>
  <si>
    <t>LCCT UNOP Door Release SW 1</t>
    <phoneticPr fontId="1" type="noConversion"/>
  </si>
  <si>
    <t xml:space="preserve"> LCCTL Main CDA 1-1</t>
    <phoneticPr fontId="1" type="noConversion"/>
  </si>
  <si>
    <t xml:space="preserve"> LCCTL Main CDA 1-2</t>
  </si>
  <si>
    <t xml:space="preserve"> LCCTL Main CDA 1-3</t>
  </si>
  <si>
    <t xml:space="preserve"> LCCTL Main CDA 1-4</t>
  </si>
  <si>
    <t xml:space="preserve"> LCCTL Main CDA 2</t>
    <phoneticPr fontId="1" type="noConversion"/>
  </si>
  <si>
    <t xml:space="preserve"> LCCTL Main CDA 3-1</t>
    <phoneticPr fontId="1" type="noConversion"/>
  </si>
  <si>
    <t xml:space="preserve"> LCCTL Main CDA 3-2</t>
  </si>
  <si>
    <t xml:space="preserve"> RCCTL Main CDA 1-1</t>
  </si>
  <si>
    <t xml:space="preserve"> RCCTL Main CDA 1-2</t>
  </si>
  <si>
    <t xml:space="preserve"> RCCTL Main CDA 1-3</t>
  </si>
  <si>
    <t xml:space="preserve"> RCCTL Main CDA 1-4</t>
  </si>
  <si>
    <t xml:space="preserve"> RCCTL Main CDA 2</t>
  </si>
  <si>
    <t xml:space="preserve"> RCCTL Main CDA 3-1</t>
  </si>
  <si>
    <t xml:space="preserve"> RCCTL Main CDA 3-2</t>
  </si>
  <si>
    <t>RCCT OP EMO 1 Inside</t>
  </si>
  <si>
    <t>RCCT OP EMO 1 Outside</t>
  </si>
  <si>
    <t>RCCT UNOP EMO 1 Inside</t>
  </si>
  <si>
    <t>RCCT UNOP EMO 1 Outside</t>
  </si>
  <si>
    <t>RCCTR Main CDA 1-1</t>
  </si>
  <si>
    <t>RCCTR Main CDA 1-2</t>
  </si>
  <si>
    <t>RCCTR Main CDA 1-3</t>
  </si>
  <si>
    <t>RCCTR Main CDA 1-4</t>
  </si>
  <si>
    <t>RCCTR Main CDA 2</t>
  </si>
  <si>
    <t>RCCTR Main CDA 3-1</t>
  </si>
  <si>
    <t>RCCTR Main CDA 3-2</t>
  </si>
  <si>
    <t>RCCT OP Select Key ENABLE</t>
  </si>
  <si>
    <t>RCCT Melody 1</t>
  </si>
  <si>
    <t>RCCT Melody 2</t>
  </si>
  <si>
    <t>RCCT Melody 3</t>
  </si>
  <si>
    <t>RCCT Melody 4</t>
  </si>
  <si>
    <t>RCCT Melody 5</t>
  </si>
  <si>
    <t>RCCT Melody 6</t>
  </si>
  <si>
    <t>RCCT Melody 7</t>
  </si>
  <si>
    <t xml:space="preserve">RCCT Melody 8 </t>
  </si>
  <si>
    <t>SCT1 E-BOX Temp Alarm 1</t>
  </si>
  <si>
    <t>SCT1 E-BOX Temp Alarm 2</t>
  </si>
  <si>
    <t>SCT1 E-BOX Fan 1 On</t>
  </si>
  <si>
    <t>SCT1 E-BOX Fan 2 On</t>
  </si>
  <si>
    <t>SCT1 E-BOX Fan 3 On</t>
  </si>
  <si>
    <t>SCT1 E-BOX Fan 4 On</t>
  </si>
  <si>
    <t>SCT1 E-BOX Fan 5 On</t>
  </si>
  <si>
    <t>SCT1 E-BOX Fan 6 On</t>
  </si>
  <si>
    <t>SCT2 E-BOX Temp Alarm 1</t>
  </si>
  <si>
    <t>SCT2 E-BOX Temp Alarm 2</t>
  </si>
  <si>
    <t>SCT2 E-BOX Fan 1 On</t>
  </si>
  <si>
    <t>SCT2 E-BOX Fan 2 On</t>
  </si>
  <si>
    <t>SCT2 E-BOX Fan 3 On</t>
  </si>
  <si>
    <t>SCT2 E-BOX Fan 4 On</t>
  </si>
  <si>
    <t>SCT2 E-BOX Fan 5 On</t>
  </si>
  <si>
    <t>SCT2 E-BOX Fan 6 On</t>
  </si>
  <si>
    <t>GPS1 PANEL</t>
    <phoneticPr fontId="1" type="noConversion"/>
  </si>
  <si>
    <t>SCT UNOP Door 4 Signal (Stick Transfer)</t>
  </si>
  <si>
    <t>SCT UNOP Door 4 Inside Key Signal (Stick Transfer)</t>
  </si>
  <si>
    <t>SCT UNOP Door 4 Outside Key Signal (Stick Transfer)</t>
  </si>
  <si>
    <t>SCT OP EMO 3 Inside (Stick Transfer)</t>
    <phoneticPr fontId="1" type="noConversion"/>
  </si>
  <si>
    <t>SCT OP EMO 3 Outside (Stick Transfer)</t>
    <phoneticPr fontId="1" type="noConversion"/>
  </si>
  <si>
    <t>SCT UNOP EMO 3 Inside (Stick Transfer)</t>
  </si>
  <si>
    <t>SCT UNOP EMO 3 Outside (Stick Transfer)</t>
  </si>
  <si>
    <t>UPS1 E-BOX Temp Alarm 1</t>
  </si>
  <si>
    <t>UPS1 E-BOX Temp Alarm 2</t>
  </si>
  <si>
    <t>UPS1 E-BOX Fan 1 On</t>
  </si>
  <si>
    <t>UPS1 E-BOX Fan 2 On</t>
  </si>
  <si>
    <t>UPS1 E-BOX Fan 3 On</t>
  </si>
  <si>
    <t>UPS1 E-BOX Fan 4 On</t>
  </si>
  <si>
    <t>GPS1 E-BOX Temp Alarm 1</t>
  </si>
  <si>
    <t>GPS1 E-BOX Temp Alarm 2</t>
  </si>
  <si>
    <t>GPS1 E-BOX Fan 1 On</t>
  </si>
  <si>
    <t>GPS1 E-BOX Fan 2 On</t>
  </si>
  <si>
    <t>GPS1 E-BOX Fan 3 On</t>
  </si>
  <si>
    <t>GPS1 E-BOX Fan 4 On</t>
  </si>
  <si>
    <t>LCCT OP Door 1 Signal (Stick Transfer)</t>
    <phoneticPr fontId="1" type="noConversion"/>
  </si>
  <si>
    <t>LCCT OP Door 1 Inside Key Signall (Stick Transfer)</t>
    <phoneticPr fontId="1" type="noConversion"/>
  </si>
  <si>
    <t>LCCT OP Door 1 Outside Key Signall (Stick Transfer)</t>
    <phoneticPr fontId="1" type="noConversion"/>
  </si>
  <si>
    <t>UPS2 E-BOX Fan On 2</t>
  </si>
  <si>
    <t>UPS2 E-BOX Fan On 3</t>
  </si>
  <si>
    <t>UPS2 E-BOX Fan On 4</t>
  </si>
  <si>
    <t>UPS2 E-BOX Fan On 1</t>
  </si>
  <si>
    <t>LCCT1 E-BOX Fan On 1</t>
  </si>
  <si>
    <t>LCCT1 E-BOX Fan On 2</t>
  </si>
  <si>
    <t>LCCT1 E-BOX Fan On 3</t>
  </si>
  <si>
    <t>LCCT1 E-BOX Fan On 4</t>
  </si>
  <si>
    <t>LCCT1 E-BOX Fan On 5</t>
  </si>
  <si>
    <t>LCCT1 E-BOX Fan On 6</t>
  </si>
  <si>
    <t>LCCT2 E-BOX Fan On 1</t>
  </si>
  <si>
    <t>LCCT2 E-BOX Fan On 2</t>
  </si>
  <si>
    <t>LCCT2 E-BOX Fan On 3</t>
  </si>
  <si>
    <t>LCCT2 E-BOX Fan On 4</t>
  </si>
  <si>
    <t>LCCT2 E-BOX Fan On 5</t>
  </si>
  <si>
    <t>LCCT2 E-BOX Fan On 6</t>
  </si>
  <si>
    <t>R7F4DH-1-DA16A-R (37H)</t>
    <phoneticPr fontId="1" type="noConversion"/>
  </si>
  <si>
    <t>R7F4DH-1-DC16A-R (38H)</t>
    <phoneticPr fontId="1" type="noConversion"/>
  </si>
  <si>
    <t>R7F4DH-1-DC16A-R (20H)</t>
    <phoneticPr fontId="1" type="noConversion"/>
  </si>
  <si>
    <t>RCCT OP Door 1 Signal (Stick Transfer)</t>
  </si>
  <si>
    <t>RCCT OP Door 1 Inside Key Signall (Stick Transfer)</t>
  </si>
  <si>
    <t>RCCT OP Door 1 Outside Key Signall (Stick Transfer)</t>
  </si>
  <si>
    <t>RCCT1 PANEL</t>
  </si>
  <si>
    <t>RCCT1 E-BOX Fan On 1</t>
  </si>
  <si>
    <t>RCCT1 E-BOX Fan On 2</t>
  </si>
  <si>
    <t>RCCT1 E-BOX Fan On 3</t>
  </si>
  <si>
    <t>RCCT1 E-BOX Fan On 4</t>
  </si>
  <si>
    <t>RCCT1 E-BOX Fan On 5</t>
  </si>
  <si>
    <t>RCCT1 E-BOX Fan On 6</t>
  </si>
  <si>
    <t>RCCT2 PANEL</t>
  </si>
  <si>
    <t>RCCT2 E-BOX Fan On 1</t>
  </si>
  <si>
    <t>RCCT2 E-BOX Fan On 2</t>
  </si>
  <si>
    <t>RCCT2 E-BOX Fan On 3</t>
  </si>
  <si>
    <t>RCCT2 E-BOX Fan On 4</t>
  </si>
  <si>
    <t>RCCT2 E-BOX Fan On 5</t>
  </si>
  <si>
    <t>RCCT2 E-BOX Fan On 6</t>
  </si>
  <si>
    <t>SCT Signal Tower Red (R)</t>
  </si>
  <si>
    <t>SCT Signal Tower Green (R)</t>
  </si>
  <si>
    <t>R7F4DH-1-DA16A-R (38H)</t>
    <phoneticPr fontId="1" type="noConversion"/>
  </si>
  <si>
    <t>R7F4DH-1-DC16A-R (39H)</t>
    <phoneticPr fontId="1" type="noConversion"/>
  </si>
  <si>
    <t>Fence Led On</t>
    <phoneticPr fontId="1" type="noConversion"/>
  </si>
  <si>
    <t>R7F4DH-1-DAC16C-R (40H)</t>
    <phoneticPr fontId="1" type="noConversion"/>
  </si>
  <si>
    <t xml:space="preserve"> </t>
  </si>
  <si>
    <t>RCCT Door Lock Release Request</t>
  </si>
  <si>
    <t>IB30020</t>
    <phoneticPr fontId="1" type="noConversion"/>
  </si>
  <si>
    <t>OB30020</t>
    <phoneticPr fontId="1" type="noConversion"/>
  </si>
  <si>
    <t>Stick Buffer Table Ionizer Power On</t>
  </si>
  <si>
    <t>Stick Buffer Table Ionizer Remote Select</t>
  </si>
  <si>
    <t>Stick Buffer Table Ionizer InterLock On</t>
  </si>
  <si>
    <t>Stick Buffer Table Ionizer Remote On</t>
  </si>
  <si>
    <t>Stick Buffer Table Ionizer Normal Status</t>
  </si>
  <si>
    <t>Stick Buffer Table Ionizer Remote Off</t>
  </si>
  <si>
    <t>Stick Buffer Table Ionizer Abnormal Status</t>
  </si>
  <si>
    <t>PDT Key Switch (KEY NO) (R)</t>
  </si>
  <si>
    <t>PDT Emergency Switch (EMG0A) (R)</t>
  </si>
  <si>
    <t>SCT Ionizer MC (MC15)</t>
  </si>
  <si>
    <t>SCT Main Transfer Glass Detect</t>
  </si>
  <si>
    <t>SCT Main Transfer T Home Sensor</t>
  </si>
  <si>
    <t>SCT Fix Table Brush Up (L)</t>
  </si>
  <si>
    <t>SCT Fix Table Brush Up (R)</t>
  </si>
  <si>
    <t>SCT Fix Table Brush Up</t>
  </si>
  <si>
    <t>SCT Fix Table Brush Down (L)</t>
  </si>
  <si>
    <t>SCT Fix Table Brush Down (R)</t>
  </si>
  <si>
    <t>SCT Fix Table Brush Down</t>
  </si>
  <si>
    <t>SCT Fix Table LDS Sensor High (L)</t>
  </si>
  <si>
    <t>SCT Main Transfer BLow</t>
  </si>
  <si>
    <t>SCT Chuck TABLE AIR BLow</t>
  </si>
  <si>
    <t>SCT Fix Table LDS Sensor Low (L)</t>
  </si>
  <si>
    <t>SCT STICK Stick Buffer Table BLow ON/OFF</t>
  </si>
  <si>
    <t>SCT OP Signal Tower YelLow (L)</t>
  </si>
  <si>
    <t>SCT Signal Tower YelLow (R)</t>
  </si>
  <si>
    <t>SCT Fix Table LDS Sensor Go (L)</t>
  </si>
  <si>
    <t>SCT Fix Table LDS Sensor Alarm (L)</t>
  </si>
  <si>
    <t>SCT Cutting Table Brush Up (L)</t>
  </si>
  <si>
    <t>SCT Cutting Table Brush Down (L)</t>
  </si>
  <si>
    <t>SCT Cutting Table Brush Up (R)</t>
  </si>
  <si>
    <t>SCT Cutting Table Brush Down (R)</t>
  </si>
  <si>
    <t>SCT Cutting Table Brush Up</t>
  </si>
  <si>
    <t>SCT Cutting Table Brush Down</t>
  </si>
  <si>
    <t>SCT Cutting Table Crash Prevent Sensor</t>
    <phoneticPr fontId="1" type="noConversion"/>
  </si>
  <si>
    <t>SCT Cart Check Sensor</t>
    <phoneticPr fontId="1" type="noConversion"/>
  </si>
  <si>
    <t>SCT Dummy Shutter Fwd(L)</t>
  </si>
  <si>
    <t>SCT Dummy Shutter Bwd(L)</t>
    <phoneticPr fontId="1" type="noConversion"/>
  </si>
  <si>
    <t>SCT Dummy Shutter Fwd(R)</t>
    <phoneticPr fontId="1" type="noConversion"/>
  </si>
  <si>
    <t>SCT Dummy Shutter Bwd(R)</t>
    <phoneticPr fontId="1" type="noConversion"/>
  </si>
  <si>
    <t>SCT Break Table Brush1 Up</t>
  </si>
  <si>
    <t>SCT Break Table Brush1 Down</t>
  </si>
  <si>
    <t>SCT Break Table Brush2 Up</t>
  </si>
  <si>
    <t>SCT Break Table Brush2 Down</t>
  </si>
  <si>
    <t>SCT Break Table Brush1 Up (L)</t>
  </si>
  <si>
    <t>SCT Break Table Brush1 Down (L)</t>
  </si>
  <si>
    <t>SCT Break Table Brush1 Up (R)</t>
  </si>
  <si>
    <t>SCT Break Table Brush1 Down (R)</t>
  </si>
  <si>
    <t>SCT Break Table Brush2 Up (L)</t>
  </si>
  <si>
    <t>SCT Break Table Brush2 Down (L)</t>
  </si>
  <si>
    <t>SCT Break Table Brush2 Up (R)</t>
  </si>
  <si>
    <t>SCT Break Table Brush2 Down (R)</t>
  </si>
  <si>
    <t>SCT Main Transfer Vacuum Main</t>
    <phoneticPr fontId="1" type="noConversion"/>
  </si>
  <si>
    <t>SCT Main Transfer Vacuum 1</t>
    <phoneticPr fontId="1" type="noConversion"/>
  </si>
  <si>
    <t>SCT Main Transfer Vacuum 2</t>
  </si>
  <si>
    <t>SCT Main Transfer Vacuum 3</t>
  </si>
  <si>
    <t>SCT Main Transfer Vacuum 4</t>
  </si>
  <si>
    <t>SCT Main Transfer Vacuum 5</t>
  </si>
  <si>
    <t>SCT Main Transfer Vacuum 6</t>
  </si>
  <si>
    <t>SCT Scribe Chuck  1 Vacuum</t>
  </si>
  <si>
    <t>SCT Scribe Chuck  2 Vacuum</t>
  </si>
  <si>
    <t>SCT Scribe Chuck  3 Vacuum</t>
  </si>
  <si>
    <t>SCT Scribe Chuck  4 Vacuum</t>
  </si>
  <si>
    <t>SCT Scribe Chuck  1,2,3,4 Blow Main</t>
    <phoneticPr fontId="1" type="noConversion"/>
  </si>
  <si>
    <t>SCT Scribe Chuck  1 Vacuum Main</t>
    <phoneticPr fontId="1" type="noConversion"/>
  </si>
  <si>
    <t>SCT Scribe Chuck  2 Vacuum Main</t>
  </si>
  <si>
    <t>SCT Scribe Chuck  3,4 Vacuum Main</t>
  </si>
  <si>
    <t>SCT Fix Table Vacuum 1 Main</t>
    <phoneticPr fontId="1" type="noConversion"/>
  </si>
  <si>
    <t>SCT Fix Table Vacuum 2 Main</t>
    <phoneticPr fontId="1" type="noConversion"/>
  </si>
  <si>
    <t>SCT Fix Table Blow 1,2 Main</t>
    <phoneticPr fontId="1" type="noConversion"/>
  </si>
  <si>
    <t>SCT Fix Table Blow 3 Main</t>
    <phoneticPr fontId="1" type="noConversion"/>
  </si>
  <si>
    <t>SCT Fix Table Blow 4,5 Main</t>
    <phoneticPr fontId="1" type="noConversion"/>
  </si>
  <si>
    <t>SCT Fix Table Blow 6,7 Main</t>
    <phoneticPr fontId="1" type="noConversion"/>
  </si>
  <si>
    <t>SCT Fix Table Blow 8,9 Main</t>
    <phoneticPr fontId="1" type="noConversion"/>
  </si>
  <si>
    <t>SCT Fix Table Blow 10,11 Main</t>
    <phoneticPr fontId="1" type="noConversion"/>
  </si>
  <si>
    <t>SCT Fix Table Blow 12,13 Main</t>
    <phoneticPr fontId="1" type="noConversion"/>
  </si>
  <si>
    <t>SCT Fix Table Blow 14 Main</t>
    <phoneticPr fontId="1" type="noConversion"/>
  </si>
  <si>
    <t>SCT Fix Table Blow 1</t>
    <phoneticPr fontId="1" type="noConversion"/>
  </si>
  <si>
    <t>SCT Fix Table Blow 2</t>
    <phoneticPr fontId="1" type="noConversion"/>
  </si>
  <si>
    <t>SCT Fix Table Blow 3</t>
    <phoneticPr fontId="1" type="noConversion"/>
  </si>
  <si>
    <t>SCT Fix Table Blow 4</t>
    <phoneticPr fontId="1" type="noConversion"/>
  </si>
  <si>
    <t>SCT Fix Table Blow 5</t>
    <phoneticPr fontId="1" type="noConversion"/>
  </si>
  <si>
    <t>SCT Fix Table Blow 6</t>
    <phoneticPr fontId="1" type="noConversion"/>
  </si>
  <si>
    <t>SCT Fix Table Blow 7</t>
    <phoneticPr fontId="1" type="noConversion"/>
  </si>
  <si>
    <t>SCT Fix Table Blow 8</t>
    <phoneticPr fontId="1" type="noConversion"/>
  </si>
  <si>
    <t>SCT Fix Table Blow 10</t>
    <phoneticPr fontId="1" type="noConversion"/>
  </si>
  <si>
    <t>SCT Fix Table Blow 11</t>
    <phoneticPr fontId="1" type="noConversion"/>
  </si>
  <si>
    <t>SCT Fix Table Blow 12</t>
    <phoneticPr fontId="1" type="noConversion"/>
  </si>
  <si>
    <t>SCT Fix Table Blow 13</t>
    <phoneticPr fontId="1" type="noConversion"/>
  </si>
  <si>
    <t>SCT Fix Table Blow 14</t>
    <phoneticPr fontId="1" type="noConversion"/>
  </si>
  <si>
    <t>SCT Cutting Table Blow Main 1,2</t>
    <phoneticPr fontId="1" type="noConversion"/>
  </si>
  <si>
    <t>SCT Cutting Table Blow Main 3,4</t>
    <phoneticPr fontId="1" type="noConversion"/>
  </si>
  <si>
    <t>SCT Cutting Table Blow Main 5,6</t>
    <phoneticPr fontId="1" type="noConversion"/>
  </si>
  <si>
    <t>SCT Cutting Table Vacuum 1 Main</t>
    <phoneticPr fontId="1" type="noConversion"/>
  </si>
  <si>
    <t>SCT Cutting Table Vacuum 2 Main</t>
  </si>
  <si>
    <t>SCT Cutting Table Vacuum 3 Main</t>
  </si>
  <si>
    <t>SCT Cutting Table Vacuum 4 Main</t>
  </si>
  <si>
    <t>SCT Cutting Table Low Pressure Blow 1</t>
    <phoneticPr fontId="1" type="noConversion"/>
  </si>
  <si>
    <t>SCT Cutting Table Low Pressure Blow 2</t>
    <phoneticPr fontId="1" type="noConversion"/>
  </si>
  <si>
    <t>SCT Cutting Table Low Pressure Blow 3</t>
    <phoneticPr fontId="1" type="noConversion"/>
  </si>
  <si>
    <t>SCT Break Table Blow Main 1,2</t>
    <phoneticPr fontId="1" type="noConversion"/>
  </si>
  <si>
    <t>SCT Break Table Blow Main 3,4</t>
    <phoneticPr fontId="1" type="noConversion"/>
  </si>
  <si>
    <t>SCT Break Table Vacuum Main 1</t>
    <phoneticPr fontId="1" type="noConversion"/>
  </si>
  <si>
    <t>SCT Break Table Vacuum Main 2</t>
    <phoneticPr fontId="1" type="noConversion"/>
  </si>
  <si>
    <t>SCT Break Table Vacuum 1</t>
    <phoneticPr fontId="1" type="noConversion"/>
  </si>
  <si>
    <t>SCT Break Table Vacuum 2</t>
    <phoneticPr fontId="1" type="noConversion"/>
  </si>
  <si>
    <t xml:space="preserve">SCT Break Table Vacuum 3 </t>
    <phoneticPr fontId="1" type="noConversion"/>
  </si>
  <si>
    <t xml:space="preserve">SCT Break Table Vacuum 4 </t>
    <phoneticPr fontId="1" type="noConversion"/>
  </si>
  <si>
    <t>SCT Break Table Hyper Clean L Pressure</t>
    <phoneticPr fontId="1" type="noConversion"/>
  </si>
  <si>
    <t>SCT Break Table Hyper Clean R Pressure</t>
    <phoneticPr fontId="1" type="noConversion"/>
  </si>
  <si>
    <t>SCT Stick Transfer 1 Blow</t>
  </si>
  <si>
    <t>SCT Stick Transfer 1 Vacuum Main</t>
  </si>
  <si>
    <t>SCT Stick Transfer 1 Vacuum 1</t>
    <phoneticPr fontId="1" type="noConversion"/>
  </si>
  <si>
    <t>SCT Stick Transfer 1 Vacuum 2</t>
  </si>
  <si>
    <t>SCT Stick Transfer 1 Vacuum 3</t>
  </si>
  <si>
    <t>SCT Stick Transfer 1 Vacuum 4</t>
  </si>
  <si>
    <t>SCT Stick Transfer 1 Stick Detect</t>
    <phoneticPr fontId="1" type="noConversion"/>
  </si>
  <si>
    <t>SCT Stick Buffer Table Blow</t>
  </si>
  <si>
    <t>SCT Stick Buffer Table Vacuum Main</t>
  </si>
  <si>
    <t>SCT Stick Buffer Table Vacuum 1</t>
    <phoneticPr fontId="1" type="noConversion"/>
  </si>
  <si>
    <t>SCT Stick Buffer Table Vacuum 2</t>
  </si>
  <si>
    <t>SCT Stick Buffer Table Vacuum 3</t>
  </si>
  <si>
    <t>SCT Stick Buffer Table Vacuum 4</t>
  </si>
  <si>
    <t>SCT Stick Buffer Table Vacuum 5</t>
  </si>
  <si>
    <t>SCT Stick Buffer Table Vacuum 6</t>
  </si>
  <si>
    <t>SCT Stick Buffer Table T Home Sensor</t>
    <phoneticPr fontId="1" type="noConversion"/>
  </si>
  <si>
    <t>SCT Stick Buffer Table Brush Up</t>
  </si>
  <si>
    <t>SCT Stick Buffer Table Brush Down</t>
  </si>
  <si>
    <t>SCT Stick Buffer Table Air Knife Blow</t>
    <phoneticPr fontId="1" type="noConversion"/>
  </si>
  <si>
    <t>SCT OP Door 1 Signal (Main Buffer Table)</t>
  </si>
  <si>
    <t>SCT OP Door 1 Outside Key Signal (Main Buffer Table)</t>
  </si>
  <si>
    <t>SCT OP Door 2 Signal (Main Transfer)</t>
  </si>
  <si>
    <t>SCT OP Door 2 Inside Key Signal  (Main Transfer)</t>
  </si>
  <si>
    <t>SCT OP Door 2 Outside Key Signal  (Main Transfer)</t>
  </si>
  <si>
    <t>SCT OP Door 3 Inside Key Signal (Scribe)</t>
  </si>
  <si>
    <t>SCT OP Door 3 Outside Key Signal (Scribe)</t>
  </si>
  <si>
    <t>SCT UNOP Door 3 Inside Key Signal (Scribe)</t>
  </si>
  <si>
    <t>SCT UNOP Door 3 Outside Key Signal (Scribe)</t>
  </si>
  <si>
    <t>SCT UNOP Door 2 Signal (Main Transfer)</t>
  </si>
  <si>
    <t>SCT UNOP Door 2 Inside Key Signal  (Main Transfer)</t>
  </si>
  <si>
    <t>SCT UNOP Door 2 Outside Key Signal  (Main Transfer)</t>
  </si>
  <si>
    <t>SCT UNOP Door 1 Inside Key Signal (Main Buffer Table)</t>
  </si>
  <si>
    <t>SCT UNOP Door 1 Outside Key Signal (Main Buffer Table)</t>
  </si>
  <si>
    <t>SCT OP EMO 1 Outside (Main Buffer Table)</t>
  </si>
  <si>
    <t>SCT OP EMO 2 Inside (Scribe)</t>
  </si>
  <si>
    <t>SCT OP EMO 2 Outside (Scribe)</t>
  </si>
  <si>
    <t>SCT UNOP EMO 1 Inside (Main Buffer Table)</t>
  </si>
  <si>
    <t>SCT UNOP EMO 1 Outside (Main Buffer Table)</t>
  </si>
  <si>
    <t>SCT UNOP EMO 2 Inside (Scribe)</t>
  </si>
  <si>
    <t>SCT UNOP EMO 2 Outside (Scribe)</t>
  </si>
  <si>
    <t>UPS1 E-BOX Smoke Detect Alarm(NC)</t>
  </si>
  <si>
    <t>UPS1 E-BOX Smoke Temp Alarm(NC)</t>
  </si>
  <si>
    <t>UPS1 Main MCCB On (MCCB01)</t>
    <phoneticPr fontId="1" type="noConversion"/>
  </si>
  <si>
    <t>SAFETY SMPS1 CP On (CP14)</t>
    <phoneticPr fontId="1" type="noConversion"/>
  </si>
  <si>
    <t>SAFETY SMPS2 CP On (CP15)</t>
    <phoneticPr fontId="1" type="noConversion"/>
  </si>
  <si>
    <t>UPS1 MC01 On (MC11)</t>
    <phoneticPr fontId="1" type="noConversion"/>
  </si>
  <si>
    <t>UPS1 MC02 On (MC12)</t>
    <phoneticPr fontId="1" type="noConversion"/>
  </si>
  <si>
    <t>SAFETY SMPS On (CPD14)</t>
    <phoneticPr fontId="1" type="noConversion"/>
  </si>
  <si>
    <t>Redundancy On (SWP14)</t>
    <phoneticPr fontId="1" type="noConversion"/>
  </si>
  <si>
    <t>SCT1 E-BOX Smoke Detect Alarm(NC)</t>
  </si>
  <si>
    <t>SCT1 E-BOX Smoke Temp Alarm(NC)</t>
  </si>
  <si>
    <t>GPS1 E-BOX Smoke Detect Alarm(NC)</t>
  </si>
  <si>
    <t>GPS1 E-BOX Smoke Temp Alarm(NC)</t>
  </si>
  <si>
    <t>SCT2 E-BOX Smoke Detect Alarm(NC)</t>
  </si>
  <si>
    <t>SCT2 E-BOX Smoke Temp Detect Alarm(NC)</t>
  </si>
  <si>
    <t>SCT Dust Chather Thermometer 40℃ OVER Signal</t>
  </si>
  <si>
    <t>SCT Dust Chather Box EMO Signal</t>
  </si>
  <si>
    <t>SCT Dust Chather Smoke Detect Signal</t>
  </si>
  <si>
    <t xml:space="preserve">SCT Dust Chather Remote On </t>
  </si>
  <si>
    <t>LCCT Dust Chather Thermometer 40℃ OVER Signal</t>
  </si>
  <si>
    <t>LCCT Dust Chather Box EMO Signal</t>
  </si>
  <si>
    <t>LCCT Dust Chather Smoke Detect Signal</t>
  </si>
  <si>
    <t xml:space="preserve">LCCT Dust Chather Remote On </t>
  </si>
  <si>
    <t>RCCT Dust Chather Thermometer 40℃ OVER Signal</t>
  </si>
  <si>
    <t>RCCT Dust Chather Box EMO Signal</t>
  </si>
  <si>
    <t>RCCT Dust Chather Smoke Detect Signal</t>
  </si>
  <si>
    <t xml:space="preserve">RCCT Dust Chather Remote On </t>
  </si>
  <si>
    <t>SCT Fence Led On</t>
    <phoneticPr fontId="1" type="noConversion"/>
  </si>
  <si>
    <t>SCT Dust Chather INV SPEED1</t>
    <phoneticPr fontId="1" type="noConversion"/>
  </si>
  <si>
    <t>SCT Dust Chather INV SPEED2</t>
    <phoneticPr fontId="1" type="noConversion"/>
  </si>
  <si>
    <t>SCT Dust Chather INV SPEED3</t>
    <phoneticPr fontId="1" type="noConversion"/>
  </si>
  <si>
    <t>SCT Stick Buffer Table Table Vacuum 1 On</t>
    <phoneticPr fontId="1" type="noConversion"/>
  </si>
  <si>
    <t>SCT Stick Buffer Table Table Vacuum 1 Off</t>
  </si>
  <si>
    <t>SCT Stick Buffer Table Table Vacuum 2 On</t>
  </si>
  <si>
    <t>SCT Stick Buffer Table Table Vacuum 2 Off</t>
  </si>
  <si>
    <t>SCT Stick Buffer Table Table Vacuum 3 On</t>
  </si>
  <si>
    <t>SCT Stick Buffer Table Table Vacuum 3 Off</t>
  </si>
  <si>
    <t>SCT Stick Buffer Table Table Vacuum 4 On</t>
  </si>
  <si>
    <t>SCT Stick Buffer Table Table Vacuum 4 Off</t>
  </si>
  <si>
    <t>SCT Stick Buffer Table Table Vacuum 5 On</t>
  </si>
  <si>
    <t>SCT Stick Buffer Table Table Vacuum 5 Off</t>
  </si>
  <si>
    <t>SCT Stick Buffer Table Table Vacuum 6 On</t>
  </si>
  <si>
    <t>SCT Stick Buffer Table Table Vacuum 6 Off</t>
  </si>
  <si>
    <t>SCT Stick Buffer Table Table Air Knife Blow On/Off</t>
    <phoneticPr fontId="1" type="noConversion"/>
  </si>
  <si>
    <t>SCT Stick Transfer 1 Vacuum 1 On</t>
    <phoneticPr fontId="1" type="noConversion"/>
  </si>
  <si>
    <t>SCT Stick Transfer 1 Vacuum 1 Off</t>
  </si>
  <si>
    <t>SCT Stick Transfer 1 Vacuum 2 On</t>
  </si>
  <si>
    <t>SCT Stick Transfer 1 Vacuum 2 Off</t>
  </si>
  <si>
    <t>SCT Stick Transfer 1 Vacuum 3 On</t>
  </si>
  <si>
    <t>SCT Stick Transfer 1 Vacuum 3 Off</t>
  </si>
  <si>
    <t>SCT Stick Transfer 1 Vacuum 4 On</t>
  </si>
  <si>
    <t>SCT Stick Transfer 1 Vacuum 4 Off</t>
  </si>
  <si>
    <t>SCT Stick Transfer 1 Blow On/Off</t>
  </si>
  <si>
    <t>SCT Main Align+MCR Camera + Main Buffer Table Sensor Blow On/Off</t>
    <phoneticPr fontId="1" type="noConversion"/>
  </si>
  <si>
    <t>SCT Stick Align Camera Blow On/off</t>
    <phoneticPr fontId="1" type="noConversion"/>
  </si>
  <si>
    <t>SCT Scale+Wheel Blow On/off</t>
    <phoneticPr fontId="1" type="noConversion"/>
  </si>
  <si>
    <t>SCT Break Table LDS Sensor Zero Shift (L)</t>
  </si>
  <si>
    <t>SCT Break Table LDS Sensor Zero Reset (L)</t>
  </si>
  <si>
    <t>SCT Break Table LDS Sensor Zero Timing (L)</t>
  </si>
  <si>
    <t>SCT Break Table LDS Sensor High (L)</t>
  </si>
  <si>
    <t>SCT Break Table LDS Sensor Low (L)</t>
  </si>
  <si>
    <t>SCT Break Table LDS Sensor Go (L)</t>
  </si>
  <si>
    <t>SCT Break Table LDS Sensor Alarm (L)</t>
  </si>
  <si>
    <t>SCT Break Table LDS Sensor High (R)</t>
  </si>
  <si>
    <t>SCT Break Table LDS Sensor Low (R)</t>
  </si>
  <si>
    <t>SCT Break Table LDS Sensor Go (R)</t>
  </si>
  <si>
    <t>SCT Break Table LDS Sensor Alarm (R)</t>
  </si>
  <si>
    <t>SCT Break Table LDS Sensor Zero Reset (R)</t>
  </si>
  <si>
    <t>SCT Break Table LDS Sensor Zero Timing (R)</t>
  </si>
  <si>
    <t>SCT Cutting Table Blow 1 On/Off</t>
  </si>
  <si>
    <t>SCT Cutting Table Blow 2 On/Off</t>
  </si>
  <si>
    <t>SCT Cutting Table Blow 3 On/Off</t>
  </si>
  <si>
    <t>SCT Cutting Table Blow 4 On/Off</t>
  </si>
  <si>
    <t>SCT Cutting Table Blow 5 On/Off</t>
  </si>
  <si>
    <t>SCT Cutting Table Blow 6 On/Off</t>
  </si>
  <si>
    <t>SCT Cutting Table Blow &amp; Vacuum 1 On/Off</t>
  </si>
  <si>
    <t>SCT Cutting Table Blow &amp; Vacuum 2 On/Off</t>
  </si>
  <si>
    <t>SCT Cutting Table Blow &amp; Vacuum 3 On/Off</t>
  </si>
  <si>
    <t>SCT Cutting Table Blow &amp; Vacuum 4 On/Off</t>
  </si>
  <si>
    <t>SCT Cutting Table Low Pressure Blow 1 On/Off</t>
    <phoneticPr fontId="1" type="noConversion"/>
  </si>
  <si>
    <t>SCT Cutting Table Low Pressure Blow 2 On/Off</t>
    <phoneticPr fontId="1" type="noConversion"/>
  </si>
  <si>
    <t>SCT Cutting Table Low Pressure Blow 3 On/Off</t>
    <phoneticPr fontId="1" type="noConversion"/>
  </si>
  <si>
    <t>SCT Break Table Blow 1 On/Off</t>
  </si>
  <si>
    <t>SCT Break Table Blow 2 On/Off</t>
  </si>
  <si>
    <t>SCT Break Table Blow 3 On/Off</t>
  </si>
  <si>
    <t>SCT Break Table Blow 4 On/Off</t>
  </si>
  <si>
    <t>SCT Break Table Blow &amp; Vacuum 1 On/Off</t>
  </si>
  <si>
    <t>SCT Break Table Blow &amp; Vacuum 2 On/Off</t>
  </si>
  <si>
    <t>SCT Chuck Table L,R AIR BLow</t>
    <phoneticPr fontId="1" type="noConversion"/>
  </si>
  <si>
    <t xml:space="preserve">SCT Cutting Table Ionizer Support L/R BLow </t>
    <phoneticPr fontId="1" type="noConversion"/>
  </si>
  <si>
    <t xml:space="preserve">SCT Cutting Table Ionizer Support Center BLow </t>
    <phoneticPr fontId="1" type="noConversion"/>
  </si>
  <si>
    <t>SCT Dummy Shutter Fwd</t>
    <phoneticPr fontId="1" type="noConversion"/>
  </si>
  <si>
    <t>SCT Dummy Shutter Bwd</t>
    <phoneticPr fontId="1" type="noConversion"/>
  </si>
  <si>
    <t>SCT Break Table Hyper Clean L On</t>
    <phoneticPr fontId="1" type="noConversion"/>
  </si>
  <si>
    <t>SCT Break Table Hyper Clean R On</t>
    <phoneticPr fontId="1" type="noConversion"/>
  </si>
  <si>
    <t>SCT Fix Table Blow 1 On/Off</t>
  </si>
  <si>
    <t>SCT Fix Table Blow 2 On/Off</t>
  </si>
  <si>
    <t>SCT Fix Table Blow 3 On/Off</t>
  </si>
  <si>
    <t>SCT Fix Table Blow 4 On/Off</t>
  </si>
  <si>
    <t>SCT Fix Table Blow 5 On/Off</t>
  </si>
  <si>
    <t>SCT Fix Table Blow 6 On/Off</t>
  </si>
  <si>
    <t>SCT Fix Table Blow 7 On/Off</t>
  </si>
  <si>
    <t>SCT Fix Table Blow 8 On/Off</t>
  </si>
  <si>
    <t>SCT Fix Table Blow 9 On/Off</t>
  </si>
  <si>
    <t>SCT Fix Table Blow 10 On/Off</t>
  </si>
  <si>
    <t>SCT Fix Table Blow 11 On/Off</t>
  </si>
  <si>
    <t>SCT Fix Table Blow 12 On/Off</t>
  </si>
  <si>
    <t>SCT Fix Table Blow 13 On/Off</t>
  </si>
  <si>
    <t>SCT Fix Table Blow 14 On/Off</t>
  </si>
  <si>
    <t>SCT Fix Table Blow &amp; Vacuum 1 On/Off</t>
  </si>
  <si>
    <t>SCT Fix Table Blow &amp; Vacuum 2 On/Off</t>
  </si>
  <si>
    <t>SCT Scribe Chuck Blow 1 On/Off</t>
  </si>
  <si>
    <t>SCT Scribe Chuck Blow 2 On/Off</t>
  </si>
  <si>
    <t>SCT Scribe Chuck Blow &amp; Vacuum 1 On/Off</t>
  </si>
  <si>
    <t>SCT Scribe Chuck Blow &amp; Vacuum 2 On/Off</t>
  </si>
  <si>
    <t>SCT Scribe Chuck Blow 3,4 On/Off</t>
  </si>
  <si>
    <t>SCT Scribe Chuck Blow &amp; Vacuum 3 On</t>
    <phoneticPr fontId="1" type="noConversion"/>
  </si>
  <si>
    <t>SCT Scribe Chuck Blow &amp; Vacuum 3 Off</t>
  </si>
  <si>
    <t>SCT Scribe Chuck Blow &amp; Vacuum 4 On</t>
  </si>
  <si>
    <t>SCT Scribe Chuck Blow &amp; Vacuum 4 Off</t>
  </si>
  <si>
    <t>SCT Fix Table LDS Sensor Zero Shift</t>
  </si>
  <si>
    <t>SCT Fix Table LDS Sensor Zero Reset</t>
  </si>
  <si>
    <t>SCT Fix Table LDS Sensor Zero Timing</t>
  </si>
  <si>
    <t>SCT Main Transfer Blow On/Off</t>
    <phoneticPr fontId="1" type="noConversion"/>
  </si>
  <si>
    <t>SCT Main Transfer Vacuum 1 On</t>
  </si>
  <si>
    <t>SCT Main Transfer Vacuum 1 Off</t>
  </si>
  <si>
    <t>SCT Main Transfer Vacuum 2 On</t>
  </si>
  <si>
    <t>SCT Main Transfer Vacuum 2 Off</t>
  </si>
  <si>
    <t>SCT Main Transfer Vacuum 3 On</t>
  </si>
  <si>
    <t>SCT Main Transfer Vacuum 3 Off</t>
  </si>
  <si>
    <t>SCT Main Transfer Vacuum 4 On</t>
  </si>
  <si>
    <t>SCT Main Transfer Vacuum 4 Off</t>
  </si>
  <si>
    <t>SCT Main Transfer Vacuum 5 On</t>
  </si>
  <si>
    <t>SCT Main Transfer Vacuum 5 Off</t>
  </si>
  <si>
    <t>SCT Main Transfer Vacuum 6 On</t>
  </si>
  <si>
    <t>SCT Main Transfer Vacuum 6 Off</t>
  </si>
  <si>
    <t>SCT_Main Transfer Ionizer Support Blow L On</t>
  </si>
  <si>
    <t>SCT_Main Transfer Ionizer Support Blow R On</t>
  </si>
  <si>
    <t>SCT_Main Transfer Ionizer Support Blow L</t>
    <phoneticPr fontId="1" type="noConversion"/>
  </si>
  <si>
    <t>SCT_Main Transfer Ionizer Support Blow R</t>
    <phoneticPr fontId="1" type="noConversion"/>
  </si>
  <si>
    <t>SCT Main Buffer Table Ionizer Power On</t>
    <phoneticPr fontId="1" type="noConversion"/>
  </si>
  <si>
    <t>SCT Main Buffer Table Ionizer InterLock On</t>
    <phoneticPr fontId="1" type="noConversion"/>
  </si>
  <si>
    <t>SCT Main Buffer Table Ionizer Normal Status</t>
    <phoneticPr fontId="1" type="noConversion"/>
  </si>
  <si>
    <t>SCT Main Buffer Table Ionizer Abnormal Status</t>
    <phoneticPr fontId="1" type="noConversion"/>
  </si>
  <si>
    <t>SCT Main Transfer(L) Ionizer Power On</t>
    <phoneticPr fontId="1" type="noConversion"/>
  </si>
  <si>
    <t>SCT Main Transfer(L) Ionizer InterLock On</t>
    <phoneticPr fontId="1" type="noConversion"/>
  </si>
  <si>
    <t>SCT Main Transfer(L) Ionizer Normal Status</t>
    <phoneticPr fontId="1" type="noConversion"/>
  </si>
  <si>
    <t>SCT Main Transfer(L) Ionizer Abnormal Status</t>
    <phoneticPr fontId="1" type="noConversion"/>
  </si>
  <si>
    <t>SCT Main Transfer(R) Ionizer Power On</t>
    <phoneticPr fontId="1" type="noConversion"/>
  </si>
  <si>
    <t>SCT Main Transfer(R) Ionizer InterLock On</t>
    <phoneticPr fontId="1" type="noConversion"/>
  </si>
  <si>
    <t>SCT Main Transfer(R) Ionizer Normal Status</t>
    <phoneticPr fontId="1" type="noConversion"/>
  </si>
  <si>
    <t>SCT Main Transfer(R) Ionizer Abnormal Status</t>
    <phoneticPr fontId="1" type="noConversion"/>
  </si>
  <si>
    <t>SCT Fix Table(1) Ionizer Power On</t>
    <phoneticPr fontId="1" type="noConversion"/>
  </si>
  <si>
    <t>SCT Fix Table(1) Ionizer InterLock On</t>
    <phoneticPr fontId="1" type="noConversion"/>
  </si>
  <si>
    <t>SCT Fix Table(1) Ionizer Normal Status</t>
    <phoneticPr fontId="1" type="noConversion"/>
  </si>
  <si>
    <t>SCT Fix Table(1) Ionizer Abnormal Status</t>
    <phoneticPr fontId="1" type="noConversion"/>
  </si>
  <si>
    <t>SCT Cutting Table Ionizer Power On</t>
    <phoneticPr fontId="1" type="noConversion"/>
  </si>
  <si>
    <t>SCT Cutting Table Ionizer InterLock On</t>
    <phoneticPr fontId="1" type="noConversion"/>
  </si>
  <si>
    <t>SCT Cutting Table Ionizer Normal Status</t>
    <phoneticPr fontId="1" type="noConversion"/>
  </si>
  <si>
    <t>SCT Cutting Table Ionizer Abnormal Status</t>
    <phoneticPr fontId="1" type="noConversion"/>
  </si>
  <si>
    <t>SCT Break Table Ionizer Power On</t>
    <phoneticPr fontId="1" type="noConversion"/>
  </si>
  <si>
    <t>SCT Break Table Ionizer InterLock On</t>
    <phoneticPr fontId="1" type="noConversion"/>
  </si>
  <si>
    <t>SCT Break Table Ionizer Normal Status</t>
    <phoneticPr fontId="1" type="noConversion"/>
  </si>
  <si>
    <t>SCT Break Table Ionizer Abnormal Status</t>
    <phoneticPr fontId="1" type="noConversion"/>
  </si>
  <si>
    <t>SCT Main Buffer Table Ionizer Remote Select</t>
    <phoneticPr fontId="1" type="noConversion"/>
  </si>
  <si>
    <t>SCT Main Buffer Table Ionizer Remote On</t>
    <phoneticPr fontId="1" type="noConversion"/>
  </si>
  <si>
    <t>SCT Main Buffer Table Ionizer Remote Off</t>
    <phoneticPr fontId="1" type="noConversion"/>
  </si>
  <si>
    <t>SCT Main Transfer(L) Ionizer Remote Select</t>
    <phoneticPr fontId="1" type="noConversion"/>
  </si>
  <si>
    <t>SCT Main Transfer(L) Ionizer Remote On</t>
    <phoneticPr fontId="1" type="noConversion"/>
  </si>
  <si>
    <t>SCT Main Transfer(L) Ionizer Remote Off</t>
    <phoneticPr fontId="1" type="noConversion"/>
  </si>
  <si>
    <t>SCT Main Transfer(R) Ionizer Remote Select</t>
    <phoneticPr fontId="1" type="noConversion"/>
  </si>
  <si>
    <t>SCT Main Transfer(R) Ionizer Remote On</t>
    <phoneticPr fontId="1" type="noConversion"/>
  </si>
  <si>
    <t>SCT Main Transfer(R) Ionizer Remote Off</t>
    <phoneticPr fontId="1" type="noConversion"/>
  </si>
  <si>
    <t>SCT Fix Table(1) Ionizer Remote Select</t>
    <phoneticPr fontId="1" type="noConversion"/>
  </si>
  <si>
    <t>SCT ix Table(1) Ionizer Remote On</t>
    <phoneticPr fontId="1" type="noConversion"/>
  </si>
  <si>
    <t>SCT Fix Table(1) Ionizer Remote Off</t>
    <phoneticPr fontId="1" type="noConversion"/>
  </si>
  <si>
    <t>SCT Cutting Table Ionizer Remote Select</t>
    <phoneticPr fontId="1" type="noConversion"/>
  </si>
  <si>
    <t>SCT Cutting Table Ionizer Remote On</t>
    <phoneticPr fontId="1" type="noConversion"/>
  </si>
  <si>
    <t>SCT Cutting Table Ionizer Remote Off</t>
    <phoneticPr fontId="1" type="noConversion"/>
  </si>
  <si>
    <t>SCT Break Table Ionizer Remote Select</t>
    <phoneticPr fontId="1" type="noConversion"/>
  </si>
  <si>
    <t>SCT Break Table Ionizer Remote On</t>
    <phoneticPr fontId="1" type="noConversion"/>
  </si>
  <si>
    <t>SCT Break Table Ionizer Remote Off</t>
    <phoneticPr fontId="1" type="noConversion"/>
  </si>
  <si>
    <t>LCCT Stick Transfer 2 Main Blow</t>
    <phoneticPr fontId="1" type="noConversion"/>
  </si>
  <si>
    <t>LCCT Stick Transfer 2 Vacuum Main</t>
    <phoneticPr fontId="1" type="noConversion"/>
  </si>
  <si>
    <t>LCCT Stick Transfer 2 Vacuum 1</t>
    <phoneticPr fontId="1" type="noConversion"/>
  </si>
  <si>
    <t>LCCT Stick Transfer 2 Vacuum 2</t>
  </si>
  <si>
    <t>LCCT Stick Transfer 2 Vacuum 3</t>
  </si>
  <si>
    <t>LCCT Stick Transfer 2 Vacuum 4</t>
  </si>
  <si>
    <t>LCCT Stick Transfer 2 Stick Dectec</t>
  </si>
  <si>
    <t xml:space="preserve">LCCTL Scribe Chuck Blow Main 1,2,3,4 </t>
    <phoneticPr fontId="1" type="noConversion"/>
  </si>
  <si>
    <t>LCCTL Scribe Chuck Vacuum 1 Main</t>
    <phoneticPr fontId="1" type="noConversion"/>
  </si>
  <si>
    <t>LCCTL Scribe Chuck Vacuum 2 Main</t>
  </si>
  <si>
    <t>LCCTL Scribe Chuck Vacuum 3,4 Main</t>
    <phoneticPr fontId="1" type="noConversion"/>
  </si>
  <si>
    <t>LCCTL Scribe Chuck Vacuum 1</t>
    <phoneticPr fontId="1" type="noConversion"/>
  </si>
  <si>
    <t>LCCTL Scribe Chuck Vacuum 2</t>
  </si>
  <si>
    <t>LCCTL Scribe Chuck Vacuum 3</t>
  </si>
  <si>
    <t>LCCTL Scribe Chuck Vacuum 4</t>
  </si>
  <si>
    <t xml:space="preserve">LCCTL Cutting Table Ionizer Support BLow </t>
  </si>
  <si>
    <t>LCCTL Chuck Table Air Blow</t>
    <phoneticPr fontId="1" type="noConversion"/>
  </si>
  <si>
    <t>LCCTL Fix Table Blow 1,2</t>
  </si>
  <si>
    <t>LCCTL Fix Table Blow 3,4</t>
  </si>
  <si>
    <t>LCCTL Fix Table Blow 5,6</t>
  </si>
  <si>
    <t>LCCTL Fix Table Blow 7,8</t>
  </si>
  <si>
    <t>LCCTL Fix Table Blow 9,10</t>
  </si>
  <si>
    <t>LCCTL Fix Table Blow 11,12</t>
  </si>
  <si>
    <t>LCCTL Fix Table Blow 13,14</t>
  </si>
  <si>
    <t>LCCTL Fix Table 1 Vacuum</t>
  </si>
  <si>
    <t>LCCTL Fix Table LDS Sensor Low</t>
    <phoneticPr fontId="1" type="noConversion"/>
  </si>
  <si>
    <t>LCCTL Fix Table LDS Sensor High</t>
    <phoneticPr fontId="1" type="noConversion"/>
  </si>
  <si>
    <t>LCCTL Fix Table Brush R Down</t>
  </si>
  <si>
    <t>LCCTL Fix Table Blow 1</t>
    <phoneticPr fontId="1" type="noConversion"/>
  </si>
  <si>
    <t>LCCTL Fix Table Blow 2</t>
  </si>
  <si>
    <t>LCCTL Fix Table Blow 3</t>
  </si>
  <si>
    <t>LCCTL Fix Table Blow 4</t>
  </si>
  <si>
    <t>LCCTL Fix Table Blow 5</t>
  </si>
  <si>
    <t>LCCTL Fix Table Blow 6</t>
  </si>
  <si>
    <t>LCCTL Fix Table Blow 7</t>
  </si>
  <si>
    <t>LCCTL Fix Table Blow 8</t>
  </si>
  <si>
    <t>LCCTL Fix Table Blow 9</t>
  </si>
  <si>
    <t>LCCTL Fix Table Blow 10</t>
  </si>
  <si>
    <t>LCCTL Fix Table Blow 11</t>
  </si>
  <si>
    <t>LCCTL Fix Table Blow 12</t>
  </si>
  <si>
    <t>LCCTL Fix Table Blow 13</t>
  </si>
  <si>
    <t>LCCTL Fix Table Blow 14</t>
  </si>
  <si>
    <t>LCCTL Fix Table Brush L Up</t>
    <phoneticPr fontId="1" type="noConversion"/>
  </si>
  <si>
    <t>LCCTL Fix Table Brush L Down</t>
    <phoneticPr fontId="1" type="noConversion"/>
  </si>
  <si>
    <t>LCCTL Fix Table Brush R Up</t>
    <phoneticPr fontId="1" type="noConversion"/>
  </si>
  <si>
    <t>LCCTL Break Table LDS Sensor High (L)</t>
    <phoneticPr fontId="1" type="noConversion"/>
  </si>
  <si>
    <t>LCCTL Break Table LDS Sensor Low (L)</t>
    <phoneticPr fontId="1" type="noConversion"/>
  </si>
  <si>
    <t>LCCTL Break Table LDS Sensor Go (L)</t>
    <phoneticPr fontId="1" type="noConversion"/>
  </si>
  <si>
    <t>LCCTL Break Table LDS Sensor Alarm (L)</t>
  </si>
  <si>
    <t>LCCTL Break Table LDS Sensor High (R)</t>
    <phoneticPr fontId="1" type="noConversion"/>
  </si>
  <si>
    <t>LCCTL Break Table LDS Sensor Low (R)</t>
    <phoneticPr fontId="1" type="noConversion"/>
  </si>
  <si>
    <t>LCCTL Break Table LDS Sensor Go (R)</t>
    <phoneticPr fontId="1" type="noConversion"/>
  </si>
  <si>
    <t>LCCTL Break Table LDS Sensor Alarm (R)</t>
  </si>
  <si>
    <t>LCCTL Cutting Table Blow Main 1,2,3,4,</t>
    <phoneticPr fontId="1" type="noConversion"/>
  </si>
  <si>
    <t>LCCTL Cutting Table Vacuum 1 Main</t>
    <phoneticPr fontId="1" type="noConversion"/>
  </si>
  <si>
    <t>LCCTL Cutting Table Vacuum 2 Main</t>
  </si>
  <si>
    <t>LCCTL Cutting Table Vacuum 3 Main</t>
  </si>
  <si>
    <t>LCCTL Cutting Table Vacuum 4 Main</t>
  </si>
  <si>
    <t>LCCTL Cutting Table Vacuum 1</t>
    <phoneticPr fontId="1" type="noConversion"/>
  </si>
  <si>
    <t>LCCTL Cutting Table Vacuum 2</t>
  </si>
  <si>
    <t>LCCTL Cutting Table Vacuum 3</t>
  </si>
  <si>
    <t>LCCTL Cutting Table Vacuum 4</t>
  </si>
  <si>
    <t>LCCTL Cutting Table Blow 1</t>
    <phoneticPr fontId="1" type="noConversion"/>
  </si>
  <si>
    <t>LCCTL Cutting Table Blow 2</t>
  </si>
  <si>
    <t>LCCTL Cutting Table Blow 3</t>
  </si>
  <si>
    <t>LCCTL Cutting Table Blow 4</t>
  </si>
  <si>
    <t>LCCTL Break Table Blow Main 1,2,3,4</t>
    <phoneticPr fontId="1" type="noConversion"/>
  </si>
  <si>
    <t>LCCTL Break Table Vacuum 1 Main</t>
    <phoneticPr fontId="1" type="noConversion"/>
  </si>
  <si>
    <t>LCCTL Break Table Vacuum 2 Main</t>
  </si>
  <si>
    <t>LCCTL Break Table Vacuum 3 Main</t>
  </si>
  <si>
    <t>LCCTL Break Table Vacuum 4 Main</t>
  </si>
  <si>
    <t>LCCTL Break Table Vacuum 1</t>
    <phoneticPr fontId="1" type="noConversion"/>
  </si>
  <si>
    <t>LCCTL Break Table Vacuum 2</t>
  </si>
  <si>
    <t>LCCTL Break Table Vacuum 3</t>
  </si>
  <si>
    <t>LCCTL Break Table Vacuum 4</t>
  </si>
  <si>
    <t>LCCTL Break Table Blow 1</t>
    <phoneticPr fontId="1" type="noConversion"/>
  </si>
  <si>
    <t>LCCTL Break Table Blow 2</t>
  </si>
  <si>
    <t>LCCTL Break Table Blow 3</t>
  </si>
  <si>
    <t>LCCTL Break Table Blow 4</t>
  </si>
  <si>
    <t>LCCTL Cutting Table Crash Prevent Sensor</t>
    <phoneticPr fontId="1" type="noConversion"/>
  </si>
  <si>
    <t>Dummy Door Release Request(L)</t>
  </si>
  <si>
    <t>Dummy Door Release Request(R)</t>
  </si>
  <si>
    <t>2. Check LIST</t>
  </si>
  <si>
    <t>1. I/O Check LIST</t>
  </si>
  <si>
    <t>1차 Check OK 개수</t>
  </si>
  <si>
    <t>2차 Check OK 개수</t>
  </si>
  <si>
    <t>1차 Check NG 개수</t>
  </si>
  <si>
    <t>2차 Check NG 개수</t>
  </si>
  <si>
    <t>1차 Check SKIP 개수</t>
  </si>
  <si>
    <t>2차 Check SKIP 개수</t>
  </si>
  <si>
    <t>1차 Check</t>
  </si>
  <si>
    <t>2차 Check</t>
  </si>
  <si>
    <t>MDIK SPL Check</t>
  </si>
  <si>
    <t>LCCTL Break Table Brush 1 L Up</t>
  </si>
  <si>
    <t>LCCTL Break Table Brush 1 L Down</t>
  </si>
  <si>
    <t>LCCTL Break Table Brush 1 R Up</t>
  </si>
  <si>
    <t>LCCTL Break Table Brush 1 R Down</t>
  </si>
  <si>
    <t>LCCTL Break Table Brush 2 L Up</t>
  </si>
  <si>
    <t>LCCTL Break Table Brush 2 L Down</t>
  </si>
  <si>
    <t>LCCTL Break Table Brush 2 R Up</t>
  </si>
  <si>
    <t>LCCTL Break Table Brush 2 R Down</t>
  </si>
  <si>
    <t xml:space="preserve">LCCTR Scribe Chuck Blow Main 1,2,3,4 </t>
  </si>
  <si>
    <t>LCCTR Scribe Chuck Vacuum 1 Main</t>
  </si>
  <si>
    <t>LCCTR Scribe Chuck Vacuum 2 Main</t>
  </si>
  <si>
    <t>LCCTR Scribe Chuck Vacuum 3,4 Main</t>
  </si>
  <si>
    <t>LCCTR Scribe Chuck Vacuum 1</t>
  </si>
  <si>
    <t>LCCTR Scribe Chuck Vacuum 2</t>
  </si>
  <si>
    <t>LCCTR Scribe Chuck Vacuum 3</t>
  </si>
  <si>
    <t>LCCTR Scribe Chuck Vacuum 4</t>
  </si>
  <si>
    <t>LCCTR Chuck Table Air Blow</t>
    <phoneticPr fontId="1" type="noConversion"/>
  </si>
  <si>
    <t xml:space="preserve">LCCTR Cutting Table Ionizer Support BLow </t>
    <phoneticPr fontId="1" type="noConversion"/>
  </si>
  <si>
    <t>LCCTR Fix Table Blow 1,2</t>
  </si>
  <si>
    <t>LCCTR Fix Table Blow 3,4</t>
  </si>
  <si>
    <t>LCCTR Fix Table Blow 5,6</t>
  </si>
  <si>
    <t>LCCTR Fix Table Blow 7,8</t>
  </si>
  <si>
    <t>LCCTR Fix Table Blow 9,10</t>
  </si>
  <si>
    <t>LCCTR Fix Table Blow 11,12</t>
  </si>
  <si>
    <t>LCCTR Fix Table Blow 13,14</t>
  </si>
  <si>
    <t>LCCTR Fix Table 1 Vacuum</t>
  </si>
  <si>
    <t>LCCTR Fix Table Brush L UP</t>
  </si>
  <si>
    <t>LCCTR Fix Table Brush L Down</t>
  </si>
  <si>
    <t>LCCTR Fix Table Brush R UP</t>
  </si>
  <si>
    <t>LCCTR Fix Table Brush R Down</t>
  </si>
  <si>
    <t>LCCTR Fix Table Blow 1</t>
  </si>
  <si>
    <t>LCCTR Fix Table Blow 2</t>
  </si>
  <si>
    <t>LCCTR Fix Table Blow 3</t>
  </si>
  <si>
    <t>LCCTR Fix Table Blow 4</t>
  </si>
  <si>
    <t>LCCTR Fix Table Blow 5</t>
  </si>
  <si>
    <t>LCCTR Fix Table Blow 6</t>
  </si>
  <si>
    <t>LCCTR Fix Table Blow 7</t>
  </si>
  <si>
    <t>LCCTR Fix Table Blow 8</t>
  </si>
  <si>
    <t>LCCTR Fix Table Blow 9</t>
  </si>
  <si>
    <t>LCCTR Fix Table Blow 10</t>
  </si>
  <si>
    <t>LCCTR Fix Table Blow 11</t>
  </si>
  <si>
    <t>LCCTR Fix Table Blow 12</t>
  </si>
  <si>
    <t>LCCTR Fix Table Blow 13</t>
  </si>
  <si>
    <t>LCCTR Fix Table Blow 14</t>
  </si>
  <si>
    <t>LCCTR Fix Table LDS Sensor High</t>
    <phoneticPr fontId="1" type="noConversion"/>
  </si>
  <si>
    <t>LCCTR Fix Table LDS Sensor Low</t>
    <phoneticPr fontId="1" type="noConversion"/>
  </si>
  <si>
    <t>LCCTR Fix Table LDS Sensor Go</t>
    <phoneticPr fontId="1" type="noConversion"/>
  </si>
  <si>
    <t>LCCTR Fix Table LDS Sensor Alarm</t>
  </si>
  <si>
    <t>LCCTR Break Table LDS Sensor High (L)</t>
  </si>
  <si>
    <t>LCCTR Break Table LDS Sensor Low (L)</t>
  </si>
  <si>
    <t>LCCTR Break Table LDS Sensor Go (L)</t>
  </si>
  <si>
    <t>LCCTR Break Table LDS Sensor Alarm (L)</t>
  </si>
  <si>
    <t>LCCTR Break Table LDS Sensor High (R)</t>
  </si>
  <si>
    <t>LCCTR Break Table LDS Sensor Low (R)</t>
  </si>
  <si>
    <t>LCCTR Break Table LDS Sensor Go (R)</t>
  </si>
  <si>
    <t>LCCTR Break Table LDS Sensor Alarm (R)</t>
  </si>
  <si>
    <t>LCCTR Cutting Table Blow Main 1,2,3,4,</t>
  </si>
  <si>
    <t>LCCTR Cutting Table Vacuum 1 Main</t>
  </si>
  <si>
    <t>LCCTR Cutting Table Vacuum 2 Main</t>
  </si>
  <si>
    <t>LCCTR Cutting Table Vacuum 3 Main</t>
  </si>
  <si>
    <t>LCCTR Cutting Table Vacuum 4 Main</t>
  </si>
  <si>
    <t>LCCTR Cutting Table Crash Prevent Sensor</t>
    <phoneticPr fontId="1" type="noConversion"/>
  </si>
  <si>
    <t>LCCTR Dummy Cart Check Sensor</t>
    <phoneticPr fontId="1" type="noConversion"/>
  </si>
  <si>
    <t>LCCTR Cutting Table Vacuum 1</t>
  </si>
  <si>
    <t>LCCTR Cutting Table Vacuum 2</t>
  </si>
  <si>
    <t>LCCTR Cutting Table Vacuum 3</t>
  </si>
  <si>
    <t>LCCTR Cutting Table Vacuum 4</t>
  </si>
  <si>
    <t>LCCTR Cutting Table Blow 1</t>
    <phoneticPr fontId="1" type="noConversion"/>
  </si>
  <si>
    <t>LCCTR Cutting Table Blow 2</t>
  </si>
  <si>
    <t>LCCTR Cutting Table Blow 3</t>
  </si>
  <si>
    <t>LCCTR Cutting Table Blow 4</t>
  </si>
  <si>
    <t>LCCTR Break Table Blow Main 1,2,3,4</t>
  </si>
  <si>
    <t>LCCTR Break Table Vacuum 1 Main</t>
  </si>
  <si>
    <t>LCCTR Break Table Vacuum 2 Main</t>
  </si>
  <si>
    <t>LCCTR Break Table Vacuum 3 Main</t>
  </si>
  <si>
    <t>LCCTR Break Table Vacuum 4 Main</t>
  </si>
  <si>
    <t>LCCTR Break Table Vacuum 1</t>
  </si>
  <si>
    <t>LCCTR Break Table Vacuum 2</t>
  </si>
  <si>
    <t>LCCTR Break Table Vacuum 3</t>
  </si>
  <si>
    <t>LCCTR Break Table Vacuum 4</t>
  </si>
  <si>
    <t>LCCTR Break Table Blow 1</t>
  </si>
  <si>
    <t>LCCTR Break Table Blow 2</t>
  </si>
  <si>
    <t>LCCTR Break Table Blow 3</t>
  </si>
  <si>
    <t>LCCTR Break Table Blow 4</t>
  </si>
  <si>
    <t>LCCTR Break Table Brush 1 L Up</t>
  </si>
  <si>
    <t>LCCTR Break Table Brush 1 L Down</t>
  </si>
  <si>
    <t>LCCTR Break Table Brush 1 R Up</t>
  </si>
  <si>
    <t>LCCTR Break Table Brush 1 R Down</t>
  </si>
  <si>
    <t>LCCTR Break Table Brush 2 L Up</t>
  </si>
  <si>
    <t>LCCTR Break Table Brush 2 L Down</t>
  </si>
  <si>
    <t>LCCTR Break Table Brush 2 R Up</t>
  </si>
  <si>
    <t>LCCTR Break Table Brush 2 R Down</t>
  </si>
  <si>
    <t>UPS2 E-BOX Temp Alarm 1</t>
  </si>
  <si>
    <t>UPS2 E-BOX Temp Alarm 2</t>
  </si>
  <si>
    <t>UPS2 E-BOX SMOKE Detect Alarm</t>
  </si>
  <si>
    <t>UPS2 E-BOX SMOKE Temp Alarm</t>
  </si>
  <si>
    <t>LCCT1 E-BOX Temp Alarm 1</t>
  </si>
  <si>
    <t>LCCT1 E-BOX Temp Alarm 2</t>
  </si>
  <si>
    <t>LCCT2 E-BOX Temp Alarm 1</t>
  </si>
  <si>
    <t>LCCT2 E-BOX Temp Alarm 2</t>
  </si>
  <si>
    <t>UPS2 E-BOX Smoke Detect Alarm</t>
  </si>
  <si>
    <t>UPS2 E-BOX Smoke Temp Alarm</t>
  </si>
  <si>
    <t>LCCT1 E-BOX Smoke Detect Alarm</t>
  </si>
  <si>
    <t>LCCT1 E-BOX Smoke Temp Alarm</t>
  </si>
  <si>
    <t>LCCT2 E-BOX Smoke Detect Alarm</t>
  </si>
  <si>
    <t>LCCT2 E-BOX Smoke Temp Alarm</t>
  </si>
  <si>
    <t>LCCT MC01 (MC11)</t>
    <phoneticPr fontId="1" type="noConversion"/>
  </si>
  <si>
    <t>LCCT MC02 (MC12)</t>
    <phoneticPr fontId="1" type="noConversion"/>
  </si>
  <si>
    <t>UPS2 MCCB On (MCCB01)</t>
    <phoneticPr fontId="1" type="noConversion"/>
  </si>
  <si>
    <t>LCCT OP Select Key Enable</t>
    <phoneticPr fontId="1" type="noConversion"/>
  </si>
  <si>
    <t>LCCTR Break Table Blow 1 On/Off</t>
    <phoneticPr fontId="1" type="noConversion"/>
  </si>
  <si>
    <t>LCCTR Break Table Blow 2 On/Off</t>
  </si>
  <si>
    <t>LCCTR Break Table Blow 3 On/Off</t>
  </si>
  <si>
    <t>LCCTR Break Table Blow 4 On/Off</t>
  </si>
  <si>
    <t>LCCTR Break Table Blow &amp; Vacuum 1 On/Off</t>
    <phoneticPr fontId="1" type="noConversion"/>
  </si>
  <si>
    <t>LCCTR Break Table Blow &amp; Vacuum 2 On/Off</t>
  </si>
  <si>
    <t>LCCTR Break Table Blow &amp; Vacuum 3 On/Off</t>
  </si>
  <si>
    <t>LCCTR Break Table Blow &amp; Vacuum 4 On/Off</t>
  </si>
  <si>
    <t>LCCTR Dummy Shutter Fwd</t>
    <phoneticPr fontId="1" type="noConversion"/>
  </si>
  <si>
    <t>LCCTR Dummy Shutter Bwd</t>
    <phoneticPr fontId="1" type="noConversion"/>
  </si>
  <si>
    <t>LCCTL Break Table Brush 1 Up</t>
    <phoneticPr fontId="1" type="noConversion"/>
  </si>
  <si>
    <t>LCCTR Break Table Brush 1 Up</t>
    <phoneticPr fontId="1" type="noConversion"/>
  </si>
  <si>
    <t>LCCTR Break Table Brush 1 Down</t>
    <phoneticPr fontId="1" type="noConversion"/>
  </si>
  <si>
    <t>LCCTR Break Table Brush 2 Up</t>
  </si>
  <si>
    <t>LCCTR Break Table Brush 2 Down</t>
  </si>
  <si>
    <t>LCCTR Break Table Hyper Clean Pressure</t>
    <phoneticPr fontId="1" type="noConversion"/>
  </si>
  <si>
    <t>LCCTR Break Table Hyper Clean On/Off</t>
    <phoneticPr fontId="1" type="noConversion"/>
  </si>
  <si>
    <t>LCCTL Cutting Table LDS Sensor Zero Shift (L)</t>
  </si>
  <si>
    <t>LCCTL Cutting Table LDS Sensor Zero Shift (R)</t>
  </si>
  <si>
    <t>LCCTR Cutting Table LDS Sensor Zero Shift (L)</t>
  </si>
  <si>
    <t>LCCTR Cutting Table LDS Sensor Zero Shift (R)</t>
  </si>
  <si>
    <t>LCCTR Cutting TableLDS Sensor Zero Reset (L)</t>
  </si>
  <si>
    <t>LCCTR Cutting TableLDS Sensor Zero Reset (R)</t>
  </si>
  <si>
    <t>LCCTR Cutting TableLDS Sensor Zero Timing (L)</t>
  </si>
  <si>
    <t>LCCTR Cutting TableLDS Sensor Zero Timing (R)</t>
  </si>
  <si>
    <t>LCCTR Cutting Table Blow 1 On/Off</t>
    <phoneticPr fontId="1" type="noConversion"/>
  </si>
  <si>
    <t>LCCTR Cutting Table Blow 2 On/Off</t>
  </si>
  <si>
    <t>LCCTR Cutting Table Blow 3 On/Off</t>
  </si>
  <si>
    <t>LCCTR Cutting Table Blow 4 On/Off</t>
  </si>
  <si>
    <t>LCCTR Cutting TableBlow &amp; Vacuum 1 On/Off</t>
    <phoneticPr fontId="1" type="noConversion"/>
  </si>
  <si>
    <t>LCCTR Cutting TableBlow &amp; Vacuum 2 On/Off</t>
  </si>
  <si>
    <t>LCCTR Cutting TableBlow &amp; Vacuum 3 On/Off</t>
  </si>
  <si>
    <t>LCCTR Cutting TableBlow &amp; Vacuum 4 On/Off</t>
  </si>
  <si>
    <t>LCCTR Fix Table Blow 1 On/Off</t>
    <phoneticPr fontId="1" type="noConversion"/>
  </si>
  <si>
    <t>LCCTR Fix Table Blow 2 On/Off</t>
  </si>
  <si>
    <t>LCCTR Fix Table Blow 3 On/Off</t>
  </si>
  <si>
    <t>LCCTR Fix Table Blow 4 On/Off</t>
  </si>
  <si>
    <t>LCCTR Fix Table Blow 5 On/Off</t>
  </si>
  <si>
    <t>LCCTR Fix Table Blow 6 On/Off</t>
  </si>
  <si>
    <t>LCCTR Fix Table Blow 7 On/Off</t>
  </si>
  <si>
    <t>LCCTR Fix Table Blow 8 On/Off</t>
  </si>
  <si>
    <t>LCCTR Fix Table Blow 9 On/Off</t>
  </si>
  <si>
    <t>LCCTR Fix Table Blow 10 On/Off</t>
  </si>
  <si>
    <t>LCCTR Fix Table Blow 11 On/Off</t>
  </si>
  <si>
    <t>LCCTR Fix Table Blow 12 On/Off</t>
  </si>
  <si>
    <t>LCCTR Fix Table Blow 13 On/Off</t>
  </si>
  <si>
    <t>LCCTR Fix Table Blow 14 On/Off</t>
  </si>
  <si>
    <t>LCCTR Fix Table Blow &amp; Vacuum 1 On/Off</t>
    <phoneticPr fontId="1" type="noConversion"/>
  </si>
  <si>
    <t>LCCTR Scribe Chuck Blow 1 On/Off</t>
  </si>
  <si>
    <t>LCCTR Scribe Chuck Blow 2 On/Off</t>
  </si>
  <si>
    <t>LCCTR Scribe Chuck Blow &amp; Vacuum 1 On/Off</t>
  </si>
  <si>
    <t>LCCTR Scribe Chuck Blow &amp; Vacuum 2 On/Off</t>
  </si>
  <si>
    <t>LCCTR Scribe Chuck Blow 3,4 On/Off</t>
  </si>
  <si>
    <t>LCCTR Scribe Chuck Table Air Blow On/Off</t>
  </si>
  <si>
    <t>LCCTR Scribe Chuck Blow &amp; Vacuum 3 On</t>
  </si>
  <si>
    <t>LCCTR Scribe Chuck Blow &amp; Vacuum 3 Off</t>
  </si>
  <si>
    <t>LCCTR Scribe Chuck Blow &amp; Vacuum 4 On</t>
  </si>
  <si>
    <t>LCCTR Scribe Chuck Blow &amp; Vacuum 4 Off</t>
  </si>
  <si>
    <t>LCCTR Glass Air Blow On/Off</t>
  </si>
  <si>
    <t>LCCTR Scale+Wheel Blow On/Off</t>
    <phoneticPr fontId="1" type="noConversion"/>
  </si>
  <si>
    <t>LCCTR Fix Table Brush Up</t>
    <phoneticPr fontId="1" type="noConversion"/>
  </si>
  <si>
    <t>LCCTR Fix Table Brush Down</t>
    <phoneticPr fontId="1" type="noConversion"/>
  </si>
  <si>
    <t>LCCTL Break Table Blow 1 On/Off</t>
    <phoneticPr fontId="1" type="noConversion"/>
  </si>
  <si>
    <t>LCCTL Break Table Blow 2 On/Off</t>
  </si>
  <si>
    <t>LCCTL Break Table Blow 3 On/Off</t>
  </si>
  <si>
    <t>LCCTL Break Table Blow 4 On/Off</t>
  </si>
  <si>
    <t>LCCTL Break Table Blow &amp; Vacuum 1 On/Off</t>
    <phoneticPr fontId="1" type="noConversion"/>
  </si>
  <si>
    <t>LCCTL Break Table Blow &amp; Vacuum 2 On/Off</t>
  </si>
  <si>
    <t>LCCTL Break Table Blow &amp; Vacuum 3 On/Off</t>
  </si>
  <si>
    <t>LCCTL Break Table Blow &amp; Vacuum 4 On/Off</t>
  </si>
  <si>
    <t>LCCTL Dummy Shutter Fwd</t>
  </si>
  <si>
    <t>LCCTL Dummy Shutter Bwd</t>
  </si>
  <si>
    <t>LCCTL Break Table Brush 1 Down</t>
    <phoneticPr fontId="1" type="noConversion"/>
  </si>
  <si>
    <t>LCCTL Break Table Brush 2 Up</t>
    <phoneticPr fontId="1" type="noConversion"/>
  </si>
  <si>
    <t>LCCTL Break Table Brush 2 Down</t>
    <phoneticPr fontId="1" type="noConversion"/>
  </si>
  <si>
    <t>LCCTL Cutting Table Blow 1 On/Off</t>
    <phoneticPr fontId="1" type="noConversion"/>
  </si>
  <si>
    <t>LCCTL Cutting Table Blow 2 On/Off</t>
  </si>
  <si>
    <t>LCCTL Cutting Table Blow 3 On/Off</t>
  </si>
  <si>
    <t>LCCTL Cutting Table Blow 4 On/Off</t>
  </si>
  <si>
    <t>LCCTL Cutting Table Blow &amp; Vacuum 1 On/Off</t>
    <phoneticPr fontId="1" type="noConversion"/>
  </si>
  <si>
    <t>LCCTL Cutting Table Blow &amp; Vacuum 2 On/Off</t>
  </si>
  <si>
    <t>LCCTL Cutting Table Blow &amp; Vacuum 3 On/Off</t>
  </si>
  <si>
    <t>LCCTL Cutting Table Blow &amp; Vacuum 4 On/Off</t>
  </si>
  <si>
    <t>LCCTL Cutting Table LDS Sensor Zero Reset (L)</t>
    <phoneticPr fontId="1" type="noConversion"/>
  </si>
  <si>
    <t>LCCTL Cutting Table LDS Sensor Zero Timing (L)</t>
    <phoneticPr fontId="1" type="noConversion"/>
  </si>
  <si>
    <t>LCCTL Cutting Table LDS Sensor Zero Reset (R)</t>
    <phoneticPr fontId="1" type="noConversion"/>
  </si>
  <si>
    <t>LCCTL Cutting Table LDS Sensor Zero Timing (R)</t>
    <phoneticPr fontId="1" type="noConversion"/>
  </si>
  <si>
    <t>LCCTL Fix Table Blow 1 On/Off</t>
    <phoneticPr fontId="1" type="noConversion"/>
  </si>
  <si>
    <t>LCCTL Fix Table Blow 2 On/Off</t>
  </si>
  <si>
    <t>LCCTL Fix Table Blow 3 On/Off</t>
  </si>
  <si>
    <t>LCCTL Fix Table Blow 4 On/Off</t>
  </si>
  <si>
    <t>LCCTL Fix Table Blow 5 On/Off</t>
  </si>
  <si>
    <t>LCCTL Fix Table Blow 6 On/Off</t>
  </si>
  <si>
    <t>LCCTL Fix Table Blow 7 On/Off</t>
  </si>
  <si>
    <t>LCCTL Fix Table Blow 8 On/Off</t>
  </si>
  <si>
    <t>LCCTL Fix Table Blow 9 On/Off</t>
  </si>
  <si>
    <t>LCCTL Fix Table Blow 10 On/Off</t>
  </si>
  <si>
    <t>LCCTL Fix Table Blow 11 On/Off</t>
  </si>
  <si>
    <t>LCCTL Fix Table Blow 12 On/Off</t>
  </si>
  <si>
    <t>LCCTL Fix Table Blow 13 On/Off</t>
  </si>
  <si>
    <t>LCCTL Fix Table Blow 14 On/Off</t>
  </si>
  <si>
    <t>LCCTL Fix Table Blow &amp; Vacuum 1 On/Off</t>
    <phoneticPr fontId="1" type="noConversion"/>
  </si>
  <si>
    <t>LCCTL Scribe Chuck Blow 1 On/Off</t>
  </si>
  <si>
    <t>LCCTL Scribe Chuck Blow 2 On/Off</t>
  </si>
  <si>
    <t>LCCTL Scribe Chuck Blow &amp; Vacuum 1 On/Off</t>
  </si>
  <si>
    <t>LCCTL Scribe Chuck Blow &amp; Vacuum 2 On/Off</t>
  </si>
  <si>
    <t>LCCTL Scribe Chuck Blow 3,4 On/Off</t>
  </si>
  <si>
    <t>LCCTL Scribe Chuck Table Air Blow On/Off</t>
  </si>
  <si>
    <t>LCCTL Scribe Chuck Blow &amp; Vacuum 3 On</t>
    <phoneticPr fontId="1" type="noConversion"/>
  </si>
  <si>
    <t>LCCTL Scribe Chuck Blow &amp; Vacuum 3 Off</t>
    <phoneticPr fontId="1" type="noConversion"/>
  </si>
  <si>
    <t>LCCTL Scribe Chuck Blow &amp; Vacuum 4 On</t>
  </si>
  <si>
    <t>LCCTL Scribe Chuck Blow &amp; Vacuum 4 Off</t>
  </si>
  <si>
    <t>LCCTL Glass Air Blow On/Off</t>
    <phoneticPr fontId="1" type="noConversion"/>
  </si>
  <si>
    <t>LCCTL Fix Table Brush Up</t>
    <phoneticPr fontId="1" type="noConversion"/>
  </si>
  <si>
    <t>LCCTL Fix Table Brush Down</t>
    <phoneticPr fontId="1" type="noConversion"/>
  </si>
  <si>
    <t>LCCTL Scale+Wheel Blow On/Off</t>
    <phoneticPr fontId="1" type="noConversion"/>
  </si>
  <si>
    <t>LCCT Stick Transfer 2 Vacuum 1 On</t>
    <phoneticPr fontId="1" type="noConversion"/>
  </si>
  <si>
    <t>LCCT Stick Transfer 2 Vacuum 1 Off</t>
  </si>
  <si>
    <t>LCCT Stick Transfer 2 Vacuum 2 On</t>
  </si>
  <si>
    <t>LCCT Stick Transfer 2 Vacuum 2 Off</t>
  </si>
  <si>
    <t>LCCT Stick Transfer 2 Vacuum 3 On</t>
  </si>
  <si>
    <t>LCCT Stick Transfer 2 Vacuum 3 Off</t>
  </si>
  <si>
    <t>LCCT Stick Transfer 2 Vacuum 4 On</t>
  </si>
  <si>
    <t>LCCT Stick Transfer 2 Vacuum 4 Off</t>
  </si>
  <si>
    <t>LCCTL Fix Table LDS Sensor Zero Shift</t>
    <phoneticPr fontId="1" type="noConversion"/>
  </si>
  <si>
    <t>LCCTL Fix Table LDS Sensor Reset</t>
    <phoneticPr fontId="1" type="noConversion"/>
  </si>
  <si>
    <t>LCCTL Fix Table LDS Sensor Timing</t>
    <phoneticPr fontId="1" type="noConversion"/>
  </si>
  <si>
    <t>LCCT Stick Transfer 2 Blow On/Off</t>
    <phoneticPr fontId="1" type="noConversion"/>
  </si>
  <si>
    <t>LCCTL Cutting Table Ionizer Remote On</t>
    <phoneticPr fontId="1" type="noConversion"/>
  </si>
  <si>
    <t>LCCTL Cutting Table Ionizer Remote Select</t>
    <phoneticPr fontId="1" type="noConversion"/>
  </si>
  <si>
    <t>LCCTL Fix Table Ionizer Remote Off</t>
    <phoneticPr fontId="1" type="noConversion"/>
  </si>
  <si>
    <t>LCCTL Fix Table Ionizer Remote On</t>
    <phoneticPr fontId="1" type="noConversion"/>
  </si>
  <si>
    <t>LCCTL Fix Table Ionizer Remote Select</t>
    <phoneticPr fontId="1" type="noConversion"/>
  </si>
  <si>
    <t>LCCTL Fix Table Ionizer Interlock On</t>
    <phoneticPr fontId="1" type="noConversion"/>
  </si>
  <si>
    <t>LCCTL Cutting Table Ionizer Remote Off</t>
    <phoneticPr fontId="1" type="noConversion"/>
  </si>
  <si>
    <t>LCCTL Cutting Table Ionizer Interlock On</t>
    <phoneticPr fontId="1" type="noConversion"/>
  </si>
  <si>
    <t>LCCTL Break Table Ionizer Remote Select</t>
    <phoneticPr fontId="1" type="noConversion"/>
  </si>
  <si>
    <t>LCCTL Break Table Ionizer Remote On</t>
    <phoneticPr fontId="1" type="noConversion"/>
  </si>
  <si>
    <t>LCCTL Break Table Ionizer Remote Off</t>
    <phoneticPr fontId="1" type="noConversion"/>
  </si>
  <si>
    <t>LCCTL Break Table Ionizer Interlock On</t>
    <phoneticPr fontId="1" type="noConversion"/>
  </si>
  <si>
    <t>LCCTR Fix Table Ionizer Remote Select</t>
    <phoneticPr fontId="1" type="noConversion"/>
  </si>
  <si>
    <t>LCCTR Fix Table Ionizer Remote On</t>
    <phoneticPr fontId="1" type="noConversion"/>
  </si>
  <si>
    <t>LCCTR Fix Table Ionizer Remote Off</t>
    <phoneticPr fontId="1" type="noConversion"/>
  </si>
  <si>
    <t>LCCTR Fix Table Ionizer Interlock On</t>
    <phoneticPr fontId="1" type="noConversion"/>
  </si>
  <si>
    <t>LCCTR Cutting Table Ionizer Remote Select</t>
    <phoneticPr fontId="1" type="noConversion"/>
  </si>
  <si>
    <t>LCCTR Cutting Table Ionizer Remote On</t>
    <phoneticPr fontId="1" type="noConversion"/>
  </si>
  <si>
    <t>LCCTR Cutting Table Ionizer Remote Off</t>
    <phoneticPr fontId="1" type="noConversion"/>
  </si>
  <si>
    <t>LCCTR Cutting Table Ionizer Interlock On</t>
    <phoneticPr fontId="1" type="noConversion"/>
  </si>
  <si>
    <t>LCCTR Break Table Ionizer Remote Select</t>
    <phoneticPr fontId="1" type="noConversion"/>
  </si>
  <si>
    <t>LCCTR Break Table Ionizer Remote On</t>
    <phoneticPr fontId="1" type="noConversion"/>
  </si>
  <si>
    <t>LCCTR Break Table Ionizer Remote Off</t>
    <phoneticPr fontId="1" type="noConversion"/>
  </si>
  <si>
    <t>LCCTR Break Table Ionizer Interlock On</t>
    <phoneticPr fontId="1" type="noConversion"/>
  </si>
  <si>
    <t>LCCTL Fix Table Ionizer Ionizer Normal Status</t>
    <phoneticPr fontId="1" type="noConversion"/>
  </si>
  <si>
    <t>LCCTL Fix Table Ionizer  Abnormal Status</t>
    <phoneticPr fontId="1" type="noConversion"/>
  </si>
  <si>
    <t>LCCTL Cutting Table Ionizer Power On</t>
    <phoneticPr fontId="1" type="noConversion"/>
  </si>
  <si>
    <t>LCCTL Cutting Table Ionizer  Interlock On</t>
    <phoneticPr fontId="1" type="noConversion"/>
  </si>
  <si>
    <t>LCCTL Cutting Table Ionizer Ionizer Normal Status</t>
    <phoneticPr fontId="1" type="noConversion"/>
  </si>
  <si>
    <t>LCCTL Cutting Table Ionizer  Abnormal Status</t>
    <phoneticPr fontId="1" type="noConversion"/>
  </si>
  <si>
    <t>LCCTL Break Table Ionizer Power On</t>
    <phoneticPr fontId="1" type="noConversion"/>
  </si>
  <si>
    <t>LCCTL Break Table Ionizer  Interlock On</t>
    <phoneticPr fontId="1" type="noConversion"/>
  </si>
  <si>
    <t>LCCTL Break Table Ionizer Ionizer Normal Status</t>
    <phoneticPr fontId="1" type="noConversion"/>
  </si>
  <si>
    <t>LCCTL Break Table Ionizer  Abnormal Status</t>
    <phoneticPr fontId="1" type="noConversion"/>
  </si>
  <si>
    <t>LCCTR Fix Table Ionizer Power On</t>
    <phoneticPr fontId="1" type="noConversion"/>
  </si>
  <si>
    <t>LCCTR Fix Table Ionizer  Interlock On</t>
    <phoneticPr fontId="1" type="noConversion"/>
  </si>
  <si>
    <t>LCCTR Fix Table Ionizer Ionizer Normal Status</t>
    <phoneticPr fontId="1" type="noConversion"/>
  </si>
  <si>
    <t>LCCTR Cutting Table Ionizer Power On</t>
    <phoneticPr fontId="1" type="noConversion"/>
  </si>
  <si>
    <t>LCCTR Fix Table Ionizer  Abnormal Status</t>
    <phoneticPr fontId="1" type="noConversion"/>
  </si>
  <si>
    <t>LCCTR Cutting Table Ionizer Ionizer Normal Status</t>
    <phoneticPr fontId="1" type="noConversion"/>
  </si>
  <si>
    <t>LCCTR Cutting Table Ionizer  Abnormal Status</t>
    <phoneticPr fontId="1" type="noConversion"/>
  </si>
  <si>
    <t>LCCTR Break Table Ionizer Power On</t>
    <phoneticPr fontId="1" type="noConversion"/>
  </si>
  <si>
    <t>LCCTR Break Table Ionizer Ionizer Normal Status</t>
    <phoneticPr fontId="1" type="noConversion"/>
  </si>
  <si>
    <t>LCCTR Break Table Ionizer Abnormal Status</t>
    <phoneticPr fontId="1" type="noConversion"/>
  </si>
  <si>
    <t>LCCT Dust Chather INV SPEED1</t>
    <phoneticPr fontId="1" type="noConversion"/>
  </si>
  <si>
    <t>LCCT Dust Chather INV SPEED2</t>
  </si>
  <si>
    <t>LCCT Dust Chather INV SPEED3</t>
  </si>
  <si>
    <t>RCCT Dust Chather INV SPEED1</t>
    <phoneticPr fontId="1" type="noConversion"/>
  </si>
  <si>
    <t>RCCT Dust Chather INV SPEED2</t>
  </si>
  <si>
    <t>RCCT Dust Chather INV SPEED3</t>
  </si>
  <si>
    <t>RCCT1 E-BOX Temp Alarm 1</t>
  </si>
  <si>
    <t>RCCT1 E-BOX Temp Alarm 2</t>
  </si>
  <si>
    <t>RCCT1 E-BOX SMOKE Detect Alarm</t>
  </si>
  <si>
    <t>RCCT2 E-BOX Temp Alarm 1</t>
  </si>
  <si>
    <t>RCCT2 E-BOX Temp Alarm 2</t>
  </si>
  <si>
    <t>RCCT2 E-BOX SMOKE Detect Alarm</t>
  </si>
  <si>
    <t>RCCT2 E-BOX SMOKE Temp Alarm</t>
  </si>
  <si>
    <t>RCCT MC01 (MC11)</t>
    <phoneticPr fontId="1" type="noConversion"/>
  </si>
  <si>
    <t>RCCT MC02 (MC12)</t>
    <phoneticPr fontId="1" type="noConversion"/>
  </si>
  <si>
    <t>RCCTR Break Table Brush 1 L Up</t>
  </si>
  <si>
    <t>RCCTR Break Table Brush 1 L Down</t>
  </si>
  <si>
    <t>RCCTR Break Table Brush 1 R Up</t>
  </si>
  <si>
    <t>RCCTR Break Table Brush 1 R Down</t>
  </si>
  <si>
    <t>RCCTR Break Table Brush 2 L Up</t>
  </si>
  <si>
    <t>RCCTR Break Table Brush 2 L Down</t>
  </si>
  <si>
    <t>RCCTR Break Table Brush 2 R Up</t>
  </si>
  <si>
    <t>RCCTR Break Table Brush 2 R Down</t>
  </si>
  <si>
    <t>RCCTR Break Table Blow 1 On/Off</t>
  </si>
  <si>
    <t>RCCTR Break Table Blow 2 On/Off</t>
  </si>
  <si>
    <t>RCCTR Break Table Blow 3 On/Off</t>
  </si>
  <si>
    <t>RCCTR Break Table Blow 4 On/Off</t>
  </si>
  <si>
    <t>RCCTR Break Table Blow &amp; Vacuum 1 On/Off</t>
  </si>
  <si>
    <t>RCCTR Break Table Blow &amp; Vacuum 2 On/Off</t>
  </si>
  <si>
    <t>RCCTR Break Table Blow &amp; Vacuum 3 On/Off</t>
  </si>
  <si>
    <t>RCCTR Break Table Blow &amp; Vacuum 4 On/Off</t>
  </si>
  <si>
    <t>RCCTR Dummy Shutter Fwd</t>
  </si>
  <si>
    <t>RCCTR Dummy Shutter Bwd</t>
  </si>
  <si>
    <t>RCCTR Break Table Brush 1 Up</t>
  </si>
  <si>
    <t>RCCTR Break Table Brush 1 Down</t>
  </si>
  <si>
    <t>RCCTR Break Table Brush 2 Up</t>
  </si>
  <si>
    <t>RCCTR Break Table Brush 2 Down</t>
  </si>
  <si>
    <t>RCCTR Break Table Hyper Clean On/Off</t>
  </si>
  <si>
    <t>RCCTR Cutting Table Blow 1 On/Off</t>
  </si>
  <si>
    <t>RCCTR Cutting Table Blow 2 On/Off</t>
  </si>
  <si>
    <t>RCCTR Cutting Table Blow 3 On/Off</t>
  </si>
  <si>
    <t>RCCTR Cutting Table Blow 4 On/Off</t>
  </si>
  <si>
    <t>RCCTR Cutting Table LDS Sensor Zero Shift (L)</t>
  </si>
  <si>
    <t>RCCTR Cutting Table LDS Sensor Zero Reset (L)</t>
  </si>
  <si>
    <t>RCCTR Cutting Table LDS Sensor Zero Timing (L)</t>
  </si>
  <si>
    <t>RCCTR Cutting Table LDS Sensor Zero Shift (R)</t>
  </si>
  <si>
    <t>RCCTR Cutting Table LDS Sensor Zero Reset (R)</t>
  </si>
  <si>
    <t>RCCTR Cutting Table LDS Sensor Zero Timing (R)</t>
  </si>
  <si>
    <t>RCCTR Cutting Table Blow &amp; Vacuum 1 On/Off</t>
  </si>
  <si>
    <t>RCCTR Cutting Table Blow &amp; Vacuum 2 On/Off</t>
  </si>
  <si>
    <t>RCCTR Cutting Table Blow &amp; Vacuum 3 On/Off</t>
  </si>
  <si>
    <t>RCCTR Cutting Table Blow &amp; Vacuum 4 On/Off</t>
  </si>
  <si>
    <t>RCCTR Fix Table Blow 1 On/Off</t>
  </si>
  <si>
    <t>RCCTR Fix Table Blow 2 On/Off</t>
  </si>
  <si>
    <t>RCCTR Fix Table Blow 3 On/Off</t>
  </si>
  <si>
    <t>RCCTR Fix Table Blow 4 On/Off</t>
  </si>
  <si>
    <t>RCCTR Fix Table Blow 5 On/Off</t>
  </si>
  <si>
    <t>RCCTR Fix Table Blow 6 On/Off</t>
  </si>
  <si>
    <t>RCCTR Fix Table Blow 7 On/Off</t>
  </si>
  <si>
    <t>RCCTR Fix Table Blow 8 On/Off</t>
  </si>
  <si>
    <t>RCCTR Fix Table Blow 9 On/Off</t>
  </si>
  <si>
    <t>RCCTR Fix Table Blow 10 On/Off</t>
  </si>
  <si>
    <t>RCCTR Fix Table Blow 12 On/Off</t>
  </si>
  <si>
    <t>RCCTR Fix Table Blow 13 On/Off</t>
  </si>
  <si>
    <t>RCCTR Fix Table Blow 14 On/Off</t>
  </si>
  <si>
    <t>RCCTR Fix Table Blow &amp; Vacuum 1 On/Off</t>
  </si>
  <si>
    <t>RCCTR Scale+Wheel Blow On/Off</t>
    <phoneticPr fontId="1" type="noConversion"/>
  </si>
  <si>
    <t>RCCTR Fix Table Brush UP</t>
  </si>
  <si>
    <t>RCCTR Fix Table Brush Down</t>
  </si>
  <si>
    <t>RCCTR Scribe Chuck Blow 1 On/Off</t>
  </si>
  <si>
    <t>RCCTR Scribe Chuck Blow 2 On/Off</t>
  </si>
  <si>
    <t>RCCTR Scribe Chuck Blow &amp; Vacuum 1 On/Off</t>
  </si>
  <si>
    <t>RCCTR Scribe Chuck Blow &amp; Vacuum 2 On/Off</t>
  </si>
  <si>
    <t>RCCTR Scribe Chuck Blow 3,4 On/Off</t>
  </si>
  <si>
    <t>RCCTR Scribe Chuck Table Air Blow On/Off</t>
  </si>
  <si>
    <t>RCCTR Scribe Chuck Blow &amp; Vacuum 3 On</t>
  </si>
  <si>
    <t>RCCTR Scribe Chuck Blow &amp; Vacuum 3 Off</t>
  </si>
  <si>
    <t>RCCTR Scribe Chuck Blow &amp; Vacuum 4 On</t>
  </si>
  <si>
    <t>RCCTR Scribe Chuck Blow &amp; Vacuum 4 Off</t>
  </si>
  <si>
    <t>RCCTR Glass Air Blow On/Off</t>
  </si>
  <si>
    <t>RCCTR Fix Table LDS Sensor (Zero Shift)</t>
  </si>
  <si>
    <t>RCCTR Fix Table LDS Sensor (Reset)</t>
  </si>
  <si>
    <t>RCCTR Fix Table LDS Sensor (Timing)</t>
  </si>
  <si>
    <t>LCCTL Fix Table LDS Sensor Go</t>
  </si>
  <si>
    <t>LCCTL Fix Table LDS Sensor Alarm</t>
  </si>
  <si>
    <t>LCCTR Fix Table LDS Sensor (Zero Shift)</t>
  </si>
  <si>
    <t>LCCTR Fix Table LDS Sensor (Reset)</t>
  </si>
  <si>
    <t>LCCTR Fix Table LDS Sensor (Timing)</t>
  </si>
  <si>
    <t>RCCTR Break Table Vacuum 1</t>
  </si>
  <si>
    <t>RCCTR Break Table Vacuum 2</t>
  </si>
  <si>
    <t>RCCTR Break Table Vacuum 3</t>
  </si>
  <si>
    <t>RCCTR Break Table Vacuum 4</t>
  </si>
  <si>
    <t>RCCTR Break Table Blow 1</t>
  </si>
  <si>
    <t>RCCTR Break Table Blow 2</t>
  </si>
  <si>
    <t>RCCTR Break Table Blow 3</t>
  </si>
  <si>
    <t>RCCTR Break Table Blow 4</t>
  </si>
  <si>
    <t>RCCTR Break Table Blow Main 1,2,3,4</t>
  </si>
  <si>
    <t>RCCTR Break Table Vacuum 1 Main</t>
  </si>
  <si>
    <t>RCCTR Break Table Vacuum 2 Main</t>
  </si>
  <si>
    <t>RCCTR Break Table Vacuum 3 Main</t>
  </si>
  <si>
    <t>RCCTR Break Table Vacuum 4 Main</t>
  </si>
  <si>
    <t>RCCTR Cutting Table Vacuum 1</t>
  </si>
  <si>
    <t>RCCTR Cutting Table Vacuum 2</t>
  </si>
  <si>
    <t>RCCTR Cutting Table Vacuum 3</t>
  </si>
  <si>
    <t>RCCTR Cutting Table Vacuum 4</t>
  </si>
  <si>
    <t>RCCTR Cutting Table Blow 1</t>
  </si>
  <si>
    <t>RCCTR Cutting Table Blow 2</t>
  </si>
  <si>
    <t>RCCTR Cutting Table Blow 3</t>
  </si>
  <si>
    <t>RCCTR Cutting Table Blow 4</t>
  </si>
  <si>
    <t>RCCTR Cutting Table Crash Prevent Sensor</t>
  </si>
  <si>
    <t>RCCTR Dummy Cart Check Sensor</t>
  </si>
  <si>
    <t>RCCTR Cutting Table Blow Main 1,2,3,4,</t>
  </si>
  <si>
    <t>RCCTR Cutting Table Vacuum 1 Main</t>
  </si>
  <si>
    <t>RCCTR Cutting Table Vacuum 2 Main</t>
  </si>
  <si>
    <t>RCCTR Cutting Table Vacuum 3 Main</t>
  </si>
  <si>
    <t>RCCTR Cutting Table Vacuum 4 Main</t>
  </si>
  <si>
    <t>RCCTR Fix Table Blow 1</t>
  </si>
  <si>
    <t>RCCTR Fix Table Blow 2</t>
  </si>
  <si>
    <t>RCCTR Fix Table Blow 3</t>
  </si>
  <si>
    <t>RCCTR Fix Table Blow 4</t>
  </si>
  <si>
    <t>RCCTR Fix Table Blow 5</t>
  </si>
  <si>
    <t>RCCTR Fix Table Blow 6</t>
  </si>
  <si>
    <t>RCCTR Fix Table Blow 7</t>
  </si>
  <si>
    <t>RCCTR Fix Table Blow 8</t>
  </si>
  <si>
    <t>RCCTR Fix Table Blow 9</t>
  </si>
  <si>
    <t>RCCTR Fix Table Blow 10</t>
  </si>
  <si>
    <t>RCCTR Fix Table Blow 11</t>
  </si>
  <si>
    <t>RCCTR Fix Table Blow 12</t>
  </si>
  <si>
    <t>RCCTR Fix Table Blow 13</t>
  </si>
  <si>
    <t>RCCTR Fix Table Blow 14</t>
  </si>
  <si>
    <t>RCCTR Cutting Table LDS Sensor High (L)</t>
  </si>
  <si>
    <t>RCCTR Cutting Table LDS Sensor Low (L)</t>
  </si>
  <si>
    <t>RCCTR Cutting Table LDS Sensor Go (L)</t>
  </si>
  <si>
    <t>RCCTR Cutting Table LDS Sensor Alarm (L)</t>
  </si>
  <si>
    <t>RCCTR Cutting Table LDS Sensor High (R)</t>
  </si>
  <si>
    <t>RCCTR Cutting Table LDS Sensor Low (R)</t>
  </si>
  <si>
    <t>RCCTR Cutting Table LDS Sensor Go (R)</t>
  </si>
  <si>
    <t>RCCTR Cutting Table LDS Sensor Alarm (R)</t>
  </si>
  <si>
    <t>RCCTR Fix Table Brush L UP</t>
  </si>
  <si>
    <t>RCCTR Fix Table Brush L Down</t>
  </si>
  <si>
    <t>RCCTR Fix Table Brush R UP</t>
  </si>
  <si>
    <t>RCCTR Fix Table Brush R Down</t>
  </si>
  <si>
    <t>RCCTR Fix Table Blow 1,2</t>
  </si>
  <si>
    <t>RCCTR Fix Table Blow 3,4</t>
  </si>
  <si>
    <t>RCCTR Fix Table Blow 5,6</t>
  </si>
  <si>
    <t>RCCTR Fix Table Blow 7,8</t>
  </si>
  <si>
    <t>RCCTR Fix Table Blow 9,10</t>
  </si>
  <si>
    <t>RCCTR Fix Table Blow 11,12</t>
  </si>
  <si>
    <t>RCCTR Fix Table Blow 13,14</t>
  </si>
  <si>
    <t>RCCTR Fix Table 1 Vacuum</t>
  </si>
  <si>
    <t>RCCTR Glass Air Blow</t>
  </si>
  <si>
    <t>RCCTR Scribe Chuck Table Air Blow</t>
  </si>
  <si>
    <t xml:space="preserve">RCCTR Scribe Chuck Blow Main 1,2,3,4 </t>
  </si>
  <si>
    <t>RCCTR Scribe Chuck Vacuum 1 Main</t>
  </si>
  <si>
    <t>RCCTR Scribe Chuck Vacuum 2 Main</t>
  </si>
  <si>
    <t>RCCTR Scribe Chuck Vacuum 3,4 Main</t>
  </si>
  <si>
    <t>RCCTR Scribe Chuck Vacuum 1</t>
  </si>
  <si>
    <t>RCCTR Scribe Chuck Vacuum 2</t>
  </si>
  <si>
    <t>RCCTR Scribe Chuck Vacuum 3</t>
  </si>
  <si>
    <t>RCCTR Scribe Chuck Vacuum 4</t>
  </si>
  <si>
    <t>RCCTL Break Table Brush 1 L Up</t>
  </si>
  <si>
    <t>RCCTL Break Table Brush 1 L Down</t>
  </si>
  <si>
    <t>RCCTL Break Table Brush 1 R Up</t>
  </si>
  <si>
    <t>RCCTL Break Table Brush 1 R Down</t>
  </si>
  <si>
    <t>RCCTL Break Table Brush 2 L Up</t>
  </si>
  <si>
    <t>RCCTL Break Table Brush 2 L Down</t>
  </si>
  <si>
    <t>RCCTL Break Table Brush 2 R Up</t>
  </si>
  <si>
    <t>RCCTL Break Table Brush 2 R Down</t>
  </si>
  <si>
    <t>RCCTL Break Table Blow 1 On/Off</t>
  </si>
  <si>
    <t>RCCTL Break Table Blow 2 On/Off</t>
  </si>
  <si>
    <t>RCCTL Break Table Blow 3 On/Off</t>
  </si>
  <si>
    <t>RCCTL Break Table Blow 4 On/Off</t>
  </si>
  <si>
    <t>RCCTL Break Table Blow &amp; Vacuum 1 On/Off</t>
  </si>
  <si>
    <t>RCCTL Break Table Blow &amp; Vacuum 2 On/Off</t>
  </si>
  <si>
    <t>RCCTL Break Table Blow &amp; Vacuum 3 On/Off</t>
  </si>
  <si>
    <t>RCCTL Break Table Blow &amp; Vacuum 4 On/Off</t>
  </si>
  <si>
    <t>RCCTL Dummy Shutter Fwd</t>
  </si>
  <si>
    <t>RCCTL Dummy Shutter Bwd</t>
  </si>
  <si>
    <t>RCCTL Break Table Brush 1 Up</t>
  </si>
  <si>
    <t>RCCTL Break Table Brush 1 Down</t>
  </si>
  <si>
    <t>RCCTL Break Table Brush 2 Up</t>
  </si>
  <si>
    <t>RCCTL Break Table Brush 2 Down</t>
  </si>
  <si>
    <t>LCCTL Break Table Hyper Clean On/Off</t>
    <phoneticPr fontId="1" type="noConversion"/>
  </si>
  <si>
    <t>RCCTL Break Table Hyper Clean On/Off</t>
  </si>
  <si>
    <t>RCCTL Break Table Vacuum 1</t>
  </si>
  <si>
    <t>RCCTL Break Table Vacuum 2</t>
  </si>
  <si>
    <t>RCCTL Break Table Vacuum 3</t>
  </si>
  <si>
    <t>RCCTL Break Table Vacuum 4</t>
  </si>
  <si>
    <t>RCCTL Break Table Blow 1</t>
  </si>
  <si>
    <t>RCCTL Break Table Blow 2</t>
  </si>
  <si>
    <t>RCCTL Break Table Blow 3</t>
  </si>
  <si>
    <t>RCCTL Break Table Blow 4</t>
  </si>
  <si>
    <t>RCCTL Break Table Blow Main 1,2,3,4</t>
  </si>
  <si>
    <t>RCCTL Break Table Vacuum 1 Main</t>
  </si>
  <si>
    <t>RCCTL Break Table Vacuum 2 Main</t>
  </si>
  <si>
    <t>RCCTL Break Table Vacuum 3 Main</t>
  </si>
  <si>
    <t>RCCTL Break Table Vacuum 4 Main</t>
  </si>
  <si>
    <t>RCCTL Cutting Table Blow 1 On/Off</t>
  </si>
  <si>
    <t>RCCTL Cutting Table Blow 2 On/Off</t>
  </si>
  <si>
    <t>RCCTL Cutting Table Blow 3 On/Off</t>
  </si>
  <si>
    <t>RCCTL Cutting Table Blow 4 On/Off</t>
  </si>
  <si>
    <t>RCCTL Cutting Table Blow &amp; Vacuum 1 On/Off</t>
  </si>
  <si>
    <t>RCCTL Cutting Table Blow &amp; Vacuum 2 On/Off</t>
  </si>
  <si>
    <t>RCCTL Cutting Table Blow &amp; Vacuum 3 On/Off</t>
  </si>
  <si>
    <t>RCCTL Cutting Table Blow &amp; Vacuum 4 On/Off</t>
  </si>
  <si>
    <t>RCCTL Cutting Table LDS Sensor Zero Shift (L)</t>
  </si>
  <si>
    <t>RCCTL Cutting Table LDS Sensor Zero Shift (R)</t>
  </si>
  <si>
    <t>RCCTL Cutting Table LDS Sensor Zero Reset (L)</t>
  </si>
  <si>
    <t>RCCTL Cutting Table LDS Sensor Zero Timing (L)</t>
  </si>
  <si>
    <t>RCCTL Cutting Table LDS Sensor Zero Reset (R)</t>
  </si>
  <si>
    <t>RCCTL Cutting Table LDS Sensor Zero Timing (R)</t>
  </si>
  <si>
    <t>RCCTL Cutting Table Blow Main 1,2,3,4,</t>
  </si>
  <si>
    <t>RCCTL Cutting Table Vacuum 1 Main</t>
  </si>
  <si>
    <t>RCCTL Cutting Table Vacuum 2 Main</t>
  </si>
  <si>
    <t>RCCTL Cutting Table Vacuum 3 Main</t>
  </si>
  <si>
    <t>RCCTL Cutting Table Vacuum 4 Main</t>
  </si>
  <si>
    <t>RCCTL Cutting Table Vacuum 1</t>
  </si>
  <si>
    <t>RCCTL Cutting Table Vacuum 2</t>
  </si>
  <si>
    <t>RCCTL Cutting Table Vacuum 3</t>
  </si>
  <si>
    <t>RCCTL Cutting Table Vacuum 4</t>
  </si>
  <si>
    <t>RCCTL Cutting Table Crash Prevent Sensor</t>
  </si>
  <si>
    <t>RCCTL Cutting Table Blow 1</t>
  </si>
  <si>
    <t>RCCTL Cutting Table Blow 2</t>
  </si>
  <si>
    <t>RCCTL Cutting Table Blow 3</t>
  </si>
  <si>
    <t>RCCTL Cutting Table Blow 4</t>
  </si>
  <si>
    <t>RCCTL Dummy Cart Check Sensor</t>
  </si>
  <si>
    <t>RCCTL Break Table LDS Sensor High (L)</t>
  </si>
  <si>
    <t>RCCTL Break Table LDS Sensor Low (L)</t>
  </si>
  <si>
    <t>RCCTL Break Table LDS Sensor Go (L)</t>
  </si>
  <si>
    <t>RCCTL Break Table LDS Sensor Alarm (L)</t>
  </si>
  <si>
    <t>RCCTL Break Table LDS Sensor High (R)</t>
  </si>
  <si>
    <t>RCCTL Break Table LDS Sensor Low (R)</t>
  </si>
  <si>
    <t>RCCTL Break Table LDS Sensor Go (R)</t>
  </si>
  <si>
    <t>RCCTL Break Table LDS Sensor Alarm (R)</t>
  </si>
  <si>
    <t>RCCTL Fix Table Blow 1 On/Off</t>
  </si>
  <si>
    <t>RCCTL Fix Table Blow 2 On/Off</t>
  </si>
  <si>
    <t>RCCTL Fix Table Blow 3 On/Off</t>
  </si>
  <si>
    <t>RCCTL Fix Table Blow 4 On/Off</t>
  </si>
  <si>
    <t>RCCTL Fix Table Blow 5 On/Off</t>
  </si>
  <si>
    <t>RCCTL Fix Table Blow 6 On/Off</t>
  </si>
  <si>
    <t>RCCTL Fix Table Blow 7 On/Off</t>
  </si>
  <si>
    <t>RCCTL Fix Table Blow 8 On/Off</t>
  </si>
  <si>
    <t>RCCTL Fix Table Blow 9 On/Off</t>
  </si>
  <si>
    <t>RCCTL Fix Table Blow 10 On/Off</t>
  </si>
  <si>
    <t>RCCTL Fix Table Blow 11 On/Off</t>
  </si>
  <si>
    <t>RCCTL Fix Table Blow 12 On/Off</t>
  </si>
  <si>
    <t>RCCTL Fix Table Blow 13 On/Off</t>
  </si>
  <si>
    <t>RCCTL Fix Table Blow 14 On/Off</t>
  </si>
  <si>
    <t>RCCTL Fix Table Blow &amp; Vacuum 1 On/Off</t>
  </si>
  <si>
    <t>RCCTL Fix Table Blow 1</t>
  </si>
  <si>
    <t>RCCTL Fix Table Blow 2</t>
  </si>
  <si>
    <t>RCCTL Fix Table Blow 3</t>
  </si>
  <si>
    <t>RCCTL Fix Table Blow 4</t>
  </si>
  <si>
    <t>RCCTL Fix Table Blow 5</t>
  </si>
  <si>
    <t>RCCTL Fix Table Blow 6</t>
  </si>
  <si>
    <t>RCCTL Fix Table Blow 7</t>
  </si>
  <si>
    <t>RCCTL Fix Table Blow 8</t>
  </si>
  <si>
    <t>RCCTL Fix Table Blow 9</t>
  </si>
  <si>
    <t>RCCTL Fix Table Blow 10</t>
  </si>
  <si>
    <t>RCCTL Fix Table Blow 11</t>
  </si>
  <si>
    <t>RCCTL Fix Table Blow 12</t>
  </si>
  <si>
    <t>RCCTL Fix Table Blow 13</t>
  </si>
  <si>
    <t>RCCTL Fix Table Blow 14</t>
  </si>
  <si>
    <t>RCCTL Fix Table Brush L UP</t>
  </si>
  <si>
    <t>RCCTL Fix Table Brush L Down</t>
  </si>
  <si>
    <t>RCCTL Fix Table Brush R UP</t>
  </si>
  <si>
    <t>RCCTL Fix Table Brush R Down</t>
  </si>
  <si>
    <t>RCCTL Fix Table Blow 1,2</t>
  </si>
  <si>
    <t>RCCTL Fix Table Blow 3,4</t>
  </si>
  <si>
    <t>RCCTL Fix Table Blow 5,6</t>
  </si>
  <si>
    <t>RCCTL Fix Table Blow 7,8</t>
  </si>
  <si>
    <t>RCCTL Fix Table Blow 9,10</t>
  </si>
  <si>
    <t>RCCTL Fix Table Blow 11,12</t>
  </si>
  <si>
    <t>RCCTL Fix Table Blow 13,14</t>
  </si>
  <si>
    <t>RCCTL Fix Table 1 Vacuum</t>
  </si>
  <si>
    <t>RCCTL Fix Table LDS Sensor High</t>
  </si>
  <si>
    <t>RCCTL Fix Table LDS Sensor Low</t>
  </si>
  <si>
    <t>RCCTL Fix Table LDS Sensor Go</t>
  </si>
  <si>
    <t>RCCTL Fix Table LDS Sensor Alarm</t>
  </si>
  <si>
    <t>RCCTL Scribe Chuck Blow 1 On/Off</t>
  </si>
  <si>
    <t>RCCTL Scribe Chuck Blow 2 On/Off</t>
  </si>
  <si>
    <t>RCCTL Scribe Chuck Blow &amp; Vacuum 1 On/Off</t>
  </si>
  <si>
    <t>RCCTL Scribe Chuck Blow &amp; Vacuum 2 On/Off</t>
  </si>
  <si>
    <t>RCCTL Scribe Chuck Blow 3,4 On/Off</t>
  </si>
  <si>
    <t>RCCTL Scribe Chuck Table Air Blow On/Off</t>
  </si>
  <si>
    <t>RCCTL Scribe Chuck Blow &amp; Vacuum 3 On</t>
  </si>
  <si>
    <t>RCCTL Scribe Chuck Blow &amp; Vacuum 3 Off</t>
  </si>
  <si>
    <t>RCCTL Scribe Chuck Blow &amp; Vacuum 4 On</t>
  </si>
  <si>
    <t>RCCTL Scribe Chuck Blow &amp; Vacuum 4 Off</t>
  </si>
  <si>
    <t>RCCTL Glass Air Blow On/Off</t>
  </si>
  <si>
    <t>RCCTL Fix Table Brush UP</t>
  </si>
  <si>
    <t>RCCTL Fix Table Brush Down</t>
  </si>
  <si>
    <t>RCCTL Scale+Wheel Blow On/Off</t>
    <phoneticPr fontId="1" type="noConversion"/>
  </si>
  <si>
    <t>RCCTL Glass Air Blow</t>
  </si>
  <si>
    <t>RCCTL Scribe Chuck Table Air Blow</t>
  </si>
  <si>
    <t xml:space="preserve">RCCTL Scribe Chuck Blow Main 1,2,3,4 </t>
  </si>
  <si>
    <t>RCCTL Scribe Chuck Vacuum 1 Main</t>
  </si>
  <si>
    <t>RCCTL Scribe Chuck Vacuum 2 Main</t>
  </si>
  <si>
    <t>RCCTL Scribe Chuck Vacuum 3,4 Main</t>
  </si>
  <si>
    <t>RCCTL Scribe Chuck Vacuum 1</t>
  </si>
  <si>
    <t>RCCTL Scribe Chuck Vacuum 2</t>
  </si>
  <si>
    <t>RCCTL Scribe Chuck Vacuum 3</t>
  </si>
  <si>
    <t>RCCTL Scribe Chuck Vacuum 4</t>
  </si>
  <si>
    <t>RCCT Stick Transfer 2 Vacuum 1 On</t>
  </si>
  <si>
    <t>RCCT Stick Transfer 2 Vacuum 1 Off</t>
  </si>
  <si>
    <t>RCCT Stick Transfer 2 Vacuum 2 On</t>
  </si>
  <si>
    <t>RCCT Stick Transfer 2 Vacuum 2 Off</t>
  </si>
  <si>
    <t>RCCT Stick Transfer 2 Vacuum 3 On</t>
  </si>
  <si>
    <t>RCCT Stick Transfer 2 Vacuum 3 Off</t>
  </si>
  <si>
    <t>RCCT Stick Transfer 2 Vacuum 4 On</t>
  </si>
  <si>
    <t>RCCT Stick Transfer 2 Vacuum 4 Off</t>
  </si>
  <si>
    <t>RCCTL Fix Table LDS Sensor Zero Shift</t>
  </si>
  <si>
    <t>RCCTL Fix Table LDS Sensor Reset</t>
  </si>
  <si>
    <t>RCCTL Fix Table LDS Sensor Timing</t>
  </si>
  <si>
    <t>RCCTR Fix Table LDS Sensor High</t>
  </si>
  <si>
    <t>RCCTR Fix Table LDS Sensor Low</t>
  </si>
  <si>
    <t>RCCTR Fix Table LDS Sensor Go</t>
  </si>
  <si>
    <t>RCCTR Fix Table LDS Sensor Alarm</t>
  </si>
  <si>
    <t>RCCT Stick Transfer 2 Blow On/Off SOL</t>
  </si>
  <si>
    <t>RCCT Stick Transfer 2 Stick Dectec</t>
  </si>
  <si>
    <t>RCCT Stick Transfer 2 Main Blow</t>
  </si>
  <si>
    <t>RCCT Stick Transfer 2 Vacuum Main</t>
  </si>
  <si>
    <t>RCCT Stick Transfer 2 Vacuum 1</t>
  </si>
  <si>
    <t>RCCT Stick Transfer 2 Vacuum 2</t>
  </si>
  <si>
    <t>RCCT Stick Transfer 2 Vacuum 3</t>
  </si>
  <si>
    <t>RCCT Stick Transfer 2 Vacuum 4</t>
  </si>
  <si>
    <t>RCCTL Fix Table Ionizer Power On</t>
  </si>
  <si>
    <t>RCCTL Cutting Table Ionizer Power On</t>
  </si>
  <si>
    <t>RCCTL Cutting Table Ionizer  Interlock On</t>
  </si>
  <si>
    <t>RCCTL Cutting Table Ionizer Ionizer Normal Status</t>
  </si>
  <si>
    <t>RCCTL Cutting Table Ionizer  Abnormal Status</t>
  </si>
  <si>
    <t>RCCTL Break Table Ionizer Power On</t>
  </si>
  <si>
    <t>RCCTL Break Table Ionizer  Interlock On</t>
  </si>
  <si>
    <t>RCCTL Break Table Ionizer Ionizer Normal Status</t>
  </si>
  <si>
    <t>RCCTL Break Table Ionizer  Abnormal Status</t>
  </si>
  <si>
    <t>RCCTR Fix Table Ionizer Power On</t>
  </si>
  <si>
    <t>RCCTR Fix Table Ionizer  Interlock On</t>
  </si>
  <si>
    <t>RCCTR Fix Table Ionizer Ionizer Normal Status</t>
  </si>
  <si>
    <t>RCCTR Fix Table Ionizer  Abnormal Status</t>
  </si>
  <si>
    <t>RCCTR Cutting Table Ionizer Power On</t>
  </si>
  <si>
    <t>RCCTR Cutting Table Ionizer  Interlock On</t>
  </si>
  <si>
    <t>RCCTR Cutting Table Ionizer Ionizer Normal Status</t>
  </si>
  <si>
    <t>RCCTR Cutting Table Ionizer  Abnormal Status</t>
  </si>
  <si>
    <t>RCCTR Break Table Ionizer Power On</t>
  </si>
  <si>
    <t>RCCTR Break Table Ionizer  Interlock On</t>
  </si>
  <si>
    <t>RCCTR Break Table Ionizer Ionizer Normal Status</t>
  </si>
  <si>
    <t>RCCTR Break Table Ionizer  Abnormal Status</t>
  </si>
  <si>
    <t>LCCTL Fix Table Ionizer Power On</t>
    <phoneticPr fontId="1" type="noConversion"/>
  </si>
  <si>
    <t>RCCTL Fix Table Ionizer Remote Select</t>
  </si>
  <si>
    <t>RCCTL Fix Table Ionizer Remote On</t>
  </si>
  <si>
    <t>RCCTL Fix Table Ionizer Remote Off</t>
  </si>
  <si>
    <t>RCCTL Fix Table Ionizer Interlock On</t>
  </si>
  <si>
    <t>RCCTL Cutting Table Ionizer Remote Select</t>
  </si>
  <si>
    <t>RCCTL Cutting Table Ionizer Remote On</t>
  </si>
  <si>
    <t>RCCTL Cutting Table Ionizer Remote Off</t>
  </si>
  <si>
    <t>RCCTL Cutting Table Ionizer Interlock On</t>
  </si>
  <si>
    <t>RCCTL Break Table Ionizer Remote Select</t>
  </si>
  <si>
    <t>RCCTL Break Table Ionizer Remote On</t>
  </si>
  <si>
    <t>RCCTL Break Table Ionizer Remote Off</t>
  </si>
  <si>
    <t>RCCTL Break Table Ionizer Interlock On</t>
  </si>
  <si>
    <t>RCCTR Fix Table Ionizer Remote Select</t>
  </si>
  <si>
    <t>RCCTR Fix Table Ionizer Remote On</t>
  </si>
  <si>
    <t>RCCTR Fix Table Ionizer Remote Off</t>
  </si>
  <si>
    <t>RCCTR Fix Table Ionizer Interlock On</t>
  </si>
  <si>
    <t>RCCTR Cutting Table Ionizer Remote Select</t>
  </si>
  <si>
    <t>RCCTR Cutting Table Ionizer Remote On</t>
  </si>
  <si>
    <t>RCCTR Cutting Table Ionizer Remote Off</t>
  </si>
  <si>
    <t>RCCTR Cutting Table Ionizer Interlock On</t>
  </si>
  <si>
    <t>RCCTR Break Table Ionizer Remote Select</t>
  </si>
  <si>
    <t>RCCTR Break Table Ionizer Remote On</t>
  </si>
  <si>
    <t>RCCTR Break Table Ionizer Remote Off</t>
  </si>
  <si>
    <t>RCCTR Break Table Ionizer Interlock On</t>
  </si>
  <si>
    <t>SCT Stick Buffer Table Brush Up</t>
    <phoneticPr fontId="1" type="noConversion"/>
  </si>
  <si>
    <t>SCT Stick Buffer Table Brush Down</t>
    <phoneticPr fontId="1" type="noConversion"/>
  </si>
  <si>
    <t>LCCTR Break Table Hyper Clean RUN CHECK1</t>
    <phoneticPr fontId="1" type="noConversion"/>
  </si>
  <si>
    <t>LCCTR Break Table Hyper Clean RUN CHECK2</t>
  </si>
  <si>
    <t>LCCTR Break Table Hyper Clean RUN CHECK3</t>
  </si>
  <si>
    <t>LCCTR Break Table Hyper Clean RUN CHECK4</t>
  </si>
  <si>
    <t>LCCTR Break Table Hyper Clean RUN CHECK5</t>
  </si>
  <si>
    <t>LCCTL Break Table Hyper Clean RUN CHECK1</t>
  </si>
  <si>
    <t>LCCTL Break Table Hyper Clean RUN CHECK2</t>
  </si>
  <si>
    <t>LCCTL Break Table Hyper Clean RUN CHECK3</t>
  </si>
  <si>
    <t>LCCTL Break Table Hyper Clean RUN CHECK4</t>
  </si>
  <si>
    <t>LCCTL Break Table Hyper Clean RUN CHECK5</t>
  </si>
  <si>
    <t>LCCTL Break Table Hyper Clean Pressure</t>
  </si>
  <si>
    <t>RCCTL Break Table Hyper Clean RUN CHECK1</t>
  </si>
  <si>
    <t>RCCTL Break Table Hyper Clean RUN CHECK2</t>
  </si>
  <si>
    <t>RCCTL Break Table Hyper Clean RUN CHECK3</t>
  </si>
  <si>
    <t>RCCTL Break Table Hyper Clean RUN CHECK4</t>
  </si>
  <si>
    <t>RCCTL Break Table Hyper Clean RUN CHECK5</t>
  </si>
  <si>
    <t>RCCTL Break Table Hyper Clean Pressure</t>
  </si>
  <si>
    <t>RCCTR Break Table Hyper Clean RUN CHECK1</t>
  </si>
  <si>
    <t>RCCTR Break Table Hyper Clean RUN CHECK2</t>
  </si>
  <si>
    <t>RCCTR Break Table Hyper Clean RUN CHECK3</t>
  </si>
  <si>
    <t>RCCTR Break Table Hyper Clean RUN CHECK4</t>
  </si>
  <si>
    <t>RCCTR Break Table Hyper Clean RUN CHECK5</t>
  </si>
  <si>
    <t>RCCTR Break Table Hyper Clean Pressure</t>
  </si>
  <si>
    <t>R7F4DH-1-DA16A-R (41H)</t>
    <phoneticPr fontId="1" type="noConversion"/>
  </si>
  <si>
    <t>SCT Break Table Hyper Clean RUN CHECK1</t>
  </si>
  <si>
    <t>SCT Break Table Hyper Clean RUN CHECK2</t>
  </si>
  <si>
    <t>SCT Break Table Hyper Clean RUN CHECK3</t>
  </si>
  <si>
    <t>SCT Break Table Hyper Clean RUN CHECK4</t>
  </si>
  <si>
    <t>SCT Break Table Hyper Clean RUN CHECK5</t>
  </si>
  <si>
    <t>SCT Break Table Hyper Clean RUN CHECK6</t>
  </si>
  <si>
    <t>SCT Break Table Hyper Clean RUN CHECK7</t>
  </si>
  <si>
    <t>SCT Break Table Hyper Clean RUN CHECK8</t>
  </si>
  <si>
    <t>SCT Break Table Hyper Clean RUN CHECK9</t>
  </si>
  <si>
    <t>SCT Break Table Hyper Clean RUN CHECK10</t>
  </si>
  <si>
    <t>SCT Break Table Hyper Clean RUN CHECK11</t>
  </si>
  <si>
    <t>SCT Break Table Hyper Clean RUN CHECK12</t>
  </si>
  <si>
    <t>SCT1 PANEL</t>
  </si>
  <si>
    <t>UPS3 PANEL</t>
  </si>
  <si>
    <t>LCCT1 PANEL</t>
  </si>
  <si>
    <t xml:space="preserve"> </t>
    <phoneticPr fontId="1" type="noConversion"/>
  </si>
  <si>
    <t>mmy</t>
    <phoneticPr fontId="1" type="noConversion"/>
  </si>
  <si>
    <t>LCCTL Dummy Shutter Fwd</t>
    <phoneticPr fontId="1" type="noConversion"/>
  </si>
  <si>
    <t>LCCTL Dummy Shutter Bwd</t>
    <phoneticPr fontId="1" type="noConversion"/>
  </si>
  <si>
    <t>RCCTR Dummy Shutter Fwd</t>
    <phoneticPr fontId="1" type="noConversion"/>
  </si>
  <si>
    <t>RCCTR Dummy Shutter Bwd</t>
    <phoneticPr fontId="1" type="noConversion"/>
  </si>
  <si>
    <t>RCCTL Dummy Shutter Fwd</t>
    <phoneticPr fontId="1" type="noConversion"/>
  </si>
  <si>
    <t>RCCTL Dummy Shutter Bwd</t>
    <phoneticPr fontId="1" type="noConversion"/>
  </si>
  <si>
    <t>UPS1 PANEL</t>
  </si>
  <si>
    <t>UPS2 PANEL</t>
  </si>
  <si>
    <t>Light Curtain Mute A</t>
  </si>
  <si>
    <t>Light Curtain Mute B</t>
  </si>
  <si>
    <t>SCT Dummy Door Release Request</t>
    <phoneticPr fontId="1" type="noConversion"/>
  </si>
  <si>
    <t>SCT OP Door Release SW Lamp 1</t>
    <phoneticPr fontId="1" type="noConversion"/>
  </si>
  <si>
    <t>SCT UNOP Door Release SW Lamp 1</t>
    <phoneticPr fontId="1" type="noConversion"/>
  </si>
  <si>
    <t>SCT UNOP Door Release SW 2</t>
    <phoneticPr fontId="1" type="noConversion"/>
  </si>
  <si>
    <t>OP BOX Select Key Auto (OP)</t>
    <phoneticPr fontId="1" type="noConversion"/>
  </si>
  <si>
    <t>OP BOX Select Key Manual (OP)</t>
    <phoneticPr fontId="1" type="noConversion"/>
  </si>
  <si>
    <t>OP BOX Fence Lamp (OP)</t>
    <phoneticPr fontId="1" type="noConversion"/>
  </si>
  <si>
    <t>OP BOX Door Release SW (OP)</t>
    <phoneticPr fontId="1" type="noConversion"/>
  </si>
  <si>
    <t>OP BOX Dummy Door Release SW (OP)</t>
    <phoneticPr fontId="1" type="noConversion"/>
  </si>
  <si>
    <t>OP BOX Select Key Auto (UNOP)</t>
    <phoneticPr fontId="1" type="noConversion"/>
  </si>
  <si>
    <t>OP BOX Select Key Manual (UNOP)</t>
    <phoneticPr fontId="1" type="noConversion"/>
  </si>
  <si>
    <t>OP BOX Fence Lamp (UNOP)</t>
    <phoneticPr fontId="1" type="noConversion"/>
  </si>
  <si>
    <t>OP BOX Door Release SW (UNOP)</t>
    <phoneticPr fontId="1" type="noConversion"/>
  </si>
  <si>
    <t>OP BOX Dummy Door Release SW (UNOP)</t>
    <phoneticPr fontId="1" type="noConversion"/>
  </si>
  <si>
    <t>OP BOX Door Release SW Lamp (OP)</t>
    <phoneticPr fontId="1" type="noConversion"/>
  </si>
  <si>
    <t>OP BOX Dummy Door Release SW Lamp (OP)</t>
    <phoneticPr fontId="1" type="noConversion"/>
  </si>
  <si>
    <t>OP BOX Door Release SW Lamp (UNOP)</t>
    <phoneticPr fontId="1" type="noConversion"/>
  </si>
  <si>
    <t>OP BOX Dummy Door Release SW Lamp (UNOP)</t>
    <phoneticPr fontId="1" type="noConversion"/>
  </si>
  <si>
    <t>SCT OP Door Release SW 2</t>
    <phoneticPr fontId="1" type="noConversion"/>
  </si>
  <si>
    <t>SCT OP Door Release SW Lamp 2</t>
    <phoneticPr fontId="1" type="noConversion"/>
  </si>
  <si>
    <t>SCT UNOP Door Release SW Lamp 2</t>
    <phoneticPr fontId="1" type="noConversion"/>
  </si>
  <si>
    <t>SCT OP EMO 1 Inside (Main Buffer Table)</t>
    <phoneticPr fontId="1" type="noConversion"/>
  </si>
  <si>
    <t>SCT OP Door 4 Signal (Stick Transfer)</t>
  </si>
  <si>
    <t>SCT OP Door 4 Inside Key Signal (Stick Transfer)</t>
  </si>
  <si>
    <t>SCT OP Door 4 Outside Key Signal (Stick Transfer)</t>
  </si>
  <si>
    <t>LCCT UNOP Door Release SW Lamp 1</t>
    <phoneticPr fontId="1" type="noConversion"/>
  </si>
  <si>
    <t>OP BOX Select Key Auto</t>
    <phoneticPr fontId="1" type="noConversion"/>
  </si>
  <si>
    <t>OP BOX Select Key Manual</t>
    <phoneticPr fontId="1" type="noConversion"/>
  </si>
  <si>
    <t>OP BOX Fence Lamp</t>
    <phoneticPr fontId="1" type="noConversion"/>
  </si>
  <si>
    <t>OP BOX Door Release SW</t>
    <phoneticPr fontId="1" type="noConversion"/>
  </si>
  <si>
    <t>OP BOX Dummy Door Release SW</t>
    <phoneticPr fontId="1" type="noConversion"/>
  </si>
  <si>
    <t>OP BOX Door Release SW Lamp</t>
    <phoneticPr fontId="1" type="noConversion"/>
  </si>
  <si>
    <t>OP BOX Dummy Door Release SW Lamp</t>
    <phoneticPr fontId="1" type="noConversion"/>
  </si>
  <si>
    <t>RCCT UNOP Door Release SW Lamp 1</t>
    <phoneticPr fontId="1" type="noConversion"/>
  </si>
  <si>
    <t>RCCT UNOP Door Release SW 1</t>
    <phoneticPr fontId="1" type="noConversion"/>
  </si>
  <si>
    <t>SCT Break Table Blow 1</t>
    <phoneticPr fontId="1" type="noConversion"/>
  </si>
  <si>
    <t>SCT Break Table Blow 2</t>
  </si>
  <si>
    <t>LCCTL Dummy Cart Check Sensor</t>
    <phoneticPr fontId="1" type="noConversion"/>
  </si>
  <si>
    <t>RCCTL Fix Table Ionizer  Interlock On</t>
    <phoneticPr fontId="1" type="noConversion"/>
  </si>
  <si>
    <t>RCCTL Fix Table Ionizer Ionizer Normal Status</t>
    <phoneticPr fontId="1" type="noConversion"/>
  </si>
  <si>
    <t>RCCTL Fix Table Ionizer  Abnormal Status</t>
    <phoneticPr fontId="1" type="noConversion"/>
  </si>
  <si>
    <t>LCCT OP Door 2 Signal (Stick Transfer)</t>
    <phoneticPr fontId="1" type="noConversion"/>
  </si>
  <si>
    <t>LCCT OP Door 2 Inside Key Signall (Stick Transfer)</t>
    <phoneticPr fontId="1" type="noConversion"/>
  </si>
  <si>
    <t>LCCT OP Door 2 Outside Key Signall (Stick Transfer)</t>
    <phoneticPr fontId="1" type="noConversion"/>
  </si>
  <si>
    <t>LCCT OP Door 3 Signal (Cutting)</t>
    <phoneticPr fontId="30" type="noConversion"/>
  </si>
  <si>
    <t>LCCT OP Door 3 Inside Key Signal (Cutting)</t>
    <phoneticPr fontId="30" type="noConversion"/>
  </si>
  <si>
    <t>LCCT OP Door 3 Outside Key Signal (Cutting)</t>
  </si>
  <si>
    <t>LCCT OP Door 4 Signal (Dummy Door)</t>
    <phoneticPr fontId="30" type="noConversion"/>
  </si>
  <si>
    <t>LCCT OP Door 4 Outside Key Signal (Dummy Door)</t>
    <phoneticPr fontId="30" type="noConversion"/>
  </si>
  <si>
    <t>LCCT UNOP Door 3 Signal (Cutting)</t>
    <phoneticPr fontId="30" type="noConversion"/>
  </si>
  <si>
    <t>LCCT UNOP Door 3 Inside Key Signal (Cutting)</t>
    <phoneticPr fontId="30" type="noConversion"/>
  </si>
  <si>
    <t>LCCT UNOP Door 3 Outside Key Signal (Cutting)</t>
    <phoneticPr fontId="30" type="noConversion"/>
  </si>
  <si>
    <t>LCCT UNOP Door 2 Signal (Dummy Door)</t>
    <phoneticPr fontId="30" type="noConversion"/>
  </si>
  <si>
    <t>LCCT UNOP Door 2 Outside Key Signal (Dummy Door)</t>
    <phoneticPr fontId="30" type="noConversion"/>
  </si>
  <si>
    <t>RCCT OP Door 2 Signal (Stick Transfer)</t>
  </si>
  <si>
    <t>RCCT OP Door 2 Inside Key Signall (Stick Transfer)</t>
  </si>
  <si>
    <t>RCCT OP Door 2 Outside Key Signall (Stick Transfer)</t>
  </si>
  <si>
    <t>RCCT OP Door 3 Signal (Cutting)</t>
  </si>
  <si>
    <t>RCCT OP Door 3 Inside Key Signal (Cutting)</t>
  </si>
  <si>
    <t>RCCT OP Door 3 Outside Key Signal (Cutting)</t>
  </si>
  <si>
    <t>RCCT OP Door 4 Signal (Dummy Door)</t>
  </si>
  <si>
    <t>RCCT OP Door 4 Outside Key Signal (Dummy Door)</t>
  </si>
  <si>
    <t>RCCT UNOP Door 3 Inside Key Signal (Cutting)</t>
  </si>
  <si>
    <t>RCCT UNOP Door 3 Outside Key Signal (Cutting)</t>
  </si>
  <si>
    <t>RCCT UNOP Door 2 Signal (Dummy Door)</t>
  </si>
  <si>
    <t>RCCT UNOP Door 2 Outside Key Signal (Dummy Door)</t>
  </si>
  <si>
    <t>UPS1 PANEL</t>
    <phoneticPr fontId="1" type="noConversion"/>
  </si>
  <si>
    <t>OB10000</t>
  </si>
  <si>
    <t>PDT Key Switch (KEY_NO)</t>
  </si>
  <si>
    <t>PDT Emergency Switch (EMG0A)</t>
  </si>
  <si>
    <t xml:space="preserve"> ㅍ</t>
    <phoneticPr fontId="1" type="noConversion"/>
  </si>
  <si>
    <t>SCT Dust Chather Alarm Signal</t>
    <phoneticPr fontId="1" type="noConversion"/>
  </si>
  <si>
    <t>SCT Dust Chather Status Signal</t>
    <phoneticPr fontId="1" type="noConversion"/>
  </si>
  <si>
    <t>SCT Dust Chather Box Door Close Signal</t>
    <phoneticPr fontId="1" type="noConversion"/>
  </si>
  <si>
    <t>SCT Dust Chather Box Fan 1 Running Signal</t>
    <phoneticPr fontId="1" type="noConversion"/>
  </si>
  <si>
    <t>SCT Dust Chather Box Fan 2 Running Signal</t>
    <phoneticPr fontId="1" type="noConversion"/>
  </si>
  <si>
    <t>SCT Dust Chather Smoke Temp Signal</t>
    <phoneticPr fontId="1" type="noConversion"/>
  </si>
  <si>
    <t>LCCT Dust Chather Status Signal</t>
  </si>
  <si>
    <t>LCCT Dust Chather Alarm Signal</t>
  </si>
  <si>
    <t>LCCT Dust Chather Box Fan 1 Running Signal</t>
  </si>
  <si>
    <t>LCCT Dust Chather Box Fan 2 Running Signal</t>
  </si>
  <si>
    <t>LCCT Dust Chather Box Door Close Signal</t>
  </si>
  <si>
    <t>LCCT Dust Chather Smoke Temp Signal</t>
  </si>
  <si>
    <t>RCCT Dust Chather Status Signal</t>
  </si>
  <si>
    <t>RCCT Dust Chather Alarm Signal</t>
  </si>
  <si>
    <t>RCCT Dust Chather Box Fan 1 Running Signal</t>
  </si>
  <si>
    <t>RCCT Dust Chather Box Fan 2 Running Signal</t>
  </si>
  <si>
    <t>RCCT Dust Chather Box Door Close Signal</t>
  </si>
  <si>
    <t>RCCT Dust Chather Smoke Temp Signal</t>
  </si>
  <si>
    <t>SCT IONIZER X-RAY 1 LED ON</t>
    <phoneticPr fontId="1" type="noConversion"/>
  </si>
  <si>
    <t>SCT IONIZER X-RAY 3 LED ON</t>
    <phoneticPr fontId="1" type="noConversion"/>
  </si>
  <si>
    <t>LCCT IONIZER X-RAY LED ON</t>
    <phoneticPr fontId="1" type="noConversion"/>
  </si>
  <si>
    <t>RCCT IONIZER X-RAY LED ON</t>
    <phoneticPr fontId="1" type="noConversion"/>
  </si>
  <si>
    <t>R7F4DH-1-DA16A-R (01H)</t>
    <phoneticPr fontId="1" type="noConversion"/>
  </si>
  <si>
    <t>O</t>
    <phoneticPr fontId="1" type="noConversion"/>
  </si>
  <si>
    <t>.</t>
    <phoneticPr fontId="1" type="noConversion"/>
  </si>
  <si>
    <t>SCT Fix Table Blow 9</t>
  </si>
  <si>
    <t>미설치</t>
    <phoneticPr fontId="1" type="noConversion"/>
  </si>
  <si>
    <t>+</t>
    <phoneticPr fontId="1" type="noConversion"/>
  </si>
  <si>
    <t>o</t>
    <phoneticPr fontId="1" type="noConversion"/>
  </si>
  <si>
    <t>O</t>
  </si>
  <si>
    <t>SCT OP Door Release SW 1(LOADER R)</t>
    <phoneticPr fontId="1" type="noConversion"/>
  </si>
  <si>
    <t>SCT UNOP Door Release SW 1(LOADER L)</t>
    <phoneticPr fontId="1" type="noConversion"/>
  </si>
  <si>
    <t>SCT Cutting Table Blow 1 L</t>
    <phoneticPr fontId="1" type="noConversion"/>
  </si>
  <si>
    <t>SCT Cutting Table Blow 3 L</t>
    <phoneticPr fontId="1" type="noConversion"/>
  </si>
  <si>
    <t>SCT Cutting Table Vac 1 L</t>
    <phoneticPr fontId="1" type="noConversion"/>
  </si>
  <si>
    <t>SCT Cutting Table Blow 2 R</t>
    <phoneticPr fontId="1" type="noConversion"/>
  </si>
  <si>
    <t>SCT Cutting Table Vac 2 R</t>
    <phoneticPr fontId="1" type="noConversion"/>
  </si>
  <si>
    <t>기능없음 삭제</t>
    <phoneticPr fontId="1" type="noConversion"/>
  </si>
  <si>
    <t>SAFETY PG</t>
    <phoneticPr fontId="1" type="noConversion"/>
  </si>
  <si>
    <t>기능없음</t>
    <phoneticPr fontId="1" type="noConversion"/>
  </si>
  <si>
    <t>셋팅후 테스트</t>
    <phoneticPr fontId="1" type="noConversion"/>
  </si>
  <si>
    <t>셋팅후 점검</t>
    <phoneticPr fontId="1" type="noConversion"/>
  </si>
  <si>
    <t>RCCTR Fix Table Blow 11 On/Off</t>
  </si>
  <si>
    <t>IO변경 추가</t>
    <phoneticPr fontId="1" type="noConversion"/>
  </si>
  <si>
    <t>RCCT UNOP Door 3 Signal (Cutting)</t>
    <phoneticPr fontId="30" type="noConversion"/>
  </si>
  <si>
    <t>미설치</t>
  </si>
  <si>
    <t>SCT Cutting Table Blow 4 R</t>
    <phoneticPr fontId="1" type="noConversion"/>
  </si>
  <si>
    <t>SCT Cutting Table Blow 5 L</t>
    <phoneticPr fontId="1" type="noConversion"/>
  </si>
  <si>
    <t>SCT Cutting Table Blow 6 R</t>
    <phoneticPr fontId="1" type="noConversion"/>
  </si>
  <si>
    <t>SCT Cutting Table Vac 3 L</t>
    <phoneticPr fontId="1" type="noConversion"/>
  </si>
  <si>
    <t>SCT Cutting Table Vac 4 R</t>
    <phoneticPr fontId="1" type="noConversion"/>
  </si>
  <si>
    <t>라벨순서 확인필요</t>
    <phoneticPr fontId="1" type="noConversion"/>
  </si>
  <si>
    <t xml:space="preserve"> O</t>
    <phoneticPr fontId="1" type="noConversion"/>
  </si>
  <si>
    <t>O(부저음 없음)</t>
    <phoneticPr fontId="1" type="noConversion"/>
  </si>
  <si>
    <t>확인</t>
  </si>
  <si>
    <t>확인</t>
    <phoneticPr fontId="1" type="noConversion"/>
  </si>
  <si>
    <t>SCT Break Table LDS Sensor Zero Shift (R)</t>
    <phoneticPr fontId="1" type="noConversion"/>
  </si>
  <si>
    <t>8.30 CHECK</t>
    <phoneticPr fontId="1" type="noConversion"/>
  </si>
  <si>
    <t>변경이력</t>
  </si>
  <si>
    <t>LOCK타입 확인필요(AUTO -&gt; Manual에서 락걸림)</t>
    <phoneticPr fontId="1" type="noConversion"/>
  </si>
  <si>
    <t>RCCT1 E-BOX SMOKE Temp Alarm</t>
    <phoneticPr fontId="1" type="noConversion"/>
  </si>
  <si>
    <t>SCT OP Door 1 Inside Key Signal (Main Buffer Table)</t>
  </si>
  <si>
    <t>SCT OP Door 3 Signal (Cutting)</t>
  </si>
  <si>
    <t>SCT OP Door 5 Signal(Dummy Door)</t>
  </si>
  <si>
    <t>SCT OP Door 5 Outside Key Signal(Dummy Door)</t>
  </si>
  <si>
    <t>SCT UNOP Door 1 Signal (Main Buffer Table)</t>
  </si>
  <si>
    <t>SCT UNOP Door 3 Signal (Scribe)</t>
  </si>
  <si>
    <t>SCT UNOP Door 5 Signal (Buffer Table)</t>
  </si>
  <si>
    <t>SCT UNOP Door 5 Inside Key Signal (Buffer Table)</t>
  </si>
  <si>
    <t>SCT UNOP Door 5 Outside Key Signal (Buffer Table)</t>
  </si>
  <si>
    <t>R7F4DH-1-DC16A-R (02H)</t>
    <phoneticPr fontId="1" type="noConversion"/>
  </si>
  <si>
    <t>R7F4DH-1-DC16A-R (05H)</t>
    <phoneticPr fontId="1" type="noConversion"/>
  </si>
  <si>
    <t>R7F4DH-1-DA16A-R (09H)</t>
    <phoneticPr fontId="1" type="noConversion"/>
  </si>
  <si>
    <t>R7F4DH-1-DA16A-R (12H)</t>
    <phoneticPr fontId="1" type="noConversion"/>
  </si>
  <si>
    <t>R7F4DH-1-DC16A-R (15H)</t>
    <phoneticPr fontId="1" type="noConversion"/>
  </si>
  <si>
    <t>R7F4DH-1-DA16A-R (19H)</t>
    <phoneticPr fontId="1" type="noConversion"/>
  </si>
  <si>
    <t>R7F4DH-1-DC16A-R (24H)</t>
    <phoneticPr fontId="1" type="noConversion"/>
  </si>
  <si>
    <t>R7F4DH-1-DA16A-R (25H)</t>
    <phoneticPr fontId="1" type="noConversion"/>
  </si>
  <si>
    <t>R7F4DH-1-DC16A-R (26H)</t>
    <phoneticPr fontId="1" type="noConversion"/>
  </si>
  <si>
    <t>Light Curtain Mute On</t>
    <phoneticPr fontId="1" type="noConversion"/>
  </si>
  <si>
    <t>09.11 CHECK</t>
    <phoneticPr fontId="1" type="noConversion"/>
  </si>
  <si>
    <t>SCT IONIZER X-RAY 2 LED ON</t>
  </si>
  <si>
    <t>OB1101F에서 OB11214로 변경</t>
    <phoneticPr fontId="1" type="noConversion"/>
  </si>
  <si>
    <t>OB1101E에서 OB11214로 변경</t>
    <phoneticPr fontId="1" type="noConversion"/>
  </si>
  <si>
    <t>IO 변경</t>
    <phoneticPr fontId="1" type="noConversion"/>
  </si>
  <si>
    <t>OB1101F에서 OB11214로 변경</t>
    <phoneticPr fontId="1" type="noConversion"/>
  </si>
  <si>
    <t>EMPTY (04H)</t>
    <phoneticPr fontId="1" type="noConversion"/>
  </si>
  <si>
    <t>R7F4DH-1-DA16A-R (05H)</t>
    <phoneticPr fontId="1" type="noConversion"/>
  </si>
  <si>
    <t>EMPTY (06H)</t>
    <phoneticPr fontId="1" type="noConversion"/>
  </si>
  <si>
    <t>R7F4DH-1-DA16A-R (07H)</t>
    <phoneticPr fontId="1" type="noConversion"/>
  </si>
  <si>
    <t>R7F4DH-1-DC16A-R (08H)</t>
    <phoneticPr fontId="1" type="noConversion"/>
  </si>
  <si>
    <t>R7F4DH-1-DC16A-R (10H)</t>
    <phoneticPr fontId="1" type="noConversion"/>
  </si>
  <si>
    <t>R7F4DH-1-DC16A-R (13H)</t>
    <phoneticPr fontId="1" type="noConversion"/>
  </si>
  <si>
    <t>R7F4DH-1-DA16A-R (14H)</t>
    <phoneticPr fontId="1" type="noConversion"/>
  </si>
  <si>
    <t>R7F4DH-1-DC16A-R (18H)</t>
    <phoneticPr fontId="1" type="noConversion"/>
  </si>
  <si>
    <t>EMPTY (28H)</t>
    <phoneticPr fontId="1" type="noConversion"/>
  </si>
  <si>
    <t>R7F4DH-1-DC16A-R (34H)</t>
    <phoneticPr fontId="1" type="noConversion"/>
  </si>
  <si>
    <t>R7F4DH-1-DA16A-R (35H)</t>
    <phoneticPr fontId="1" type="noConversion"/>
  </si>
  <si>
    <t>R7F4DH-1-DC16A-R (36H)</t>
    <phoneticPr fontId="1" type="noConversion"/>
  </si>
  <si>
    <t>R7F4DH-1-DA16A-R (42H)</t>
    <phoneticPr fontId="1" type="noConversion"/>
  </si>
  <si>
    <t>EMPTY (20H)</t>
    <phoneticPr fontId="1" type="noConversion"/>
  </si>
  <si>
    <t>R7F4DH-1-DC16A-R (29H)</t>
    <phoneticPr fontId="1" type="noConversion"/>
  </si>
  <si>
    <t>R7F4DH-1-DC16A-R (31H)</t>
    <phoneticPr fontId="1" type="noConversion"/>
  </si>
  <si>
    <t>R7F4DH-1-DA16A-R (39H)</t>
    <phoneticPr fontId="1" type="noConversion"/>
  </si>
  <si>
    <t>R7F4DH-1-DC16A-R (40H)</t>
    <phoneticPr fontId="1" type="noConversion"/>
  </si>
  <si>
    <t>R7F4DH-1-DAC16C-R (41H)</t>
    <phoneticPr fontId="1" type="noConversion"/>
  </si>
  <si>
    <t>Upstream Equip I/F Violation #1</t>
  </si>
  <si>
    <t>Upstream Equip I/F Violation #2</t>
  </si>
  <si>
    <t>Upstream Equip I/F SUB EMO</t>
  </si>
  <si>
    <t>Upstream Equip I/F Emergency</t>
    <phoneticPr fontId="1" type="noConversion"/>
  </si>
  <si>
    <t>Upstream Equip I/F Net-Ready</t>
    <phoneticPr fontId="1" type="noConversion"/>
  </si>
  <si>
    <t>Upstream Equip I/F Reserved1</t>
    <phoneticPr fontId="1" type="noConversion"/>
  </si>
  <si>
    <t>Upstream Equip I/F Reserved2</t>
    <phoneticPr fontId="1" type="noConversion"/>
  </si>
  <si>
    <t>Upstream Equip I/F Alive</t>
    <phoneticPr fontId="1" type="noConversion"/>
  </si>
  <si>
    <t>R7F4DH-1-DAC16C-R (03H)</t>
    <phoneticPr fontId="1" type="noConversion"/>
  </si>
  <si>
    <t>Downstream Equip I/F Alive (LCCTL)</t>
  </si>
  <si>
    <t>Downstream Equip I/F Emergency (LCCTL)</t>
  </si>
  <si>
    <t>Downstream Equip I/F Net-Ready (LCCTL)</t>
  </si>
  <si>
    <t>Downstream Equip I/F Reserved1 (LCCTL)</t>
  </si>
  <si>
    <t>Downstream Equip I/F Violation #1 (LCCTL)</t>
  </si>
  <si>
    <t>Downstream Equip I/F Violation #2 (LCCTL)</t>
  </si>
  <si>
    <t>Downstream Equip I/F Reserved2 (LCCTL)</t>
  </si>
  <si>
    <t>Downstream Equip I/F SUB EMO (LCCTL)</t>
  </si>
  <si>
    <t>Downstream Equip I/F Alive (LCCTR)</t>
  </si>
  <si>
    <t>Downstream Equip I/F Emergency (LCCTR)</t>
  </si>
  <si>
    <t>Downstream Equip I/F Net-Ready (LCCTR)</t>
  </si>
  <si>
    <t>Downstream Equip I/F Reserved1 (LCCTR)</t>
  </si>
  <si>
    <t>Downstream Equip I/F Violation #1 (LCCTR)</t>
  </si>
  <si>
    <t>Downstream Equip I/F Violation #2 (LCCTR)</t>
  </si>
  <si>
    <t>Downstream Equip I/F Reserved2 (LCCTR)</t>
  </si>
  <si>
    <t>Downstream Equip I/F SUB EMO (LCCTR)</t>
  </si>
  <si>
    <t>Downstream Equip I/F Alive (RCCTL)</t>
  </si>
  <si>
    <t>Downstream Equip I/F Emergency (RCCTL)</t>
  </si>
  <si>
    <t>Downstream Equip I/F Net-Ready (RCCTL)</t>
  </si>
  <si>
    <t>Downstream Equip I/F Reserved1 (RCCTL)</t>
  </si>
  <si>
    <t>Downstream Equip I/F Violation #1 (RCCTL)</t>
  </si>
  <si>
    <t>Downstream Equip I/F Violation #2 (RCCTL)</t>
  </si>
  <si>
    <t>Downstream Equip I/F Reserved2 (RCCTL)</t>
  </si>
  <si>
    <t>Downstream Equip I/F SUB EMO (RCCTL)</t>
  </si>
  <si>
    <t>Downstream Equip I/F Alive (RCCTR)</t>
  </si>
  <si>
    <t>Downstream Equip I/F Emergency (RCCTR)</t>
  </si>
  <si>
    <t>Downstream Equip I/F Net-Ready (RCCTR)</t>
  </si>
  <si>
    <t>Downstream Equip I/F Reserved1 (RCCTR)</t>
  </si>
  <si>
    <t>Downstream Equip I/F Violation #1 (RCCTR)</t>
  </si>
  <si>
    <t>Downstream Equip I/F Violation #2 (RCCTR)</t>
  </si>
  <si>
    <t>Downstream Equip I/F Reserved2 (RCCTR)</t>
  </si>
  <si>
    <t>Downstream Equip I/F SUB EMO (RCCTR)</t>
  </si>
  <si>
    <t>LCCTL Fix Table 2 Ionizer Power On</t>
    <phoneticPr fontId="1" type="noConversion"/>
  </si>
  <si>
    <t>LCCTL Fix Table 2 Ionizer Interlock On</t>
    <phoneticPr fontId="1" type="noConversion"/>
  </si>
  <si>
    <t>LCCTL Fix Table 2 Ionizer Ionizer Normal Status</t>
    <phoneticPr fontId="1" type="noConversion"/>
  </si>
  <si>
    <t>LCCTL Fix Table 2 Ionizer  Abnormal Status</t>
    <phoneticPr fontId="1" type="noConversion"/>
  </si>
  <si>
    <t>LCCTR Fix Table 2 Ionizer Power On</t>
  </si>
  <si>
    <t>LCCTR Fix Table 2 Ionizer Interlock On</t>
  </si>
  <si>
    <t>LCCTR Fix Table 2 Ionizer Ionizer Normal Status</t>
  </si>
  <si>
    <t>LCCTR Fix Table 2 Ionizer  Abnormal Status</t>
  </si>
  <si>
    <t>LCCTL Fix Table 2 Ionizer Remote Select</t>
    <phoneticPr fontId="1" type="noConversion"/>
  </si>
  <si>
    <t>LCCTL Fix Table 2 Ionizer Remote On</t>
    <phoneticPr fontId="1" type="noConversion"/>
  </si>
  <si>
    <t>LCCTL Fix Table 2 Ionizer Remote Off</t>
    <phoneticPr fontId="1" type="noConversion"/>
  </si>
  <si>
    <t>LCCTR Fix Table 2 Ionizer Remote Select</t>
  </si>
  <si>
    <t>LCCTR Fix Table 2 Ionizer Remote On</t>
  </si>
  <si>
    <t>LCCTR Fix Table 2 Ionizer Remote Off</t>
  </si>
  <si>
    <t>R7F4DH-1-DAC16C-R (20H)</t>
    <phoneticPr fontId="1" type="noConversion"/>
  </si>
  <si>
    <t>RCCTL Fix Table 2 Ionizer Power On</t>
  </si>
  <si>
    <t>RCCTL Fix Table 2 Ionizer Interlock On</t>
  </si>
  <si>
    <t>RCCTL Fix Table 2 Ionizer Ionizer Normal Status</t>
  </si>
  <si>
    <t>RCCTL Fix Table 2 Ionizer  Abnormal Status</t>
  </si>
  <si>
    <t>RCCTR Fix Table 2 Ionizer Power On</t>
  </si>
  <si>
    <t>RCCTR Fix Table 2 Ionizer Interlock On</t>
  </si>
  <si>
    <t>RCCTR Fix Table 2 Ionizer Ionizer Normal Status</t>
  </si>
  <si>
    <t>RCCTR Fix Table 2 Ionizer  Abnormal Status</t>
  </si>
  <si>
    <t>RCCTL Fix Table 2 Ionizer Remote Select</t>
  </si>
  <si>
    <t>RCCTL Fix Table 2 Ionizer Remote On</t>
  </si>
  <si>
    <t>RCCTL Fix Table 2 Ionizer Remote Off</t>
  </si>
  <si>
    <t>RCCTR Fix Table 2 Ionizer Remote Select</t>
  </si>
  <si>
    <t>RCCTR Fix Table 2 Ionizer Remote On</t>
  </si>
  <si>
    <t>RCCTR Fix Table 2 Ionizer Remote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</si>
</sst>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/&quot;m&quot;/&quot;d"/>
    <numFmt numFmtId="177" formatCode="yyyy&quot;/&quot;mm&quot;/&quot;dd"/>
    <numFmt numFmtId="178" formatCode="mm&quot;월&quot;\ dd&quot;일&quot;"/>
  </numFmts>
  <fonts count="33">
    <font>
      <sz val="11"/>
      <name val="ＭＳ Ｐゴシック"/>
      <family val="2"/>
      <charset val="128"/>
    </font>
    <font>
      <sz val="8"/>
      <name val="돋움"/>
      <family val="3"/>
      <charset val="129"/>
    </font>
    <font>
      <sz val="6"/>
      <name val="ＭＳ Ｐゴシック"/>
      <family val="2"/>
      <charset val="128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indexed="81"/>
      <name val="Tahoma"/>
      <family val="2"/>
    </font>
    <font>
      <sz val="14"/>
      <color indexed="81"/>
      <name val="돋움"/>
      <family val="3"/>
      <charset val="129"/>
    </font>
    <font>
      <sz val="11"/>
      <name val="ＭＳ Ｐゴシック"/>
      <family val="2"/>
      <charset val="128"/>
    </font>
    <font>
      <sz val="11"/>
      <name val="ＭＳ Ｐゴシック"/>
      <family val="2"/>
    </font>
    <font>
      <b/>
      <sz val="1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color indexed="81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rgb="FF0000CC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color indexed="12"/>
      <name val="맑은 고딕"/>
      <family val="3"/>
      <charset val="129"/>
      <scheme val="major"/>
    </font>
    <font>
      <sz val="9"/>
      <color rgb="FF0000CC"/>
      <name val="맑은 고딕"/>
      <family val="3"/>
      <charset val="129"/>
      <scheme val="major"/>
    </font>
    <font>
      <strike/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trike/>
      <sz val="9"/>
      <color rgb="FFFF0000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9"/>
      <color theme="1" tint="0.499984740745262"/>
      <name val="맑은 고딕"/>
      <family val="3"/>
      <charset val="129"/>
      <scheme val="major"/>
    </font>
    <font>
      <b/>
      <sz val="9"/>
      <color theme="1" tint="0.499984740745262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8"/>
      </bottom>
      <diagonal style="thin">
        <color indexed="64"/>
      </diagonal>
    </border>
    <border diagonalUp="1">
      <left/>
      <right/>
      <top/>
      <bottom style="thin">
        <color indexed="8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thin">
        <color indexed="8"/>
      </right>
      <top style="medium">
        <color auto="1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ashed">
        <color indexed="64"/>
      </bottom>
      <diagonal/>
    </border>
    <border>
      <left/>
      <right/>
      <top style="hair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hair">
        <color indexed="64"/>
      </bottom>
      <diagonal/>
    </border>
    <border>
      <left/>
      <right/>
      <top style="dashed">
        <color indexed="64"/>
      </top>
      <bottom style="hair">
        <color indexed="64"/>
      </bottom>
      <diagonal/>
    </border>
    <border>
      <left/>
      <right style="thin">
        <color indexed="64"/>
      </right>
      <top style="dashed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967">
    <xf numFmtId="0" fontId="0" fillId="0" borderId="0" xfId="0"/>
    <xf numFmtId="0" fontId="10" fillId="2" borderId="1" xfId="0" applyFont="1" applyFill="1" applyBorder="1"/>
    <xf numFmtId="0" fontId="11" fillId="2" borderId="1" xfId="0" applyFont="1" applyFill="1" applyBorder="1"/>
    <xf numFmtId="0" fontId="11" fillId="2" borderId="0" xfId="0" applyFont="1" applyFill="1"/>
    <xf numFmtId="0" fontId="11" fillId="2" borderId="2" xfId="0" applyFont="1" applyFill="1" applyBorder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3" xfId="0" applyFont="1" applyBorder="1"/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3" fillId="0" borderId="40" xfId="0" applyFont="1" applyBorder="1" applyAlignment="1">
      <alignment horizontal="center" vertical="center"/>
    </xf>
    <xf numFmtId="0" fontId="13" fillId="0" borderId="40" xfId="0" applyFont="1" applyBorder="1" applyAlignment="1">
      <alignment vertical="center"/>
    </xf>
    <xf numFmtId="0" fontId="15" fillId="0" borderId="4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9" fontId="16" fillId="0" borderId="40" xfId="0" applyNumberFormat="1" applyFont="1" applyBorder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 wrapText="1"/>
    </xf>
    <xf numFmtId="0" fontId="15" fillId="0" borderId="11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6" borderId="55" xfId="0" applyFont="1" applyFill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4" fillId="6" borderId="100" xfId="0" applyFont="1" applyFill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176" fontId="13" fillId="0" borderId="51" xfId="0" applyNumberFormat="1" applyFont="1" applyBorder="1" applyAlignment="1">
      <alignment horizontal="center" vertical="center" wrapText="1"/>
    </xf>
    <xf numFmtId="0" fontId="13" fillId="0" borderId="85" xfId="0" applyFont="1" applyBorder="1" applyAlignment="1">
      <alignment horizontal="center" vertical="center"/>
    </xf>
    <xf numFmtId="0" fontId="13" fillId="0" borderId="86" xfId="0" applyFont="1" applyBorder="1" applyAlignment="1" applyProtection="1">
      <alignment horizontal="center" vertical="center" wrapText="1"/>
      <protection locked="0"/>
    </xf>
    <xf numFmtId="0" fontId="17" fillId="0" borderId="86" xfId="0" applyFont="1" applyBorder="1" applyAlignment="1">
      <alignment horizontal="center" vertical="center"/>
    </xf>
    <xf numFmtId="0" fontId="13" fillId="6" borderId="86" xfId="0" applyFont="1" applyFill="1" applyBorder="1" applyAlignment="1">
      <alignment horizontal="left" vertical="center"/>
    </xf>
    <xf numFmtId="0" fontId="15" fillId="0" borderId="86" xfId="0" applyFont="1" applyBorder="1" applyAlignment="1">
      <alignment horizontal="center" vertical="center"/>
    </xf>
    <xf numFmtId="0" fontId="13" fillId="0" borderId="51" xfId="0" applyFont="1" applyBorder="1" applyAlignment="1" applyProtection="1">
      <alignment horizontal="left" vertical="center"/>
      <protection locked="0"/>
    </xf>
    <xf numFmtId="177" fontId="13" fillId="0" borderId="19" xfId="0" applyNumberFormat="1" applyFont="1" applyBorder="1" applyAlignment="1" applyProtection="1">
      <alignment horizontal="center" vertical="center" wrapText="1"/>
      <protection locked="0"/>
    </xf>
    <xf numFmtId="0" fontId="13" fillId="0" borderId="19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89" xfId="0" applyFont="1" applyBorder="1" applyAlignment="1" applyProtection="1">
      <alignment horizontal="center" vertical="center" wrapText="1"/>
      <protection locked="0"/>
    </xf>
    <xf numFmtId="0" fontId="17" fillId="0" borderId="89" xfId="0" applyFont="1" applyBorder="1" applyAlignment="1">
      <alignment horizontal="center" vertical="center"/>
    </xf>
    <xf numFmtId="0" fontId="13" fillId="6" borderId="89" xfId="0" applyFont="1" applyFill="1" applyBorder="1" applyAlignment="1">
      <alignment horizontal="left" vertical="center"/>
    </xf>
    <xf numFmtId="0" fontId="15" fillId="0" borderId="89" xfId="0" applyFont="1" applyBorder="1" applyAlignment="1">
      <alignment horizontal="center" vertical="center"/>
    </xf>
    <xf numFmtId="177" fontId="13" fillId="0" borderId="20" xfId="0" applyNumberFormat="1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6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4" fillId="6" borderId="6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3" fillId="6" borderId="0" xfId="0" applyFont="1" applyFill="1" applyAlignment="1" applyProtection="1">
      <alignment horizontal="center" vertical="center"/>
      <protection locked="0"/>
    </xf>
    <xf numFmtId="0" fontId="14" fillId="6" borderId="0" xfId="0" applyFont="1" applyFill="1" applyAlignment="1" applyProtection="1">
      <alignment horizontal="center" vertical="center"/>
      <protection locked="0"/>
    </xf>
    <xf numFmtId="0" fontId="13" fillId="6" borderId="11" xfId="0" applyFont="1" applyFill="1" applyBorder="1" applyAlignment="1" applyProtection="1">
      <alignment horizontal="center" vertical="center"/>
      <protection locked="0"/>
    </xf>
    <xf numFmtId="0" fontId="13" fillId="0" borderId="11" xfId="0" applyFont="1" applyBorder="1" applyAlignment="1">
      <alignment horizontal="center" vertical="center" textRotation="90" wrapText="1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9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14" fillId="0" borderId="11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77" fontId="13" fillId="0" borderId="11" xfId="0" applyNumberFormat="1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center" vertical="center"/>
    </xf>
    <xf numFmtId="0" fontId="14" fillId="6" borderId="60" xfId="0" applyFont="1" applyFill="1" applyBorder="1" applyAlignment="1">
      <alignment horizontal="center" vertical="center"/>
    </xf>
    <xf numFmtId="0" fontId="14" fillId="6" borderId="50" xfId="0" applyFont="1" applyFill="1" applyBorder="1" applyAlignment="1">
      <alignment horizontal="center" vertical="center"/>
    </xf>
    <xf numFmtId="0" fontId="14" fillId="6" borderId="45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7" fillId="0" borderId="50" xfId="0" applyFont="1" applyBorder="1" applyAlignment="1">
      <alignment horizontal="center" vertical="center"/>
    </xf>
    <xf numFmtId="0" fontId="13" fillId="0" borderId="91" xfId="0" applyFont="1" applyBorder="1" applyAlignment="1">
      <alignment horizontal="left" vertical="center" wrapText="1"/>
    </xf>
    <xf numFmtId="0" fontId="13" fillId="0" borderId="92" xfId="0" applyFont="1" applyBorder="1" applyAlignment="1">
      <alignment horizontal="left" vertical="center" wrapText="1"/>
    </xf>
    <xf numFmtId="0" fontId="13" fillId="0" borderId="93" xfId="0" applyFont="1" applyBorder="1" applyAlignment="1">
      <alignment horizontal="left" vertical="center" wrapText="1"/>
    </xf>
    <xf numFmtId="0" fontId="13" fillId="6" borderId="19" xfId="0" applyFont="1" applyFill="1" applyBorder="1" applyAlignment="1" applyProtection="1">
      <alignment horizontal="center" vertical="center"/>
      <protection locked="0"/>
    </xf>
    <xf numFmtId="0" fontId="15" fillId="0" borderId="50" xfId="0" applyFont="1" applyBorder="1" applyAlignment="1">
      <alignment horizontal="center" vertical="center"/>
    </xf>
    <xf numFmtId="0" fontId="13" fillId="3" borderId="32" xfId="0" applyFont="1" applyFill="1" applyBorder="1" applyAlignment="1">
      <alignment vertical="center" wrapText="1"/>
    </xf>
    <xf numFmtId="0" fontId="13" fillId="3" borderId="33" xfId="0" applyFont="1" applyFill="1" applyBorder="1" applyAlignment="1">
      <alignment vertical="center" wrapText="1"/>
    </xf>
    <xf numFmtId="0" fontId="13" fillId="3" borderId="51" xfId="0" applyFont="1" applyFill="1" applyBorder="1" applyAlignment="1">
      <alignment vertical="center" wrapText="1"/>
    </xf>
    <xf numFmtId="0" fontId="13" fillId="6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Border="1" applyAlignment="1" applyProtection="1">
      <alignment horizontal="left" vertical="center"/>
      <protection locked="0"/>
    </xf>
    <xf numFmtId="0" fontId="13" fillId="0" borderId="48" xfId="0" applyFont="1" applyBorder="1" applyAlignment="1">
      <alignment horizontal="center"/>
    </xf>
    <xf numFmtId="0" fontId="13" fillId="0" borderId="32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0" borderId="51" xfId="0" applyFont="1" applyBorder="1" applyAlignment="1">
      <alignment vertical="center" wrapText="1"/>
    </xf>
    <xf numFmtId="0" fontId="21" fillId="0" borderId="51" xfId="0" applyFont="1" applyBorder="1" applyAlignment="1">
      <alignment vertical="center"/>
    </xf>
    <xf numFmtId="0" fontId="13" fillId="6" borderId="51" xfId="0" applyFont="1" applyFill="1" applyBorder="1" applyAlignment="1">
      <alignment vertical="center"/>
    </xf>
    <xf numFmtId="0" fontId="13" fillId="0" borderId="51" xfId="0" applyFont="1" applyBorder="1" applyAlignment="1">
      <alignment horizontal="left" vertical="center" shrinkToFit="1"/>
    </xf>
    <xf numFmtId="0" fontId="13" fillId="6" borderId="51" xfId="0" applyFont="1" applyFill="1" applyBorder="1" applyAlignment="1">
      <alignment horizontal="left" vertical="center" shrinkToFit="1"/>
    </xf>
    <xf numFmtId="0" fontId="13" fillId="6" borderId="51" xfId="0" quotePrefix="1" applyFont="1" applyFill="1" applyBorder="1" applyAlignment="1">
      <alignment horizontal="left" vertical="center" shrinkToFit="1"/>
    </xf>
    <xf numFmtId="0" fontId="13" fillId="0" borderId="32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left" vertical="center" wrapText="1"/>
    </xf>
    <xf numFmtId="0" fontId="21" fillId="0" borderId="32" xfId="0" applyFont="1" applyBorder="1" applyAlignment="1">
      <alignment vertical="center"/>
    </xf>
    <xf numFmtId="0" fontId="21" fillId="0" borderId="33" xfId="0" applyFont="1" applyBorder="1" applyAlignment="1">
      <alignment vertical="center"/>
    </xf>
    <xf numFmtId="0" fontId="13" fillId="0" borderId="32" xfId="0" applyFont="1" applyBorder="1" applyAlignment="1">
      <alignment horizontal="left" vertical="center" shrinkToFit="1"/>
    </xf>
    <xf numFmtId="0" fontId="13" fillId="0" borderId="33" xfId="0" applyFont="1" applyBorder="1" applyAlignment="1">
      <alignment horizontal="left" vertical="center" shrinkToFit="1"/>
    </xf>
    <xf numFmtId="0" fontId="14" fillId="6" borderId="0" xfId="0" applyFont="1" applyFill="1" applyAlignment="1">
      <alignment horizontal="center"/>
    </xf>
    <xf numFmtId="0" fontId="22" fillId="0" borderId="19" xfId="0" applyFont="1" applyBorder="1" applyAlignment="1">
      <alignment horizontal="center" vertical="center"/>
    </xf>
    <xf numFmtId="0" fontId="13" fillId="6" borderId="51" xfId="0" quotePrefix="1" applyFont="1" applyFill="1" applyBorder="1" applyAlignment="1">
      <alignment vertical="center" shrinkToFit="1"/>
    </xf>
    <xf numFmtId="0" fontId="18" fillId="6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Border="1" applyAlignment="1">
      <alignment vertical="center"/>
    </xf>
    <xf numFmtId="0" fontId="13" fillId="0" borderId="50" xfId="0" applyFont="1" applyBorder="1" applyAlignment="1" applyProtection="1">
      <alignment horizontal="center" vertical="center" wrapText="1"/>
      <protection locked="0"/>
    </xf>
    <xf numFmtId="0" fontId="13" fillId="6" borderId="51" xfId="0" applyFont="1" applyFill="1" applyBorder="1" applyAlignment="1">
      <alignment horizontal="left" vertical="center"/>
    </xf>
    <xf numFmtId="0" fontId="18" fillId="0" borderId="19" xfId="0" applyFont="1" applyBorder="1" applyAlignment="1" applyProtection="1">
      <alignment horizontal="center" vertical="center" wrapText="1"/>
      <protection locked="0"/>
    </xf>
    <xf numFmtId="0" fontId="18" fillId="6" borderId="51" xfId="0" applyFont="1" applyFill="1" applyBorder="1" applyAlignment="1">
      <alignment horizontal="left" vertical="center"/>
    </xf>
    <xf numFmtId="0" fontId="14" fillId="6" borderId="32" xfId="0" applyFont="1" applyFill="1" applyBorder="1" applyAlignment="1" applyProtection="1">
      <alignment horizontal="center" vertical="center"/>
      <protection locked="0"/>
    </xf>
    <xf numFmtId="0" fontId="17" fillId="0" borderId="19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13" fillId="6" borderId="34" xfId="0" applyFont="1" applyFill="1" applyBorder="1" applyAlignment="1" applyProtection="1">
      <alignment horizontal="center" vertical="center"/>
      <protection locked="0"/>
    </xf>
    <xf numFmtId="0" fontId="17" fillId="0" borderId="20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/>
    </xf>
    <xf numFmtId="0" fontId="13" fillId="0" borderId="61" xfId="0" applyFont="1" applyBorder="1" applyAlignment="1">
      <alignment horizontal="center" vertical="center" textRotation="90" wrapText="1"/>
    </xf>
    <xf numFmtId="0" fontId="13" fillId="0" borderId="61" xfId="0" applyFont="1" applyBorder="1" applyAlignment="1" applyProtection="1">
      <alignment horizontal="center" vertical="center" wrapText="1"/>
      <protection locked="0"/>
    </xf>
    <xf numFmtId="0" fontId="17" fillId="0" borderId="61" xfId="0" applyFont="1" applyBorder="1" applyAlignment="1">
      <alignment horizontal="center" vertical="center"/>
    </xf>
    <xf numFmtId="0" fontId="13" fillId="0" borderId="61" xfId="0" applyFont="1" applyBorder="1" applyAlignment="1">
      <alignment vertical="center" shrinkToFit="1"/>
    </xf>
    <xf numFmtId="0" fontId="13" fillId="6" borderId="61" xfId="0" applyFont="1" applyFill="1" applyBorder="1" applyAlignment="1">
      <alignment vertical="center" shrinkToFit="1"/>
    </xf>
    <xf numFmtId="0" fontId="13" fillId="0" borderId="61" xfId="0" applyFont="1" applyBorder="1" applyAlignment="1">
      <alignment vertical="center" wrapText="1"/>
    </xf>
    <xf numFmtId="0" fontId="13" fillId="6" borderId="61" xfId="0" applyFont="1" applyFill="1" applyBorder="1" applyAlignment="1">
      <alignment vertical="center" wrapText="1"/>
    </xf>
    <xf numFmtId="0" fontId="13" fillId="0" borderId="61" xfId="0" applyFont="1" applyBorder="1" applyAlignment="1" applyProtection="1">
      <alignment horizontal="center" vertical="center" shrinkToFit="1"/>
      <protection locked="0"/>
    </xf>
    <xf numFmtId="0" fontId="13" fillId="0" borderId="61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 shrinkToFit="1"/>
    </xf>
    <xf numFmtId="0" fontId="13" fillId="6" borderId="11" xfId="0" applyFont="1" applyFill="1" applyBorder="1" applyAlignment="1">
      <alignment vertical="center" shrinkToFit="1"/>
    </xf>
    <xf numFmtId="0" fontId="13" fillId="0" borderId="11" xfId="0" applyFont="1" applyBorder="1" applyAlignment="1">
      <alignment vertical="center" wrapText="1"/>
    </xf>
    <xf numFmtId="0" fontId="13" fillId="6" borderId="11" xfId="0" applyFont="1" applyFill="1" applyBorder="1" applyAlignment="1">
      <alignment vertical="center" wrapText="1"/>
    </xf>
    <xf numFmtId="0" fontId="13" fillId="0" borderId="11" xfId="0" applyFont="1" applyBorder="1" applyAlignment="1" applyProtection="1">
      <alignment horizontal="center" vertical="center" shrinkToFit="1"/>
      <protection locked="0"/>
    </xf>
    <xf numFmtId="0" fontId="13" fillId="0" borderId="11" xfId="0" applyFont="1" applyBorder="1" applyAlignment="1">
      <alignment horizontal="center"/>
    </xf>
    <xf numFmtId="0" fontId="14" fillId="6" borderId="97" xfId="0" applyFont="1" applyFill="1" applyBorder="1" applyAlignment="1">
      <alignment horizontal="center" vertical="center"/>
    </xf>
    <xf numFmtId="176" fontId="13" fillId="0" borderId="86" xfId="0" applyNumberFormat="1" applyFont="1" applyBorder="1" applyAlignment="1">
      <alignment horizontal="center" vertical="center" wrapText="1"/>
    </xf>
    <xf numFmtId="0" fontId="13" fillId="0" borderId="86" xfId="0" applyFont="1" applyBorder="1" applyAlignment="1">
      <alignment horizontal="center" vertical="center" wrapText="1"/>
    </xf>
    <xf numFmtId="0" fontId="13" fillId="0" borderId="87" xfId="0" applyFont="1" applyBorder="1" applyAlignment="1">
      <alignment horizontal="center" vertical="center" wrapText="1"/>
    </xf>
    <xf numFmtId="0" fontId="13" fillId="0" borderId="86" xfId="0" applyFont="1" applyBorder="1" applyAlignment="1" applyProtection="1">
      <alignment horizontal="center" vertical="center"/>
      <protection locked="0"/>
    </xf>
    <xf numFmtId="0" fontId="13" fillId="6" borderId="86" xfId="0" applyFont="1" applyFill="1" applyBorder="1" applyAlignment="1" applyProtection="1">
      <alignment horizontal="center" vertical="center"/>
      <protection locked="0"/>
    </xf>
    <xf numFmtId="0" fontId="13" fillId="6" borderId="91" xfId="0" applyFont="1" applyFill="1" applyBorder="1" applyAlignment="1" applyProtection="1">
      <alignment horizontal="center" vertical="center"/>
      <protection locked="0"/>
    </xf>
    <xf numFmtId="0" fontId="13" fillId="0" borderId="86" xfId="0" applyFont="1" applyBorder="1" applyAlignment="1">
      <alignment horizontal="center" vertical="center"/>
    </xf>
    <xf numFmtId="0" fontId="13" fillId="0" borderId="86" xfId="0" applyFont="1" applyBorder="1" applyAlignment="1">
      <alignment horizontal="center"/>
    </xf>
    <xf numFmtId="0" fontId="13" fillId="0" borderId="87" xfId="0" applyFont="1" applyBorder="1" applyAlignment="1">
      <alignment horizontal="center"/>
    </xf>
    <xf numFmtId="0" fontId="13" fillId="6" borderId="86" xfId="0" applyFont="1" applyFill="1" applyBorder="1" applyAlignment="1">
      <alignment vertical="center"/>
    </xf>
    <xf numFmtId="0" fontId="13" fillId="6" borderId="86" xfId="0" applyFont="1" applyFill="1" applyBorder="1" applyAlignment="1">
      <alignment horizontal="left" vertical="center" shrinkToFit="1"/>
    </xf>
    <xf numFmtId="0" fontId="13" fillId="6" borderId="86" xfId="0" quotePrefix="1" applyFont="1" applyFill="1" applyBorder="1" applyAlignment="1">
      <alignment horizontal="left" vertical="center" shrinkToFit="1"/>
    </xf>
    <xf numFmtId="0" fontId="13" fillId="6" borderId="86" xfId="0" quotePrefix="1" applyFont="1" applyFill="1" applyBorder="1" applyAlignment="1">
      <alignment vertical="center" shrinkToFit="1"/>
    </xf>
    <xf numFmtId="0" fontId="13" fillId="6" borderId="86" xfId="0" applyFont="1" applyFill="1" applyBorder="1" applyAlignment="1" applyProtection="1">
      <alignment horizontal="center" vertical="center" wrapText="1"/>
      <protection locked="0"/>
    </xf>
    <xf numFmtId="0" fontId="18" fillId="0" borderId="86" xfId="0" applyFont="1" applyBorder="1" applyAlignment="1" applyProtection="1">
      <alignment horizontal="center" vertical="center" wrapText="1"/>
      <protection locked="0"/>
    </xf>
    <xf numFmtId="0" fontId="18" fillId="6" borderId="86" xfId="0" applyFont="1" applyFill="1" applyBorder="1" applyAlignment="1">
      <alignment horizontal="left" vertical="center"/>
    </xf>
    <xf numFmtId="0" fontId="14" fillId="6" borderId="91" xfId="0" applyFont="1" applyFill="1" applyBorder="1" applyAlignment="1" applyProtection="1">
      <alignment horizontal="center" vertical="center"/>
      <protection locked="0"/>
    </xf>
    <xf numFmtId="0" fontId="13" fillId="0" borderId="8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/>
    </xf>
    <xf numFmtId="0" fontId="13" fillId="0" borderId="90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14" fillId="7" borderId="11" xfId="0" applyFont="1" applyFill="1" applyBorder="1" applyAlignment="1">
      <alignment horizontal="center" vertical="center"/>
    </xf>
    <xf numFmtId="0" fontId="18" fillId="7" borderId="11" xfId="0" applyFont="1" applyFill="1" applyBorder="1" applyAlignment="1" applyProtection="1">
      <alignment horizontal="center" vertical="center"/>
      <protection locked="0"/>
    </xf>
    <xf numFmtId="0" fontId="13" fillId="0" borderId="61" xfId="0" applyFont="1" applyBorder="1" applyAlignment="1">
      <alignment horizontal="center" vertical="center" shrinkToFit="1"/>
    </xf>
    <xf numFmtId="0" fontId="13" fillId="7" borderId="61" xfId="0" applyFont="1" applyFill="1" applyBorder="1" applyAlignment="1">
      <alignment horizontal="center" vertical="center" shrinkToFit="1"/>
    </xf>
    <xf numFmtId="0" fontId="18" fillId="7" borderId="61" xfId="0" applyFont="1" applyFill="1" applyBorder="1" applyAlignment="1">
      <alignment vertical="center" wrapText="1"/>
    </xf>
    <xf numFmtId="0" fontId="13" fillId="0" borderId="11" xfId="0" applyFont="1" applyBorder="1" applyAlignment="1">
      <alignment horizontal="center" vertical="center" shrinkToFit="1"/>
    </xf>
    <xf numFmtId="0" fontId="13" fillId="7" borderId="11" xfId="0" applyFont="1" applyFill="1" applyBorder="1" applyAlignment="1">
      <alignment horizontal="center" vertical="center" shrinkToFit="1"/>
    </xf>
    <xf numFmtId="0" fontId="18" fillId="7" borderId="11" xfId="0" applyFont="1" applyFill="1" applyBorder="1" applyAlignment="1">
      <alignment vertical="center" wrapText="1"/>
    </xf>
    <xf numFmtId="0" fontId="13" fillId="0" borderId="9" xfId="0" applyFont="1" applyBorder="1"/>
    <xf numFmtId="0" fontId="25" fillId="0" borderId="0" xfId="0" applyFont="1"/>
    <xf numFmtId="0" fontId="11" fillId="0" borderId="0" xfId="0" applyFont="1"/>
    <xf numFmtId="0" fontId="26" fillId="0" borderId="0" xfId="0" applyFont="1" applyAlignment="1">
      <alignment vertical="center" wrapText="1" shrinkToFit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3" fillId="0" borderId="116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/>
    </xf>
    <xf numFmtId="0" fontId="18" fillId="7" borderId="117" xfId="0" applyFont="1" applyFill="1" applyBorder="1" applyAlignment="1">
      <alignment horizontal="center" vertical="center"/>
    </xf>
    <xf numFmtId="0" fontId="13" fillId="0" borderId="119" xfId="0" applyFont="1" applyBorder="1" applyAlignment="1">
      <alignment horizontal="center" vertical="center"/>
    </xf>
    <xf numFmtId="0" fontId="13" fillId="0" borderId="120" xfId="0" applyFont="1" applyBorder="1" applyAlignment="1">
      <alignment horizontal="center" vertical="center" wrapText="1"/>
    </xf>
    <xf numFmtId="0" fontId="13" fillId="0" borderId="120" xfId="0" applyFont="1" applyBorder="1" applyAlignment="1">
      <alignment horizontal="center" vertical="center"/>
    </xf>
    <xf numFmtId="0" fontId="18" fillId="7" borderId="120" xfId="0" applyFont="1" applyFill="1" applyBorder="1" applyAlignment="1">
      <alignment horizontal="center" vertical="center"/>
    </xf>
    <xf numFmtId="176" fontId="13" fillId="0" borderId="120" xfId="0" applyNumberFormat="1" applyFont="1" applyBorder="1" applyAlignment="1">
      <alignment horizontal="center" vertical="center" wrapText="1"/>
    </xf>
    <xf numFmtId="0" fontId="13" fillId="0" borderId="121" xfId="0" applyFont="1" applyBorder="1" applyAlignment="1">
      <alignment horizontal="center" vertical="center" wrapText="1"/>
    </xf>
    <xf numFmtId="0" fontId="13" fillId="0" borderId="120" xfId="0" applyFont="1" applyBorder="1" applyAlignment="1" applyProtection="1">
      <alignment horizontal="center" vertical="center" wrapText="1"/>
      <protection locked="0"/>
    </xf>
    <xf numFmtId="0" fontId="17" fillId="0" borderId="120" xfId="0" applyFont="1" applyBorder="1" applyAlignment="1">
      <alignment horizontal="center" vertical="center"/>
    </xf>
    <xf numFmtId="0" fontId="13" fillId="7" borderId="120" xfId="0" applyFont="1" applyFill="1" applyBorder="1" applyAlignment="1">
      <alignment horizontal="center" vertical="center"/>
    </xf>
    <xf numFmtId="0" fontId="24" fillId="0" borderId="120" xfId="0" applyFont="1" applyBorder="1" applyAlignment="1">
      <alignment horizontal="center" vertical="center"/>
    </xf>
    <xf numFmtId="0" fontId="13" fillId="0" borderId="120" xfId="0" applyFont="1" applyBorder="1" applyAlignment="1" applyProtection="1">
      <alignment horizontal="center" vertical="center"/>
      <protection locked="0"/>
    </xf>
    <xf numFmtId="0" fontId="18" fillId="7" borderId="120" xfId="0" applyFont="1" applyFill="1" applyBorder="1" applyAlignment="1" applyProtection="1">
      <alignment horizontal="center" vertical="center"/>
      <protection locked="0"/>
    </xf>
    <xf numFmtId="0" fontId="13" fillId="0" borderId="120" xfId="0" applyFont="1" applyBorder="1" applyAlignment="1" applyProtection="1">
      <alignment horizontal="left" vertical="center"/>
      <protection locked="0"/>
    </xf>
    <xf numFmtId="177" fontId="13" fillId="0" borderId="120" xfId="0" applyNumberFormat="1" applyFont="1" applyBorder="1" applyAlignment="1" applyProtection="1">
      <alignment horizontal="center" vertical="center" wrapText="1"/>
      <protection locked="0"/>
    </xf>
    <xf numFmtId="0" fontId="13" fillId="0" borderId="121" xfId="0" applyFont="1" applyBorder="1" applyAlignment="1">
      <alignment horizontal="center" vertical="center"/>
    </xf>
    <xf numFmtId="0" fontId="15" fillId="0" borderId="120" xfId="0" applyFont="1" applyBorder="1" applyAlignment="1">
      <alignment horizontal="center" vertical="center"/>
    </xf>
    <xf numFmtId="0" fontId="14" fillId="0" borderId="120" xfId="0" applyFont="1" applyBorder="1" applyAlignment="1" applyProtection="1">
      <alignment horizontal="center" vertical="center"/>
      <protection locked="0"/>
    </xf>
    <xf numFmtId="0" fontId="13" fillId="0" borderId="122" xfId="0" applyFont="1" applyBorder="1" applyAlignment="1">
      <alignment horizontal="center" vertical="center"/>
    </xf>
    <xf numFmtId="0" fontId="13" fillId="0" borderId="123" xfId="0" applyFont="1" applyBorder="1" applyAlignment="1" applyProtection="1">
      <alignment horizontal="center" vertical="center" wrapText="1"/>
      <protection locked="0"/>
    </xf>
    <xf numFmtId="0" fontId="17" fillId="0" borderId="123" xfId="0" applyFont="1" applyBorder="1" applyAlignment="1">
      <alignment horizontal="center" vertical="center"/>
    </xf>
    <xf numFmtId="0" fontId="13" fillId="0" borderId="123" xfId="0" applyFont="1" applyBorder="1" applyAlignment="1">
      <alignment horizontal="center" vertical="center"/>
    </xf>
    <xf numFmtId="0" fontId="13" fillId="7" borderId="123" xfId="0" applyFont="1" applyFill="1" applyBorder="1" applyAlignment="1">
      <alignment horizontal="center" vertical="center"/>
    </xf>
    <xf numFmtId="0" fontId="15" fillId="0" borderId="123" xfId="0" applyFont="1" applyBorder="1" applyAlignment="1">
      <alignment horizontal="center" vertical="center"/>
    </xf>
    <xf numFmtId="0" fontId="13" fillId="0" borderId="123" xfId="0" applyFont="1" applyBorder="1" applyAlignment="1" applyProtection="1">
      <alignment horizontal="center" vertical="center"/>
      <protection locked="0"/>
    </xf>
    <xf numFmtId="0" fontId="18" fillId="7" borderId="123" xfId="0" applyFont="1" applyFill="1" applyBorder="1" applyAlignment="1" applyProtection="1">
      <alignment horizontal="center" vertical="center"/>
      <protection locked="0"/>
    </xf>
    <xf numFmtId="177" fontId="13" fillId="0" borderId="123" xfId="0" applyNumberFormat="1" applyFont="1" applyBorder="1" applyAlignment="1" applyProtection="1">
      <alignment horizontal="center" vertical="center" wrapText="1"/>
      <protection locked="0"/>
    </xf>
    <xf numFmtId="0" fontId="13" fillId="0" borderId="124" xfId="0" applyFont="1" applyBorder="1" applyAlignment="1">
      <alignment horizontal="center" vertical="center"/>
    </xf>
    <xf numFmtId="0" fontId="14" fillId="7" borderId="117" xfId="0" applyFont="1" applyFill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3" fillId="7" borderId="120" xfId="0" applyFont="1" applyFill="1" applyBorder="1" applyAlignment="1" applyProtection="1">
      <alignment horizontal="center" vertical="center"/>
      <protection locked="0"/>
    </xf>
    <xf numFmtId="0" fontId="13" fillId="0" borderId="120" xfId="0" applyFont="1" applyBorder="1" applyAlignment="1">
      <alignment horizontal="center"/>
    </xf>
    <xf numFmtId="0" fontId="13" fillId="0" borderId="121" xfId="0" applyFont="1" applyBorder="1" applyAlignment="1">
      <alignment horizontal="center"/>
    </xf>
    <xf numFmtId="0" fontId="21" fillId="7" borderId="120" xfId="0" applyFont="1" applyFill="1" applyBorder="1" applyAlignment="1">
      <alignment horizontal="center" vertical="center"/>
    </xf>
    <xf numFmtId="0" fontId="13" fillId="0" borderId="120" xfId="0" applyFont="1" applyBorder="1" applyAlignment="1">
      <alignment horizontal="center" vertical="center" shrinkToFit="1"/>
    </xf>
    <xf numFmtId="0" fontId="13" fillId="7" borderId="120" xfId="0" applyFont="1" applyFill="1" applyBorder="1" applyAlignment="1">
      <alignment horizontal="center" vertical="center" shrinkToFit="1"/>
    </xf>
    <xf numFmtId="0" fontId="22" fillId="0" borderId="120" xfId="0" applyFont="1" applyBorder="1" applyAlignment="1">
      <alignment horizontal="center" vertical="center"/>
    </xf>
    <xf numFmtId="0" fontId="13" fillId="0" borderId="120" xfId="0" quotePrefix="1" applyFont="1" applyBorder="1" applyAlignment="1">
      <alignment horizontal="center" vertical="center" shrinkToFit="1"/>
    </xf>
    <xf numFmtId="0" fontId="13" fillId="7" borderId="120" xfId="0" quotePrefix="1" applyFont="1" applyFill="1" applyBorder="1" applyAlignment="1">
      <alignment horizontal="center" vertical="center" shrinkToFit="1"/>
    </xf>
    <xf numFmtId="0" fontId="18" fillId="7" borderId="120" xfId="0" applyFont="1" applyFill="1" applyBorder="1" applyAlignment="1">
      <alignment horizontal="center" vertical="center" shrinkToFit="1"/>
    </xf>
    <xf numFmtId="0" fontId="23" fillId="7" borderId="120" xfId="0" applyFont="1" applyFill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 shrinkToFit="1"/>
    </xf>
    <xf numFmtId="0" fontId="21" fillId="7" borderId="123" xfId="0" applyFont="1" applyFill="1" applyBorder="1" applyAlignment="1">
      <alignment horizontal="center" vertical="center" shrinkToFit="1"/>
    </xf>
    <xf numFmtId="0" fontId="13" fillId="0" borderId="123" xfId="0" applyFont="1" applyBorder="1" applyAlignment="1">
      <alignment horizontal="center"/>
    </xf>
    <xf numFmtId="0" fontId="13" fillId="0" borderId="124" xfId="0" applyFont="1" applyBorder="1" applyAlignment="1">
      <alignment horizontal="center"/>
    </xf>
    <xf numFmtId="0" fontId="13" fillId="6" borderId="120" xfId="0" applyFont="1" applyFill="1" applyBorder="1" applyAlignment="1" applyProtection="1">
      <alignment horizontal="center" vertical="center"/>
      <protection locked="0"/>
    </xf>
    <xf numFmtId="0" fontId="13" fillId="0" borderId="117" xfId="0" applyFont="1" applyBorder="1" applyAlignment="1" applyProtection="1">
      <alignment horizontal="center" vertical="center" wrapText="1"/>
      <protection locked="0"/>
    </xf>
    <xf numFmtId="0" fontId="17" fillId="0" borderId="117" xfId="0" applyFont="1" applyBorder="1" applyAlignment="1">
      <alignment horizontal="center" vertical="center"/>
    </xf>
    <xf numFmtId="0" fontId="21" fillId="7" borderId="117" xfId="0" applyFont="1" applyFill="1" applyBorder="1" applyAlignment="1">
      <alignment horizontal="left" vertical="center"/>
    </xf>
    <xf numFmtId="0" fontId="15" fillId="0" borderId="117" xfId="0" applyFont="1" applyBorder="1" applyAlignment="1">
      <alignment horizontal="center" vertical="center"/>
    </xf>
    <xf numFmtId="0" fontId="13" fillId="0" borderId="117" xfId="0" applyFont="1" applyBorder="1" applyAlignment="1" applyProtection="1">
      <alignment horizontal="center" vertical="center"/>
      <protection locked="0"/>
    </xf>
    <xf numFmtId="0" fontId="18" fillId="7" borderId="117" xfId="0" applyFont="1" applyFill="1" applyBorder="1" applyAlignment="1" applyProtection="1">
      <alignment horizontal="center" vertical="center"/>
      <protection locked="0"/>
    </xf>
    <xf numFmtId="0" fontId="13" fillId="0" borderId="117" xfId="0" applyFont="1" applyBorder="1" applyAlignment="1">
      <alignment horizontal="center"/>
    </xf>
    <xf numFmtId="0" fontId="13" fillId="0" borderId="118" xfId="0" applyFont="1" applyBorder="1" applyAlignment="1">
      <alignment horizontal="center"/>
    </xf>
    <xf numFmtId="0" fontId="21" fillId="7" borderId="120" xfId="0" applyFont="1" applyFill="1" applyBorder="1" applyAlignment="1">
      <alignment horizontal="left" vertical="center"/>
    </xf>
    <xf numFmtId="0" fontId="18" fillId="7" borderId="120" xfId="0" applyFont="1" applyFill="1" applyBorder="1" applyAlignment="1">
      <alignment horizontal="left" vertical="center"/>
    </xf>
    <xf numFmtId="0" fontId="13" fillId="7" borderId="120" xfId="0" applyFont="1" applyFill="1" applyBorder="1" applyAlignment="1">
      <alignment horizontal="left" vertical="center"/>
    </xf>
    <xf numFmtId="0" fontId="21" fillId="7" borderId="123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 textRotation="90" wrapText="1"/>
    </xf>
    <xf numFmtId="0" fontId="13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8" fillId="7" borderId="0" xfId="0" applyFont="1" applyFill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128" xfId="0" applyFont="1" applyBorder="1" applyAlignment="1">
      <alignment vertical="center"/>
    </xf>
    <xf numFmtId="0" fontId="13" fillId="0" borderId="129" xfId="0" applyFont="1" applyBorder="1" applyAlignment="1">
      <alignment vertical="center"/>
    </xf>
    <xf numFmtId="0" fontId="13" fillId="0" borderId="130" xfId="0" applyFont="1" applyBorder="1" applyAlignment="1">
      <alignment vertical="center"/>
    </xf>
    <xf numFmtId="0" fontId="21" fillId="0" borderId="128" xfId="0" applyFont="1" applyBorder="1" applyAlignment="1">
      <alignment vertical="center"/>
    </xf>
    <xf numFmtId="0" fontId="21" fillId="0" borderId="129" xfId="0" applyFont="1" applyBorder="1" applyAlignment="1">
      <alignment vertical="center"/>
    </xf>
    <xf numFmtId="0" fontId="21" fillId="0" borderId="130" xfId="0" applyFont="1" applyBorder="1" applyAlignment="1">
      <alignment vertical="center"/>
    </xf>
    <xf numFmtId="0" fontId="13" fillId="0" borderId="128" xfId="0" applyFont="1" applyBorder="1" applyAlignment="1">
      <alignment horizontal="left" vertical="center"/>
    </xf>
    <xf numFmtId="0" fontId="13" fillId="0" borderId="129" xfId="0" applyFont="1" applyBorder="1" applyAlignment="1">
      <alignment horizontal="left" vertical="center"/>
    </xf>
    <xf numFmtId="0" fontId="13" fillId="0" borderId="130" xfId="0" applyFont="1" applyBorder="1" applyAlignment="1">
      <alignment horizontal="left" vertical="center"/>
    </xf>
    <xf numFmtId="0" fontId="13" fillId="0" borderId="132" xfId="0" applyFont="1" applyBorder="1" applyAlignment="1">
      <alignment horizontal="left" vertical="center"/>
    </xf>
    <xf numFmtId="0" fontId="13" fillId="0" borderId="133" xfId="0" applyFont="1" applyBorder="1" applyAlignment="1">
      <alignment horizontal="left" vertical="center"/>
    </xf>
    <xf numFmtId="0" fontId="21" fillId="3" borderId="128" xfId="0" applyFont="1" applyFill="1" applyBorder="1" applyAlignment="1">
      <alignment horizontal="center" vertical="center"/>
    </xf>
    <xf numFmtId="0" fontId="21" fillId="3" borderId="129" xfId="0" applyFont="1" applyFill="1" applyBorder="1" applyAlignment="1">
      <alignment horizontal="center" vertical="center"/>
    </xf>
    <xf numFmtId="0" fontId="21" fillId="3" borderId="130" xfId="0" applyFont="1" applyFill="1" applyBorder="1" applyAlignment="1">
      <alignment horizontal="center" vertical="center"/>
    </xf>
    <xf numFmtId="0" fontId="18" fillId="0" borderId="128" xfId="0" applyFont="1" applyBorder="1" applyAlignment="1">
      <alignment vertical="center"/>
    </xf>
    <xf numFmtId="0" fontId="23" fillId="0" borderId="128" xfId="0" applyFont="1" applyBorder="1" applyAlignment="1">
      <alignment vertical="center"/>
    </xf>
    <xf numFmtId="0" fontId="13" fillId="3" borderId="128" xfId="0" applyFont="1" applyFill="1" applyBorder="1" applyAlignment="1">
      <alignment vertical="center"/>
    </xf>
    <xf numFmtId="0" fontId="13" fillId="3" borderId="129" xfId="0" applyFont="1" applyFill="1" applyBorder="1" applyAlignment="1">
      <alignment vertical="center"/>
    </xf>
    <xf numFmtId="0" fontId="13" fillId="3" borderId="130" xfId="0" applyFont="1" applyFill="1" applyBorder="1" applyAlignment="1">
      <alignment vertical="center"/>
    </xf>
    <xf numFmtId="0" fontId="21" fillId="3" borderId="128" xfId="0" applyFont="1" applyFill="1" applyBorder="1" applyAlignment="1">
      <alignment vertical="center"/>
    </xf>
    <xf numFmtId="0" fontId="21" fillId="3" borderId="129" xfId="0" applyFont="1" applyFill="1" applyBorder="1" applyAlignment="1">
      <alignment vertical="center"/>
    </xf>
    <xf numFmtId="0" fontId="21" fillId="3" borderId="130" xfId="0" applyFont="1" applyFill="1" applyBorder="1" applyAlignment="1">
      <alignment vertical="center"/>
    </xf>
    <xf numFmtId="0" fontId="14" fillId="0" borderId="128" xfId="0" applyFont="1" applyBorder="1" applyAlignment="1">
      <alignment vertical="center"/>
    </xf>
    <xf numFmtId="0" fontId="14" fillId="0" borderId="129" xfId="0" applyFont="1" applyBorder="1" applyAlignment="1">
      <alignment vertical="center"/>
    </xf>
    <xf numFmtId="0" fontId="18" fillId="0" borderId="130" xfId="0" applyFont="1" applyBorder="1" applyAlignment="1">
      <alignment vertical="center"/>
    </xf>
    <xf numFmtId="0" fontId="13" fillId="3" borderId="128" xfId="0" applyFont="1" applyFill="1" applyBorder="1" applyAlignment="1">
      <alignment horizontal="left" vertical="center"/>
    </xf>
    <xf numFmtId="0" fontId="13" fillId="3" borderId="129" xfId="0" applyFont="1" applyFill="1" applyBorder="1" applyAlignment="1">
      <alignment horizontal="left" vertical="center"/>
    </xf>
    <xf numFmtId="0" fontId="13" fillId="3" borderId="130" xfId="0" applyFont="1" applyFill="1" applyBorder="1" applyAlignment="1">
      <alignment horizontal="left" vertical="center"/>
    </xf>
    <xf numFmtId="0" fontId="13" fillId="3" borderId="128" xfId="0" applyFont="1" applyFill="1" applyBorder="1" applyAlignment="1">
      <alignment horizontal="center" vertical="center"/>
    </xf>
    <xf numFmtId="0" fontId="13" fillId="3" borderId="129" xfId="0" applyFont="1" applyFill="1" applyBorder="1" applyAlignment="1">
      <alignment horizontal="center" vertical="center"/>
    </xf>
    <xf numFmtId="0" fontId="13" fillId="3" borderId="130" xfId="0" applyFont="1" applyFill="1" applyBorder="1" applyAlignment="1">
      <alignment horizontal="center" vertical="center"/>
    </xf>
    <xf numFmtId="0" fontId="13" fillId="3" borderId="131" xfId="0" applyFont="1" applyFill="1" applyBorder="1" applyAlignment="1">
      <alignment horizontal="center" vertical="center"/>
    </xf>
    <xf numFmtId="0" fontId="13" fillId="3" borderId="132" xfId="0" applyFont="1" applyFill="1" applyBorder="1" applyAlignment="1">
      <alignment horizontal="center" vertical="center"/>
    </xf>
    <xf numFmtId="0" fontId="13" fillId="3" borderId="133" xfId="0" applyFont="1" applyFill="1" applyBorder="1" applyAlignment="1">
      <alignment horizontal="center" vertical="center"/>
    </xf>
    <xf numFmtId="0" fontId="13" fillId="0" borderId="13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177" fontId="13" fillId="0" borderId="0" xfId="0" applyNumberFormat="1" applyFont="1" applyAlignment="1" applyProtection="1">
      <alignment horizontal="center" vertical="center" wrapText="1"/>
      <protection locked="0"/>
    </xf>
    <xf numFmtId="0" fontId="13" fillId="0" borderId="128" xfId="0" applyFont="1" applyBorder="1" applyAlignment="1" applyProtection="1">
      <alignment horizontal="left" vertical="center"/>
      <protection locked="0"/>
    </xf>
    <xf numFmtId="0" fontId="13" fillId="0" borderId="130" xfId="0" applyFont="1" applyBorder="1" applyAlignment="1" applyProtection="1">
      <alignment horizontal="left" vertical="center"/>
      <protection locked="0"/>
    </xf>
    <xf numFmtId="0" fontId="13" fillId="0" borderId="134" xfId="0" applyFont="1" applyBorder="1" applyAlignment="1">
      <alignment horizontal="center" vertical="center"/>
    </xf>
    <xf numFmtId="0" fontId="13" fillId="0" borderId="102" xfId="0" applyFont="1" applyBorder="1" applyAlignment="1" applyProtection="1">
      <alignment horizontal="center" vertical="center" wrapText="1"/>
      <protection locked="0"/>
    </xf>
    <xf numFmtId="0" fontId="17" fillId="0" borderId="102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3" fillId="0" borderId="102" xfId="0" applyFont="1" applyBorder="1" applyAlignment="1">
      <alignment horizontal="center" vertical="center"/>
    </xf>
    <xf numFmtId="0" fontId="13" fillId="0" borderId="102" xfId="0" applyFont="1" applyBorder="1" applyAlignment="1">
      <alignment horizontal="center"/>
    </xf>
    <xf numFmtId="0" fontId="13" fillId="0" borderId="140" xfId="0" applyFont="1" applyBorder="1" applyAlignment="1">
      <alignment horizontal="center"/>
    </xf>
    <xf numFmtId="0" fontId="13" fillId="6" borderId="94" xfId="0" applyFont="1" applyFill="1" applyBorder="1" applyAlignment="1" applyProtection="1">
      <alignment horizontal="center" vertical="center"/>
      <protection locked="0"/>
    </xf>
    <xf numFmtId="0" fontId="13" fillId="0" borderId="141" xfId="0" applyFont="1" applyBorder="1" applyAlignment="1">
      <alignment horizontal="center" vertical="center"/>
    </xf>
    <xf numFmtId="0" fontId="13" fillId="0" borderId="142" xfId="0" applyFont="1" applyBorder="1" applyAlignment="1" applyProtection="1">
      <alignment horizontal="center" vertical="center" wrapText="1"/>
      <protection locked="0"/>
    </xf>
    <xf numFmtId="0" fontId="17" fillId="0" borderId="142" xfId="0" applyFont="1" applyBorder="1" applyAlignment="1">
      <alignment horizontal="center" vertical="center"/>
    </xf>
    <xf numFmtId="0" fontId="21" fillId="7" borderId="142" xfId="0" applyFont="1" applyFill="1" applyBorder="1" applyAlignment="1">
      <alignment horizontal="left" vertical="center"/>
    </xf>
    <xf numFmtId="0" fontId="13" fillId="0" borderId="144" xfId="0" applyFont="1" applyBorder="1" applyAlignment="1">
      <alignment horizontal="left" vertical="center"/>
    </xf>
    <xf numFmtId="0" fontId="13" fillId="0" borderId="145" xfId="0" applyFont="1" applyBorder="1" applyAlignment="1">
      <alignment horizontal="left" vertical="center"/>
    </xf>
    <xf numFmtId="0" fontId="13" fillId="0" borderId="142" xfId="0" applyFont="1" applyBorder="1" applyAlignment="1" applyProtection="1">
      <alignment horizontal="center" vertical="center"/>
      <protection locked="0"/>
    </xf>
    <xf numFmtId="0" fontId="18" fillId="7" borderId="142" xfId="0" applyFont="1" applyFill="1" applyBorder="1" applyAlignment="1" applyProtection="1">
      <alignment horizontal="center" vertical="center"/>
      <protection locked="0"/>
    </xf>
    <xf numFmtId="0" fontId="13" fillId="0" borderId="142" xfId="0" applyFont="1" applyBorder="1" applyAlignment="1">
      <alignment horizontal="center" vertical="center"/>
    </xf>
    <xf numFmtId="0" fontId="13" fillId="0" borderId="142" xfId="0" applyFont="1" applyBorder="1" applyAlignment="1">
      <alignment horizontal="center"/>
    </xf>
    <xf numFmtId="0" fontId="13" fillId="0" borderId="146" xfId="0" applyFont="1" applyBorder="1" applyAlignment="1">
      <alignment horizontal="center"/>
    </xf>
    <xf numFmtId="0" fontId="13" fillId="0" borderId="91" xfId="0" applyFont="1" applyBorder="1" applyAlignment="1">
      <alignment vertical="center" wrapText="1"/>
    </xf>
    <xf numFmtId="0" fontId="13" fillId="0" borderId="92" xfId="0" applyFont="1" applyBorder="1" applyAlignment="1">
      <alignment vertical="center" wrapText="1"/>
    </xf>
    <xf numFmtId="0" fontId="13" fillId="0" borderId="93" xfId="0" applyFont="1" applyBorder="1" applyAlignment="1">
      <alignment vertical="center" wrapText="1"/>
    </xf>
    <xf numFmtId="0" fontId="13" fillId="0" borderId="91" xfId="0" applyFont="1" applyBorder="1" applyAlignment="1">
      <alignment vertical="center"/>
    </xf>
    <xf numFmtId="0" fontId="13" fillId="0" borderId="92" xfId="0" applyFont="1" applyBorder="1" applyAlignment="1">
      <alignment vertical="center"/>
    </xf>
    <xf numFmtId="0" fontId="13" fillId="0" borderId="93" xfId="0" applyFont="1" applyBorder="1" applyAlignment="1">
      <alignment vertical="center"/>
    </xf>
    <xf numFmtId="0" fontId="13" fillId="0" borderId="91" xfId="0" applyFont="1" applyBorder="1" applyAlignment="1">
      <alignment horizontal="left" vertical="center"/>
    </xf>
    <xf numFmtId="0" fontId="13" fillId="0" borderId="92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21" fillId="3" borderId="32" xfId="0" applyFont="1" applyFill="1" applyBorder="1" applyAlignment="1">
      <alignment vertical="center"/>
    </xf>
    <xf numFmtId="0" fontId="21" fillId="3" borderId="33" xfId="0" applyFont="1" applyFill="1" applyBorder="1" applyAlignment="1">
      <alignment vertical="center"/>
    </xf>
    <xf numFmtId="0" fontId="21" fillId="3" borderId="51" xfId="0" applyFont="1" applyFill="1" applyBorder="1" applyAlignment="1">
      <alignment vertical="center"/>
    </xf>
    <xf numFmtId="0" fontId="21" fillId="3" borderId="103" xfId="0" applyFont="1" applyFill="1" applyBorder="1" applyAlignment="1">
      <alignment vertical="center"/>
    </xf>
    <xf numFmtId="0" fontId="21" fillId="3" borderId="104" xfId="0" applyFont="1" applyFill="1" applyBorder="1" applyAlignment="1">
      <alignment vertical="center"/>
    </xf>
    <xf numFmtId="0" fontId="21" fillId="3" borderId="105" xfId="0" applyFont="1" applyFill="1" applyBorder="1" applyAlignment="1">
      <alignment vertical="center"/>
    </xf>
    <xf numFmtId="0" fontId="13" fillId="3" borderId="106" xfId="0" applyFont="1" applyFill="1" applyBorder="1" applyAlignment="1">
      <alignment vertical="center" wrapText="1"/>
    </xf>
    <xf numFmtId="0" fontId="13" fillId="3" borderId="107" xfId="0" applyFont="1" applyFill="1" applyBorder="1" applyAlignment="1">
      <alignment vertical="center" wrapText="1"/>
    </xf>
    <xf numFmtId="0" fontId="13" fillId="3" borderId="108" xfId="0" applyFont="1" applyFill="1" applyBorder="1" applyAlignment="1">
      <alignment vertical="center" wrapText="1"/>
    </xf>
    <xf numFmtId="0" fontId="21" fillId="3" borderId="34" xfId="0" applyFont="1" applyFill="1" applyBorder="1" applyAlignment="1">
      <alignment vertical="center"/>
    </xf>
    <xf numFmtId="0" fontId="21" fillId="3" borderId="35" xfId="0" applyFont="1" applyFill="1" applyBorder="1" applyAlignment="1">
      <alignment vertical="center"/>
    </xf>
    <xf numFmtId="0" fontId="21" fillId="3" borderId="54" xfId="0" applyFont="1" applyFill="1" applyBorder="1" applyAlignment="1">
      <alignment vertical="center"/>
    </xf>
    <xf numFmtId="0" fontId="23" fillId="0" borderId="91" xfId="0" applyFont="1" applyBorder="1" applyAlignment="1">
      <alignment vertical="center" wrapText="1"/>
    </xf>
    <xf numFmtId="0" fontId="23" fillId="0" borderId="92" xfId="0" applyFont="1" applyBorder="1" applyAlignment="1">
      <alignment vertical="center" wrapText="1"/>
    </xf>
    <xf numFmtId="0" fontId="23" fillId="0" borderId="93" xfId="0" applyFont="1" applyBorder="1" applyAlignment="1">
      <alignment vertical="center" wrapText="1"/>
    </xf>
    <xf numFmtId="0" fontId="14" fillId="0" borderId="130" xfId="0" applyFont="1" applyBorder="1" applyAlignment="1">
      <alignment vertical="center"/>
    </xf>
    <xf numFmtId="0" fontId="13" fillId="0" borderId="131" xfId="0" applyFont="1" applyBorder="1" applyAlignment="1">
      <alignment horizontal="left" vertical="center"/>
    </xf>
    <xf numFmtId="0" fontId="14" fillId="5" borderId="128" xfId="0" applyFont="1" applyFill="1" applyBorder="1" applyAlignment="1">
      <alignment vertical="center"/>
    </xf>
    <xf numFmtId="0" fontId="14" fillId="5" borderId="129" xfId="0" applyFont="1" applyFill="1" applyBorder="1" applyAlignment="1">
      <alignment vertical="center"/>
    </xf>
    <xf numFmtId="0" fontId="14" fillId="5" borderId="130" xfId="0" applyFont="1" applyFill="1" applyBorder="1" applyAlignment="1">
      <alignment vertical="center"/>
    </xf>
    <xf numFmtId="0" fontId="13" fillId="0" borderId="100" xfId="0" applyFont="1" applyBorder="1" applyAlignment="1">
      <alignment horizontal="center" vertical="center"/>
    </xf>
    <xf numFmtId="0" fontId="13" fillId="3" borderId="103" xfId="0" applyFont="1" applyFill="1" applyBorder="1" applyAlignment="1">
      <alignment vertical="center" wrapText="1"/>
    </xf>
    <xf numFmtId="0" fontId="13" fillId="3" borderId="104" xfId="0" applyFont="1" applyFill="1" applyBorder="1" applyAlignment="1">
      <alignment vertical="center" wrapText="1"/>
    </xf>
    <xf numFmtId="0" fontId="13" fillId="3" borderId="105" xfId="0" applyFont="1" applyFill="1" applyBorder="1" applyAlignment="1">
      <alignment vertical="center" wrapText="1"/>
    </xf>
    <xf numFmtId="0" fontId="13" fillId="3" borderId="135" xfId="0" applyFont="1" applyFill="1" applyBorder="1" applyAlignment="1">
      <alignment vertical="center" wrapText="1"/>
    </xf>
    <xf numFmtId="0" fontId="13" fillId="3" borderId="115" xfId="0" applyFont="1" applyFill="1" applyBorder="1" applyAlignment="1">
      <alignment vertical="center" wrapText="1"/>
    </xf>
    <xf numFmtId="0" fontId="13" fillId="3" borderId="136" xfId="0" applyFont="1" applyFill="1" applyBorder="1" applyAlignment="1">
      <alignment vertical="center" wrapText="1"/>
    </xf>
    <xf numFmtId="0" fontId="14" fillId="0" borderId="91" xfId="0" applyFont="1" applyBorder="1" applyAlignment="1">
      <alignment vertical="center" wrapText="1"/>
    </xf>
    <xf numFmtId="0" fontId="14" fillId="0" borderId="92" xfId="0" applyFont="1" applyBorder="1" applyAlignment="1">
      <alignment vertical="center" wrapText="1"/>
    </xf>
    <xf numFmtId="0" fontId="14" fillId="0" borderId="93" xfId="0" applyFont="1" applyBorder="1" applyAlignment="1">
      <alignment vertical="center" wrapText="1"/>
    </xf>
    <xf numFmtId="0" fontId="21" fillId="0" borderId="91" xfId="0" applyFont="1" applyBorder="1" applyAlignment="1">
      <alignment vertical="center"/>
    </xf>
    <xf numFmtId="0" fontId="21" fillId="0" borderId="92" xfId="0" applyFont="1" applyBorder="1" applyAlignment="1">
      <alignment vertical="center"/>
    </xf>
    <xf numFmtId="0" fontId="21" fillId="0" borderId="93" xfId="0" applyFont="1" applyBorder="1" applyAlignment="1">
      <alignment vertical="center"/>
    </xf>
    <xf numFmtId="0" fontId="13" fillId="0" borderId="91" xfId="0" applyFont="1" applyBorder="1" applyAlignment="1">
      <alignment vertical="center" shrinkToFit="1"/>
    </xf>
    <xf numFmtId="0" fontId="13" fillId="0" borderId="92" xfId="0" applyFont="1" applyBorder="1" applyAlignment="1">
      <alignment vertical="center" shrinkToFit="1"/>
    </xf>
    <xf numFmtId="0" fontId="13" fillId="0" borderId="93" xfId="0" applyFont="1" applyBorder="1" applyAlignment="1">
      <alignment vertical="center" shrinkToFit="1"/>
    </xf>
    <xf numFmtId="0" fontId="23" fillId="0" borderId="91" xfId="0" applyFont="1" applyBorder="1" applyAlignment="1">
      <alignment vertical="center" shrinkToFit="1"/>
    </xf>
    <xf numFmtId="0" fontId="23" fillId="0" borderId="92" xfId="0" applyFont="1" applyBorder="1" applyAlignment="1">
      <alignment vertical="center" shrinkToFit="1"/>
    </xf>
    <xf numFmtId="0" fontId="23" fillId="0" borderId="93" xfId="0" applyFont="1" applyBorder="1" applyAlignment="1">
      <alignment vertical="center" shrinkToFit="1"/>
    </xf>
    <xf numFmtId="0" fontId="11" fillId="0" borderId="92" xfId="0" applyFont="1" applyBorder="1" applyAlignment="1">
      <alignment vertical="center" shrinkToFit="1"/>
    </xf>
    <xf numFmtId="0" fontId="11" fillId="0" borderId="93" xfId="0" applyFont="1" applyBorder="1" applyAlignment="1">
      <alignment vertical="center" shrinkToFit="1"/>
    </xf>
    <xf numFmtId="0" fontId="13" fillId="0" borderId="137" xfId="0" applyFont="1" applyBorder="1" applyAlignment="1">
      <alignment vertical="center" shrinkToFit="1"/>
    </xf>
    <xf numFmtId="0" fontId="13" fillId="0" borderId="138" xfId="0" applyFont="1" applyBorder="1" applyAlignment="1">
      <alignment vertical="center" shrinkToFit="1"/>
    </xf>
    <xf numFmtId="0" fontId="13" fillId="0" borderId="139" xfId="0" applyFont="1" applyBorder="1" applyAlignment="1">
      <alignment vertical="center" shrinkToFit="1"/>
    </xf>
    <xf numFmtId="0" fontId="13" fillId="0" borderId="32" xfId="0" applyFont="1" applyBorder="1" applyAlignment="1">
      <alignment vertical="center" shrinkToFit="1"/>
    </xf>
    <xf numFmtId="0" fontId="13" fillId="0" borderId="33" xfId="0" applyFont="1" applyBorder="1" applyAlignment="1">
      <alignment vertical="center" shrinkToFit="1"/>
    </xf>
    <xf numFmtId="0" fontId="13" fillId="0" borderId="51" xfId="0" applyFont="1" applyBorder="1" applyAlignment="1">
      <alignment vertical="center" shrinkToFit="1"/>
    </xf>
    <xf numFmtId="0" fontId="13" fillId="0" borderId="125" xfId="0" applyFont="1" applyBorder="1" applyAlignment="1">
      <alignment vertical="center"/>
    </xf>
    <xf numFmtId="0" fontId="13" fillId="0" borderId="126" xfId="0" applyFont="1" applyBorder="1" applyAlignment="1">
      <alignment vertical="center"/>
    </xf>
    <xf numFmtId="0" fontId="13" fillId="0" borderId="127" xfId="0" applyFont="1" applyBorder="1" applyAlignment="1">
      <alignment vertical="center"/>
    </xf>
    <xf numFmtId="0" fontId="13" fillId="3" borderId="147" xfId="0" applyFont="1" applyFill="1" applyBorder="1" applyAlignment="1">
      <alignment vertical="center"/>
    </xf>
    <xf numFmtId="0" fontId="13" fillId="3" borderId="148" xfId="0" applyFont="1" applyFill="1" applyBorder="1" applyAlignment="1">
      <alignment vertical="center"/>
    </xf>
    <xf numFmtId="0" fontId="13" fillId="3" borderId="149" xfId="0" applyFont="1" applyFill="1" applyBorder="1" applyAlignment="1">
      <alignment vertical="center"/>
    </xf>
    <xf numFmtId="0" fontId="13" fillId="3" borderId="91" xfId="0" applyFont="1" applyFill="1" applyBorder="1" applyAlignment="1">
      <alignment vertical="center"/>
    </xf>
    <xf numFmtId="0" fontId="13" fillId="3" borderId="92" xfId="0" applyFont="1" applyFill="1" applyBorder="1" applyAlignment="1">
      <alignment vertical="center"/>
    </xf>
    <xf numFmtId="0" fontId="13" fillId="3" borderId="93" xfId="0" applyFont="1" applyFill="1" applyBorder="1" applyAlignment="1">
      <alignment vertical="center"/>
    </xf>
    <xf numFmtId="0" fontId="13" fillId="3" borderId="94" xfId="0" applyFont="1" applyFill="1" applyBorder="1" applyAlignment="1">
      <alignment vertical="center"/>
    </xf>
    <xf numFmtId="0" fontId="13" fillId="3" borderId="95" xfId="0" applyFont="1" applyFill="1" applyBorder="1" applyAlignment="1">
      <alignment vertical="center"/>
    </xf>
    <xf numFmtId="0" fontId="13" fillId="3" borderId="96" xfId="0" applyFont="1" applyFill="1" applyBorder="1" applyAlignment="1">
      <alignment vertical="center"/>
    </xf>
    <xf numFmtId="0" fontId="13" fillId="3" borderId="125" xfId="0" applyFont="1" applyFill="1" applyBorder="1" applyAlignment="1">
      <alignment vertical="center"/>
    </xf>
    <xf numFmtId="0" fontId="13" fillId="3" borderId="126" xfId="0" applyFont="1" applyFill="1" applyBorder="1" applyAlignment="1">
      <alignment vertical="center"/>
    </xf>
    <xf numFmtId="0" fontId="13" fillId="3" borderId="127" xfId="0" applyFont="1" applyFill="1" applyBorder="1" applyAlignment="1">
      <alignment vertical="center"/>
    </xf>
    <xf numFmtId="0" fontId="13" fillId="0" borderId="132" xfId="0" applyFont="1" applyBorder="1" applyAlignment="1">
      <alignment vertical="center"/>
    </xf>
    <xf numFmtId="0" fontId="13" fillId="0" borderId="133" xfId="0" applyFont="1" applyBorder="1" applyAlignment="1">
      <alignment vertical="center"/>
    </xf>
    <xf numFmtId="0" fontId="13" fillId="5" borderId="128" xfId="0" applyFont="1" applyFill="1" applyBorder="1" applyAlignment="1">
      <alignment vertical="center"/>
    </xf>
    <xf numFmtId="0" fontId="13" fillId="5" borderId="129" xfId="0" applyFont="1" applyFill="1" applyBorder="1" applyAlignment="1">
      <alignment vertical="center"/>
    </xf>
    <xf numFmtId="0" fontId="13" fillId="5" borderId="130" xfId="0" applyFont="1" applyFill="1" applyBorder="1" applyAlignment="1">
      <alignment vertical="center"/>
    </xf>
    <xf numFmtId="0" fontId="23" fillId="0" borderId="129" xfId="0" applyFont="1" applyBorder="1" applyAlignment="1">
      <alignment vertical="center"/>
    </xf>
    <xf numFmtId="0" fontId="23" fillId="0" borderId="130" xfId="0" applyFont="1" applyBorder="1" applyAlignment="1">
      <alignment vertical="center"/>
    </xf>
    <xf numFmtId="0" fontId="18" fillId="0" borderId="129" xfId="0" applyFont="1" applyBorder="1" applyAlignment="1">
      <alignment vertical="center"/>
    </xf>
    <xf numFmtId="0" fontId="13" fillId="0" borderId="128" xfId="0" applyFont="1" applyBorder="1" applyAlignment="1">
      <alignment horizontal="center" vertical="center"/>
    </xf>
    <xf numFmtId="0" fontId="13" fillId="0" borderId="129" xfId="0" applyFont="1" applyBorder="1" applyAlignment="1">
      <alignment horizontal="center" vertical="center"/>
    </xf>
    <xf numFmtId="0" fontId="13" fillId="0" borderId="130" xfId="0" applyFont="1" applyBorder="1" applyAlignment="1">
      <alignment horizontal="center" vertical="center"/>
    </xf>
    <xf numFmtId="0" fontId="18" fillId="0" borderId="129" xfId="0" applyFont="1" applyBorder="1" applyAlignment="1">
      <alignment horizontal="left" vertical="center"/>
    </xf>
    <xf numFmtId="0" fontId="18" fillId="0" borderId="130" xfId="0" applyFont="1" applyBorder="1" applyAlignment="1">
      <alignment horizontal="left" vertical="center"/>
    </xf>
    <xf numFmtId="0" fontId="21" fillId="0" borderId="128" xfId="0" applyFont="1" applyBorder="1" applyAlignment="1">
      <alignment horizontal="center" vertical="center"/>
    </xf>
    <xf numFmtId="0" fontId="21" fillId="0" borderId="129" xfId="0" applyFont="1" applyBorder="1" applyAlignment="1">
      <alignment horizontal="center" vertical="center"/>
    </xf>
    <xf numFmtId="0" fontId="21" fillId="0" borderId="130" xfId="0" applyFont="1" applyBorder="1" applyAlignment="1">
      <alignment horizontal="center" vertical="center"/>
    </xf>
    <xf numFmtId="0" fontId="13" fillId="0" borderId="143" xfId="0" applyFont="1" applyBorder="1" applyAlignment="1">
      <alignment horizontal="left" vertical="center"/>
    </xf>
    <xf numFmtId="0" fontId="15" fillId="0" borderId="142" xfId="0" applyFont="1" applyBorder="1" applyAlignment="1">
      <alignment horizontal="center" vertical="center"/>
    </xf>
    <xf numFmtId="0" fontId="13" fillId="3" borderId="143" xfId="0" applyFont="1" applyFill="1" applyBorder="1" applyAlignment="1">
      <alignment horizontal="center" vertical="center"/>
    </xf>
    <xf numFmtId="0" fontId="13" fillId="3" borderId="144" xfId="0" applyFont="1" applyFill="1" applyBorder="1" applyAlignment="1">
      <alignment horizontal="center" vertical="center"/>
    </xf>
    <xf numFmtId="0" fontId="13" fillId="3" borderId="145" xfId="0" applyFont="1" applyFill="1" applyBorder="1" applyAlignment="1">
      <alignment horizontal="center" vertical="center"/>
    </xf>
    <xf numFmtId="0" fontId="13" fillId="0" borderId="150" xfId="0" applyFont="1" applyBorder="1" applyAlignment="1">
      <alignment horizontal="center" vertical="center"/>
    </xf>
    <xf numFmtId="0" fontId="13" fillId="0" borderId="151" xfId="0" applyFont="1" applyBorder="1" applyAlignment="1" applyProtection="1">
      <alignment horizontal="center" vertical="center" wrapText="1"/>
      <protection locked="0"/>
    </xf>
    <xf numFmtId="0" fontId="17" fillId="0" borderId="151" xfId="0" applyFont="1" applyBorder="1" applyAlignment="1">
      <alignment horizontal="center" vertical="center"/>
    </xf>
    <xf numFmtId="0" fontId="13" fillId="0" borderId="152" xfId="0" applyFont="1" applyBorder="1" applyAlignment="1">
      <alignment vertical="center"/>
    </xf>
    <xf numFmtId="0" fontId="13" fillId="0" borderId="153" xfId="0" applyFont="1" applyBorder="1" applyAlignment="1">
      <alignment vertical="center"/>
    </xf>
    <xf numFmtId="0" fontId="13" fillId="0" borderId="154" xfId="0" applyFont="1" applyBorder="1" applyAlignment="1">
      <alignment vertical="center"/>
    </xf>
    <xf numFmtId="0" fontId="15" fillId="0" borderId="151" xfId="0" applyFont="1" applyBorder="1" applyAlignment="1">
      <alignment horizontal="center" vertical="center"/>
    </xf>
    <xf numFmtId="0" fontId="13" fillId="3" borderId="152" xfId="0" applyFont="1" applyFill="1" applyBorder="1" applyAlignment="1">
      <alignment vertical="center"/>
    </xf>
    <xf numFmtId="0" fontId="13" fillId="3" borderId="153" xfId="0" applyFont="1" applyFill="1" applyBorder="1" applyAlignment="1">
      <alignment vertical="center"/>
    </xf>
    <xf numFmtId="0" fontId="13" fillId="3" borderId="154" xfId="0" applyFont="1" applyFill="1" applyBorder="1" applyAlignment="1">
      <alignment vertical="center"/>
    </xf>
    <xf numFmtId="0" fontId="13" fillId="0" borderId="151" xfId="0" applyFont="1" applyBorder="1" applyAlignment="1" applyProtection="1">
      <alignment horizontal="center" vertical="center"/>
      <protection locked="0"/>
    </xf>
    <xf numFmtId="0" fontId="18" fillId="7" borderId="151" xfId="0" applyFont="1" applyFill="1" applyBorder="1" applyAlignment="1" applyProtection="1">
      <alignment horizontal="center" vertical="center"/>
      <protection locked="0"/>
    </xf>
    <xf numFmtId="0" fontId="13" fillId="0" borderId="151" xfId="0" applyFont="1" applyBorder="1" applyAlignment="1">
      <alignment horizontal="center" vertical="center"/>
    </xf>
    <xf numFmtId="0" fontId="13" fillId="0" borderId="151" xfId="0" applyFont="1" applyBorder="1" applyAlignment="1">
      <alignment horizontal="center"/>
    </xf>
    <xf numFmtId="0" fontId="13" fillId="0" borderId="155" xfId="0" applyFont="1" applyBorder="1" applyAlignment="1">
      <alignment horizontal="center"/>
    </xf>
    <xf numFmtId="0" fontId="20" fillId="0" borderId="61" xfId="0" applyFont="1" applyBorder="1" applyAlignment="1">
      <alignment horizontal="center" vertical="center" textRotation="90" wrapText="1"/>
    </xf>
    <xf numFmtId="0" fontId="21" fillId="0" borderId="61" xfId="0" applyFont="1" applyBorder="1" applyAlignment="1">
      <alignment horizontal="left" vertical="center"/>
    </xf>
    <xf numFmtId="0" fontId="15" fillId="0" borderId="61" xfId="0" applyFont="1" applyBorder="1" applyAlignment="1">
      <alignment horizontal="center" vertical="center"/>
    </xf>
    <xf numFmtId="0" fontId="13" fillId="3" borderId="61" xfId="0" applyFont="1" applyFill="1" applyBorder="1" applyAlignment="1">
      <alignment horizontal="center" vertical="center"/>
    </xf>
    <xf numFmtId="0" fontId="13" fillId="0" borderId="61" xfId="0" applyFont="1" applyBorder="1" applyAlignment="1" applyProtection="1">
      <alignment horizontal="center" vertical="center"/>
      <protection locked="0"/>
    </xf>
    <xf numFmtId="0" fontId="18" fillId="7" borderId="61" xfId="0" applyFont="1" applyFill="1" applyBorder="1" applyAlignment="1" applyProtection="1">
      <alignment horizontal="center" vertical="center"/>
      <protection locked="0"/>
    </xf>
    <xf numFmtId="0" fontId="13" fillId="0" borderId="61" xfId="0" applyFont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center" vertical="center" textRotation="90" wrapText="1"/>
    </xf>
    <xf numFmtId="0" fontId="21" fillId="0" borderId="11" xfId="0" applyFont="1" applyBorder="1" applyAlignment="1">
      <alignment horizontal="left" vertical="center"/>
    </xf>
    <xf numFmtId="0" fontId="13" fillId="3" borderId="11" xfId="0" applyFont="1" applyFill="1" applyBorder="1" applyAlignment="1">
      <alignment horizontal="center" vertical="center"/>
    </xf>
    <xf numFmtId="0" fontId="13" fillId="0" borderId="11" xfId="0" applyFont="1" applyBorder="1" applyAlignment="1" applyProtection="1">
      <alignment horizontal="left" vertical="center"/>
      <protection locked="0"/>
    </xf>
    <xf numFmtId="0" fontId="13" fillId="0" borderId="94" xfId="0" applyFont="1" applyBorder="1" applyAlignment="1">
      <alignment vertical="center"/>
    </xf>
    <xf numFmtId="0" fontId="13" fillId="0" borderId="95" xfId="0" applyFont="1" applyBorder="1" applyAlignment="1">
      <alignment vertical="center"/>
    </xf>
    <xf numFmtId="0" fontId="13" fillId="0" borderId="96" xfId="0" applyFont="1" applyBorder="1" applyAlignment="1">
      <alignment vertical="center"/>
    </xf>
    <xf numFmtId="0" fontId="28" fillId="0" borderId="0" xfId="0" applyFont="1"/>
    <xf numFmtId="0" fontId="13" fillId="0" borderId="137" xfId="0" applyFont="1" applyBorder="1" applyAlignment="1">
      <alignment vertical="center" wrapText="1"/>
    </xf>
    <xf numFmtId="0" fontId="13" fillId="0" borderId="138" xfId="0" applyFont="1" applyBorder="1" applyAlignment="1">
      <alignment vertical="center" wrapText="1"/>
    </xf>
    <xf numFmtId="0" fontId="13" fillId="0" borderId="139" xfId="0" applyFont="1" applyBorder="1" applyAlignment="1">
      <alignment vertical="center" wrapText="1"/>
    </xf>
    <xf numFmtId="0" fontId="13" fillId="6" borderId="137" xfId="0" applyFont="1" applyFill="1" applyBorder="1" applyAlignment="1" applyProtection="1">
      <alignment horizontal="center" vertical="center"/>
      <protection locked="0"/>
    </xf>
    <xf numFmtId="0" fontId="17" fillId="0" borderId="100" xfId="0" applyFont="1" applyBorder="1" applyAlignment="1">
      <alignment horizontal="center" vertical="center"/>
    </xf>
    <xf numFmtId="0" fontId="13" fillId="0" borderId="98" xfId="0" applyFont="1" applyBorder="1" applyAlignment="1">
      <alignment vertical="center" wrapText="1"/>
    </xf>
    <xf numFmtId="0" fontId="13" fillId="0" borderId="99" xfId="0" applyFont="1" applyBorder="1" applyAlignment="1">
      <alignment vertical="center" wrapText="1"/>
    </xf>
    <xf numFmtId="0" fontId="13" fillId="0" borderId="100" xfId="0" applyFont="1" applyBorder="1" applyAlignment="1" applyProtection="1">
      <alignment horizontal="center" vertical="center" wrapText="1"/>
      <protection locked="0"/>
    </xf>
    <xf numFmtId="0" fontId="15" fillId="0" borderId="100" xfId="0" applyFont="1" applyBorder="1" applyAlignment="1">
      <alignment horizontal="center" vertical="center"/>
    </xf>
    <xf numFmtId="0" fontId="13" fillId="3" borderId="45" xfId="0" applyFont="1" applyFill="1" applyBorder="1" applyAlignment="1">
      <alignment vertical="center" wrapText="1"/>
    </xf>
    <xf numFmtId="0" fontId="13" fillId="3" borderId="46" xfId="0" applyFont="1" applyFill="1" applyBorder="1" applyAlignment="1">
      <alignment vertical="center" wrapText="1"/>
    </xf>
    <xf numFmtId="0" fontId="13" fillId="3" borderId="47" xfId="0" applyFont="1" applyFill="1" applyBorder="1" applyAlignment="1">
      <alignment vertical="center" wrapText="1"/>
    </xf>
    <xf numFmtId="0" fontId="13" fillId="6" borderId="97" xfId="0" applyFont="1" applyFill="1" applyBorder="1" applyAlignment="1" applyProtection="1">
      <alignment horizontal="center" vertical="center"/>
      <protection locked="0"/>
    </xf>
    <xf numFmtId="0" fontId="13" fillId="0" borderId="100" xfId="0" applyFont="1" applyBorder="1" applyAlignment="1">
      <alignment horizontal="center"/>
    </xf>
    <xf numFmtId="0" fontId="13" fillId="0" borderId="109" xfId="0" applyFont="1" applyBorder="1" applyAlignment="1">
      <alignment horizontal="center"/>
    </xf>
    <xf numFmtId="0" fontId="28" fillId="0" borderId="61" xfId="0" applyFont="1" applyBorder="1" applyAlignment="1">
      <alignment horizontal="left" vertical="center" wrapText="1"/>
    </xf>
    <xf numFmtId="0" fontId="28" fillId="0" borderId="61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/>
    </xf>
    <xf numFmtId="0" fontId="28" fillId="0" borderId="61" xfId="0" applyFont="1" applyBorder="1" applyAlignment="1" applyProtection="1">
      <alignment horizontal="center" vertical="center" wrapText="1"/>
      <protection locked="0"/>
    </xf>
    <xf numFmtId="0" fontId="28" fillId="0" borderId="61" xfId="0" applyFont="1" applyBorder="1" applyAlignment="1" applyProtection="1">
      <alignment horizontal="center" vertical="center"/>
      <protection locked="0"/>
    </xf>
    <xf numFmtId="0" fontId="28" fillId="0" borderId="61" xfId="0" applyFont="1" applyBorder="1" applyAlignment="1" applyProtection="1">
      <alignment horizontal="left" vertical="center"/>
      <protection locked="0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horizontal="center"/>
    </xf>
    <xf numFmtId="0" fontId="29" fillId="0" borderId="11" xfId="0" applyFont="1" applyBorder="1" applyAlignment="1">
      <alignment horizontal="center" vertical="center"/>
    </xf>
    <xf numFmtId="0" fontId="28" fillId="0" borderId="11" xfId="0" applyFont="1" applyBorder="1" applyAlignment="1" applyProtection="1">
      <alignment horizontal="center" vertical="center" wrapText="1"/>
      <protection locked="0"/>
    </xf>
    <xf numFmtId="0" fontId="28" fillId="0" borderId="11" xfId="0" applyFont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left" vertical="center"/>
      <protection locked="0"/>
    </xf>
    <xf numFmtId="0" fontId="28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/>
    </xf>
    <xf numFmtId="0" fontId="19" fillId="0" borderId="74" xfId="0" applyFont="1" applyBorder="1" applyAlignment="1">
      <alignment horizontal="center" vertical="center"/>
    </xf>
    <xf numFmtId="0" fontId="14" fillId="0" borderId="74" xfId="0" applyFont="1" applyBorder="1" applyAlignment="1">
      <alignment vertical="center"/>
    </xf>
    <xf numFmtId="0" fontId="14" fillId="6" borderId="74" xfId="0" applyFont="1" applyFill="1" applyBorder="1" applyAlignment="1">
      <alignment vertical="center"/>
    </xf>
    <xf numFmtId="0" fontId="14" fillId="6" borderId="74" xfId="0" applyFont="1" applyFill="1" applyBorder="1" applyAlignment="1" applyProtection="1">
      <alignment horizontal="center" vertical="center"/>
      <protection locked="0"/>
    </xf>
    <xf numFmtId="0" fontId="13" fillId="0" borderId="74" xfId="0" applyFont="1" applyBorder="1" applyAlignment="1" applyProtection="1">
      <alignment horizontal="center" vertical="center"/>
      <protection locked="0"/>
    </xf>
    <xf numFmtId="177" fontId="13" fillId="0" borderId="74" xfId="0" applyNumberFormat="1" applyFont="1" applyBorder="1" applyAlignment="1" applyProtection="1">
      <alignment horizontal="center" vertical="center" wrapText="1"/>
      <protection locked="0"/>
    </xf>
    <xf numFmtId="0" fontId="13" fillId="0" borderId="7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textRotation="90" wrapText="1"/>
    </xf>
    <xf numFmtId="0" fontId="13" fillId="0" borderId="32" xfId="0" applyFont="1" applyBorder="1" applyAlignment="1">
      <alignment horizontal="left" vertical="center"/>
    </xf>
    <xf numFmtId="0" fontId="13" fillId="5" borderId="61" xfId="0" applyFont="1" applyFill="1" applyBorder="1" applyAlignment="1">
      <alignment horizontal="center" vertical="center" shrinkToFit="1"/>
    </xf>
    <xf numFmtId="0" fontId="13" fillId="5" borderId="11" xfId="0" applyFont="1" applyFill="1" applyBorder="1" applyAlignment="1">
      <alignment horizontal="center" vertical="center" shrinkToFit="1"/>
    </xf>
    <xf numFmtId="0" fontId="13" fillId="5" borderId="32" xfId="0" applyFont="1" applyFill="1" applyBorder="1" applyAlignment="1">
      <alignment vertical="center"/>
    </xf>
    <xf numFmtId="0" fontId="21" fillId="5" borderId="61" xfId="0" applyFont="1" applyFill="1" applyBorder="1" applyAlignment="1">
      <alignment horizontal="center" vertical="center" shrinkToFit="1"/>
    </xf>
    <xf numFmtId="0" fontId="21" fillId="5" borderId="11" xfId="0" applyFont="1" applyFill="1" applyBorder="1" applyAlignment="1">
      <alignment horizontal="center" vertical="center" shrinkToFit="1"/>
    </xf>
    <xf numFmtId="0" fontId="13" fillId="5" borderId="32" xfId="0" applyFont="1" applyFill="1" applyBorder="1" applyAlignment="1" applyProtection="1">
      <alignment vertical="center"/>
      <protection locked="0"/>
    </xf>
    <xf numFmtId="0" fontId="13" fillId="5" borderId="51" xfId="0" applyFont="1" applyFill="1" applyBorder="1" applyAlignment="1" applyProtection="1">
      <alignment vertical="center"/>
      <protection locked="0"/>
    </xf>
    <xf numFmtId="0" fontId="13" fillId="5" borderId="129" xfId="0" applyFont="1" applyFill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 applyProtection="1">
      <alignment horizontal="center" vertical="center" wrapText="1"/>
      <protection locked="0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 applyProtection="1">
      <alignment horizontal="center" vertical="center" wrapText="1"/>
      <protection locked="0"/>
    </xf>
    <xf numFmtId="0" fontId="17" fillId="0" borderId="157" xfId="0" applyFont="1" applyBorder="1" applyAlignment="1">
      <alignment horizontal="center" vertical="center"/>
    </xf>
    <xf numFmtId="0" fontId="13" fillId="0" borderId="110" xfId="0" applyFont="1" applyBorder="1" applyAlignment="1">
      <alignment vertical="center" wrapText="1"/>
    </xf>
    <xf numFmtId="0" fontId="13" fillId="0" borderId="158" xfId="0" applyFont="1" applyBorder="1" applyAlignment="1">
      <alignment horizontal="center" vertical="center"/>
    </xf>
    <xf numFmtId="0" fontId="13" fillId="0" borderId="159" xfId="0" applyFont="1" applyBorder="1" applyAlignment="1" applyProtection="1">
      <alignment horizontal="center" vertical="center" wrapText="1"/>
      <protection locked="0"/>
    </xf>
    <xf numFmtId="0" fontId="17" fillId="0" borderId="159" xfId="0" applyFont="1" applyBorder="1" applyAlignment="1">
      <alignment horizontal="center" vertical="center"/>
    </xf>
    <xf numFmtId="0" fontId="13" fillId="3" borderId="160" xfId="0" applyFont="1" applyFill="1" applyBorder="1" applyAlignment="1">
      <alignment vertical="center" wrapText="1"/>
    </xf>
    <xf numFmtId="0" fontId="13" fillId="3" borderId="161" xfId="0" applyFont="1" applyFill="1" applyBorder="1" applyAlignment="1">
      <alignment vertical="center" wrapText="1"/>
    </xf>
    <xf numFmtId="0" fontId="13" fillId="3" borderId="162" xfId="0" applyFont="1" applyFill="1" applyBorder="1" applyAlignment="1">
      <alignment vertical="center" wrapText="1"/>
    </xf>
    <xf numFmtId="0" fontId="13" fillId="6" borderId="159" xfId="0" applyFont="1" applyFill="1" applyBorder="1" applyAlignment="1" applyProtection="1">
      <alignment horizontal="center" vertical="center"/>
      <protection locked="0"/>
    </xf>
    <xf numFmtId="0" fontId="15" fillId="0" borderId="159" xfId="0" applyFont="1" applyBorder="1" applyAlignment="1">
      <alignment horizontal="center" vertical="center"/>
    </xf>
    <xf numFmtId="0" fontId="13" fillId="0" borderId="160" xfId="0" applyFont="1" applyBorder="1" applyAlignment="1">
      <alignment vertical="center" wrapText="1"/>
    </xf>
    <xf numFmtId="0" fontId="13" fillId="0" borderId="161" xfId="0" applyFont="1" applyBorder="1" applyAlignment="1">
      <alignment vertical="center" wrapText="1"/>
    </xf>
    <xf numFmtId="0" fontId="13" fillId="0" borderId="162" xfId="0" applyFont="1" applyBorder="1" applyAlignment="1">
      <alignment vertical="center" wrapText="1"/>
    </xf>
    <xf numFmtId="0" fontId="13" fillId="6" borderId="160" xfId="0" applyFont="1" applyFill="1" applyBorder="1" applyAlignment="1" applyProtection="1">
      <alignment horizontal="center" vertical="center"/>
      <protection locked="0"/>
    </xf>
    <xf numFmtId="0" fontId="13" fillId="0" borderId="159" xfId="0" applyFont="1" applyBorder="1" applyAlignment="1">
      <alignment horizontal="center" vertical="center"/>
    </xf>
    <xf numFmtId="0" fontId="13" fillId="0" borderId="159" xfId="0" applyFont="1" applyBorder="1" applyAlignment="1">
      <alignment horizontal="center"/>
    </xf>
    <xf numFmtId="0" fontId="13" fillId="0" borderId="163" xfId="0" applyFont="1" applyBorder="1" applyAlignment="1">
      <alignment horizontal="center"/>
    </xf>
    <xf numFmtId="0" fontId="13" fillId="3" borderId="128" xfId="0" applyFont="1" applyFill="1" applyBorder="1" applyAlignment="1">
      <alignment vertical="center" wrapText="1"/>
    </xf>
    <xf numFmtId="0" fontId="13" fillId="3" borderId="129" xfId="0" applyFont="1" applyFill="1" applyBorder="1" applyAlignment="1">
      <alignment vertical="center" wrapText="1"/>
    </xf>
    <xf numFmtId="0" fontId="13" fillId="3" borderId="130" xfId="0" applyFont="1" applyFill="1" applyBorder="1" applyAlignment="1">
      <alignment vertical="center" wrapText="1"/>
    </xf>
    <xf numFmtId="0" fontId="13" fillId="0" borderId="128" xfId="0" applyFont="1" applyBorder="1" applyAlignment="1">
      <alignment vertical="center" wrapText="1"/>
    </xf>
    <xf numFmtId="0" fontId="13" fillId="0" borderId="129" xfId="0" applyFont="1" applyBorder="1" applyAlignment="1">
      <alignment vertical="center" wrapText="1"/>
    </xf>
    <xf numFmtId="0" fontId="13" fillId="0" borderId="130" xfId="0" applyFont="1" applyBorder="1" applyAlignment="1">
      <alignment vertical="center" wrapText="1"/>
    </xf>
    <xf numFmtId="0" fontId="13" fillId="6" borderId="128" xfId="0" applyFont="1" applyFill="1" applyBorder="1" applyAlignment="1" applyProtection="1">
      <alignment horizontal="center" vertical="center"/>
      <protection locked="0"/>
    </xf>
    <xf numFmtId="0" fontId="13" fillId="6" borderId="120" xfId="0" applyFont="1" applyFill="1" applyBorder="1" applyAlignment="1">
      <alignment horizontal="left" vertical="center"/>
    </xf>
    <xf numFmtId="0" fontId="13" fillId="0" borderId="128" xfId="0" applyFont="1" applyBorder="1" applyAlignment="1">
      <alignment vertical="center" shrinkToFit="1"/>
    </xf>
    <xf numFmtId="0" fontId="13" fillId="0" borderId="129" xfId="0" applyFont="1" applyBorder="1" applyAlignment="1">
      <alignment vertical="center" shrinkToFit="1"/>
    </xf>
    <xf numFmtId="0" fontId="13" fillId="0" borderId="130" xfId="0" applyFont="1" applyBorder="1" applyAlignment="1">
      <alignment vertical="center" shrinkToFit="1"/>
    </xf>
    <xf numFmtId="0" fontId="15" fillId="6" borderId="120" xfId="0" applyFont="1" applyFill="1" applyBorder="1" applyAlignment="1">
      <alignment horizontal="left" vertical="center"/>
    </xf>
    <xf numFmtId="0" fontId="13" fillId="0" borderId="128" xfId="0" applyFont="1" applyBorder="1" applyAlignment="1">
      <alignment horizontal="left" vertical="center" wrapText="1"/>
    </xf>
    <xf numFmtId="0" fontId="13" fillId="0" borderId="129" xfId="0" applyFont="1" applyBorder="1" applyAlignment="1">
      <alignment horizontal="left" vertical="center" wrapText="1"/>
    </xf>
    <xf numFmtId="0" fontId="13" fillId="0" borderId="130" xfId="0" applyFont="1" applyBorder="1" applyAlignment="1">
      <alignment horizontal="left" vertical="center" wrapText="1"/>
    </xf>
    <xf numFmtId="0" fontId="13" fillId="0" borderId="164" xfId="0" applyFont="1" applyBorder="1" applyAlignment="1">
      <alignment horizontal="center" vertical="center"/>
    </xf>
    <xf numFmtId="0" fontId="13" fillId="0" borderId="165" xfId="0" applyFont="1" applyBorder="1" applyAlignment="1" applyProtection="1">
      <alignment horizontal="center" vertical="center" wrapText="1"/>
      <protection locked="0"/>
    </xf>
    <xf numFmtId="0" fontId="17" fillId="0" borderId="165" xfId="0" applyFont="1" applyBorder="1" applyAlignment="1">
      <alignment horizontal="center" vertical="center"/>
    </xf>
    <xf numFmtId="0" fontId="13" fillId="0" borderId="147" xfId="0" applyFont="1" applyBorder="1" applyAlignment="1">
      <alignment vertical="center" wrapText="1"/>
    </xf>
    <xf numFmtId="0" fontId="13" fillId="0" borderId="148" xfId="0" applyFont="1" applyBorder="1" applyAlignment="1">
      <alignment vertical="center" wrapText="1"/>
    </xf>
    <xf numFmtId="0" fontId="13" fillId="0" borderId="149" xfId="0" applyFont="1" applyBorder="1" applyAlignment="1">
      <alignment vertical="center" wrapText="1"/>
    </xf>
    <xf numFmtId="0" fontId="15" fillId="0" borderId="165" xfId="0" applyFont="1" applyBorder="1" applyAlignment="1">
      <alignment horizontal="center" vertical="center"/>
    </xf>
    <xf numFmtId="0" fontId="13" fillId="3" borderId="147" xfId="0" applyFont="1" applyFill="1" applyBorder="1" applyAlignment="1">
      <alignment vertical="center" wrapText="1"/>
    </xf>
    <xf numFmtId="0" fontId="13" fillId="3" borderId="148" xfId="0" applyFont="1" applyFill="1" applyBorder="1" applyAlignment="1">
      <alignment vertical="center" wrapText="1"/>
    </xf>
    <xf numFmtId="0" fontId="13" fillId="3" borderId="149" xfId="0" applyFont="1" applyFill="1" applyBorder="1" applyAlignment="1">
      <alignment vertical="center" wrapText="1"/>
    </xf>
    <xf numFmtId="0" fontId="13" fillId="6" borderId="147" xfId="0" applyFont="1" applyFill="1" applyBorder="1" applyAlignment="1" applyProtection="1">
      <alignment horizontal="center" vertical="center"/>
      <protection locked="0"/>
    </xf>
    <xf numFmtId="0" fontId="13" fillId="0" borderId="165" xfId="0" applyFont="1" applyBorder="1" applyAlignment="1">
      <alignment horizontal="center" vertical="center"/>
    </xf>
    <xf numFmtId="0" fontId="13" fillId="0" borderId="165" xfId="0" applyFont="1" applyBorder="1" applyAlignment="1">
      <alignment horizontal="center"/>
    </xf>
    <xf numFmtId="0" fontId="13" fillId="0" borderId="166" xfId="0" applyFont="1" applyBorder="1" applyAlignment="1">
      <alignment horizontal="center"/>
    </xf>
    <xf numFmtId="0" fontId="13" fillId="0" borderId="131" xfId="0" applyFont="1" applyBorder="1" applyAlignment="1">
      <alignment vertical="center" wrapText="1"/>
    </xf>
    <xf numFmtId="0" fontId="13" fillId="0" borderId="132" xfId="0" applyFont="1" applyBorder="1" applyAlignment="1">
      <alignment vertical="center" wrapText="1"/>
    </xf>
    <xf numFmtId="0" fontId="13" fillId="0" borderId="133" xfId="0" applyFont="1" applyBorder="1" applyAlignment="1">
      <alignment vertical="center" wrapText="1"/>
    </xf>
    <xf numFmtId="0" fontId="13" fillId="3" borderId="131" xfId="0" applyFont="1" applyFill="1" applyBorder="1" applyAlignment="1">
      <alignment vertical="center" wrapText="1"/>
    </xf>
    <xf numFmtId="0" fontId="13" fillId="3" borderId="132" xfId="0" applyFont="1" applyFill="1" applyBorder="1" applyAlignment="1">
      <alignment vertical="center" wrapText="1"/>
    </xf>
    <xf numFmtId="0" fontId="13" fillId="3" borderId="133" xfId="0" applyFont="1" applyFill="1" applyBorder="1" applyAlignment="1">
      <alignment vertical="center" wrapText="1"/>
    </xf>
    <xf numFmtId="0" fontId="13" fillId="6" borderId="123" xfId="0" applyFont="1" applyFill="1" applyBorder="1" applyAlignment="1" applyProtection="1">
      <alignment horizontal="center" vertical="center"/>
      <protection locked="0"/>
    </xf>
    <xf numFmtId="0" fontId="14" fillId="0" borderId="91" xfId="0" applyFont="1" applyBorder="1" applyAlignment="1">
      <alignment vertical="center"/>
    </xf>
    <xf numFmtId="0" fontId="14" fillId="0" borderId="92" xfId="0" applyFont="1" applyBorder="1" applyAlignment="1">
      <alignment vertical="center"/>
    </xf>
    <xf numFmtId="0" fontId="14" fillId="0" borderId="93" xfId="0" applyFont="1" applyBorder="1" applyAlignment="1">
      <alignment vertical="center"/>
    </xf>
    <xf numFmtId="0" fontId="14" fillId="0" borderId="98" xfId="0" applyFont="1" applyBorder="1" applyAlignment="1">
      <alignment vertical="center"/>
    </xf>
    <xf numFmtId="0" fontId="14" fillId="0" borderId="99" xfId="0" applyFont="1" applyBorder="1" applyAlignment="1">
      <alignment vertical="center"/>
    </xf>
    <xf numFmtId="0" fontId="13" fillId="0" borderId="120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18" fillId="0" borderId="51" xfId="0" applyFont="1" applyBorder="1" applyAlignment="1">
      <alignment vertical="center"/>
    </xf>
    <xf numFmtId="0" fontId="18" fillId="0" borderId="33" xfId="0" applyFont="1" applyBorder="1" applyAlignment="1">
      <alignment vertical="center" wrapText="1"/>
    </xf>
    <xf numFmtId="0" fontId="18" fillId="0" borderId="51" xfId="0" applyFont="1" applyBorder="1" applyAlignment="1">
      <alignment vertical="center" wrapText="1"/>
    </xf>
    <xf numFmtId="0" fontId="18" fillId="0" borderId="32" xfId="0" applyFont="1" applyBorder="1" applyAlignment="1">
      <alignment vertical="center" wrapText="1"/>
    </xf>
    <xf numFmtId="0" fontId="13" fillId="0" borderId="135" xfId="0" applyFont="1" applyBorder="1" applyAlignment="1">
      <alignment vertical="center" wrapText="1"/>
    </xf>
    <xf numFmtId="0" fontId="17" fillId="0" borderId="91" xfId="0" applyFont="1" applyBorder="1" applyAlignment="1">
      <alignment horizontal="center" vertical="center"/>
    </xf>
    <xf numFmtId="0" fontId="15" fillId="0" borderId="91" xfId="0" applyFont="1" applyBorder="1" applyAlignment="1">
      <alignment horizontal="center" vertical="center"/>
    </xf>
    <xf numFmtId="0" fontId="18" fillId="0" borderId="33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92" xfId="0" applyFont="1" applyBorder="1" applyAlignment="1">
      <alignment vertical="center" wrapText="1"/>
    </xf>
    <xf numFmtId="0" fontId="18" fillId="0" borderId="93" xfId="0" applyFont="1" applyBorder="1" applyAlignment="1">
      <alignment vertical="center" wrapText="1"/>
    </xf>
    <xf numFmtId="0" fontId="18" fillId="0" borderId="32" xfId="0" applyFont="1" applyBorder="1" applyAlignment="1">
      <alignment vertical="center" shrinkToFit="1"/>
    </xf>
    <xf numFmtId="0" fontId="18" fillId="0" borderId="33" xfId="0" applyFont="1" applyBorder="1" applyAlignment="1">
      <alignment vertical="center" shrinkToFit="1"/>
    </xf>
    <xf numFmtId="0" fontId="18" fillId="0" borderId="51" xfId="0" applyFont="1" applyBorder="1" applyAlignment="1">
      <alignment vertical="center" shrinkToFit="1"/>
    </xf>
    <xf numFmtId="0" fontId="18" fillId="0" borderId="32" xfId="0" applyFont="1" applyBorder="1" applyAlignment="1">
      <alignment vertical="center"/>
    </xf>
    <xf numFmtId="0" fontId="18" fillId="0" borderId="129" xfId="0" applyFont="1" applyBorder="1" applyAlignment="1" applyProtection="1">
      <alignment vertical="center"/>
      <protection locked="0"/>
    </xf>
    <xf numFmtId="0" fontId="18" fillId="0" borderId="130" xfId="0" applyFont="1" applyBorder="1" applyAlignment="1" applyProtection="1">
      <alignment vertical="center"/>
      <protection locked="0"/>
    </xf>
    <xf numFmtId="0" fontId="13" fillId="0" borderId="123" xfId="0" applyFont="1" applyBorder="1" applyAlignment="1">
      <alignment horizontal="center" vertical="center" shrinkToFit="1"/>
    </xf>
    <xf numFmtId="0" fontId="13" fillId="0" borderId="142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6" borderId="19" xfId="0" applyFont="1" applyFill="1" applyBorder="1" applyAlignment="1" applyProtection="1">
      <alignment horizontal="center" vertical="center"/>
      <protection locked="0"/>
    </xf>
    <xf numFmtId="0" fontId="13" fillId="6" borderId="102" xfId="0" applyFont="1" applyFill="1" applyBorder="1" applyAlignment="1">
      <alignment horizontal="left" vertical="center"/>
    </xf>
    <xf numFmtId="0" fontId="28" fillId="0" borderId="6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13" fillId="6" borderId="100" xfId="0" applyFont="1" applyFill="1" applyBorder="1" applyAlignment="1">
      <alignment horizontal="left" vertical="center"/>
    </xf>
    <xf numFmtId="0" fontId="13" fillId="6" borderId="165" xfId="0" applyFont="1" applyFill="1" applyBorder="1" applyAlignment="1">
      <alignment horizontal="left" vertical="center"/>
    </xf>
    <xf numFmtId="0" fontId="13" fillId="6" borderId="123" xfId="0" applyFont="1" applyFill="1" applyBorder="1" applyAlignment="1">
      <alignment horizontal="left" vertical="center"/>
    </xf>
    <xf numFmtId="0" fontId="18" fillId="6" borderId="91" xfId="0" applyFont="1" applyFill="1" applyBorder="1" applyAlignment="1" applyProtection="1">
      <alignment horizontal="center" vertical="center"/>
      <protection locked="0"/>
    </xf>
    <xf numFmtId="0" fontId="14" fillId="0" borderId="32" xfId="0" applyFont="1" applyBorder="1" applyAlignment="1">
      <alignment vertical="center" shrinkToFit="1"/>
    </xf>
    <xf numFmtId="0" fontId="13" fillId="5" borderId="91" xfId="0" applyFont="1" applyFill="1" applyBorder="1" applyAlignment="1">
      <alignment horizontal="left" vertical="center" wrapText="1"/>
    </xf>
    <xf numFmtId="0" fontId="23" fillId="5" borderId="92" xfId="0" applyFont="1" applyFill="1" applyBorder="1" applyAlignment="1">
      <alignment vertical="center" wrapText="1"/>
    </xf>
    <xf numFmtId="0" fontId="23" fillId="5" borderId="93" xfId="0" applyFont="1" applyFill="1" applyBorder="1" applyAlignment="1">
      <alignment vertical="center" wrapText="1"/>
    </xf>
    <xf numFmtId="0" fontId="13" fillId="5" borderId="91" xfId="0" applyFont="1" applyFill="1" applyBorder="1" applyAlignment="1">
      <alignment vertical="center" shrinkToFit="1"/>
    </xf>
    <xf numFmtId="0" fontId="13" fillId="5" borderId="92" xfId="0" applyFont="1" applyFill="1" applyBorder="1" applyAlignment="1">
      <alignment vertical="center" shrinkToFit="1"/>
    </xf>
    <xf numFmtId="0" fontId="13" fillId="5" borderId="93" xfId="0" applyFont="1" applyFill="1" applyBorder="1" applyAlignment="1">
      <alignment vertical="center" shrinkToFit="1"/>
    </xf>
    <xf numFmtId="0" fontId="13" fillId="7" borderId="123" xfId="0" applyFont="1" applyFill="1" applyBorder="1" applyAlignment="1">
      <alignment horizontal="center" vertical="center" shrinkToFit="1"/>
    </xf>
    <xf numFmtId="0" fontId="13" fillId="7" borderId="142" xfId="0" applyFont="1" applyFill="1" applyBorder="1" applyAlignment="1">
      <alignment horizontal="center" vertical="center" shrinkToFit="1"/>
    </xf>
    <xf numFmtId="0" fontId="13" fillId="7" borderId="151" xfId="0" applyFont="1" applyFill="1" applyBorder="1" applyAlignment="1">
      <alignment horizontal="left" vertical="center"/>
    </xf>
    <xf numFmtId="0" fontId="13" fillId="7" borderId="142" xfId="0" applyFont="1" applyFill="1" applyBorder="1" applyAlignment="1">
      <alignment horizontal="left" vertical="center"/>
    </xf>
    <xf numFmtId="0" fontId="13" fillId="7" borderId="123" xfId="0" applyFont="1" applyFill="1" applyBorder="1" applyAlignment="1">
      <alignment horizontal="left" vertical="center"/>
    </xf>
    <xf numFmtId="0" fontId="13" fillId="0" borderId="129" xfId="0" applyFont="1" applyBorder="1" applyAlignment="1" applyProtection="1">
      <alignment horizontal="left" vertical="center"/>
      <protection locked="0"/>
    </xf>
    <xf numFmtId="0" fontId="13" fillId="5" borderId="32" xfId="0" applyFont="1" applyFill="1" applyBorder="1" applyAlignment="1">
      <alignment horizontal="left" vertical="center"/>
    </xf>
    <xf numFmtId="0" fontId="13" fillId="5" borderId="130" xfId="0" applyFont="1" applyFill="1" applyBorder="1" applyAlignment="1">
      <alignment horizontal="left" vertical="center"/>
    </xf>
    <xf numFmtId="0" fontId="13" fillId="5" borderId="120" xfId="0" applyFont="1" applyFill="1" applyBorder="1" applyAlignment="1">
      <alignment horizontal="center" vertical="center"/>
    </xf>
    <xf numFmtId="0" fontId="18" fillId="5" borderId="130" xfId="0" applyFont="1" applyFill="1" applyBorder="1" applyAlignment="1">
      <alignment vertical="center"/>
    </xf>
    <xf numFmtId="0" fontId="13" fillId="5" borderId="128" xfId="0" applyFont="1" applyFill="1" applyBorder="1" applyAlignment="1">
      <alignment horizontal="left" vertical="center"/>
    </xf>
    <xf numFmtId="0" fontId="13" fillId="5" borderId="120" xfId="0" applyFont="1" applyFill="1" applyBorder="1" applyAlignment="1">
      <alignment horizontal="center" vertical="center" shrinkToFit="1"/>
    </xf>
    <xf numFmtId="0" fontId="13" fillId="0" borderId="128" xfId="0" applyFont="1" applyBorder="1" applyAlignment="1" applyProtection="1">
      <alignment vertical="center"/>
      <protection locked="0"/>
    </xf>
    <xf numFmtId="0" fontId="13" fillId="0" borderId="93" xfId="0" applyFont="1" applyBorder="1" applyAlignment="1">
      <alignment horizontal="center" vertical="center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51" xfId="0" applyFont="1" applyBorder="1" applyAlignment="1">
      <alignment horizontal="center" vertical="center" shrinkToFit="1"/>
    </xf>
    <xf numFmtId="0" fontId="13" fillId="0" borderId="51" xfId="0" quotePrefix="1" applyFont="1" applyBorder="1" applyAlignment="1">
      <alignment horizontal="center" vertical="center" shrinkToFit="1"/>
    </xf>
    <xf numFmtId="0" fontId="13" fillId="0" borderId="86" xfId="0" applyFont="1" applyBorder="1" applyAlignment="1">
      <alignment horizontal="center" vertical="center" shrinkToFit="1"/>
    </xf>
    <xf numFmtId="0" fontId="13" fillId="0" borderId="86" xfId="0" quotePrefix="1" applyFont="1" applyBorder="1" applyAlignment="1">
      <alignment horizontal="center" vertical="center" shrinkToFit="1"/>
    </xf>
    <xf numFmtId="49" fontId="13" fillId="0" borderId="19" xfId="0" applyNumberFormat="1" applyFont="1" applyBorder="1" applyAlignment="1" applyProtection="1">
      <alignment horizontal="center" vertical="center"/>
      <protection locked="0"/>
    </xf>
    <xf numFmtId="0" fontId="13" fillId="0" borderId="87" xfId="0" applyFont="1" applyBorder="1" applyAlignment="1" applyProtection="1">
      <alignment horizontal="center" vertical="center"/>
      <protection locked="0"/>
    </xf>
    <xf numFmtId="0" fontId="13" fillId="0" borderId="90" xfId="0" applyFont="1" applyBorder="1" applyAlignment="1" applyProtection="1">
      <alignment horizontal="center" vertical="center"/>
      <protection locked="0"/>
    </xf>
    <xf numFmtId="0" fontId="13" fillId="0" borderId="86" xfId="0" applyFont="1" applyBorder="1" applyAlignment="1">
      <alignment horizontal="left" vertical="center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102" xfId="0" applyFont="1" applyBorder="1" applyAlignment="1" applyProtection="1">
      <alignment horizontal="center" vertical="center"/>
      <protection locked="0"/>
    </xf>
    <xf numFmtId="0" fontId="13" fillId="0" borderId="100" xfId="0" applyFont="1" applyBorder="1" applyAlignment="1" applyProtection="1">
      <alignment horizontal="center" vertical="center"/>
      <protection locked="0"/>
    </xf>
    <xf numFmtId="0" fontId="13" fillId="0" borderId="159" xfId="0" applyFont="1" applyBorder="1" applyAlignment="1" applyProtection="1">
      <alignment horizontal="center" vertical="center"/>
      <protection locked="0"/>
    </xf>
    <xf numFmtId="0" fontId="13" fillId="0" borderId="165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29" xfId="0" applyFont="1" applyBorder="1" applyAlignment="1" applyProtection="1">
      <alignment vertical="center"/>
      <protection locked="0"/>
    </xf>
    <xf numFmtId="0" fontId="13" fillId="0" borderId="130" xfId="0" applyFont="1" applyBorder="1" applyAlignment="1" applyProtection="1">
      <alignment vertical="center"/>
      <protection locked="0"/>
    </xf>
    <xf numFmtId="0" fontId="18" fillId="0" borderId="86" xfId="0" applyFont="1" applyBorder="1" applyAlignment="1" applyProtection="1">
      <alignment horizontal="center" vertical="center"/>
      <protection locked="0"/>
    </xf>
    <xf numFmtId="0" fontId="18" fillId="0" borderId="120" xfId="0" applyFont="1" applyBorder="1" applyAlignment="1" applyProtection="1">
      <alignment horizontal="center" vertical="center"/>
      <protection locked="0"/>
    </xf>
    <xf numFmtId="0" fontId="18" fillId="0" borderId="89" xfId="0" applyFont="1" applyBorder="1" applyAlignment="1" applyProtection="1">
      <alignment horizontal="center" vertical="center"/>
      <protection locked="0"/>
    </xf>
    <xf numFmtId="0" fontId="14" fillId="0" borderId="117" xfId="0" applyFont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0" fontId="13" fillId="6" borderId="86" xfId="0" applyFont="1" applyFill="1" applyBorder="1" applyAlignment="1">
      <alignment horizontal="center" vertical="center"/>
    </xf>
    <xf numFmtId="0" fontId="13" fillId="6" borderId="89" xfId="0" applyFont="1" applyFill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3" fillId="0" borderId="89" xfId="0" applyFont="1" applyBorder="1" applyAlignment="1">
      <alignment horizontal="left" vertical="center"/>
    </xf>
    <xf numFmtId="0" fontId="14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vertical="center"/>
    </xf>
    <xf numFmtId="0" fontId="13" fillId="0" borderId="51" xfId="0" quotePrefix="1" applyFont="1" applyBorder="1" applyAlignment="1">
      <alignment horizontal="left" vertical="center" shrinkToFit="1"/>
    </xf>
    <xf numFmtId="0" fontId="13" fillId="0" borderId="51" xfId="0" quotePrefix="1" applyFont="1" applyBorder="1" applyAlignment="1">
      <alignment vertical="center" shrinkToFit="1"/>
    </xf>
    <xf numFmtId="0" fontId="13" fillId="0" borderId="51" xfId="0" applyFont="1" applyBorder="1" applyAlignment="1">
      <alignment horizontal="left" vertical="center"/>
    </xf>
    <xf numFmtId="0" fontId="18" fillId="0" borderId="51" xfId="0" applyFont="1" applyBorder="1" applyAlignment="1">
      <alignment horizontal="left" vertical="center"/>
    </xf>
    <xf numFmtId="0" fontId="18" fillId="0" borderId="19" xfId="0" applyFont="1" applyBorder="1" applyAlignment="1" applyProtection="1">
      <alignment horizontal="center" vertical="center"/>
      <protection locked="0"/>
    </xf>
    <xf numFmtId="0" fontId="13" fillId="0" borderId="86" xfId="0" applyFont="1" applyBorder="1" applyAlignment="1">
      <alignment vertical="center"/>
    </xf>
    <xf numFmtId="0" fontId="13" fillId="0" borderId="86" xfId="0" applyFont="1" applyBorder="1" applyAlignment="1">
      <alignment horizontal="left" vertical="center" shrinkToFit="1"/>
    </xf>
    <xf numFmtId="0" fontId="15" fillId="0" borderId="86" xfId="0" applyFont="1" applyBorder="1" applyAlignment="1" applyProtection="1">
      <alignment horizontal="center" vertical="center"/>
      <protection locked="0"/>
    </xf>
    <xf numFmtId="0" fontId="13" fillId="0" borderId="86" xfId="0" quotePrefix="1" applyFont="1" applyBorder="1" applyAlignment="1">
      <alignment horizontal="left" vertical="center" shrinkToFit="1"/>
    </xf>
    <xf numFmtId="0" fontId="13" fillId="0" borderId="86" xfId="0" quotePrefix="1" applyFont="1" applyBorder="1" applyAlignment="1">
      <alignment vertical="center" shrinkToFit="1"/>
    </xf>
    <xf numFmtId="0" fontId="18" fillId="0" borderId="86" xfId="0" applyFont="1" applyBorder="1" applyAlignment="1">
      <alignment horizontal="left" vertical="center"/>
    </xf>
    <xf numFmtId="0" fontId="13" fillId="0" borderId="102" xfId="0" applyFont="1" applyBorder="1" applyAlignment="1">
      <alignment horizontal="left" vertical="center"/>
    </xf>
    <xf numFmtId="0" fontId="13" fillId="0" borderId="100" xfId="0" applyFont="1" applyBorder="1" applyAlignment="1">
      <alignment horizontal="left" vertical="center"/>
    </xf>
    <xf numFmtId="0" fontId="13" fillId="0" borderId="120" xfId="0" applyFont="1" applyBorder="1" applyAlignment="1">
      <alignment horizontal="left" vertical="center"/>
    </xf>
    <xf numFmtId="0" fontId="15" fillId="0" borderId="120" xfId="0" applyFont="1" applyBorder="1" applyAlignment="1">
      <alignment horizontal="left" vertical="center"/>
    </xf>
    <xf numFmtId="0" fontId="13" fillId="0" borderId="165" xfId="0" applyFont="1" applyBorder="1" applyAlignment="1">
      <alignment horizontal="left" vertical="center"/>
    </xf>
    <xf numFmtId="0" fontId="13" fillId="0" borderId="123" xfId="0" applyFont="1" applyBorder="1" applyAlignment="1">
      <alignment horizontal="left" vertical="center"/>
    </xf>
    <xf numFmtId="0" fontId="13" fillId="6" borderId="86" xfId="0" applyFont="1" applyFill="1" applyBorder="1" applyAlignment="1">
      <alignment horizontal="center" vertical="center" shrinkToFit="1"/>
    </xf>
    <xf numFmtId="0" fontId="14" fillId="0" borderId="11" xfId="0" applyFont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18" fillId="0" borderId="120" xfId="0" applyFont="1" applyBorder="1" applyAlignment="1">
      <alignment horizontal="center" vertical="center" shrinkToFit="1"/>
    </xf>
    <xf numFmtId="0" fontId="23" fillId="0" borderId="120" xfId="0" applyFont="1" applyBorder="1" applyAlignment="1">
      <alignment horizontal="center" vertical="center"/>
    </xf>
    <xf numFmtId="0" fontId="18" fillId="0" borderId="120" xfId="0" applyFont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 shrinkToFit="1"/>
    </xf>
    <xf numFmtId="0" fontId="21" fillId="0" borderId="123" xfId="0" applyFont="1" applyBorder="1" applyAlignment="1">
      <alignment horizontal="center" vertical="center" shrinkToFit="1"/>
    </xf>
    <xf numFmtId="0" fontId="21" fillId="0" borderId="61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 shrinkToFit="1"/>
    </xf>
    <xf numFmtId="0" fontId="21" fillId="0" borderId="117" xfId="0" applyFont="1" applyBorder="1" applyAlignment="1">
      <alignment horizontal="left" vertical="center"/>
    </xf>
    <xf numFmtId="0" fontId="21" fillId="0" borderId="120" xfId="0" applyFont="1" applyBorder="1" applyAlignment="1">
      <alignment horizontal="left" vertical="center"/>
    </xf>
    <xf numFmtId="0" fontId="18" fillId="0" borderId="120" xfId="0" applyFont="1" applyBorder="1" applyAlignment="1">
      <alignment horizontal="left" vertical="center"/>
    </xf>
    <xf numFmtId="0" fontId="21" fillId="0" borderId="142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31" fillId="7" borderId="120" xfId="0" applyFont="1" applyFill="1" applyBorder="1" applyAlignment="1" applyProtection="1">
      <alignment horizontal="center" vertical="center"/>
      <protection locked="0"/>
    </xf>
    <xf numFmtId="0" fontId="21" fillId="0" borderId="32" xfId="0" applyFont="1" applyBorder="1" applyAlignment="1">
      <alignment vertical="center" wrapText="1"/>
    </xf>
    <xf numFmtId="0" fontId="13" fillId="4" borderId="92" xfId="0" applyFont="1" applyFill="1" applyBorder="1" applyAlignment="1">
      <alignment vertical="center" wrapText="1"/>
    </xf>
    <xf numFmtId="0" fontId="13" fillId="4" borderId="93" xfId="0" applyFont="1" applyFill="1" applyBorder="1" applyAlignment="1">
      <alignment vertical="center" wrapText="1"/>
    </xf>
    <xf numFmtId="0" fontId="13" fillId="4" borderId="86" xfId="0" applyFont="1" applyFill="1" applyBorder="1" applyAlignment="1" applyProtection="1">
      <alignment horizontal="center" vertical="center"/>
      <protection locked="0"/>
    </xf>
    <xf numFmtId="0" fontId="18" fillId="5" borderId="120" xfId="0" applyFont="1" applyFill="1" applyBorder="1" applyAlignment="1" applyProtection="1">
      <alignment horizontal="center" vertical="center"/>
      <protection locked="0"/>
    </xf>
    <xf numFmtId="0" fontId="13" fillId="4" borderId="128" xfId="0" applyFont="1" applyFill="1" applyBorder="1" applyAlignment="1">
      <alignment vertical="center"/>
    </xf>
    <xf numFmtId="0" fontId="13" fillId="4" borderId="129" xfId="0" applyFont="1" applyFill="1" applyBorder="1" applyAlignment="1">
      <alignment vertical="center"/>
    </xf>
    <xf numFmtId="0" fontId="13" fillId="5" borderId="93" xfId="0" applyFont="1" applyFill="1" applyBorder="1" applyAlignment="1">
      <alignment horizontal="center" vertical="center"/>
    </xf>
    <xf numFmtId="0" fontId="13" fillId="5" borderId="128" xfId="0" applyFont="1" applyFill="1" applyBorder="1" applyAlignment="1">
      <alignment vertical="center" wrapText="1"/>
    </xf>
    <xf numFmtId="0" fontId="13" fillId="5" borderId="129" xfId="0" applyFont="1" applyFill="1" applyBorder="1" applyAlignment="1">
      <alignment vertical="center" wrapText="1"/>
    </xf>
    <xf numFmtId="0" fontId="13" fillId="5" borderId="130" xfId="0" applyFont="1" applyFill="1" applyBorder="1" applyAlignment="1">
      <alignment vertical="center" wrapText="1"/>
    </xf>
    <xf numFmtId="0" fontId="18" fillId="5" borderId="129" xfId="0" applyFont="1" applyFill="1" applyBorder="1" applyAlignment="1">
      <alignment vertical="center"/>
    </xf>
    <xf numFmtId="0" fontId="13" fillId="5" borderId="91" xfId="0" applyFont="1" applyFill="1" applyBorder="1" applyAlignment="1">
      <alignment vertical="center" wrapText="1"/>
    </xf>
    <xf numFmtId="0" fontId="26" fillId="0" borderId="0" xfId="0" applyFont="1" applyAlignment="1">
      <alignment horizontal="center" vertical="center" wrapText="1" shrinkToFit="1"/>
    </xf>
    <xf numFmtId="0" fontId="27" fillId="0" borderId="28" xfId="0" applyFont="1" applyBorder="1" applyAlignment="1">
      <alignment horizontal="center" vertical="center" textRotation="255" wrapText="1"/>
    </xf>
    <xf numFmtId="0" fontId="27" fillId="0" borderId="10" xfId="0" applyFont="1" applyBorder="1" applyAlignment="1">
      <alignment horizontal="center" vertical="center" textRotation="255" wrapText="1"/>
    </xf>
    <xf numFmtId="0" fontId="27" fillId="0" borderId="7" xfId="0" applyFont="1" applyBorder="1" applyAlignment="1">
      <alignment horizontal="center" vertical="center" textRotation="255" wrapText="1"/>
    </xf>
    <xf numFmtId="0" fontId="27" fillId="0" borderId="15" xfId="0" applyFont="1" applyBorder="1" applyAlignment="1">
      <alignment horizontal="center" vertical="center" textRotation="255" wrapText="1"/>
    </xf>
    <xf numFmtId="0" fontId="27" fillId="0" borderId="0" xfId="0" applyFont="1" applyAlignment="1">
      <alignment horizontal="center" vertical="center" textRotation="255" wrapText="1"/>
    </xf>
    <xf numFmtId="0" fontId="27" fillId="0" borderId="4" xfId="0" applyFont="1" applyBorder="1" applyAlignment="1">
      <alignment horizontal="center" vertical="center" textRotation="255" wrapText="1"/>
    </xf>
    <xf numFmtId="0" fontId="27" fillId="0" borderId="24" xfId="0" applyFont="1" applyBorder="1" applyAlignment="1">
      <alignment horizontal="center" vertical="center" textRotation="255" wrapText="1"/>
    </xf>
    <xf numFmtId="0" fontId="27" fillId="0" borderId="25" xfId="0" applyFont="1" applyBorder="1" applyAlignment="1">
      <alignment horizontal="center" vertical="center" textRotation="255" wrapText="1"/>
    </xf>
    <xf numFmtId="0" fontId="27" fillId="0" borderId="29" xfId="0" applyFont="1" applyBorder="1" applyAlignment="1">
      <alignment horizontal="center" vertical="center" textRotation="255" wrapText="1"/>
    </xf>
    <xf numFmtId="0" fontId="27" fillId="0" borderId="28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62" xfId="0" applyFont="1" applyBorder="1" applyAlignment="1">
      <alignment horizontal="center" vertical="center"/>
    </xf>
    <xf numFmtId="0" fontId="27" fillId="0" borderId="63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27" fillId="0" borderId="68" xfId="0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0" fontId="27" fillId="0" borderId="70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74" xfId="0" applyFont="1" applyFill="1" applyBorder="1" applyAlignment="1">
      <alignment horizontal="center" vertical="center"/>
    </xf>
    <xf numFmtId="0" fontId="11" fillId="2" borderId="75" xfId="0" applyFont="1" applyFill="1" applyBorder="1" applyAlignment="1">
      <alignment horizontal="center" vertical="center"/>
    </xf>
    <xf numFmtId="0" fontId="11" fillId="2" borderId="76" xfId="0" applyFont="1" applyFill="1" applyBorder="1" applyAlignment="1">
      <alignment horizontal="center" vertical="center"/>
    </xf>
    <xf numFmtId="0" fontId="11" fillId="2" borderId="77" xfId="0" applyFont="1" applyFill="1" applyBorder="1" applyAlignment="1">
      <alignment horizontal="center" vertical="center"/>
    </xf>
    <xf numFmtId="0" fontId="13" fillId="2" borderId="7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178" fontId="13" fillId="2" borderId="79" xfId="0" applyNumberFormat="1" applyFont="1" applyFill="1" applyBorder="1" applyAlignment="1">
      <alignment horizontal="center" vertical="center"/>
    </xf>
    <xf numFmtId="0" fontId="13" fillId="2" borderId="79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30" xfId="0" applyFont="1" applyFill="1" applyBorder="1" applyAlignment="1">
      <alignment vertical="center"/>
    </xf>
    <xf numFmtId="0" fontId="13" fillId="2" borderId="79" xfId="0" applyFont="1" applyFill="1" applyBorder="1" applyAlignment="1">
      <alignment horizontal="center" vertical="center"/>
    </xf>
    <xf numFmtId="0" fontId="13" fillId="2" borderId="80" xfId="0" applyFont="1" applyFill="1" applyBorder="1" applyAlignment="1">
      <alignment horizontal="center" vertical="center"/>
    </xf>
    <xf numFmtId="0" fontId="13" fillId="2" borderId="81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vertical="center" wrapText="1"/>
    </xf>
    <xf numFmtId="0" fontId="13" fillId="2" borderId="13" xfId="0" applyFont="1" applyFill="1" applyBorder="1" applyAlignment="1">
      <alignment vertical="center"/>
    </xf>
    <xf numFmtId="0" fontId="13" fillId="2" borderId="18" xfId="0" applyFont="1" applyFill="1" applyBorder="1" applyAlignment="1">
      <alignment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82" xfId="0" applyFont="1" applyFill="1" applyBorder="1" applyAlignment="1">
      <alignment horizontal="center" vertical="center"/>
    </xf>
    <xf numFmtId="178" fontId="13" fillId="2" borderId="22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vertical="center"/>
    </xf>
    <xf numFmtId="0" fontId="13" fillId="0" borderId="8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8" fontId="13" fillId="0" borderId="22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83" xfId="0" applyFont="1" applyFill="1" applyBorder="1" applyAlignment="1">
      <alignment horizontal="center" vertical="center"/>
    </xf>
    <xf numFmtId="0" fontId="13" fillId="2" borderId="84" xfId="0" applyFont="1" applyFill="1" applyBorder="1" applyAlignment="1">
      <alignment horizontal="center" vertical="center"/>
    </xf>
    <xf numFmtId="0" fontId="13" fillId="2" borderId="84" xfId="0" applyFont="1" applyFill="1" applyBorder="1" applyAlignment="1">
      <alignment vertical="center"/>
    </xf>
    <xf numFmtId="0" fontId="13" fillId="2" borderId="41" xfId="0" applyFont="1" applyFill="1" applyBorder="1" applyAlignment="1">
      <alignment vertical="center"/>
    </xf>
    <xf numFmtId="0" fontId="13" fillId="2" borderId="83" xfId="0" applyFont="1" applyFill="1" applyBorder="1" applyAlignment="1">
      <alignment vertical="center"/>
    </xf>
    <xf numFmtId="0" fontId="13" fillId="2" borderId="12" xfId="0" applyFont="1" applyFill="1" applyBorder="1" applyAlignment="1">
      <alignment horizontal="center" vertical="center"/>
    </xf>
    <xf numFmtId="0" fontId="13" fillId="0" borderId="91" xfId="0" applyFont="1" applyBorder="1" applyAlignment="1">
      <alignment vertical="center" wrapText="1"/>
    </xf>
    <xf numFmtId="0" fontId="13" fillId="0" borderId="92" xfId="0" applyFont="1" applyBorder="1" applyAlignment="1">
      <alignment vertical="center" wrapText="1"/>
    </xf>
    <xf numFmtId="0" fontId="13" fillId="0" borderId="93" xfId="0" applyFont="1" applyBorder="1" applyAlignment="1">
      <alignment vertical="center" wrapText="1"/>
    </xf>
    <xf numFmtId="0" fontId="13" fillId="0" borderId="91" xfId="0" applyFont="1" applyBorder="1" applyAlignment="1">
      <alignment horizontal="left" vertical="center" shrinkToFit="1"/>
    </xf>
    <xf numFmtId="0" fontId="13" fillId="0" borderId="92" xfId="0" applyFont="1" applyBorder="1" applyAlignment="1">
      <alignment horizontal="left" vertical="center" shrinkToFit="1"/>
    </xf>
    <xf numFmtId="0" fontId="13" fillId="0" borderId="93" xfId="0" applyFont="1" applyBorder="1" applyAlignment="1">
      <alignment horizontal="left" vertical="center" shrinkToFit="1"/>
    </xf>
    <xf numFmtId="0" fontId="13" fillId="0" borderId="91" xfId="0" applyFont="1" applyBorder="1" applyAlignment="1">
      <alignment horizontal="left" vertical="center" wrapText="1"/>
    </xf>
    <xf numFmtId="0" fontId="13" fillId="0" borderId="92" xfId="0" applyFont="1" applyBorder="1" applyAlignment="1">
      <alignment horizontal="left" vertical="center" wrapText="1"/>
    </xf>
    <xf numFmtId="0" fontId="13" fillId="0" borderId="93" xfId="0" applyFont="1" applyBorder="1" applyAlignment="1">
      <alignment horizontal="left" vertical="center" wrapText="1"/>
    </xf>
    <xf numFmtId="0" fontId="14" fillId="5" borderId="91" xfId="0" applyFont="1" applyFill="1" applyBorder="1" applyAlignment="1">
      <alignment vertical="center" wrapText="1"/>
    </xf>
    <xf numFmtId="0" fontId="14" fillId="5" borderId="92" xfId="0" applyFont="1" applyFill="1" applyBorder="1" applyAlignment="1">
      <alignment vertical="center" wrapText="1"/>
    </xf>
    <xf numFmtId="0" fontId="14" fillId="5" borderId="93" xfId="0" applyFont="1" applyFill="1" applyBorder="1" applyAlignment="1">
      <alignment vertical="center" wrapText="1"/>
    </xf>
    <xf numFmtId="0" fontId="13" fillId="0" borderId="91" xfId="0" applyFont="1" applyBorder="1" applyAlignment="1">
      <alignment horizontal="left" vertical="center"/>
    </xf>
    <xf numFmtId="0" fontId="13" fillId="0" borderId="92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4" fillId="0" borderId="91" xfId="0" applyFont="1" applyBorder="1" applyAlignment="1">
      <alignment horizontal="left" vertical="center"/>
    </xf>
    <xf numFmtId="0" fontId="14" fillId="0" borderId="92" xfId="0" applyFont="1" applyBorder="1" applyAlignment="1">
      <alignment horizontal="left" vertical="center"/>
    </xf>
    <xf numFmtId="0" fontId="14" fillId="0" borderId="93" xfId="0" applyFont="1" applyBorder="1" applyAlignment="1">
      <alignment horizontal="left" vertical="center"/>
    </xf>
    <xf numFmtId="0" fontId="13" fillId="0" borderId="128" xfId="0" applyFont="1" applyBorder="1" applyAlignment="1" applyProtection="1">
      <alignment horizontal="left" vertical="center"/>
      <protection locked="0"/>
    </xf>
    <xf numFmtId="0" fontId="13" fillId="0" borderId="130" xfId="0" applyFont="1" applyBorder="1" applyAlignment="1" applyProtection="1">
      <alignment horizontal="left" vertical="center"/>
      <protection locked="0"/>
    </xf>
    <xf numFmtId="0" fontId="18" fillId="4" borderId="120" xfId="0" applyFont="1" applyFill="1" applyBorder="1" applyAlignment="1">
      <alignment horizontal="center" vertical="center" textRotation="90" wrapText="1"/>
    </xf>
    <xf numFmtId="0" fontId="13" fillId="6" borderId="120" xfId="0" applyFont="1" applyFill="1" applyBorder="1" applyAlignment="1">
      <alignment horizontal="center" vertical="center" textRotation="90" wrapText="1"/>
    </xf>
    <xf numFmtId="0" fontId="13" fillId="0" borderId="120" xfId="0" applyFont="1" applyBorder="1" applyAlignment="1">
      <alignment horizontal="center" vertical="center" textRotation="90" wrapText="1"/>
    </xf>
    <xf numFmtId="0" fontId="13" fillId="0" borderId="91" xfId="0" applyFont="1" applyBorder="1" applyAlignment="1">
      <alignment vertical="center"/>
    </xf>
    <xf numFmtId="0" fontId="13" fillId="0" borderId="92" xfId="0" applyFont="1" applyBorder="1" applyAlignment="1">
      <alignment vertical="center"/>
    </xf>
    <xf numFmtId="0" fontId="13" fillId="0" borderId="93" xfId="0" applyFont="1" applyBorder="1" applyAlignment="1">
      <alignment vertical="center"/>
    </xf>
    <xf numFmtId="0" fontId="13" fillId="0" borderId="44" xfId="0" applyFont="1" applyBorder="1" applyAlignment="1" applyProtection="1">
      <alignment horizontal="left" vertical="center"/>
      <protection locked="0"/>
    </xf>
    <xf numFmtId="0" fontId="13" fillId="0" borderId="51" xfId="0" applyFont="1" applyBorder="1" applyAlignment="1" applyProtection="1">
      <alignment horizontal="left" vertical="center"/>
      <protection locked="0"/>
    </xf>
    <xf numFmtId="0" fontId="16" fillId="0" borderId="14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/>
    </xf>
    <xf numFmtId="0" fontId="13" fillId="0" borderId="101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 wrapText="1"/>
    </xf>
    <xf numFmtId="0" fontId="13" fillId="0" borderId="100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/>
    </xf>
    <xf numFmtId="0" fontId="13" fillId="0" borderId="100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97" xfId="0" applyFont="1" applyBorder="1" applyAlignment="1">
      <alignment horizontal="center" vertical="center"/>
    </xf>
    <xf numFmtId="0" fontId="14" fillId="0" borderId="98" xfId="0" applyFont="1" applyBorder="1" applyAlignment="1">
      <alignment horizontal="center" vertical="center"/>
    </xf>
    <xf numFmtId="0" fontId="14" fillId="0" borderId="99" xfId="0" applyFont="1" applyBorder="1" applyAlignment="1">
      <alignment horizontal="center" vertical="center"/>
    </xf>
    <xf numFmtId="0" fontId="13" fillId="0" borderId="102" xfId="0" applyFont="1" applyBorder="1" applyAlignment="1">
      <alignment horizontal="center" vertical="center" textRotation="90" wrapText="1"/>
    </xf>
    <xf numFmtId="0" fontId="13" fillId="0" borderId="17" xfId="0" applyFont="1" applyBorder="1" applyAlignment="1">
      <alignment horizontal="center" vertical="center" textRotation="90" wrapText="1"/>
    </xf>
    <xf numFmtId="0" fontId="13" fillId="0" borderId="36" xfId="0" applyFont="1" applyBorder="1" applyAlignment="1">
      <alignment horizontal="center" vertical="center" textRotation="90" wrapText="1"/>
    </xf>
    <xf numFmtId="9" fontId="16" fillId="0" borderId="14" xfId="0" applyNumberFormat="1" applyFont="1" applyBorder="1" applyAlignment="1">
      <alignment horizontal="center" vertical="center" wrapText="1"/>
    </xf>
    <xf numFmtId="9" fontId="16" fillId="0" borderId="6" xfId="0" applyNumberFormat="1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91" xfId="0" applyFont="1" applyBorder="1" applyAlignment="1">
      <alignment vertical="center"/>
    </xf>
    <xf numFmtId="0" fontId="14" fillId="0" borderId="92" xfId="0" applyFont="1" applyBorder="1" applyAlignment="1">
      <alignment vertical="center"/>
    </xf>
    <xf numFmtId="0" fontId="14" fillId="0" borderId="93" xfId="0" applyFont="1" applyBorder="1" applyAlignment="1">
      <alignment vertical="center"/>
    </xf>
    <xf numFmtId="0" fontId="14" fillId="0" borderId="55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96" xfId="0" applyFont="1" applyBorder="1" applyAlignment="1">
      <alignment horizontal="left" vertical="center"/>
    </xf>
    <xf numFmtId="0" fontId="20" fillId="0" borderId="49" xfId="0" applyFont="1" applyBorder="1" applyAlignment="1">
      <alignment horizontal="center" vertical="center" textRotation="90" wrapText="1"/>
    </xf>
    <xf numFmtId="0" fontId="20" fillId="0" borderId="17" xfId="0" applyFont="1" applyBorder="1" applyAlignment="1">
      <alignment horizontal="center" vertical="center" textRotation="90" wrapText="1"/>
    </xf>
    <xf numFmtId="0" fontId="20" fillId="0" borderId="50" xfId="0" applyFont="1" applyBorder="1" applyAlignment="1">
      <alignment horizontal="center" vertical="center" textRotation="90" wrapText="1"/>
    </xf>
    <xf numFmtId="0" fontId="13" fillId="9" borderId="49" xfId="0" applyFont="1" applyFill="1" applyBorder="1" applyAlignment="1">
      <alignment horizontal="center" vertical="center" textRotation="90" wrapText="1"/>
    </xf>
    <xf numFmtId="0" fontId="13" fillId="0" borderId="50" xfId="0" applyFont="1" applyBorder="1" applyAlignment="1">
      <alignment horizontal="center" vertical="center" textRotation="90" wrapText="1"/>
    </xf>
    <xf numFmtId="0" fontId="18" fillId="0" borderId="49" xfId="0" applyFont="1" applyBorder="1" applyAlignment="1">
      <alignment horizontal="center" vertical="center" textRotation="90" wrapText="1"/>
    </xf>
    <xf numFmtId="0" fontId="18" fillId="0" borderId="17" xfId="0" applyFont="1" applyBorder="1" applyAlignment="1">
      <alignment horizontal="center" vertical="center" textRotation="90" wrapText="1"/>
    </xf>
    <xf numFmtId="0" fontId="18" fillId="0" borderId="50" xfId="0" applyFont="1" applyBorder="1" applyAlignment="1">
      <alignment horizontal="center" vertical="center" textRotation="90" wrapText="1"/>
    </xf>
    <xf numFmtId="0" fontId="18" fillId="4" borderId="49" xfId="0" applyFont="1" applyFill="1" applyBorder="1" applyAlignment="1">
      <alignment horizontal="center" vertical="center" textRotation="90" wrapText="1"/>
    </xf>
    <xf numFmtId="0" fontId="18" fillId="4" borderId="17" xfId="0" applyFont="1" applyFill="1" applyBorder="1" applyAlignment="1">
      <alignment horizontal="center" vertical="center" textRotation="90" wrapText="1"/>
    </xf>
    <xf numFmtId="0" fontId="18" fillId="4" borderId="50" xfId="0" applyFont="1" applyFill="1" applyBorder="1" applyAlignment="1">
      <alignment horizontal="center" vertical="center" textRotation="90" wrapText="1"/>
    </xf>
    <xf numFmtId="0" fontId="13" fillId="0" borderId="49" xfId="0" applyFont="1" applyBorder="1" applyAlignment="1">
      <alignment horizontal="center" vertical="center" textRotation="90" wrapText="1"/>
    </xf>
    <xf numFmtId="0" fontId="20" fillId="4" borderId="49" xfId="0" applyFont="1" applyFill="1" applyBorder="1" applyAlignment="1">
      <alignment horizontal="center" vertical="center" textRotation="90" wrapText="1"/>
    </xf>
    <xf numFmtId="0" fontId="20" fillId="4" borderId="17" xfId="0" applyFont="1" applyFill="1" applyBorder="1" applyAlignment="1">
      <alignment horizontal="center" vertical="center" textRotation="90" wrapText="1"/>
    </xf>
    <xf numFmtId="0" fontId="20" fillId="4" borderId="50" xfId="0" applyFont="1" applyFill="1" applyBorder="1" applyAlignment="1">
      <alignment horizontal="center" vertical="center" textRotation="90" wrapText="1"/>
    </xf>
    <xf numFmtId="0" fontId="13" fillId="8" borderId="49" xfId="0" applyFont="1" applyFill="1" applyBorder="1" applyAlignment="1">
      <alignment horizontal="center" vertical="center" textRotation="90" wrapText="1"/>
    </xf>
    <xf numFmtId="0" fontId="13" fillId="0" borderId="32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0" borderId="51" xfId="0" applyFont="1" applyBorder="1" applyAlignment="1">
      <alignment vertical="center" wrapText="1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32" fillId="4" borderId="19" xfId="0" applyFont="1" applyFill="1" applyBorder="1" applyAlignment="1">
      <alignment horizontal="left" vertical="center"/>
    </xf>
    <xf numFmtId="0" fontId="13" fillId="0" borderId="71" xfId="0" applyFont="1" applyBorder="1" applyAlignment="1">
      <alignment horizontal="center" vertical="center" textRotation="90" wrapText="1"/>
    </xf>
    <xf numFmtId="0" fontId="20" fillId="4" borderId="36" xfId="0" applyFont="1" applyFill="1" applyBorder="1" applyAlignment="1">
      <alignment horizontal="center" vertical="center" textRotation="90" wrapText="1"/>
    </xf>
    <xf numFmtId="0" fontId="13" fillId="9" borderId="72" xfId="0" applyFont="1" applyFill="1" applyBorder="1" applyAlignment="1">
      <alignment horizontal="center" vertical="center" textRotation="90" wrapText="1"/>
    </xf>
    <xf numFmtId="0" fontId="20" fillId="4" borderId="102" xfId="0" applyFont="1" applyFill="1" applyBorder="1" applyAlignment="1">
      <alignment horizontal="center" vertical="center" textRotation="90" wrapText="1"/>
    </xf>
    <xf numFmtId="0" fontId="20" fillId="4" borderId="100" xfId="0" applyFont="1" applyFill="1" applyBorder="1" applyAlignment="1">
      <alignment horizontal="center" vertical="center" textRotation="90" wrapText="1"/>
    </xf>
    <xf numFmtId="0" fontId="13" fillId="9" borderId="102" xfId="0" applyFont="1" applyFill="1" applyBorder="1" applyAlignment="1">
      <alignment horizontal="center" vertical="center" textRotation="90" wrapText="1"/>
    </xf>
    <xf numFmtId="0" fontId="13" fillId="0" borderId="100" xfId="0" applyFont="1" applyBorder="1" applyAlignment="1">
      <alignment horizontal="center" vertical="center" textRotation="90" wrapText="1"/>
    </xf>
    <xf numFmtId="0" fontId="13" fillId="8" borderId="102" xfId="0" applyFont="1" applyFill="1" applyBorder="1" applyAlignment="1">
      <alignment horizontal="center" vertical="center" textRotation="90" wrapText="1"/>
    </xf>
    <xf numFmtId="0" fontId="18" fillId="4" borderId="102" xfId="0" applyFont="1" applyFill="1" applyBorder="1" applyAlignment="1">
      <alignment horizontal="center" vertical="center" textRotation="90" wrapText="1"/>
    </xf>
    <xf numFmtId="0" fontId="18" fillId="4" borderId="100" xfId="0" applyFont="1" applyFill="1" applyBorder="1" applyAlignment="1">
      <alignment horizontal="center" vertical="center" textRotation="90" wrapText="1"/>
    </xf>
    <xf numFmtId="0" fontId="13" fillId="10" borderId="102" xfId="0" applyFont="1" applyFill="1" applyBorder="1" applyAlignment="1">
      <alignment horizontal="center" vertical="center" textRotation="90" wrapText="1"/>
    </xf>
    <xf numFmtId="0" fontId="20" fillId="0" borderId="102" xfId="0" applyFont="1" applyBorder="1" applyAlignment="1">
      <alignment horizontal="center" vertical="center" textRotation="90" wrapText="1"/>
    </xf>
    <xf numFmtId="0" fontId="20" fillId="0" borderId="100" xfId="0" applyFont="1" applyBorder="1" applyAlignment="1">
      <alignment horizontal="center" vertical="center" textRotation="90" wrapText="1"/>
    </xf>
    <xf numFmtId="0" fontId="13" fillId="6" borderId="102" xfId="0" applyFont="1" applyFill="1" applyBorder="1" applyAlignment="1">
      <alignment horizontal="center" vertical="center" textRotation="90" wrapText="1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3" fillId="0" borderId="59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8" fillId="7" borderId="117" xfId="0" applyFont="1" applyFill="1" applyBorder="1" applyAlignment="1">
      <alignment horizontal="center" vertical="center"/>
    </xf>
    <xf numFmtId="0" fontId="18" fillId="7" borderId="120" xfId="0" applyFont="1" applyFill="1" applyBorder="1" applyAlignment="1">
      <alignment horizontal="center" vertical="center"/>
    </xf>
    <xf numFmtId="0" fontId="13" fillId="0" borderId="52" xfId="0" applyFont="1" applyBorder="1" applyAlignment="1" applyProtection="1">
      <alignment horizontal="left" vertical="center"/>
      <protection locked="0"/>
    </xf>
    <xf numFmtId="0" fontId="13" fillId="0" borderId="54" xfId="0" applyFont="1" applyBorder="1" applyAlignment="1" applyProtection="1">
      <alignment horizontal="left" vertical="center"/>
      <protection locked="0"/>
    </xf>
    <xf numFmtId="0" fontId="13" fillId="0" borderId="45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 wrapText="1"/>
    </xf>
    <xf numFmtId="0" fontId="13" fillId="0" borderId="32" xfId="0" applyFont="1" applyBorder="1" applyAlignment="1" applyProtection="1">
      <alignment horizontal="left" vertical="center"/>
      <protection locked="0"/>
    </xf>
    <xf numFmtId="0" fontId="13" fillId="0" borderId="32" xfId="0" applyFont="1" applyBorder="1" applyAlignment="1" applyProtection="1">
      <alignment horizontal="left" vertical="center" wrapText="1"/>
      <protection locked="0"/>
    </xf>
    <xf numFmtId="0" fontId="13" fillId="0" borderId="51" xfId="0" applyFont="1" applyBorder="1" applyAlignment="1" applyProtection="1">
      <alignment horizontal="left" vertical="center" wrapText="1"/>
      <protection locked="0"/>
    </xf>
    <xf numFmtId="0" fontId="13" fillId="0" borderId="110" xfId="0" applyFont="1" applyBorder="1" applyAlignment="1">
      <alignment horizontal="center" vertical="center" wrapText="1"/>
    </xf>
    <xf numFmtId="0" fontId="13" fillId="0" borderId="111" xfId="0" applyFont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 wrapText="1"/>
    </xf>
    <xf numFmtId="0" fontId="13" fillId="0" borderId="91" xfId="0" applyFont="1" applyBorder="1" applyAlignment="1" applyProtection="1">
      <alignment horizontal="left" vertical="center"/>
      <protection locked="0"/>
    </xf>
    <xf numFmtId="0" fontId="13" fillId="0" borderId="93" xfId="0" applyFont="1" applyBorder="1" applyAlignment="1" applyProtection="1">
      <alignment horizontal="left" vertical="center"/>
      <protection locked="0"/>
    </xf>
    <xf numFmtId="0" fontId="13" fillId="0" borderId="34" xfId="0" applyFont="1" applyBorder="1" applyAlignment="1" applyProtection="1">
      <alignment horizontal="left" vertical="center"/>
      <protection locked="0"/>
    </xf>
    <xf numFmtId="0" fontId="13" fillId="0" borderId="112" xfId="0" applyFont="1" applyBorder="1" applyAlignment="1">
      <alignment horizontal="center" vertical="center" wrapText="1"/>
    </xf>
    <xf numFmtId="0" fontId="13" fillId="0" borderId="137" xfId="0" applyFont="1" applyBorder="1" applyAlignment="1" applyProtection="1">
      <alignment horizontal="left" vertical="center"/>
      <protection locked="0"/>
    </xf>
    <xf numFmtId="0" fontId="13" fillId="0" borderId="139" xfId="0" applyFont="1" applyBorder="1" applyAlignment="1" applyProtection="1">
      <alignment horizontal="left" vertical="center"/>
      <protection locked="0"/>
    </xf>
    <xf numFmtId="0" fontId="20" fillId="4" borderId="55" xfId="0" applyFont="1" applyFill="1" applyBorder="1" applyAlignment="1">
      <alignment horizontal="center" vertical="center" textRotation="90" wrapText="1"/>
    </xf>
    <xf numFmtId="0" fontId="13" fillId="8" borderId="55" xfId="0" applyFont="1" applyFill="1" applyBorder="1" applyAlignment="1">
      <alignment horizontal="center" vertical="center" textRotation="90" wrapText="1"/>
    </xf>
    <xf numFmtId="0" fontId="13" fillId="0" borderId="97" xfId="0" applyFont="1" applyBorder="1" applyAlignment="1" applyProtection="1">
      <alignment horizontal="left" vertical="center"/>
      <protection locked="0"/>
    </xf>
    <xf numFmtId="0" fontId="13" fillId="0" borderId="99" xfId="0" applyFont="1" applyBorder="1" applyAlignment="1" applyProtection="1">
      <alignment horizontal="left" vertical="center"/>
      <protection locked="0"/>
    </xf>
    <xf numFmtId="0" fontId="18" fillId="4" borderId="159" xfId="0" applyFont="1" applyFill="1" applyBorder="1" applyAlignment="1">
      <alignment horizontal="center" vertical="center" textRotation="90" wrapText="1"/>
    </xf>
    <xf numFmtId="0" fontId="13" fillId="9" borderId="159" xfId="0" applyFont="1" applyFill="1" applyBorder="1" applyAlignment="1">
      <alignment horizontal="center" vertical="center" textRotation="90" wrapText="1"/>
    </xf>
    <xf numFmtId="0" fontId="13" fillId="0" borderId="160" xfId="0" applyFont="1" applyBorder="1" applyAlignment="1" applyProtection="1">
      <alignment horizontal="left" vertical="center"/>
      <protection locked="0"/>
    </xf>
    <xf numFmtId="0" fontId="13" fillId="0" borderId="162" xfId="0" applyFont="1" applyBorder="1" applyAlignment="1" applyProtection="1">
      <alignment horizontal="left" vertical="center"/>
      <protection locked="0"/>
    </xf>
    <xf numFmtId="0" fontId="20" fillId="4" borderId="120" xfId="0" applyFont="1" applyFill="1" applyBorder="1" applyAlignment="1">
      <alignment horizontal="center" vertical="center" textRotation="90" wrapText="1"/>
    </xf>
    <xf numFmtId="0" fontId="20" fillId="4" borderId="165" xfId="0" applyFont="1" applyFill="1" applyBorder="1" applyAlignment="1">
      <alignment horizontal="center" vertical="center" textRotation="90" wrapText="1"/>
    </xf>
    <xf numFmtId="0" fontId="13" fillId="0" borderId="165" xfId="0" applyFont="1" applyBorder="1" applyAlignment="1">
      <alignment horizontal="center" vertical="center" textRotation="90" wrapText="1"/>
    </xf>
    <xf numFmtId="0" fontId="13" fillId="0" borderId="147" xfId="0" applyFont="1" applyBorder="1" applyAlignment="1" applyProtection="1">
      <alignment horizontal="left" vertical="center"/>
      <protection locked="0"/>
    </xf>
    <xf numFmtId="0" fontId="13" fillId="0" borderId="149" xfId="0" applyFont="1" applyBorder="1" applyAlignment="1" applyProtection="1">
      <alignment horizontal="left" vertical="center"/>
      <protection locked="0"/>
    </xf>
    <xf numFmtId="0" fontId="13" fillId="8" borderId="120" xfId="0" applyFont="1" applyFill="1" applyBorder="1" applyAlignment="1">
      <alignment horizontal="center" vertical="center" textRotation="90" wrapText="1"/>
    </xf>
    <xf numFmtId="0" fontId="13" fillId="8" borderId="142" xfId="0" applyFont="1" applyFill="1" applyBorder="1" applyAlignment="1">
      <alignment horizontal="center" vertical="center" textRotation="90" wrapText="1"/>
    </xf>
    <xf numFmtId="0" fontId="13" fillId="0" borderId="131" xfId="0" applyFont="1" applyBorder="1" applyAlignment="1" applyProtection="1">
      <alignment horizontal="left" vertical="center"/>
      <protection locked="0"/>
    </xf>
    <xf numFmtId="0" fontId="13" fillId="0" borderId="133" xfId="0" applyFont="1" applyBorder="1" applyAlignment="1" applyProtection="1">
      <alignment horizontal="left" vertical="center"/>
      <protection locked="0"/>
    </xf>
    <xf numFmtId="0" fontId="13" fillId="0" borderId="94" xfId="0" applyFont="1" applyBorder="1" applyAlignment="1" applyProtection="1">
      <alignment horizontal="left" vertical="center"/>
      <protection locked="0"/>
    </xf>
    <xf numFmtId="0" fontId="13" fillId="0" borderId="96" xfId="0" applyFont="1" applyBorder="1" applyAlignment="1" applyProtection="1">
      <alignment horizontal="left" vertical="center"/>
      <protection locked="0"/>
    </xf>
    <xf numFmtId="0" fontId="18" fillId="0" borderId="102" xfId="0" applyFont="1" applyBorder="1" applyAlignment="1">
      <alignment horizontal="center" vertical="center" textRotation="90" wrapText="1"/>
    </xf>
    <xf numFmtId="0" fontId="18" fillId="0" borderId="36" xfId="0" applyFont="1" applyBorder="1" applyAlignment="1">
      <alignment horizontal="center" vertical="center" textRotation="90" wrapText="1"/>
    </xf>
    <xf numFmtId="0" fontId="13" fillId="0" borderId="120" xfId="0" applyFont="1" applyBorder="1" applyAlignment="1" applyProtection="1">
      <alignment horizontal="left" vertical="center"/>
      <protection locked="0"/>
    </xf>
    <xf numFmtId="0" fontId="13" fillId="0" borderId="123" xfId="0" applyFont="1" applyBorder="1" applyAlignment="1" applyProtection="1">
      <alignment horizontal="left" vertical="center"/>
      <protection locked="0"/>
    </xf>
    <xf numFmtId="0" fontId="13" fillId="0" borderId="117" xfId="0" applyFont="1" applyBorder="1" applyAlignment="1">
      <alignment horizontal="center" vertical="center"/>
    </xf>
    <xf numFmtId="0" fontId="13" fillId="0" borderId="120" xfId="0" applyFont="1" applyBorder="1" applyAlignment="1">
      <alignment horizontal="center" vertical="center"/>
    </xf>
    <xf numFmtId="0" fontId="14" fillId="0" borderId="125" xfId="0" applyFont="1" applyBorder="1" applyAlignment="1">
      <alignment horizontal="center" vertical="center"/>
    </xf>
    <xf numFmtId="0" fontId="14" fillId="0" borderId="126" xfId="0" applyFont="1" applyBorder="1" applyAlignment="1">
      <alignment horizontal="center" vertical="center"/>
    </xf>
    <xf numFmtId="0" fontId="14" fillId="0" borderId="127" xfId="0" applyFont="1" applyBorder="1" applyAlignment="1">
      <alignment horizontal="center" vertical="center"/>
    </xf>
    <xf numFmtId="0" fontId="14" fillId="0" borderId="128" xfId="0" applyFont="1" applyBorder="1" applyAlignment="1">
      <alignment horizontal="center" vertical="center"/>
    </xf>
    <xf numFmtId="0" fontId="14" fillId="0" borderId="129" xfId="0" applyFont="1" applyBorder="1" applyAlignment="1">
      <alignment horizontal="center" vertical="center"/>
    </xf>
    <xf numFmtId="0" fontId="14" fillId="0" borderId="130" xfId="0" applyFont="1" applyBorder="1" applyAlignment="1">
      <alignment horizontal="center" vertical="center"/>
    </xf>
    <xf numFmtId="0" fontId="14" fillId="0" borderId="117" xfId="0" applyFont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 wrapText="1"/>
    </xf>
    <xf numFmtId="0" fontId="13" fillId="0" borderId="118" xfId="0" applyFont="1" applyBorder="1" applyAlignment="1">
      <alignment horizontal="center" vertical="center" wrapText="1"/>
    </xf>
    <xf numFmtId="0" fontId="13" fillId="0" borderId="142" xfId="0" applyFont="1" applyBorder="1" applyAlignment="1">
      <alignment horizontal="center" vertical="center" textRotation="90" wrapText="1"/>
    </xf>
    <xf numFmtId="0" fontId="13" fillId="0" borderId="123" xfId="0" applyFont="1" applyBorder="1" applyAlignment="1">
      <alignment horizontal="center" vertical="center" textRotation="90" wrapText="1"/>
    </xf>
    <xf numFmtId="0" fontId="18" fillId="0" borderId="142" xfId="0" applyFont="1" applyBorder="1" applyAlignment="1">
      <alignment horizontal="center" vertical="center" textRotation="90" wrapText="1"/>
    </xf>
    <xf numFmtId="0" fontId="18" fillId="0" borderId="151" xfId="0" applyFont="1" applyBorder="1" applyAlignment="1">
      <alignment horizontal="center" vertical="center" textRotation="90" wrapText="1"/>
    </xf>
    <xf numFmtId="0" fontId="20" fillId="0" borderId="142" xfId="0" applyFont="1" applyBorder="1" applyAlignment="1">
      <alignment horizontal="center" vertical="center" textRotation="90" wrapText="1"/>
    </xf>
    <xf numFmtId="0" fontId="20" fillId="0" borderId="151" xfId="0" applyFont="1" applyBorder="1" applyAlignment="1">
      <alignment horizontal="center" vertical="center" textRotation="90" wrapText="1"/>
    </xf>
    <xf numFmtId="0" fontId="13" fillId="0" borderId="116" xfId="0" applyFont="1" applyBorder="1" applyAlignment="1">
      <alignment horizontal="center" vertical="center"/>
    </xf>
    <xf numFmtId="0" fontId="13" fillId="0" borderId="119" xfId="0" applyFont="1" applyBorder="1" applyAlignment="1">
      <alignment horizontal="center" vertical="center"/>
    </xf>
    <xf numFmtId="0" fontId="13" fillId="0" borderId="151" xfId="0" applyFont="1" applyBorder="1" applyAlignment="1">
      <alignment horizontal="center" vertical="center" wrapText="1"/>
    </xf>
    <xf numFmtId="0" fontId="13" fillId="0" borderId="120" xfId="0" applyFont="1" applyBorder="1" applyAlignment="1">
      <alignment horizontal="center" vertical="center" wrapText="1"/>
    </xf>
    <xf numFmtId="0" fontId="13" fillId="0" borderId="125" xfId="0" applyFont="1" applyBorder="1" applyAlignment="1">
      <alignment horizontal="center" vertical="center"/>
    </xf>
    <xf numFmtId="0" fontId="13" fillId="0" borderId="126" xfId="0" applyFont="1" applyBorder="1" applyAlignment="1">
      <alignment horizontal="center" vertical="center"/>
    </xf>
    <xf numFmtId="0" fontId="13" fillId="0" borderId="127" xfId="0" applyFont="1" applyBorder="1" applyAlignment="1">
      <alignment horizontal="center" vertical="center"/>
    </xf>
    <xf numFmtId="0" fontId="13" fillId="0" borderId="128" xfId="0" applyFont="1" applyBorder="1" applyAlignment="1">
      <alignment horizontal="center" vertical="center"/>
    </xf>
    <xf numFmtId="0" fontId="13" fillId="0" borderId="129" xfId="0" applyFont="1" applyBorder="1" applyAlignment="1">
      <alignment horizontal="center" vertical="center"/>
    </xf>
    <xf numFmtId="0" fontId="13" fillId="0" borderId="130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textRotation="90" wrapText="1"/>
    </xf>
    <xf numFmtId="0" fontId="13" fillId="9" borderId="120" xfId="0" applyFont="1" applyFill="1" applyBorder="1" applyAlignment="1">
      <alignment horizontal="center" vertical="center" textRotation="90" wrapText="1"/>
    </xf>
    <xf numFmtId="0" fontId="13" fillId="0" borderId="120" xfId="0" applyFont="1" applyBorder="1" applyAlignment="1" applyProtection="1">
      <alignment horizontal="left" vertical="center" wrapText="1"/>
      <protection locked="0"/>
    </xf>
    <xf numFmtId="0" fontId="13" fillId="0" borderId="15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left" vertical="center" wrapText="1"/>
    </xf>
    <xf numFmtId="9" fontId="16" fillId="0" borderId="40" xfId="0" applyNumberFormat="1" applyFont="1" applyBorder="1" applyAlignment="1">
      <alignment horizontal="center" vertical="center" wrapText="1"/>
    </xf>
    <xf numFmtId="9" fontId="16" fillId="0" borderId="13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3" fillId="0" borderId="117" xfId="0" applyFont="1" applyBorder="1" applyAlignment="1" applyProtection="1">
      <alignment horizontal="left" vertical="center"/>
      <protection locked="0"/>
    </xf>
    <xf numFmtId="0" fontId="20" fillId="0" borderId="55" xfId="0" applyFont="1" applyBorder="1" applyAlignment="1">
      <alignment horizontal="center" vertical="center" textRotation="90" wrapText="1"/>
    </xf>
    <xf numFmtId="0" fontId="13" fillId="10" borderId="117" xfId="0" applyFont="1" applyFill="1" applyBorder="1" applyAlignment="1">
      <alignment horizontal="center" vertical="center" textRotation="90" wrapText="1"/>
    </xf>
    <xf numFmtId="0" fontId="18" fillId="7" borderId="55" xfId="0" applyFont="1" applyFill="1" applyBorder="1" applyAlignment="1">
      <alignment horizontal="center" vertical="center"/>
    </xf>
    <xf numFmtId="0" fontId="18" fillId="7" borderId="151" xfId="0" applyFont="1" applyFill="1" applyBorder="1" applyAlignment="1">
      <alignment horizontal="center" vertical="center"/>
    </xf>
    <xf numFmtId="0" fontId="13" fillId="0" borderId="142" xfId="0" applyFont="1" applyBorder="1" applyAlignment="1" applyProtection="1">
      <alignment horizontal="left" vertical="center"/>
      <protection locked="0"/>
    </xf>
    <xf numFmtId="0" fontId="18" fillId="0" borderId="100" xfId="0" applyFont="1" applyBorder="1" applyAlignment="1">
      <alignment horizontal="center" vertical="center" textRotation="90" wrapText="1"/>
    </xf>
    <xf numFmtId="0" fontId="13" fillId="4" borderId="120" xfId="0" applyFont="1" applyFill="1" applyBorder="1" applyAlignment="1" applyProtection="1">
      <alignment horizontal="left" vertical="center"/>
      <protection locked="0"/>
    </xf>
    <xf numFmtId="0" fontId="13" fillId="5" borderId="19" xfId="0" applyFont="1" applyFill="1" applyBorder="1" applyAlignment="1">
      <alignment horizontal="left" vertical="center"/>
    </xf>
    <xf numFmtId="0" fontId="13" fillId="10" borderId="151" xfId="0" applyFont="1" applyFill="1" applyBorder="1" applyAlignment="1">
      <alignment horizontal="center" vertical="center" textRotation="90" wrapText="1"/>
    </xf>
    <xf numFmtId="0" fontId="13" fillId="0" borderId="151" xfId="0" applyFont="1" applyBorder="1" applyAlignment="1" applyProtection="1">
      <alignment horizontal="left" vertical="center"/>
      <protection locked="0"/>
    </xf>
    <xf numFmtId="0" fontId="13" fillId="4" borderId="130" xfId="0" applyFont="1" applyFill="1" applyBorder="1" applyAlignment="1">
      <alignment vertical="center"/>
    </xf>
    <xf numFmtId="0" fontId="14" fillId="4" borderId="128" xfId="0" applyFont="1" applyFill="1" applyBorder="1" applyAlignment="1">
      <alignment vertical="center"/>
    </xf>
    <xf numFmtId="0" fontId="14" fillId="4" borderId="129" xfId="0" applyFont="1" applyFill="1" applyBorder="1" applyAlignment="1">
      <alignment vertical="center"/>
    </xf>
    <xf numFmtId="0" fontId="14" fillId="4" borderId="130" xfId="0" applyFont="1" applyFill="1" applyBorder="1" applyAlignment="1">
      <alignment vertical="center"/>
    </xf>
    <xf numFmtId="0" fontId="21" fillId="4" borderId="129" xfId="0" applyFont="1" applyFill="1" applyBorder="1" applyAlignment="1">
      <alignment vertical="center"/>
    </xf>
    <xf numFmtId="0" fontId="21" fillId="4" borderId="130" xfId="0" applyFont="1" applyFill="1" applyBorder="1" applyAlignment="1">
      <alignment vertical="center"/>
    </xf>
  </cellXfs>
  <cellStyles count="3">
    <cellStyle name="표준" xfId="0" builtinId="0"/>
    <cellStyle name="표준 2" xfId="2" xr:uid="{00000000-0005-0000-0000-000001000000}"/>
    <cellStyle name="標準 5" xfId="1" xr:uid="{00000000-0005-0000-0000-000002000000}"/>
  </cellStyles>
  <dxfs count="0"/>
  <tableStyles count="0" defaultTableStyle="TableStyleMedium2" defaultPivotStyle="PivotStyleLight16"/>
  <colors>
    <mruColors>
      <color rgb="FF0000CC"/>
      <color rgb="FF99FF99"/>
      <color rgb="FFFFFF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171675</xdr:colOff>
      <xdr:row>7</xdr:row>
      <xdr:rowOff>118894</xdr:rowOff>
    </xdr:from>
    <xdr:to>
      <xdr:col>47</xdr:col>
      <xdr:colOff>11205</xdr:colOff>
      <xdr:row>22</xdr:row>
      <xdr:rowOff>80794</xdr:rowOff>
    </xdr:to>
    <xdr:sp macro="" textlink="">
      <xdr:nvSpPr>
        <xdr:cNvPr id="45083" name="Text Box 1">
          <a:extLst>
            <a:ext uri="{FF2B5EF4-FFF2-40B4-BE49-F238E27FC236}">
              <a16:creationId xmlns:a16="http://schemas.microsoft.com/office/drawing/2014/main" id="{00000000-0008-0000-0000-00001BB00000}"/>
            </a:ext>
          </a:extLst>
        </xdr:cNvPr>
        <xdr:cNvSpPr txBox="1">
          <a:spLocks noChangeArrowheads="1"/>
        </xdr:cNvSpPr>
      </xdr:nvSpPr>
      <xdr:spPr bwMode="auto">
        <a:xfrm>
          <a:off x="709557" y="1530835"/>
          <a:ext cx="7728472" cy="2987488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45720" rIns="64008" bIns="45720" anchor="ctr"/>
        <a:lstStyle/>
        <a:p>
          <a:pPr algn="ctr" rtl="0">
            <a:lnSpc>
              <a:spcPts val="4100"/>
            </a:lnSpc>
            <a:defRPr sz="1000"/>
          </a:pPr>
          <a:r>
            <a:rPr lang="en-US" altLang="ko-KR" sz="3200" b="1" i="0" u="none" strike="noStrike" baseline="0">
              <a:solidFill>
                <a:srgbClr val="000000"/>
              </a:solidFill>
              <a:latin typeface="+mj-ea"/>
              <a:ea typeface="+mj-ea"/>
            </a:rPr>
            <a:t>I/O CHECK LIST</a:t>
          </a:r>
        </a:p>
        <a:p>
          <a:pPr algn="ctr" rtl="0">
            <a:defRPr sz="1000"/>
          </a:pPr>
          <a:r>
            <a:rPr lang="en-US" altLang="ko-KR" sz="3200" b="1" i="0" u="none" strike="noStrike" baseline="0">
              <a:solidFill>
                <a:srgbClr val="000000"/>
              </a:solidFill>
              <a:latin typeface="+mj-ea"/>
              <a:ea typeface="+mj-ea"/>
            </a:rPr>
            <a:t>[ORDER_NO.:24R00-000]</a:t>
          </a:r>
        </a:p>
        <a:p>
          <a:pPr algn="ctr" rtl="0">
            <a:defRPr sz="1000"/>
          </a:pPr>
          <a:r>
            <a:rPr lang="en-US" altLang="ko-KR" sz="3200" b="1" i="0" u="none" strike="noStrike" baseline="0">
              <a:solidFill>
                <a:srgbClr val="000000"/>
              </a:solidFill>
              <a:latin typeface="+mj-ea"/>
              <a:ea typeface="+mj-ea"/>
            </a:rPr>
            <a:t>[</a:t>
          </a:r>
          <a:r>
            <a:rPr lang="ko-KR" altLang="en-US" sz="3200" b="1" i="0" u="none" strike="noStrike" baseline="0">
              <a:solidFill>
                <a:srgbClr val="000000"/>
              </a:solidFill>
              <a:latin typeface="+mj-ea"/>
              <a:ea typeface="+mj-ea"/>
            </a:rPr>
            <a:t>장치명</a:t>
          </a:r>
          <a:r>
            <a:rPr lang="en-US" altLang="ko-KR" sz="3200" b="1" i="0" u="none" strike="noStrike" baseline="0">
              <a:solidFill>
                <a:srgbClr val="000000"/>
              </a:solidFill>
              <a:latin typeface="+mj-ea"/>
              <a:ea typeface="+mj-ea"/>
            </a:rPr>
            <a:t>:SDC 8.6G HALF OLED2300]</a:t>
          </a:r>
        </a:p>
        <a:p>
          <a:pPr algn="ctr" rtl="0">
            <a:lnSpc>
              <a:spcPts val="4100"/>
            </a:lnSpc>
            <a:defRPr sz="1000"/>
          </a:pPr>
          <a:endParaRPr lang="en-US" altLang="ko-KR" sz="3200" b="1" i="0" u="none" strike="noStrike" baseline="0">
            <a:solidFill>
              <a:srgbClr val="000000"/>
            </a:solidFill>
            <a:latin typeface="+mj-ea"/>
            <a:ea typeface="+mj-ea"/>
          </a:endParaRPr>
        </a:p>
      </xdr:txBody>
    </xdr:sp>
    <xdr:clientData/>
  </xdr:twoCellAnchor>
  <xdr:twoCellAnchor editAs="oneCell">
    <xdr:from>
      <xdr:col>21</xdr:col>
      <xdr:colOff>152400</xdr:colOff>
      <xdr:row>35</xdr:row>
      <xdr:rowOff>95250</xdr:rowOff>
    </xdr:from>
    <xdr:to>
      <xdr:col>28</xdr:col>
      <xdr:colOff>152400</xdr:colOff>
      <xdr:row>41</xdr:row>
      <xdr:rowOff>2242</xdr:rowOff>
    </xdr:to>
    <xdr:pic>
      <xdr:nvPicPr>
        <xdr:cNvPr id="45084" name="Picture 2" descr="MDIK 로고(양식)">
          <a:extLst>
            <a:ext uri="{FF2B5EF4-FFF2-40B4-BE49-F238E27FC236}">
              <a16:creationId xmlns:a16="http://schemas.microsoft.com/office/drawing/2014/main" id="{00000000-0008-0000-0000-00001CB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5562600"/>
          <a:ext cx="140017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&#44608;&#52285;&#50980;\GK\GK&#52264;&#5240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WINDOWS.000\TEMP\LAN\My%20Documents\&#51333;&#54633;&#51221;&#47532;\DOS\ENG&#44277;&#4455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WINDOWS.000\TEMP\LAN\My%20Documents\&#51333;&#54633;&#51221;&#47532;\IWS\CH\EF\CMK\XLSRULE\&#44060;&#51221;&#44508;&#51221;\&#50756;&#4934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WINDOWS.000\TEMP\LAN\My%20Documents\&#51333;&#54633;&#51221;&#47532;\IWS\CH\EF\MA&#51452;&#5466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-IJS\&#50808;&#51452;&#44060;&#48156;&#54016;\MSOFFICE\EXCEL\KHT\&#44552;&#5480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4872;\MY%20DOCUMENTS\P&#44228;&#54925;&#44284;\&#54801;&#51312;&#44592;&#5050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-1\&#12450;&#12471;&#12473;&#12479;&#12531;&#12488;\My%20Documents\&#26032;&#30041;\&#32013;&#20837;&#20181;&#27096;&#26360;&#19968;&#3523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50756;\C\&#51060;&#52268;&#50676;\DOS\HEXCEL\&#54788;&#5488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-IJS\&#50808;&#51452;&#44060;&#48156;&#54016;\MSOFFICE\EXCEL\KHT\&#31561;&#931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WINDOWS.000\TEMP\LAN\My%20Documents\&#51333;&#54633;&#51221;&#47532;\CH\EF\CMK\XLSRULE\&#44060;&#51221;&#44508;&#51221;\&#50756;&#4934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02082\&#53804;&#51088;DB\&#48156;&#51452;\&#48156;&#51452;&#4422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02082\&#53804;&#51088;DB\&#44228;&#51221;\98PR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WINDOWS.000\TEMP\LAN\My%20Documents\&#51333;&#54633;&#51221;&#47532;\CH\EF\MA&#51452;&#5466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-IJS\&#50808;&#51452;&#44060;&#48156;&#54016;\MSOFFICE\EXCEL\KHT\&#30382;&#50868;&#50689;&#2669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ALSHA\&#44277;&#53685;&#47928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WINDOWS.000\TEMP\LZ25AT&#49457;&#4573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-msh\d\My%20Documents\item%20work\seat%20belt\&#51068;&#48152;\&#47588;&#52636;&#54788;&#54889;&#44288;&#47532;\&#49457;&#50864;&#50896;&#45800;&#50948;&#54788;&#54889;(&#52572;&#51333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4872;\MY%20DOCUMENTS\DOCUMENT\&#47928;&#49436;&#5057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My%20Documents\&#51088;&#49328;\LIST\VD\&#51068;&#48152;&#54788;&#54889;043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71\&#20840;&#31038;&#20849;&#36890;\My%20Documents\&#51088;&#49328;\LIST\&#51088;&#49328;\LIST\KMO04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3.13/&#26989;&#21209;&#65420;&#65387;&#65433;&#65408;&#65438;/&#35413;&#20385;&#36039;&#26009;/&#20995;&#20808;&#35519;&#26619;/TMD&#28145;&#35895;Penett&#174;&#35519;&#26619;/DR32-43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GK차체"/>
      <sheetName val="GK차체EO-CUT전"/>
      <sheetName val="GK차체P1EO-CUT"/>
      <sheetName val="주행"/>
      <sheetName val="PILOT품"/>
      <sheetName val="M96현황-동아"/>
      <sheetName val="금형품의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GK차체EO-CUT전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  <sheetName val="CP032T (2)"/>
      <sheetName val="DATA2"/>
      <sheetName val="DATA3"/>
      <sheetName val="야간조"/>
      <sheetName val="완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  <sheetName val="#REF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OT품"/>
      <sheetName val="일정GRC"/>
      <sheetName val="금형품의서"/>
      <sheetName val="첨부목록표"/>
      <sheetName val="금형품의서DSL"/>
      <sheetName val="금형집계표DSL"/>
      <sheetName val="금형집계표"/>
      <sheetName val="합의서"/>
      <sheetName val="M96현황-동아"/>
      <sheetName val="금형"/>
      <sheetName val="p2-1"/>
      <sheetName val="주행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PILOT품"/>
      <sheetName val="M96현황-동아"/>
      <sheetName val="금형품의서"/>
      <sheetName val="GK차체EO-CUT전"/>
      <sheetName val="p2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書一覧"/>
      <sheetName val="仕様書検索"/>
      <sheetName val="提出先一覧"/>
      <sheetName val="DQ02"/>
      <sheetName val="DQ03"/>
      <sheetName val="DQ04"/>
      <sheetName val="DQ05"/>
      <sheetName val="DQ06"/>
      <sheetName val="DQ11"/>
      <sheetName val="DQ12"/>
      <sheetName val="見出し"/>
      <sheetName val="품의서"/>
      <sheetName val="納入仕様書一覧"/>
      <sheetName val="#ref"/>
    </sheetNames>
    <sheetDataSet>
      <sheetData sheetId="0"/>
      <sheetData sheetId="1"/>
      <sheetData sheetId="2" refreshError="1">
        <row r="1">
          <cell r="A1" t="str">
            <v>提出日</v>
          </cell>
          <cell r="B1" t="str">
            <v>仕様書№</v>
          </cell>
          <cell r="C1" t="str">
            <v>提出先</v>
          </cell>
          <cell r="D1" t="str">
            <v>見　出　し</v>
          </cell>
          <cell r="E1" t="str">
            <v>営業
担当者</v>
          </cell>
          <cell r="F1" t="str">
            <v>担当者</v>
          </cell>
          <cell r="G1" t="str">
            <v>発行
部数</v>
          </cell>
        </row>
        <row r="2">
          <cell r="A2" t="str">
            <v>01.11.26</v>
          </cell>
          <cell r="B2" t="str">
            <v>DQ01-001</v>
          </cell>
          <cell r="C2" t="str">
            <v>大日本印刷</v>
          </cell>
          <cell r="D2" t="str">
            <v>CW-T  Ａ研磨</v>
          </cell>
          <cell r="G2">
            <v>1</v>
          </cell>
        </row>
        <row r="3">
          <cell r="A3" t="str">
            <v>01.11.26</v>
          </cell>
          <cell r="B3" t="str">
            <v>DQ03-001</v>
          </cell>
          <cell r="C3" t="str">
            <v>三星電子</v>
          </cell>
          <cell r="D3" t="str">
            <v>ペネットSC  SC012511010AE</v>
          </cell>
          <cell r="G3">
            <v>2</v>
          </cell>
        </row>
        <row r="4">
          <cell r="A4" t="str">
            <v>01.11.26</v>
          </cell>
          <cell r="B4" t="str">
            <v>DQ05-001</v>
          </cell>
          <cell r="C4" t="str">
            <v>大日本印刷</v>
          </cell>
          <cell r="D4" t="str">
            <v>LL刃先  Ａ研磨</v>
          </cell>
          <cell r="F4" t="str">
            <v>前川</v>
          </cell>
          <cell r="G4">
            <v>3</v>
          </cell>
        </row>
        <row r="5">
          <cell r="A5" t="str">
            <v>01.11.27</v>
          </cell>
          <cell r="B5" t="str">
            <v>DQ06-001</v>
          </cell>
          <cell r="C5" t="str">
            <v>a</v>
          </cell>
          <cell r="D5" t="str">
            <v>ALF刃先  30810100</v>
          </cell>
          <cell r="G5">
            <v>4</v>
          </cell>
        </row>
        <row r="6">
          <cell r="A6" t="str">
            <v>01.11.28</v>
          </cell>
          <cell r="B6" t="str">
            <v>DQ06-001</v>
          </cell>
          <cell r="C6" t="str">
            <v>a</v>
          </cell>
          <cell r="D6" t="str">
            <v>ALF刃先  30810100</v>
          </cell>
          <cell r="G6">
            <v>5</v>
          </cell>
        </row>
        <row r="7">
          <cell r="A7" t="str">
            <v>01.11.29</v>
          </cell>
          <cell r="B7" t="str">
            <v>DQ06-001</v>
          </cell>
          <cell r="C7" t="str">
            <v>a</v>
          </cell>
          <cell r="D7" t="str">
            <v>ALF刃先  30810100</v>
          </cell>
          <cell r="G7">
            <v>5</v>
          </cell>
        </row>
        <row r="8">
          <cell r="A8" t="str">
            <v>01.11.30</v>
          </cell>
          <cell r="B8" t="str">
            <v>DQ06-001</v>
          </cell>
          <cell r="C8" t="str">
            <v>b</v>
          </cell>
          <cell r="D8" t="str">
            <v>ALF刃先  30810100</v>
          </cell>
          <cell r="G8">
            <v>5</v>
          </cell>
        </row>
        <row r="9">
          <cell r="A9" t="str">
            <v>01.11.31</v>
          </cell>
          <cell r="B9" t="str">
            <v>DQ06-001</v>
          </cell>
          <cell r="C9" t="str">
            <v>b</v>
          </cell>
          <cell r="D9" t="str">
            <v>ALF刃先  30810100</v>
          </cell>
          <cell r="G9">
            <v>5</v>
          </cell>
        </row>
        <row r="10">
          <cell r="A10" t="str">
            <v>01.11.32</v>
          </cell>
          <cell r="B10" t="str">
            <v>DQ06-001</v>
          </cell>
          <cell r="C10" t="str">
            <v>b</v>
          </cell>
          <cell r="D10" t="str">
            <v>ALF刃先  30810100</v>
          </cell>
          <cell r="G10">
            <v>5</v>
          </cell>
        </row>
        <row r="11">
          <cell r="A11" t="str">
            <v>01.11.33</v>
          </cell>
          <cell r="B11" t="str">
            <v>DQ06-001</v>
          </cell>
          <cell r="C11" t="str">
            <v>c</v>
          </cell>
          <cell r="D11" t="str">
            <v>ALF刃先  30810100</v>
          </cell>
          <cell r="G11">
            <v>5</v>
          </cell>
        </row>
        <row r="12">
          <cell r="A12" t="str">
            <v>01.11.34</v>
          </cell>
          <cell r="B12" t="str">
            <v>DQ06-001</v>
          </cell>
          <cell r="C12" t="str">
            <v>c</v>
          </cell>
          <cell r="D12" t="str">
            <v>ALF刃先  30810100</v>
          </cell>
          <cell r="G12">
            <v>5</v>
          </cell>
        </row>
        <row r="13">
          <cell r="A13" t="str">
            <v>01.11.35</v>
          </cell>
          <cell r="B13" t="str">
            <v>DQ06-001</v>
          </cell>
          <cell r="C13" t="str">
            <v>c</v>
          </cell>
          <cell r="D13" t="str">
            <v>ALF刃先  30810100</v>
          </cell>
          <cell r="G13">
            <v>5</v>
          </cell>
        </row>
        <row r="14">
          <cell r="D14" t="str">
            <v/>
          </cell>
        </row>
        <row r="15">
          <cell r="D15" t="str">
            <v/>
          </cell>
        </row>
        <row r="16">
          <cell r="D16" t="str">
            <v/>
          </cell>
        </row>
        <row r="17">
          <cell r="D17" t="str">
            <v/>
          </cell>
        </row>
        <row r="18">
          <cell r="D18" t="str">
            <v/>
          </cell>
        </row>
        <row r="19">
          <cell r="D19" t="str">
            <v/>
          </cell>
        </row>
        <row r="20">
          <cell r="D20" t="str">
            <v/>
          </cell>
        </row>
        <row r="21">
          <cell r="D21" t="str">
            <v/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8">
          <cell r="D28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  <sheetName val="ﾘｽﾄ"/>
      <sheetName val="품의서"/>
      <sheetName val="6월"/>
      <sheetName val="DATA2"/>
      <sheetName val="DATA3"/>
      <sheetName val="DATA5"/>
      <sheetName val="DATA1"/>
      <sheetName val="提出先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0"/>
      <sheetName val="관세현황"/>
      <sheetName val="품-(주)코①"/>
      <sheetName val="11"/>
      <sheetName val="생산계획"/>
      <sheetName val="주별관리"/>
      <sheetName val="Glass Scrap 이력 She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  <sheetName val="품-(주)코①"/>
      <sheetName val="11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주행"/>
      <sheetName val="주별관리"/>
      <sheetName val="DATA2"/>
      <sheetName val="Glass Scrap 이력 Sheet"/>
    </sheetNames>
    <sheetDataSet>
      <sheetData sheetId="0" refreshError="1">
        <row r="1">
          <cell r="A1" t="str">
            <v>Macro1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1"/>
      <sheetName val="19"/>
    </sheetNames>
    <sheetDataSet>
      <sheetData sheetId="0" refreshError="1">
        <row r="1">
          <cell r="A1" t="str">
            <v>Macro7</v>
          </cell>
        </row>
      </sheetData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  <sheetName val="Macro1"/>
      <sheetName val="19"/>
      <sheetName val="mai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아합의"/>
      <sheetName val="p2-1"/>
      <sheetName val="Module Spec.1"/>
      <sheetName val="Capacit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임율"/>
      <sheetName val="완료"/>
      <sheetName val="Sheet1"/>
      <sheetName val="1.기안지원본"/>
      <sheetName val="2.대외공문"/>
      <sheetName val="동아합의"/>
      <sheetName val="QE근거"/>
      <sheetName val="목록"/>
      <sheetName val="Capacit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2.대외공문"/>
    </sheetNames>
    <sheetDataSet>
      <sheetData sheetId="0" refreshError="1">
        <row r="5">
          <cell r="E5">
            <v>1500</v>
          </cell>
          <cell r="F5">
            <v>18.2</v>
          </cell>
          <cell r="G5">
            <v>38</v>
          </cell>
        </row>
        <row r="6">
          <cell r="E6">
            <v>2000</v>
          </cell>
          <cell r="F6">
            <v>18.88</v>
          </cell>
          <cell r="G6">
            <v>53</v>
          </cell>
        </row>
        <row r="7">
          <cell r="E7">
            <v>2500</v>
          </cell>
          <cell r="F7">
            <v>19.32</v>
          </cell>
          <cell r="G7">
            <v>67.5</v>
          </cell>
        </row>
        <row r="8">
          <cell r="E8">
            <v>3000</v>
          </cell>
          <cell r="F8">
            <v>20.29</v>
          </cell>
          <cell r="G8">
            <v>85</v>
          </cell>
        </row>
        <row r="9">
          <cell r="E9">
            <v>3500</v>
          </cell>
          <cell r="F9">
            <v>20.85</v>
          </cell>
          <cell r="G9">
            <v>102</v>
          </cell>
        </row>
        <row r="10">
          <cell r="E10">
            <v>4000</v>
          </cell>
          <cell r="F10">
            <v>21.02</v>
          </cell>
          <cell r="G10">
            <v>117.5</v>
          </cell>
        </row>
        <row r="11">
          <cell r="E11">
            <v>4500</v>
          </cell>
          <cell r="F11">
            <v>20.55</v>
          </cell>
          <cell r="G11">
            <v>129</v>
          </cell>
        </row>
        <row r="12">
          <cell r="E12">
            <v>5000</v>
          </cell>
          <cell r="F12">
            <v>20.6</v>
          </cell>
          <cell r="G12">
            <v>144</v>
          </cell>
        </row>
        <row r="13">
          <cell r="E13">
            <v>5500</v>
          </cell>
          <cell r="F13">
            <v>19.89</v>
          </cell>
          <cell r="G13">
            <v>152.5</v>
          </cell>
        </row>
        <row r="14">
          <cell r="E14">
            <v>6000</v>
          </cell>
          <cell r="F14">
            <v>18.899999999999999</v>
          </cell>
          <cell r="G14">
            <v>158</v>
          </cell>
        </row>
      </sheetData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X"/>
      <sheetName val="LC"/>
      <sheetName val="FC"/>
      <sheetName val="EF"/>
      <sheetName val="XG"/>
      <sheetName val="XG FL"/>
      <sheetName val="QA"/>
      <sheetName val="M2"/>
      <sheetName val="DS2"/>
      <sheetName val="HP"/>
      <sheetName val="AU"/>
      <sheetName val="SR"/>
      <sheetName val="A1"/>
      <sheetName val="EG"/>
      <sheetName val="VT"/>
      <sheetName val="2.대외공문"/>
      <sheetName val="BASE"/>
      <sheetName val="인건비"/>
      <sheetName val="주별관리"/>
      <sheetName val="修正事項_FY2013"/>
      <sheetName val="DATA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HP"/>
      <sheetName val="BASE"/>
      <sheetName val="Spec"/>
      <sheetName val="ﾘｽﾄ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협력사 일반현황"/>
      <sheetName val="신규등록 협력사"/>
      <sheetName val="업체정보 변경사"/>
      <sheetName val="협력사 일반현황 (2)"/>
      <sheetName val="KMO"/>
      <sheetName val="2.대외공문"/>
      <sheetName val="HP"/>
      <sheetName val="BA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O"/>
      <sheetName val="협력사 일반현황"/>
    </sheetNames>
    <sheetDataSet>
      <sheetData sheetId="0" refreshError="1">
        <row r="2">
          <cell r="A2">
            <v>1</v>
          </cell>
          <cell r="E2" t="str">
            <v>기아모텍</v>
          </cell>
          <cell r="F2" t="str">
            <v>C4</v>
          </cell>
          <cell r="G2" t="str">
            <v>기타</v>
          </cell>
          <cell r="H2" t="str">
            <v>041102010068</v>
          </cell>
          <cell r="J2" t="str">
            <v>FRAME INSTRUMENT PANEL</v>
          </cell>
          <cell r="K2" t="str">
            <v>금형</v>
          </cell>
          <cell r="M2">
            <v>1</v>
          </cell>
          <cell r="N2">
            <v>534846698</v>
          </cell>
          <cell r="AA2" t="str">
            <v>xx</v>
          </cell>
          <cell r="AK2" t="str">
            <v>확인 불가</v>
          </cell>
        </row>
        <row r="3">
          <cell r="A3">
            <v>2</v>
          </cell>
          <cell r="E3" t="str">
            <v>기아모텍</v>
          </cell>
          <cell r="F3" t="str">
            <v>A</v>
          </cell>
          <cell r="G3" t="str">
            <v>전차종</v>
          </cell>
          <cell r="H3" t="str">
            <v>031101014483</v>
          </cell>
          <cell r="J3" t="str">
            <v>F/DOOR ASSY LINE</v>
          </cell>
          <cell r="K3" t="str">
            <v>설비</v>
          </cell>
          <cell r="M3">
            <v>1</v>
          </cell>
          <cell r="N3">
            <v>280787263</v>
          </cell>
          <cell r="AA3" t="str">
            <v>xx</v>
          </cell>
          <cell r="AB3" t="str">
            <v>981231</v>
          </cell>
          <cell r="AG3" t="str">
            <v>서해공업㈜ 반　</v>
          </cell>
          <cell r="AI3" t="str">
            <v>KMC</v>
          </cell>
          <cell r="AK3" t="str">
            <v>KMC 이관</v>
          </cell>
        </row>
        <row r="4">
          <cell r="A4">
            <v>3</v>
          </cell>
          <cell r="E4" t="str">
            <v>기아모텍</v>
          </cell>
          <cell r="F4" t="str">
            <v>A</v>
          </cell>
          <cell r="G4" t="str">
            <v>전차종</v>
          </cell>
          <cell r="H4" t="str">
            <v>031101014493</v>
          </cell>
          <cell r="J4" t="str">
            <v>F/DOOR SUB ASSY LINE</v>
          </cell>
          <cell r="K4" t="str">
            <v>설비</v>
          </cell>
          <cell r="M4">
            <v>1</v>
          </cell>
          <cell r="N4">
            <v>158866477</v>
          </cell>
          <cell r="AA4" t="str">
            <v>xx</v>
          </cell>
          <cell r="AB4" t="str">
            <v>981231</v>
          </cell>
          <cell r="AG4" t="str">
            <v>서해공업㈜ 반　</v>
          </cell>
          <cell r="AI4" t="str">
            <v>KMC</v>
          </cell>
          <cell r="AK4" t="str">
            <v>KMC 이관</v>
          </cell>
        </row>
        <row r="5">
          <cell r="A5">
            <v>4</v>
          </cell>
          <cell r="E5" t="str">
            <v>기아모텍</v>
          </cell>
          <cell r="F5" t="str">
            <v>A</v>
          </cell>
          <cell r="G5" t="str">
            <v>전차종</v>
          </cell>
          <cell r="H5" t="str">
            <v>031101014503</v>
          </cell>
          <cell r="J5" t="str">
            <v>B/DOOR ASSY LINE</v>
          </cell>
          <cell r="K5" t="str">
            <v>설비</v>
          </cell>
          <cell r="M5">
            <v>1</v>
          </cell>
          <cell r="N5">
            <v>428570033</v>
          </cell>
          <cell r="AA5" t="str">
            <v>xx</v>
          </cell>
          <cell r="AB5" t="str">
            <v>981231</v>
          </cell>
          <cell r="AG5" t="str">
            <v>서해공업㈜ 반　</v>
          </cell>
          <cell r="AI5" t="str">
            <v>KMC</v>
          </cell>
          <cell r="AK5" t="str">
            <v>KMC 이관</v>
          </cell>
        </row>
        <row r="6">
          <cell r="A6">
            <v>5</v>
          </cell>
          <cell r="E6" t="str">
            <v>기아모텍</v>
          </cell>
          <cell r="F6" t="str">
            <v>A</v>
          </cell>
          <cell r="G6" t="str">
            <v>전차종</v>
          </cell>
          <cell r="H6" t="str">
            <v>031101014513</v>
          </cell>
          <cell r="J6" t="str">
            <v>B/DOOR SUB ASSY LINE</v>
          </cell>
          <cell r="K6" t="str">
            <v>설비</v>
          </cell>
          <cell r="M6">
            <v>1</v>
          </cell>
          <cell r="N6">
            <v>107142508</v>
          </cell>
          <cell r="AA6" t="str">
            <v>xx</v>
          </cell>
          <cell r="AB6" t="str">
            <v>981231</v>
          </cell>
          <cell r="AG6" t="str">
            <v>서해공업㈜ 반　</v>
          </cell>
          <cell r="AI6" t="str">
            <v>KMC</v>
          </cell>
          <cell r="AK6" t="str">
            <v>KMC 이관</v>
          </cell>
        </row>
        <row r="7">
          <cell r="A7">
            <v>6</v>
          </cell>
          <cell r="E7" t="str">
            <v>기아모텍</v>
          </cell>
          <cell r="F7" t="str">
            <v>A</v>
          </cell>
          <cell r="G7" t="str">
            <v>전차종</v>
          </cell>
          <cell r="H7" t="str">
            <v>031101014523</v>
          </cell>
          <cell r="J7" t="str">
            <v>S/DOOR&amp;HOOD ASSY LINE</v>
          </cell>
          <cell r="K7" t="str">
            <v>설비</v>
          </cell>
          <cell r="M7">
            <v>1</v>
          </cell>
          <cell r="N7">
            <v>554185387</v>
          </cell>
          <cell r="AA7" t="str">
            <v>xx</v>
          </cell>
          <cell r="AB7" t="str">
            <v>981231</v>
          </cell>
          <cell r="AG7" t="str">
            <v>서해공업㈜ 반　</v>
          </cell>
          <cell r="AI7" t="str">
            <v>KMC</v>
          </cell>
          <cell r="AK7" t="str">
            <v>KMC 이관</v>
          </cell>
        </row>
        <row r="8">
          <cell r="A8">
            <v>7</v>
          </cell>
          <cell r="E8" t="str">
            <v>기아모텍</v>
          </cell>
          <cell r="F8" t="str">
            <v>A</v>
          </cell>
          <cell r="G8" t="str">
            <v>전차종</v>
          </cell>
          <cell r="H8" t="str">
            <v>031101014533</v>
          </cell>
          <cell r="J8" t="str">
            <v>S/DOOR&amp;HOOD SUB LINE</v>
          </cell>
          <cell r="K8" t="str">
            <v>설비</v>
          </cell>
          <cell r="M8">
            <v>1</v>
          </cell>
          <cell r="N8">
            <v>92364231</v>
          </cell>
          <cell r="AA8" t="str">
            <v>xx</v>
          </cell>
          <cell r="AB8" t="str">
            <v>981231</v>
          </cell>
          <cell r="AG8" t="str">
            <v>서해공업㈜ 반　</v>
          </cell>
          <cell r="AI8" t="str">
            <v>KMC</v>
          </cell>
          <cell r="AK8" t="str">
            <v>KMC 이관</v>
          </cell>
        </row>
        <row r="9">
          <cell r="A9">
            <v>8</v>
          </cell>
          <cell r="E9" t="str">
            <v>기아모텍</v>
          </cell>
          <cell r="F9" t="str">
            <v>A</v>
          </cell>
          <cell r="G9" t="str">
            <v>FRONTIER</v>
          </cell>
          <cell r="H9" t="str">
            <v>041101131011</v>
          </cell>
          <cell r="J9" t="str">
            <v>RR DOOR IN R/L</v>
          </cell>
          <cell r="K9" t="str">
            <v>금형</v>
          </cell>
          <cell r="M9">
            <v>6</v>
          </cell>
          <cell r="N9">
            <v>375000000</v>
          </cell>
          <cell r="AA9" t="str">
            <v>xx</v>
          </cell>
          <cell r="AG9" t="str">
            <v>기아모텍(주)</v>
          </cell>
          <cell r="AI9" t="str">
            <v>대우공업</v>
          </cell>
          <cell r="AK9" t="str">
            <v>당사품이 아님</v>
          </cell>
        </row>
        <row r="10">
          <cell r="A10">
            <v>9</v>
          </cell>
          <cell r="E10" t="str">
            <v>기아모텍</v>
          </cell>
          <cell r="F10" t="str">
            <v>A</v>
          </cell>
          <cell r="G10" t="str">
            <v>FRONTIER</v>
          </cell>
          <cell r="H10" t="str">
            <v>041101131021</v>
          </cell>
          <cell r="J10" t="str">
            <v>RR DOOR OUT R/L</v>
          </cell>
          <cell r="K10" t="str">
            <v>금형</v>
          </cell>
          <cell r="M10">
            <v>6</v>
          </cell>
          <cell r="N10">
            <v>300000000</v>
          </cell>
          <cell r="AA10" t="str">
            <v>xx</v>
          </cell>
          <cell r="AG10" t="str">
            <v>기아모텍(주)</v>
          </cell>
          <cell r="AI10" t="str">
            <v>대우공업</v>
          </cell>
          <cell r="AK10" t="str">
            <v>당사품이 아님</v>
          </cell>
        </row>
        <row r="11">
          <cell r="A11">
            <v>10</v>
          </cell>
          <cell r="E11" t="str">
            <v>기아모텍</v>
          </cell>
          <cell r="F11" t="str">
            <v>A</v>
          </cell>
          <cell r="G11" t="str">
            <v>CARNIVAL</v>
          </cell>
          <cell r="H11" t="str">
            <v>041101131061</v>
          </cell>
          <cell r="J11" t="str">
            <v>RR DOOR HEM'G R/L</v>
          </cell>
          <cell r="K11" t="str">
            <v>금형</v>
          </cell>
          <cell r="M11">
            <v>1</v>
          </cell>
          <cell r="N11">
            <v>100000000</v>
          </cell>
          <cell r="Y11" t="str">
            <v>주물</v>
          </cell>
          <cell r="Z11">
            <v>18.704257800000001</v>
          </cell>
          <cell r="AA11" t="str">
            <v>2300x1780x970</v>
          </cell>
          <cell r="AG11" t="str">
            <v>기아모텍(주)</v>
          </cell>
          <cell r="AI11" t="str">
            <v>KMO 안산2공장</v>
          </cell>
        </row>
        <row r="12">
          <cell r="A12">
            <v>11</v>
          </cell>
          <cell r="E12" t="str">
            <v>기아모텍</v>
          </cell>
          <cell r="F12" t="str">
            <v>A</v>
          </cell>
          <cell r="G12" t="str">
            <v>S-2</v>
          </cell>
          <cell r="H12" t="str">
            <v>041201017474</v>
          </cell>
          <cell r="J12" t="str">
            <v>I/P CORE 2호 금형</v>
          </cell>
          <cell r="K12" t="str">
            <v>금형</v>
          </cell>
          <cell r="M12">
            <v>1</v>
          </cell>
          <cell r="N12">
            <v>215000000</v>
          </cell>
          <cell r="AA12" t="str">
            <v>xx</v>
          </cell>
          <cell r="AI12" t="str">
            <v>대경화성</v>
          </cell>
          <cell r="AK12" t="str">
            <v>당사품이 아님</v>
          </cell>
        </row>
        <row r="13">
          <cell r="A13">
            <v>12</v>
          </cell>
          <cell r="E13" t="str">
            <v>기아모텍</v>
          </cell>
          <cell r="F13" t="str">
            <v>A</v>
          </cell>
          <cell r="G13" t="str">
            <v>S-2 RHD</v>
          </cell>
          <cell r="H13" t="str">
            <v>041201017494</v>
          </cell>
          <cell r="J13" t="str">
            <v>I/P CORE RHD 금형</v>
          </cell>
          <cell r="K13" t="str">
            <v>금형</v>
          </cell>
          <cell r="M13">
            <v>1</v>
          </cell>
          <cell r="N13">
            <v>250000000</v>
          </cell>
          <cell r="AA13" t="str">
            <v>xx</v>
          </cell>
          <cell r="AI13" t="str">
            <v>대경화성</v>
          </cell>
          <cell r="AK13" t="str">
            <v>당사품이 아님</v>
          </cell>
        </row>
        <row r="14">
          <cell r="A14">
            <v>13</v>
          </cell>
          <cell r="E14" t="str">
            <v>기아모텍</v>
          </cell>
          <cell r="F14" t="str">
            <v>C4</v>
          </cell>
          <cell r="G14" t="str">
            <v>기타</v>
          </cell>
          <cell r="H14" t="str">
            <v>042101010968</v>
          </cell>
          <cell r="J14" t="str">
            <v>PANEL SUB ASSY 조립 JIG</v>
          </cell>
          <cell r="K14" t="str">
            <v>치구</v>
          </cell>
          <cell r="M14">
            <v>23</v>
          </cell>
          <cell r="N14">
            <v>34040000</v>
          </cell>
          <cell r="AA14" t="str">
            <v>xx</v>
          </cell>
          <cell r="AK14" t="str">
            <v>확인 불가</v>
          </cell>
        </row>
        <row r="15">
          <cell r="A15">
            <v>14</v>
          </cell>
          <cell r="E15" t="str">
            <v>기아모텍</v>
          </cell>
          <cell r="F15" t="str">
            <v>C4</v>
          </cell>
          <cell r="G15" t="str">
            <v>기타</v>
          </cell>
          <cell r="H15" t="str">
            <v>042105010211</v>
          </cell>
          <cell r="J15" t="str">
            <v>FRONT DOOR IN OUT SUB LINE TUR</v>
          </cell>
          <cell r="K15" t="str">
            <v>치구</v>
          </cell>
          <cell r="M15">
            <v>1</v>
          </cell>
          <cell r="N15">
            <v>188810721</v>
          </cell>
          <cell r="AA15" t="str">
            <v>xx</v>
          </cell>
          <cell r="AK15" t="str">
            <v>확인 불가</v>
          </cell>
        </row>
        <row r="16">
          <cell r="A16">
            <v>15</v>
          </cell>
          <cell r="E16" t="str">
            <v>기아모텍</v>
          </cell>
          <cell r="F16" t="str">
            <v>C4</v>
          </cell>
          <cell r="G16" t="str">
            <v>기타</v>
          </cell>
          <cell r="H16" t="str">
            <v>042105010221</v>
          </cell>
          <cell r="J16" t="str">
            <v>FRONT DOOR IN OUT SUB LINE TUR</v>
          </cell>
          <cell r="K16" t="str">
            <v>치구</v>
          </cell>
          <cell r="M16">
            <v>1</v>
          </cell>
          <cell r="N16">
            <v>188810721</v>
          </cell>
          <cell r="AA16" t="str">
            <v>xx</v>
          </cell>
          <cell r="AK16" t="str">
            <v>확인 불가</v>
          </cell>
        </row>
        <row r="17">
          <cell r="A17">
            <v>16</v>
          </cell>
          <cell r="E17" t="str">
            <v>기아모텍</v>
          </cell>
          <cell r="F17" t="str">
            <v>C4</v>
          </cell>
          <cell r="G17" t="str">
            <v>기타</v>
          </cell>
          <cell r="H17" t="str">
            <v>042105010231</v>
          </cell>
          <cell r="J17" t="str">
            <v>FRONT DOOR ASSY LINE JIG SYS</v>
          </cell>
          <cell r="K17" t="str">
            <v>치구</v>
          </cell>
          <cell r="M17">
            <v>1</v>
          </cell>
          <cell r="N17">
            <v>753364069</v>
          </cell>
          <cell r="AA17" t="str">
            <v>xx</v>
          </cell>
          <cell r="AK17" t="str">
            <v>확인 불가</v>
          </cell>
        </row>
        <row r="18">
          <cell r="A18">
            <v>17</v>
          </cell>
          <cell r="E18" t="str">
            <v>기아모텍</v>
          </cell>
          <cell r="F18" t="str">
            <v>C4</v>
          </cell>
          <cell r="G18" t="str">
            <v>기타</v>
          </cell>
          <cell r="H18" t="str">
            <v>044101016403</v>
          </cell>
          <cell r="J18" t="str">
            <v>TIRE HOUSE TRIM</v>
          </cell>
          <cell r="K18" t="str">
            <v>치구</v>
          </cell>
          <cell r="M18">
            <v>1</v>
          </cell>
          <cell r="N18">
            <v>7563477</v>
          </cell>
          <cell r="AA18" t="str">
            <v>xx</v>
          </cell>
          <cell r="AB18" t="str">
            <v>86-07-07</v>
          </cell>
          <cell r="AK18" t="str">
            <v>확인 불가</v>
          </cell>
        </row>
        <row r="19">
          <cell r="A19">
            <v>18</v>
          </cell>
          <cell r="E19" t="str">
            <v>기아모텍</v>
          </cell>
          <cell r="F19" t="str">
            <v>C4</v>
          </cell>
          <cell r="G19" t="str">
            <v>기타</v>
          </cell>
          <cell r="H19" t="str">
            <v>044101016663</v>
          </cell>
          <cell r="J19" t="str">
            <v>MUD GRARD</v>
          </cell>
          <cell r="K19" t="str">
            <v>치구</v>
          </cell>
          <cell r="M19">
            <v>1</v>
          </cell>
          <cell r="N19">
            <v>6283504</v>
          </cell>
          <cell r="AA19" t="str">
            <v>xx</v>
          </cell>
          <cell r="AB19" t="str">
            <v>86-07-07</v>
          </cell>
          <cell r="AK19" t="str">
            <v>확인 불가</v>
          </cell>
        </row>
        <row r="20">
          <cell r="A20">
            <v>19</v>
          </cell>
          <cell r="E20" t="str">
            <v>기아모텍</v>
          </cell>
          <cell r="F20" t="str">
            <v>C4</v>
          </cell>
          <cell r="G20" t="str">
            <v>기타</v>
          </cell>
          <cell r="H20" t="str">
            <v>044101016763</v>
          </cell>
          <cell r="J20" t="str">
            <v>BONNET OUT 검사구</v>
          </cell>
          <cell r="K20" t="str">
            <v>치구</v>
          </cell>
          <cell r="M20">
            <v>1</v>
          </cell>
          <cell r="N20">
            <v>5453899</v>
          </cell>
          <cell r="AA20" t="str">
            <v>xx</v>
          </cell>
          <cell r="AB20" t="str">
            <v>86-07-07</v>
          </cell>
          <cell r="AK20" t="str">
            <v>확인 불가</v>
          </cell>
        </row>
        <row r="21">
          <cell r="A21">
            <v>20</v>
          </cell>
          <cell r="E21" t="str">
            <v>기아모텍</v>
          </cell>
          <cell r="F21" t="str">
            <v>A</v>
          </cell>
          <cell r="G21" t="str">
            <v>PREGIO</v>
          </cell>
          <cell r="H21" t="str">
            <v>041101110171</v>
          </cell>
          <cell r="J21" t="str">
            <v>BACK DOOR ASSY</v>
          </cell>
          <cell r="K21" t="str">
            <v>금형</v>
          </cell>
          <cell r="M21">
            <v>1</v>
          </cell>
          <cell r="N21">
            <v>420911401</v>
          </cell>
          <cell r="AA21" t="str">
            <v>xx</v>
          </cell>
          <cell r="AG21" t="str">
            <v>KJC</v>
          </cell>
          <cell r="AI21" t="str">
            <v>KMC</v>
          </cell>
          <cell r="AK21" t="str">
            <v>KMC 이관</v>
          </cell>
        </row>
        <row r="22">
          <cell r="A22">
            <v>21</v>
          </cell>
          <cell r="E22" t="str">
            <v>기아모텍</v>
          </cell>
          <cell r="F22" t="str">
            <v>A</v>
          </cell>
          <cell r="G22" t="str">
            <v>PREGIO</v>
          </cell>
          <cell r="H22" t="str">
            <v>041101116403</v>
          </cell>
          <cell r="J22" t="str">
            <v>FRT DOOR OUT RH</v>
          </cell>
          <cell r="K22" t="str">
            <v>금형</v>
          </cell>
          <cell r="M22">
            <v>1</v>
          </cell>
          <cell r="N22">
            <v>231947457</v>
          </cell>
          <cell r="AA22" t="str">
            <v>xx</v>
          </cell>
          <cell r="AB22" t="str">
            <v>981231</v>
          </cell>
          <cell r="AG22" t="str">
            <v>서해공업㈜ 반　</v>
          </cell>
          <cell r="AI22" t="str">
            <v>KMC</v>
          </cell>
          <cell r="AK22" t="str">
            <v>KMC 이관</v>
          </cell>
        </row>
        <row r="23">
          <cell r="A23">
            <v>22</v>
          </cell>
          <cell r="E23" t="str">
            <v>기아모텍</v>
          </cell>
          <cell r="F23" t="str">
            <v>A</v>
          </cell>
          <cell r="G23" t="str">
            <v>PREGIO</v>
          </cell>
          <cell r="H23" t="str">
            <v>041101116413</v>
          </cell>
          <cell r="J23" t="str">
            <v>FRT DOOR OUT LH</v>
          </cell>
          <cell r="K23" t="str">
            <v>금형</v>
          </cell>
          <cell r="M23">
            <v>1</v>
          </cell>
          <cell r="N23">
            <v>206872056</v>
          </cell>
          <cell r="AA23" t="str">
            <v>xx</v>
          </cell>
          <cell r="AB23" t="str">
            <v>981231</v>
          </cell>
          <cell r="AG23" t="str">
            <v>서해공업㈜ 반　</v>
          </cell>
          <cell r="AI23" t="str">
            <v>KMC</v>
          </cell>
          <cell r="AK23" t="str">
            <v>KMC 이관</v>
          </cell>
        </row>
        <row r="24">
          <cell r="A24">
            <v>23</v>
          </cell>
          <cell r="E24" t="str">
            <v>기아모텍</v>
          </cell>
          <cell r="F24" t="str">
            <v>A</v>
          </cell>
          <cell r="G24" t="str">
            <v>PREGIO</v>
          </cell>
          <cell r="H24" t="str">
            <v>041101116423</v>
          </cell>
          <cell r="J24" t="str">
            <v>FRT DOOR IN RH</v>
          </cell>
          <cell r="K24" t="str">
            <v>금형</v>
          </cell>
          <cell r="M24">
            <v>1</v>
          </cell>
          <cell r="N24">
            <v>257022858</v>
          </cell>
          <cell r="AA24" t="str">
            <v>xx</v>
          </cell>
          <cell r="AB24" t="str">
            <v>981231</v>
          </cell>
          <cell r="AG24" t="str">
            <v>서해공업㈜ 반　</v>
          </cell>
          <cell r="AI24" t="str">
            <v>KMC</v>
          </cell>
          <cell r="AK24" t="str">
            <v>KMC 이관</v>
          </cell>
        </row>
        <row r="25">
          <cell r="A25">
            <v>24</v>
          </cell>
          <cell r="E25" t="str">
            <v>기아모텍</v>
          </cell>
          <cell r="F25" t="str">
            <v>A</v>
          </cell>
          <cell r="G25" t="str">
            <v>PREGIO</v>
          </cell>
          <cell r="H25" t="str">
            <v>041101116433</v>
          </cell>
          <cell r="J25" t="str">
            <v>FRT DOOR IN LH</v>
          </cell>
          <cell r="K25" t="str">
            <v>금형</v>
          </cell>
          <cell r="M25">
            <v>1</v>
          </cell>
          <cell r="N25">
            <v>250754008</v>
          </cell>
          <cell r="AA25" t="str">
            <v>xx</v>
          </cell>
          <cell r="AB25" t="str">
            <v>981231</v>
          </cell>
          <cell r="AG25" t="str">
            <v>서해공업㈜ 반　</v>
          </cell>
          <cell r="AI25" t="str">
            <v>KMC</v>
          </cell>
          <cell r="AK25" t="str">
            <v>KMC 이관</v>
          </cell>
        </row>
        <row r="26">
          <cell r="A26">
            <v>25</v>
          </cell>
          <cell r="E26" t="str">
            <v>기아모텍</v>
          </cell>
          <cell r="F26" t="str">
            <v>A</v>
          </cell>
          <cell r="G26" t="str">
            <v>PREGIO</v>
          </cell>
          <cell r="H26" t="str">
            <v>041101116443</v>
          </cell>
          <cell r="J26" t="str">
            <v>FRT DOOR HEM'G RH</v>
          </cell>
          <cell r="K26" t="str">
            <v>금형</v>
          </cell>
          <cell r="M26">
            <v>1</v>
          </cell>
          <cell r="N26">
            <v>82121937</v>
          </cell>
          <cell r="AA26" t="str">
            <v>xx</v>
          </cell>
          <cell r="AB26" t="str">
            <v>981231</v>
          </cell>
          <cell r="AG26" t="str">
            <v>서해공업㈜ 반　</v>
          </cell>
          <cell r="AI26" t="str">
            <v>KMC</v>
          </cell>
          <cell r="AK26" t="str">
            <v>KMC 이관</v>
          </cell>
        </row>
        <row r="27">
          <cell r="A27">
            <v>26</v>
          </cell>
          <cell r="E27" t="str">
            <v>기아모텍</v>
          </cell>
          <cell r="F27" t="str">
            <v>A</v>
          </cell>
          <cell r="G27" t="str">
            <v>PREGIO</v>
          </cell>
          <cell r="H27" t="str">
            <v>041101116453</v>
          </cell>
          <cell r="J27" t="str">
            <v>FRT DOOR HEM'G LH</v>
          </cell>
          <cell r="K27" t="str">
            <v>금형</v>
          </cell>
          <cell r="M27">
            <v>1</v>
          </cell>
          <cell r="N27">
            <v>82121937</v>
          </cell>
          <cell r="AA27" t="str">
            <v>xx</v>
          </cell>
          <cell r="AB27" t="str">
            <v>981231</v>
          </cell>
          <cell r="AG27" t="str">
            <v>서해공업㈜ 반　</v>
          </cell>
          <cell r="AI27" t="str">
            <v>KMC</v>
          </cell>
          <cell r="AK27" t="str">
            <v>KMC 이관</v>
          </cell>
        </row>
        <row r="28">
          <cell r="A28">
            <v>27</v>
          </cell>
          <cell r="E28" t="str">
            <v>기아모텍</v>
          </cell>
          <cell r="F28" t="str">
            <v>A</v>
          </cell>
          <cell r="G28" t="str">
            <v>PREGIO</v>
          </cell>
          <cell r="H28" t="str">
            <v>041101116463</v>
          </cell>
          <cell r="J28" t="str">
            <v>SLIDE DOOR OUT(RH)</v>
          </cell>
          <cell r="K28" t="str">
            <v>금형</v>
          </cell>
          <cell r="M28">
            <v>1</v>
          </cell>
          <cell r="N28">
            <v>244485157</v>
          </cell>
          <cell r="AA28" t="str">
            <v>xx</v>
          </cell>
          <cell r="AB28" t="str">
            <v>981231</v>
          </cell>
          <cell r="AG28" t="str">
            <v>서해공업㈜ 반　</v>
          </cell>
          <cell r="AI28" t="str">
            <v>KMC</v>
          </cell>
          <cell r="AK28" t="str">
            <v>KMC 이관</v>
          </cell>
        </row>
        <row r="29">
          <cell r="A29">
            <v>28</v>
          </cell>
          <cell r="E29" t="str">
            <v>기아모텍</v>
          </cell>
          <cell r="F29" t="str">
            <v>A</v>
          </cell>
          <cell r="G29" t="str">
            <v>PREGIO</v>
          </cell>
          <cell r="H29" t="str">
            <v>041101116473</v>
          </cell>
          <cell r="J29" t="str">
            <v>SLIDE DOOR IN(RH)</v>
          </cell>
          <cell r="K29" t="str">
            <v>금형</v>
          </cell>
          <cell r="M29">
            <v>1</v>
          </cell>
          <cell r="N29">
            <v>225678607</v>
          </cell>
          <cell r="AA29" t="str">
            <v>xx</v>
          </cell>
          <cell r="AB29" t="str">
            <v>981231</v>
          </cell>
          <cell r="AG29" t="str">
            <v>서해공업㈜ 반　</v>
          </cell>
          <cell r="AI29" t="str">
            <v>KMC</v>
          </cell>
          <cell r="AK29" t="str">
            <v>KMC 이관</v>
          </cell>
        </row>
        <row r="30">
          <cell r="A30">
            <v>29</v>
          </cell>
          <cell r="E30" t="str">
            <v>기아모텍</v>
          </cell>
          <cell r="F30" t="str">
            <v>A</v>
          </cell>
          <cell r="G30" t="str">
            <v>PREGIO</v>
          </cell>
          <cell r="H30" t="str">
            <v>041101116483</v>
          </cell>
          <cell r="J30" t="str">
            <v>SLIDE DOOR HEM'G(RH)</v>
          </cell>
          <cell r="K30" t="str">
            <v>금형</v>
          </cell>
          <cell r="M30">
            <v>1</v>
          </cell>
          <cell r="N30">
            <v>74599317</v>
          </cell>
          <cell r="AA30" t="str">
            <v>xx</v>
          </cell>
          <cell r="AB30" t="str">
            <v>981231</v>
          </cell>
          <cell r="AG30" t="str">
            <v>서해공업㈜ 반　</v>
          </cell>
          <cell r="AI30" t="str">
            <v>KMC</v>
          </cell>
          <cell r="AK30" t="str">
            <v>KMC 이관</v>
          </cell>
        </row>
        <row r="31">
          <cell r="A31">
            <v>30</v>
          </cell>
          <cell r="E31" t="str">
            <v>기아모텍</v>
          </cell>
          <cell r="F31" t="str">
            <v>C4</v>
          </cell>
          <cell r="G31" t="str">
            <v>BONGO</v>
          </cell>
          <cell r="H31" t="str">
            <v>045211300143</v>
          </cell>
          <cell r="J31" t="str">
            <v>TRUCK SIDE TRIM 대차</v>
          </cell>
          <cell r="K31" t="str">
            <v>치구</v>
          </cell>
          <cell r="M31">
            <v>33</v>
          </cell>
          <cell r="N31">
            <v>7425000</v>
          </cell>
          <cell r="AA31" t="str">
            <v>xx</v>
          </cell>
          <cell r="AG31" t="str">
            <v>효진기기</v>
          </cell>
          <cell r="AK31" t="str">
            <v>확인 불가</v>
          </cell>
        </row>
        <row r="32">
          <cell r="A32">
            <v>31</v>
          </cell>
          <cell r="E32" t="str">
            <v>기아모텍</v>
          </cell>
          <cell r="F32" t="str">
            <v>C4</v>
          </cell>
          <cell r="G32" t="str">
            <v>G-CAR</v>
          </cell>
          <cell r="H32" t="str">
            <v>045901011672</v>
          </cell>
          <cell r="J32" t="str">
            <v>AUDIO RACK</v>
          </cell>
          <cell r="K32" t="str">
            <v>치구</v>
          </cell>
          <cell r="M32">
            <v>1</v>
          </cell>
          <cell r="N32">
            <v>1200000</v>
          </cell>
          <cell r="AA32" t="str">
            <v>xx</v>
          </cell>
          <cell r="AG32" t="str">
            <v>(주)다흥</v>
          </cell>
          <cell r="AK32" t="str">
            <v>확인 불가</v>
          </cell>
        </row>
        <row r="33">
          <cell r="A33">
            <v>32</v>
          </cell>
          <cell r="E33" t="str">
            <v>기아모텍</v>
          </cell>
          <cell r="F33" t="str">
            <v>C4</v>
          </cell>
          <cell r="G33" t="str">
            <v>기타</v>
          </cell>
          <cell r="H33" t="str">
            <v>046601012248</v>
          </cell>
          <cell r="J33" t="str">
            <v>슬라이딩랙</v>
          </cell>
          <cell r="K33" t="str">
            <v>치구</v>
          </cell>
          <cell r="M33">
            <v>39</v>
          </cell>
          <cell r="N33">
            <v>30107844</v>
          </cell>
          <cell r="AA33" t="str">
            <v>xx</v>
          </cell>
          <cell r="AG33" t="str">
            <v>한독철강(주)</v>
          </cell>
          <cell r="AK33" t="str">
            <v>확인 불가</v>
          </cell>
        </row>
        <row r="34">
          <cell r="A34">
            <v>36</v>
          </cell>
          <cell r="B34">
            <v>92</v>
          </cell>
          <cell r="E34" t="str">
            <v>기아모텍</v>
          </cell>
          <cell r="F34" t="str">
            <v>C4</v>
          </cell>
          <cell r="H34" t="str">
            <v>041102031812</v>
          </cell>
          <cell r="J34" t="str">
            <v>REINF-F BUMPER</v>
          </cell>
          <cell r="M34">
            <v>4</v>
          </cell>
          <cell r="AA34" t="str">
            <v>xx</v>
          </cell>
          <cell r="AK34" t="str">
            <v>확인 불가</v>
          </cell>
        </row>
        <row r="35">
          <cell r="A35">
            <v>37</v>
          </cell>
          <cell r="B35">
            <v>92</v>
          </cell>
          <cell r="E35" t="str">
            <v>기아모텍</v>
          </cell>
          <cell r="G35" t="str">
            <v>CONCORD</v>
          </cell>
          <cell r="H35" t="str">
            <v>041102031822</v>
          </cell>
          <cell r="I35" t="str">
            <v>G030 53 471</v>
          </cell>
          <cell r="J35" t="str">
            <v>BRKT-STG,A</v>
          </cell>
          <cell r="K35" t="str">
            <v>금형</v>
          </cell>
          <cell r="M35">
            <v>4</v>
          </cell>
          <cell r="Y35" t="str">
            <v>주물</v>
          </cell>
          <cell r="AA35" t="str">
            <v>xx</v>
          </cell>
          <cell r="AG35" t="str">
            <v>동양기공</v>
          </cell>
          <cell r="AI35" t="str">
            <v>대륭강업</v>
          </cell>
        </row>
        <row r="36">
          <cell r="A36">
            <v>38</v>
          </cell>
          <cell r="B36">
            <v>92</v>
          </cell>
          <cell r="E36" t="str">
            <v>기아모텍</v>
          </cell>
          <cell r="G36" t="str">
            <v>CONCORD</v>
          </cell>
          <cell r="H36" t="str">
            <v>041102031832</v>
          </cell>
          <cell r="I36" t="str">
            <v>G116 60 335</v>
          </cell>
          <cell r="J36" t="str">
            <v>REINF-RR BUMP</v>
          </cell>
          <cell r="K36" t="str">
            <v>금형</v>
          </cell>
          <cell r="M36">
            <v>4</v>
          </cell>
          <cell r="AA36" t="str">
            <v>xx</v>
          </cell>
          <cell r="AG36" t="str">
            <v>삼양전기</v>
          </cell>
          <cell r="AI36" t="str">
            <v>대륭강업</v>
          </cell>
          <cell r="AK36" t="str">
            <v>부번 중복</v>
          </cell>
        </row>
        <row r="37">
          <cell r="A37">
            <v>67</v>
          </cell>
          <cell r="B37">
            <v>92</v>
          </cell>
          <cell r="E37" t="str">
            <v>기아모텍</v>
          </cell>
          <cell r="F37" t="str">
            <v>C4</v>
          </cell>
          <cell r="G37" t="str">
            <v>CONCORD</v>
          </cell>
          <cell r="H37" t="str">
            <v>041102550751</v>
          </cell>
          <cell r="I37" t="str">
            <v>G115 53/54 081C</v>
          </cell>
          <cell r="J37" t="str">
            <v>M/B-DASH UP.LH</v>
          </cell>
          <cell r="K37" t="str">
            <v>금형</v>
          </cell>
          <cell r="M37">
            <v>5</v>
          </cell>
          <cell r="Y37" t="str">
            <v>주물</v>
          </cell>
          <cell r="AA37" t="str">
            <v>xx</v>
          </cell>
          <cell r="AG37" t="str">
            <v>삼양</v>
          </cell>
          <cell r="AJ37" t="str">
            <v>광성기업</v>
          </cell>
          <cell r="AK37" t="str">
            <v>확인 불가</v>
          </cell>
        </row>
        <row r="38">
          <cell r="A38">
            <v>96</v>
          </cell>
          <cell r="E38" t="str">
            <v>기아모텍</v>
          </cell>
          <cell r="F38" t="str">
            <v>C1</v>
          </cell>
          <cell r="G38" t="str">
            <v>E/G HA (E-3000)</v>
          </cell>
          <cell r="I38" t="str">
            <v>0559 53/54 521B</v>
          </cell>
          <cell r="J38" t="str">
            <v>SIDE SILL OUT R/L</v>
          </cell>
          <cell r="K38" t="str">
            <v>금형</v>
          </cell>
          <cell r="L38" t="str">
            <v>DR,TR,SEP,FL</v>
          </cell>
          <cell r="M38">
            <v>4</v>
          </cell>
          <cell r="N38">
            <v>7500000</v>
          </cell>
          <cell r="Y38" t="str">
            <v>주물</v>
          </cell>
          <cell r="AA38" t="str">
            <v>xx</v>
          </cell>
          <cell r="AB38" t="str">
            <v>81-12-31</v>
          </cell>
          <cell r="AI38" t="str">
            <v>KMO 안산2공장</v>
          </cell>
        </row>
        <row r="39">
          <cell r="A39">
            <v>97</v>
          </cell>
          <cell r="E39" t="str">
            <v>기아모텍</v>
          </cell>
          <cell r="F39" t="str">
            <v>C4</v>
          </cell>
          <cell r="G39" t="str">
            <v>E/G HA (E-3000)</v>
          </cell>
          <cell r="I39" t="str">
            <v>0559 53/54 651B</v>
          </cell>
          <cell r="J39" t="str">
            <v>RAIN RAIL R/L</v>
          </cell>
          <cell r="K39" t="str">
            <v>금형</v>
          </cell>
          <cell r="L39" t="str">
            <v>NO,BE,BE,BE</v>
          </cell>
          <cell r="M39">
            <v>4</v>
          </cell>
          <cell r="N39">
            <v>5650000</v>
          </cell>
          <cell r="AA39" t="str">
            <v>xx</v>
          </cell>
          <cell r="AB39" t="str">
            <v>82-06-30</v>
          </cell>
          <cell r="AK39" t="str">
            <v>확인 불가</v>
          </cell>
        </row>
        <row r="40">
          <cell r="A40">
            <v>98</v>
          </cell>
          <cell r="E40" t="str">
            <v>기아모텍</v>
          </cell>
          <cell r="F40" t="str">
            <v>A</v>
          </cell>
          <cell r="G40" t="str">
            <v>SEPHIA</v>
          </cell>
          <cell r="H40" t="str">
            <v>045212106691</v>
          </cell>
          <cell r="I40" t="str">
            <v>1300X900X1250</v>
          </cell>
          <cell r="J40" t="str">
            <v>RR DOOR IN PALLET</v>
          </cell>
          <cell r="K40" t="str">
            <v>치구</v>
          </cell>
          <cell r="M40">
            <v>34</v>
          </cell>
          <cell r="N40">
            <v>10506571</v>
          </cell>
          <cell r="AA40" t="str">
            <v>xx</v>
          </cell>
          <cell r="AG40" t="str">
            <v>한국파레트공업사</v>
          </cell>
          <cell r="AK40" t="str">
            <v>당사품이 아님</v>
          </cell>
        </row>
        <row r="41">
          <cell r="A41">
            <v>99</v>
          </cell>
          <cell r="E41" t="str">
            <v>기아모텍</v>
          </cell>
          <cell r="F41" t="str">
            <v>A</v>
          </cell>
          <cell r="G41" t="str">
            <v>SEPHIA</v>
          </cell>
          <cell r="H41" t="str">
            <v>045212106701</v>
          </cell>
          <cell r="I41" t="str">
            <v>1300X900X1250</v>
          </cell>
          <cell r="J41" t="str">
            <v>FRT DOOR IN PALLET</v>
          </cell>
          <cell r="K41" t="str">
            <v>치구</v>
          </cell>
          <cell r="M41">
            <v>34</v>
          </cell>
          <cell r="N41">
            <v>10506571</v>
          </cell>
          <cell r="AA41" t="str">
            <v>xx</v>
          </cell>
          <cell r="AG41" t="str">
            <v>한국파레트공업사</v>
          </cell>
          <cell r="AK41" t="str">
            <v>당사품이 아님</v>
          </cell>
        </row>
        <row r="42">
          <cell r="A42">
            <v>100</v>
          </cell>
          <cell r="E42" t="str">
            <v>기아모텍</v>
          </cell>
          <cell r="F42" t="str">
            <v>C1</v>
          </cell>
          <cell r="G42" t="str">
            <v>E/G HA (E-3000)</v>
          </cell>
          <cell r="I42" t="str">
            <v>1316 53/54 671B</v>
          </cell>
          <cell r="J42" t="str">
            <v>SIDE SILL IN R/L</v>
          </cell>
          <cell r="K42" t="str">
            <v>금형</v>
          </cell>
          <cell r="L42" t="str">
            <v>DR,TR,BE</v>
          </cell>
          <cell r="M42">
            <v>3</v>
          </cell>
          <cell r="N42">
            <v>7500000</v>
          </cell>
          <cell r="Y42" t="str">
            <v>주물</v>
          </cell>
          <cell r="AA42" t="str">
            <v>xx</v>
          </cell>
          <cell r="AB42" t="str">
            <v>81-12-31</v>
          </cell>
          <cell r="AI42" t="str">
            <v>KMO 안산2공장</v>
          </cell>
        </row>
        <row r="43">
          <cell r="A43">
            <v>101</v>
          </cell>
          <cell r="E43" t="str">
            <v>기아모텍</v>
          </cell>
          <cell r="F43" t="str">
            <v>C</v>
          </cell>
          <cell r="G43" t="str">
            <v>P/BONGO</v>
          </cell>
          <cell r="I43" t="str">
            <v>1391 53/54 221</v>
          </cell>
          <cell r="J43" t="str">
            <v>WHEEL APRON</v>
          </cell>
          <cell r="K43" t="str">
            <v>금형</v>
          </cell>
          <cell r="L43" t="str">
            <v>DR,TR,SEP,FL</v>
          </cell>
          <cell r="M43">
            <v>4</v>
          </cell>
          <cell r="N43">
            <v>52000000</v>
          </cell>
          <cell r="AA43" t="str">
            <v>xx</v>
          </cell>
          <cell r="AB43" t="str">
            <v>91-10-17</v>
          </cell>
          <cell r="AG43" t="str">
            <v>KIA</v>
          </cell>
          <cell r="AI43" t="str">
            <v>일석산업</v>
          </cell>
        </row>
        <row r="44">
          <cell r="A44">
            <v>102</v>
          </cell>
          <cell r="E44" t="str">
            <v>기아모텍</v>
          </cell>
          <cell r="F44" t="str">
            <v>C</v>
          </cell>
          <cell r="G44" t="str">
            <v>BONGO</v>
          </cell>
          <cell r="H44" t="str">
            <v>041102000015</v>
          </cell>
          <cell r="I44" t="str">
            <v>1391 58 071F</v>
          </cell>
          <cell r="J44" t="str">
            <v>DOOR INNER R/L</v>
          </cell>
          <cell r="K44" t="str">
            <v>금형</v>
          </cell>
          <cell r="M44">
            <v>10</v>
          </cell>
          <cell r="N44">
            <v>558360626</v>
          </cell>
          <cell r="Y44" t="str">
            <v>주물</v>
          </cell>
          <cell r="AA44" t="str">
            <v>xx</v>
          </cell>
          <cell r="AB44" t="str">
            <v>80-09-27</v>
          </cell>
          <cell r="AI44" t="str">
            <v>KMO 안산2공장</v>
          </cell>
        </row>
        <row r="45">
          <cell r="A45">
            <v>102.01000213623047</v>
          </cell>
          <cell r="E45" t="str">
            <v>기아모텍</v>
          </cell>
          <cell r="F45" t="str">
            <v>C</v>
          </cell>
          <cell r="G45" t="str">
            <v>BONGO</v>
          </cell>
          <cell r="H45" t="str">
            <v>041102000015</v>
          </cell>
          <cell r="I45" t="str">
            <v>1391 58 071F</v>
          </cell>
          <cell r="J45" t="str">
            <v>DOOR INNER R/L</v>
          </cell>
          <cell r="K45" t="str">
            <v>금형</v>
          </cell>
          <cell r="M45">
            <v>1</v>
          </cell>
          <cell r="Y45" t="str">
            <v>주물</v>
          </cell>
          <cell r="Z45">
            <v>6.3050886000000004</v>
          </cell>
          <cell r="AA45" t="str">
            <v>1850x1080x670</v>
          </cell>
          <cell r="AB45" t="str">
            <v>80-09-27</v>
          </cell>
          <cell r="AI45" t="str">
            <v>KMO 안산2공장</v>
          </cell>
        </row>
        <row r="46">
          <cell r="A46">
            <v>102.01999664306641</v>
          </cell>
          <cell r="E46" t="str">
            <v>기아모텍</v>
          </cell>
          <cell r="F46" t="str">
            <v>C</v>
          </cell>
          <cell r="G46" t="str">
            <v>BONGO</v>
          </cell>
          <cell r="H46" t="str">
            <v>041102000015</v>
          </cell>
          <cell r="I46" t="str">
            <v>1391 58 071F</v>
          </cell>
          <cell r="J46" t="str">
            <v>DOOR INNER R/L</v>
          </cell>
          <cell r="K46" t="str">
            <v>금형</v>
          </cell>
          <cell r="M46">
            <v>1</v>
          </cell>
          <cell r="Y46" t="str">
            <v>주물</v>
          </cell>
          <cell r="Z46">
            <v>6.2070264000000002</v>
          </cell>
          <cell r="AA46" t="str">
            <v>1700x1020x760</v>
          </cell>
          <cell r="AB46" t="str">
            <v>80-09-27</v>
          </cell>
          <cell r="AI46" t="str">
            <v>KMO 안산2공장</v>
          </cell>
        </row>
        <row r="47">
          <cell r="A47">
            <v>102.02999877929688</v>
          </cell>
          <cell r="E47" t="str">
            <v>기아모텍</v>
          </cell>
          <cell r="F47" t="str">
            <v>C</v>
          </cell>
          <cell r="G47" t="str">
            <v>BONGO</v>
          </cell>
          <cell r="H47" t="str">
            <v>041102000015</v>
          </cell>
          <cell r="I47" t="str">
            <v>1391 58 071F</v>
          </cell>
          <cell r="J47" t="str">
            <v>DOOR INNER R/L</v>
          </cell>
          <cell r="K47" t="str">
            <v>금형</v>
          </cell>
          <cell r="M47">
            <v>1</v>
          </cell>
          <cell r="Y47" t="str">
            <v>주물</v>
          </cell>
          <cell r="Z47">
            <v>8.4333727500000002</v>
          </cell>
          <cell r="AA47" t="str">
            <v>1915x1100x850</v>
          </cell>
          <cell r="AB47" t="str">
            <v>80-09-27</v>
          </cell>
          <cell r="AI47" t="str">
            <v>KMO 안산2공장</v>
          </cell>
        </row>
        <row r="48">
          <cell r="A48">
            <v>102.04000091552734</v>
          </cell>
          <cell r="E48" t="str">
            <v>기아모텍</v>
          </cell>
          <cell r="F48" t="str">
            <v>C</v>
          </cell>
          <cell r="G48" t="str">
            <v>BONGO</v>
          </cell>
          <cell r="H48" t="str">
            <v>041102000015</v>
          </cell>
          <cell r="I48" t="str">
            <v>1391 58 071F</v>
          </cell>
          <cell r="J48" t="str">
            <v>DOOR INNER R/L</v>
          </cell>
          <cell r="K48" t="str">
            <v>금형</v>
          </cell>
          <cell r="M48">
            <v>1</v>
          </cell>
          <cell r="Y48" t="str">
            <v>주물</v>
          </cell>
          <cell r="Z48">
            <v>10.3914846</v>
          </cell>
          <cell r="AA48" t="str">
            <v>2060x1260x850</v>
          </cell>
          <cell r="AB48" t="str">
            <v>80-09-27</v>
          </cell>
          <cell r="AI48" t="str">
            <v>KMO 안산2공장</v>
          </cell>
        </row>
        <row r="49">
          <cell r="A49">
            <v>102.05000305175781</v>
          </cell>
          <cell r="E49" t="str">
            <v>기아모텍</v>
          </cell>
          <cell r="F49" t="str">
            <v>C</v>
          </cell>
          <cell r="G49" t="str">
            <v>BONGO</v>
          </cell>
          <cell r="H49" t="str">
            <v>041102000015</v>
          </cell>
          <cell r="I49" t="str">
            <v>1391 58 071F</v>
          </cell>
          <cell r="J49" t="str">
            <v>DOOR INNER R/L</v>
          </cell>
          <cell r="K49" t="str">
            <v>금형</v>
          </cell>
          <cell r="M49">
            <v>1</v>
          </cell>
          <cell r="Y49" t="str">
            <v>주물</v>
          </cell>
          <cell r="Z49">
            <v>7.810922699999999</v>
          </cell>
          <cell r="AA49" t="str">
            <v>1590x1490x700</v>
          </cell>
          <cell r="AB49" t="str">
            <v>80-09-27</v>
          </cell>
          <cell r="AI49" t="str">
            <v>KMO 안산2공장</v>
          </cell>
        </row>
        <row r="50">
          <cell r="A50">
            <v>102.05999755859375</v>
          </cell>
          <cell r="E50" t="str">
            <v>기아모텍</v>
          </cell>
          <cell r="F50" t="str">
            <v>C</v>
          </cell>
          <cell r="G50" t="str">
            <v>BONGO</v>
          </cell>
          <cell r="H50" t="str">
            <v>041102000015</v>
          </cell>
          <cell r="I50" t="str">
            <v>1391 58 071F</v>
          </cell>
          <cell r="J50" t="str">
            <v>DOOR INNER R/L</v>
          </cell>
          <cell r="K50" t="str">
            <v>금형</v>
          </cell>
          <cell r="M50">
            <v>1</v>
          </cell>
          <cell r="Y50" t="str">
            <v>주물</v>
          </cell>
          <cell r="Z50">
            <v>6.3050886000000004</v>
          </cell>
          <cell r="AA50" t="str">
            <v>1850x1080x670</v>
          </cell>
          <cell r="AB50" t="str">
            <v>80-09-27</v>
          </cell>
          <cell r="AI50" t="str">
            <v>KMO 안산2공장</v>
          </cell>
        </row>
        <row r="51">
          <cell r="A51">
            <v>102.06999969482422</v>
          </cell>
          <cell r="E51" t="str">
            <v>기아모텍</v>
          </cell>
          <cell r="F51" t="str">
            <v>C</v>
          </cell>
          <cell r="G51" t="str">
            <v>BONGO</v>
          </cell>
          <cell r="H51" t="str">
            <v>041102000015</v>
          </cell>
          <cell r="I51" t="str">
            <v>1391 58 071F</v>
          </cell>
          <cell r="J51" t="str">
            <v>DOOR INNER R/L</v>
          </cell>
          <cell r="K51" t="str">
            <v>금형</v>
          </cell>
          <cell r="M51">
            <v>1</v>
          </cell>
          <cell r="Y51" t="str">
            <v>주물</v>
          </cell>
          <cell r="Z51">
            <v>6.2070264000000002</v>
          </cell>
          <cell r="AA51" t="str">
            <v>1700x1020x760</v>
          </cell>
          <cell r="AB51" t="str">
            <v>80-09-27</v>
          </cell>
          <cell r="AI51" t="str">
            <v>KMO 안산2공장</v>
          </cell>
        </row>
        <row r="52">
          <cell r="A52">
            <v>102.08000183105469</v>
          </cell>
          <cell r="E52" t="str">
            <v>기아모텍</v>
          </cell>
          <cell r="F52" t="str">
            <v>C</v>
          </cell>
          <cell r="G52" t="str">
            <v>BONGO</v>
          </cell>
          <cell r="H52" t="str">
            <v>041102000015</v>
          </cell>
          <cell r="I52" t="str">
            <v>1391 58 071F</v>
          </cell>
          <cell r="J52" t="str">
            <v>DOOR INNER R/L</v>
          </cell>
          <cell r="K52" t="str">
            <v>금형</v>
          </cell>
          <cell r="M52">
            <v>1</v>
          </cell>
          <cell r="Y52" t="str">
            <v>주물</v>
          </cell>
          <cell r="Z52">
            <v>8.4333727500000002</v>
          </cell>
          <cell r="AA52" t="str">
            <v>1915x1100x850</v>
          </cell>
          <cell r="AB52" t="str">
            <v>80-09-27</v>
          </cell>
          <cell r="AI52" t="str">
            <v>KMO 안산2공장</v>
          </cell>
        </row>
        <row r="53">
          <cell r="A53">
            <v>102.08999633789063</v>
          </cell>
          <cell r="E53" t="str">
            <v>기아모텍</v>
          </cell>
          <cell r="F53" t="str">
            <v>C</v>
          </cell>
          <cell r="G53" t="str">
            <v>BONGO</v>
          </cell>
          <cell r="H53" t="str">
            <v>041102000015</v>
          </cell>
          <cell r="I53" t="str">
            <v>1391 58 071F</v>
          </cell>
          <cell r="J53" t="str">
            <v>DOOR INNER R/L</v>
          </cell>
          <cell r="K53" t="str">
            <v>금형</v>
          </cell>
          <cell r="M53">
            <v>1</v>
          </cell>
          <cell r="Y53" t="str">
            <v>주물</v>
          </cell>
          <cell r="Z53">
            <v>10.3914846</v>
          </cell>
          <cell r="AA53" t="str">
            <v>2060x1260x850</v>
          </cell>
          <cell r="AB53" t="str">
            <v>80-09-27</v>
          </cell>
          <cell r="AI53" t="str">
            <v>KMO 안산2공장</v>
          </cell>
        </row>
        <row r="54">
          <cell r="A54">
            <v>102.09999847412109</v>
          </cell>
          <cell r="E54" t="str">
            <v>기아모텍</v>
          </cell>
          <cell r="F54" t="str">
            <v>C</v>
          </cell>
          <cell r="G54" t="str">
            <v>BONGO</v>
          </cell>
          <cell r="H54" t="str">
            <v>041102000015</v>
          </cell>
          <cell r="I54" t="str">
            <v>1391 58 071F</v>
          </cell>
          <cell r="J54" t="str">
            <v>DOOR INNER R/L</v>
          </cell>
          <cell r="K54" t="str">
            <v>금형</v>
          </cell>
          <cell r="M54">
            <v>1</v>
          </cell>
          <cell r="Y54" t="str">
            <v>주물</v>
          </cell>
          <cell r="Z54">
            <v>7.810922699999999</v>
          </cell>
          <cell r="AA54" t="str">
            <v>1590x1490x700</v>
          </cell>
          <cell r="AB54" t="str">
            <v>80-09-27</v>
          </cell>
          <cell r="AI54" t="str">
            <v>KMO 안산2공장</v>
          </cell>
        </row>
        <row r="55">
          <cell r="A55">
            <v>103</v>
          </cell>
          <cell r="E55" t="str">
            <v>기아모텍</v>
          </cell>
          <cell r="F55" t="str">
            <v>C</v>
          </cell>
          <cell r="G55" t="str">
            <v>P/BONGO</v>
          </cell>
          <cell r="I55" t="str">
            <v>1391 58 210</v>
          </cell>
          <cell r="J55" t="str">
            <v>HINGE ASSY A</v>
          </cell>
          <cell r="K55" t="str">
            <v>검사구</v>
          </cell>
          <cell r="M55">
            <v>1</v>
          </cell>
          <cell r="N55">
            <v>649800</v>
          </cell>
          <cell r="Y55" t="str">
            <v>수지</v>
          </cell>
          <cell r="Z55">
            <v>0</v>
          </cell>
          <cell r="AA55" t="str">
            <v>xx</v>
          </cell>
          <cell r="AB55" t="str">
            <v>85-02-09</v>
          </cell>
          <cell r="AG55" t="str">
            <v>KIMM</v>
          </cell>
          <cell r="AI55" t="str">
            <v>일석산업</v>
          </cell>
        </row>
        <row r="56">
          <cell r="A56">
            <v>104</v>
          </cell>
          <cell r="E56" t="str">
            <v>기아모텍</v>
          </cell>
          <cell r="F56" t="str">
            <v>C</v>
          </cell>
          <cell r="G56" t="str">
            <v>P/BONGO</v>
          </cell>
          <cell r="I56" t="str">
            <v>1391 58 240</v>
          </cell>
          <cell r="J56" t="str">
            <v>HINGE ASSY B</v>
          </cell>
          <cell r="K56" t="str">
            <v>검사구</v>
          </cell>
          <cell r="M56">
            <v>1</v>
          </cell>
          <cell r="N56">
            <v>558600</v>
          </cell>
          <cell r="Y56" t="str">
            <v>수지</v>
          </cell>
          <cell r="Z56">
            <v>0</v>
          </cell>
          <cell r="AA56" t="str">
            <v>xx</v>
          </cell>
          <cell r="AB56" t="str">
            <v>85-02-09</v>
          </cell>
          <cell r="AG56" t="str">
            <v>KIMM</v>
          </cell>
          <cell r="AI56" t="str">
            <v>일석산업</v>
          </cell>
        </row>
        <row r="57">
          <cell r="A57">
            <v>105</v>
          </cell>
          <cell r="E57" t="str">
            <v>기아모텍</v>
          </cell>
          <cell r="F57" t="str">
            <v>C1</v>
          </cell>
          <cell r="G57" t="str">
            <v>P/BONGO</v>
          </cell>
          <cell r="I57" t="str">
            <v>1391 70 111</v>
          </cell>
          <cell r="J57" t="str">
            <v>'B'-PILLER OUT LH</v>
          </cell>
          <cell r="K57" t="str">
            <v>금형</v>
          </cell>
          <cell r="L57" t="str">
            <v>BL,DR,TR,F,R</v>
          </cell>
          <cell r="M57">
            <v>5</v>
          </cell>
          <cell r="N57">
            <v>130000000</v>
          </cell>
          <cell r="Y57" t="str">
            <v>주물</v>
          </cell>
          <cell r="AA57" t="str">
            <v>xx</v>
          </cell>
          <cell r="AB57" t="str">
            <v>91-08-22</v>
          </cell>
          <cell r="AG57" t="str">
            <v>KIA</v>
          </cell>
          <cell r="AI57" t="str">
            <v>KMO 안산2공장</v>
          </cell>
        </row>
        <row r="58">
          <cell r="A58">
            <v>105.09999847412109</v>
          </cell>
          <cell r="E58" t="str">
            <v>기아모텍</v>
          </cell>
          <cell r="F58" t="str">
            <v>C1</v>
          </cell>
          <cell r="G58" t="str">
            <v>P/BONGO</v>
          </cell>
          <cell r="I58" t="str">
            <v>1391 70 111</v>
          </cell>
          <cell r="J58" t="str">
            <v>'B'-PILLER OUT LH</v>
          </cell>
          <cell r="K58" t="str">
            <v>금형</v>
          </cell>
          <cell r="L58" t="str">
            <v>BL</v>
          </cell>
          <cell r="M58">
            <v>1</v>
          </cell>
          <cell r="Y58" t="str">
            <v>주물</v>
          </cell>
          <cell r="Z58">
            <v>13.64958</v>
          </cell>
          <cell r="AA58" t="str">
            <v>2300x1400x900</v>
          </cell>
          <cell r="AB58" t="str">
            <v>91-08-22</v>
          </cell>
          <cell r="AG58" t="str">
            <v>KIA</v>
          </cell>
          <cell r="AI58" t="str">
            <v>KMO 안산2공장</v>
          </cell>
        </row>
        <row r="59">
          <cell r="A59">
            <v>105.19999694824219</v>
          </cell>
          <cell r="E59" t="str">
            <v>기아모텍</v>
          </cell>
          <cell r="F59" t="str">
            <v>C1</v>
          </cell>
          <cell r="G59" t="str">
            <v>P/BONGO</v>
          </cell>
          <cell r="I59" t="str">
            <v>1391 70 111</v>
          </cell>
          <cell r="J59" t="str">
            <v>'B'-PILLER OUT LH</v>
          </cell>
          <cell r="K59" t="str">
            <v>금형</v>
          </cell>
          <cell r="L59" t="str">
            <v>DR</v>
          </cell>
          <cell r="M59">
            <v>1</v>
          </cell>
          <cell r="Y59" t="str">
            <v>주물</v>
          </cell>
          <cell r="Z59">
            <v>13.64958</v>
          </cell>
          <cell r="AA59" t="str">
            <v>2300x1400x900</v>
          </cell>
          <cell r="AB59" t="str">
            <v>91-08-22</v>
          </cell>
          <cell r="AG59" t="str">
            <v>KIA</v>
          </cell>
          <cell r="AI59" t="str">
            <v>KMO 안산2공장</v>
          </cell>
        </row>
        <row r="60">
          <cell r="A60">
            <v>105.30000305175781</v>
          </cell>
          <cell r="E60" t="str">
            <v>기아모텍</v>
          </cell>
          <cell r="F60" t="str">
            <v>C1</v>
          </cell>
          <cell r="G60" t="str">
            <v>P/BONGO</v>
          </cell>
          <cell r="I60" t="str">
            <v>1391 70 111</v>
          </cell>
          <cell r="J60" t="str">
            <v>'B'-PILLER OUT LH</v>
          </cell>
          <cell r="K60" t="str">
            <v>금형</v>
          </cell>
          <cell r="L60" t="str">
            <v>TR</v>
          </cell>
          <cell r="M60">
            <v>1</v>
          </cell>
          <cell r="Y60" t="str">
            <v>주물</v>
          </cell>
          <cell r="Z60">
            <v>13.64958</v>
          </cell>
          <cell r="AA60" t="str">
            <v>2300x1400x900</v>
          </cell>
          <cell r="AB60" t="str">
            <v>91-08-22</v>
          </cell>
          <cell r="AG60" t="str">
            <v>KIA</v>
          </cell>
          <cell r="AI60" t="str">
            <v>KMO 안산2공장</v>
          </cell>
        </row>
        <row r="61">
          <cell r="A61">
            <v>105.40000152587891</v>
          </cell>
          <cell r="E61" t="str">
            <v>기아모텍</v>
          </cell>
          <cell r="F61" t="str">
            <v>C1</v>
          </cell>
          <cell r="G61" t="str">
            <v>P/BONGO</v>
          </cell>
          <cell r="I61" t="str">
            <v>1391 70 111</v>
          </cell>
          <cell r="J61" t="str">
            <v>'B'-PILLER OUT LH</v>
          </cell>
          <cell r="K61" t="str">
            <v>금형</v>
          </cell>
          <cell r="L61" t="str">
            <v>FL</v>
          </cell>
          <cell r="M61">
            <v>1</v>
          </cell>
          <cell r="Y61" t="str">
            <v>주물</v>
          </cell>
          <cell r="Z61">
            <v>13.64958</v>
          </cell>
          <cell r="AA61" t="str">
            <v>2300x1400x900</v>
          </cell>
          <cell r="AB61" t="str">
            <v>91-08-22</v>
          </cell>
          <cell r="AG61" t="str">
            <v>KIA</v>
          </cell>
          <cell r="AI61" t="str">
            <v>KMO 안산2공장</v>
          </cell>
        </row>
        <row r="62">
          <cell r="A62">
            <v>105.5</v>
          </cell>
          <cell r="E62" t="str">
            <v>기아모텍</v>
          </cell>
          <cell r="F62" t="str">
            <v>C1</v>
          </cell>
          <cell r="G62" t="str">
            <v>P/BONGO</v>
          </cell>
          <cell r="I62" t="str">
            <v>1391 70 111</v>
          </cell>
          <cell r="J62" t="str">
            <v>'B'-PILLER OUT LH</v>
          </cell>
          <cell r="K62" t="str">
            <v>금형</v>
          </cell>
          <cell r="L62" t="str">
            <v>RE</v>
          </cell>
          <cell r="M62">
            <v>1</v>
          </cell>
          <cell r="Y62" t="str">
            <v>주물</v>
          </cell>
          <cell r="Z62">
            <v>13.64958</v>
          </cell>
          <cell r="AA62" t="str">
            <v>2300x1400x900</v>
          </cell>
          <cell r="AB62" t="str">
            <v>91-08-22</v>
          </cell>
          <cell r="AG62" t="str">
            <v>KIA</v>
          </cell>
          <cell r="AI62" t="str">
            <v>KMO 안산2공장</v>
          </cell>
        </row>
        <row r="63">
          <cell r="A63">
            <v>106</v>
          </cell>
          <cell r="E63" t="str">
            <v>기아모텍</v>
          </cell>
          <cell r="F63" t="str">
            <v>C1</v>
          </cell>
          <cell r="G63" t="str">
            <v>P/BONGO</v>
          </cell>
          <cell r="I63" t="str">
            <v>1391 70 501</v>
          </cell>
          <cell r="J63" t="str">
            <v>BACK PANEL</v>
          </cell>
          <cell r="K63" t="str">
            <v>금형</v>
          </cell>
          <cell r="L63" t="str">
            <v>DR,TR,FL/RE</v>
          </cell>
          <cell r="M63">
            <v>3</v>
          </cell>
          <cell r="N63">
            <v>93000000</v>
          </cell>
          <cell r="Y63" t="str">
            <v>주물</v>
          </cell>
          <cell r="AA63" t="str">
            <v>xx</v>
          </cell>
          <cell r="AB63" t="str">
            <v>91-10-17</v>
          </cell>
          <cell r="AG63" t="str">
            <v>KIA</v>
          </cell>
          <cell r="AI63" t="str">
            <v>KMO 안산2공장</v>
          </cell>
        </row>
        <row r="64">
          <cell r="A64">
            <v>106.09999847412109</v>
          </cell>
          <cell r="E64" t="str">
            <v>기아모텍</v>
          </cell>
          <cell r="F64" t="str">
            <v>C1</v>
          </cell>
          <cell r="G64" t="str">
            <v>P/BONGO</v>
          </cell>
          <cell r="I64" t="str">
            <v>1391 70 501</v>
          </cell>
          <cell r="J64" t="str">
            <v>BACK PANEL</v>
          </cell>
          <cell r="K64" t="str">
            <v>금형</v>
          </cell>
          <cell r="L64" t="str">
            <v>DR</v>
          </cell>
          <cell r="M64">
            <v>1</v>
          </cell>
          <cell r="N64">
            <v>31000000</v>
          </cell>
          <cell r="Y64" t="str">
            <v>주물</v>
          </cell>
          <cell r="AA64" t="str">
            <v>xx</v>
          </cell>
          <cell r="AB64" t="str">
            <v>91-10-17</v>
          </cell>
          <cell r="AG64" t="str">
            <v>KIA</v>
          </cell>
          <cell r="AI64" t="str">
            <v>KMO 안산2공장</v>
          </cell>
        </row>
        <row r="65">
          <cell r="A65">
            <v>106.19999694824219</v>
          </cell>
          <cell r="E65" t="str">
            <v>기아모텍</v>
          </cell>
          <cell r="F65" t="str">
            <v>C1</v>
          </cell>
          <cell r="G65" t="str">
            <v>P/BONGO</v>
          </cell>
          <cell r="I65" t="str">
            <v>1391 70 501</v>
          </cell>
          <cell r="J65" t="str">
            <v>BACK PANEL</v>
          </cell>
          <cell r="K65" t="str">
            <v>금형</v>
          </cell>
          <cell r="L65" t="str">
            <v>TR</v>
          </cell>
          <cell r="M65">
            <v>1</v>
          </cell>
          <cell r="N65">
            <v>31000000</v>
          </cell>
          <cell r="Y65" t="str">
            <v>주물</v>
          </cell>
          <cell r="AA65" t="str">
            <v>xx</v>
          </cell>
          <cell r="AB65" t="str">
            <v>91-10-17</v>
          </cell>
          <cell r="AG65" t="str">
            <v>KIA</v>
          </cell>
          <cell r="AI65" t="str">
            <v>KMO 안산2공장</v>
          </cell>
        </row>
        <row r="66">
          <cell r="A66">
            <v>106.30000305175781</v>
          </cell>
          <cell r="E66" t="str">
            <v>기아모텍</v>
          </cell>
          <cell r="F66" t="str">
            <v>C1</v>
          </cell>
          <cell r="G66" t="str">
            <v>P/BONGO</v>
          </cell>
          <cell r="I66" t="str">
            <v>1391 70 501</v>
          </cell>
          <cell r="J66" t="str">
            <v>BACK PANEL</v>
          </cell>
          <cell r="K66" t="str">
            <v>금형</v>
          </cell>
          <cell r="L66" t="str">
            <v>FL/RE</v>
          </cell>
          <cell r="M66">
            <v>1</v>
          </cell>
          <cell r="N66">
            <v>31000000</v>
          </cell>
          <cell r="Y66" t="str">
            <v>주물</v>
          </cell>
          <cell r="AA66" t="str">
            <v>xx</v>
          </cell>
          <cell r="AB66" t="str">
            <v>91-10-17</v>
          </cell>
          <cell r="AG66" t="str">
            <v>KIA</v>
          </cell>
          <cell r="AI66" t="str">
            <v>KMO 안산2공장</v>
          </cell>
        </row>
        <row r="67">
          <cell r="A67">
            <v>107</v>
          </cell>
          <cell r="E67" t="str">
            <v>기아모텍</v>
          </cell>
          <cell r="F67" t="str">
            <v>C1</v>
          </cell>
          <cell r="G67" t="str">
            <v>P/BONGO</v>
          </cell>
          <cell r="I67" t="str">
            <v>1391 70/71 181</v>
          </cell>
          <cell r="J67" t="str">
            <v>FRT SIDE SILL OUT R/L</v>
          </cell>
          <cell r="K67" t="str">
            <v>금형</v>
          </cell>
          <cell r="L67" t="str">
            <v>C/DR,TR/FL,S</v>
          </cell>
          <cell r="M67">
            <v>3</v>
          </cell>
          <cell r="N67">
            <v>65000000</v>
          </cell>
          <cell r="Y67" t="str">
            <v>주물</v>
          </cell>
          <cell r="AA67" t="str">
            <v>xx</v>
          </cell>
          <cell r="AB67" t="str">
            <v>91-10-17</v>
          </cell>
          <cell r="AG67" t="str">
            <v>KIA</v>
          </cell>
          <cell r="AI67" t="str">
            <v>KMO 안산2공장</v>
          </cell>
        </row>
        <row r="68">
          <cell r="A68">
            <v>108</v>
          </cell>
          <cell r="E68" t="str">
            <v>기아모텍</v>
          </cell>
          <cell r="F68" t="str">
            <v>C1</v>
          </cell>
          <cell r="G68" t="str">
            <v>P/BONGO</v>
          </cell>
          <cell r="I68" t="str">
            <v>1391 71 111</v>
          </cell>
          <cell r="J68" t="str">
            <v>'B'-PILLER OUT RH</v>
          </cell>
          <cell r="K68" t="str">
            <v>금형</v>
          </cell>
          <cell r="L68" t="str">
            <v>DR,TR,FL,RE</v>
          </cell>
          <cell r="M68">
            <v>4</v>
          </cell>
          <cell r="N68">
            <v>104000000</v>
          </cell>
          <cell r="Y68" t="str">
            <v>주물</v>
          </cell>
          <cell r="AA68" t="str">
            <v>xx</v>
          </cell>
          <cell r="AB68" t="str">
            <v>91-08-22</v>
          </cell>
          <cell r="AG68" t="str">
            <v>KIA</v>
          </cell>
          <cell r="AI68" t="str">
            <v>KMO 안산2공장</v>
          </cell>
        </row>
        <row r="69">
          <cell r="A69">
            <v>108.09999847412109</v>
          </cell>
          <cell r="E69" t="str">
            <v>기아모텍</v>
          </cell>
          <cell r="F69" t="str">
            <v>C1</v>
          </cell>
          <cell r="G69" t="str">
            <v>P/BONGO</v>
          </cell>
          <cell r="I69" t="str">
            <v>1391 71 111</v>
          </cell>
          <cell r="J69" t="str">
            <v>'B'-PILLER OUT RH</v>
          </cell>
          <cell r="K69" t="str">
            <v>금형</v>
          </cell>
          <cell r="L69" t="str">
            <v>DR</v>
          </cell>
          <cell r="M69">
            <v>1</v>
          </cell>
          <cell r="Y69" t="str">
            <v>주물</v>
          </cell>
          <cell r="Z69">
            <v>13.64958</v>
          </cell>
          <cell r="AA69" t="str">
            <v>2300x1400x900</v>
          </cell>
          <cell r="AB69" t="str">
            <v>91-08-22</v>
          </cell>
          <cell r="AG69" t="str">
            <v>KIA</v>
          </cell>
          <cell r="AI69" t="str">
            <v>KMO 안산2공장</v>
          </cell>
        </row>
        <row r="70">
          <cell r="A70">
            <v>108.19999694824219</v>
          </cell>
          <cell r="E70" t="str">
            <v>기아모텍</v>
          </cell>
          <cell r="F70" t="str">
            <v>C1</v>
          </cell>
          <cell r="G70" t="str">
            <v>P/BONGO</v>
          </cell>
          <cell r="I70" t="str">
            <v>1391 71 111</v>
          </cell>
          <cell r="J70" t="str">
            <v>'B'-PILLER OUT RH</v>
          </cell>
          <cell r="K70" t="str">
            <v>금형</v>
          </cell>
          <cell r="L70" t="str">
            <v>TR</v>
          </cell>
          <cell r="M70">
            <v>1</v>
          </cell>
          <cell r="Y70" t="str">
            <v>주물</v>
          </cell>
          <cell r="Z70">
            <v>13.64958</v>
          </cell>
          <cell r="AA70" t="str">
            <v>2300x1400x900</v>
          </cell>
          <cell r="AB70" t="str">
            <v>91-08-22</v>
          </cell>
          <cell r="AG70" t="str">
            <v>KIA</v>
          </cell>
          <cell r="AI70" t="str">
            <v>KMO 안산2공장</v>
          </cell>
        </row>
        <row r="71">
          <cell r="A71">
            <v>108.30000305175781</v>
          </cell>
          <cell r="E71" t="str">
            <v>기아모텍</v>
          </cell>
          <cell r="F71" t="str">
            <v>C1</v>
          </cell>
          <cell r="G71" t="str">
            <v>P/BONGO</v>
          </cell>
          <cell r="I71" t="str">
            <v>1391 71 111</v>
          </cell>
          <cell r="J71" t="str">
            <v>'B'-PILLER OUT RH</v>
          </cell>
          <cell r="K71" t="str">
            <v>금형</v>
          </cell>
          <cell r="L71" t="str">
            <v>FL</v>
          </cell>
          <cell r="M71">
            <v>1</v>
          </cell>
          <cell r="Y71" t="str">
            <v>주물</v>
          </cell>
          <cell r="Z71">
            <v>13.64958</v>
          </cell>
          <cell r="AA71" t="str">
            <v>2300x1400x900</v>
          </cell>
          <cell r="AB71" t="str">
            <v>91-08-22</v>
          </cell>
          <cell r="AG71" t="str">
            <v>KIA</v>
          </cell>
          <cell r="AI71" t="str">
            <v>KMO 안산2공장</v>
          </cell>
        </row>
        <row r="72">
          <cell r="A72">
            <v>108.40000152587891</v>
          </cell>
          <cell r="E72" t="str">
            <v>기아모텍</v>
          </cell>
          <cell r="F72" t="str">
            <v>C1</v>
          </cell>
          <cell r="G72" t="str">
            <v>P/BONGO</v>
          </cell>
          <cell r="I72" t="str">
            <v>1391 71 111</v>
          </cell>
          <cell r="J72" t="str">
            <v>'B'-PILLER OUT RH</v>
          </cell>
          <cell r="K72" t="str">
            <v>금형</v>
          </cell>
          <cell r="L72" t="str">
            <v>RE</v>
          </cell>
          <cell r="M72">
            <v>1</v>
          </cell>
          <cell r="Y72" t="str">
            <v>주물</v>
          </cell>
          <cell r="Z72">
            <v>13.64958</v>
          </cell>
          <cell r="AA72" t="str">
            <v>2300x1400x900</v>
          </cell>
          <cell r="AB72" t="str">
            <v>91-08-22</v>
          </cell>
          <cell r="AG72" t="str">
            <v>KIA</v>
          </cell>
          <cell r="AI72" t="str">
            <v>KMO 안산2공장</v>
          </cell>
        </row>
        <row r="73">
          <cell r="A73">
            <v>109</v>
          </cell>
          <cell r="E73" t="str">
            <v>기아모텍</v>
          </cell>
          <cell r="F73" t="str">
            <v>C4</v>
          </cell>
          <cell r="G73" t="str">
            <v>E/G HA (E-3000)</v>
          </cell>
          <cell r="I73" t="str">
            <v>1816 53/54 622</v>
          </cell>
          <cell r="J73" t="str">
            <v>FRT PILLAR IN UPPER R/L</v>
          </cell>
          <cell r="K73" t="str">
            <v>금형</v>
          </cell>
          <cell r="L73" t="str">
            <v>FO,TR/PI,TR/</v>
          </cell>
          <cell r="M73">
            <v>6</v>
          </cell>
          <cell r="N73">
            <v>17781000</v>
          </cell>
          <cell r="Z73">
            <v>0</v>
          </cell>
          <cell r="AA73" t="str">
            <v>xx</v>
          </cell>
          <cell r="AB73" t="str">
            <v>81-07-30</v>
          </cell>
          <cell r="AK73" t="str">
            <v>확인 불가</v>
          </cell>
        </row>
        <row r="74">
          <cell r="A74">
            <v>110</v>
          </cell>
          <cell r="E74" t="str">
            <v>기아모텍</v>
          </cell>
          <cell r="F74" t="str">
            <v>C4</v>
          </cell>
          <cell r="G74" t="str">
            <v>E/G E-2500/3000</v>
          </cell>
          <cell r="I74" t="str">
            <v>1816 53/54 751</v>
          </cell>
          <cell r="J74" t="str">
            <v>Rr PILLAR IN R/L</v>
          </cell>
          <cell r="K74" t="str">
            <v>금형</v>
          </cell>
          <cell r="L74" t="str">
            <v>B/P,FO/P,P,B</v>
          </cell>
          <cell r="M74">
            <v>6</v>
          </cell>
          <cell r="N74">
            <v>44781650</v>
          </cell>
          <cell r="Z74">
            <v>0</v>
          </cell>
          <cell r="AA74" t="str">
            <v>xx</v>
          </cell>
          <cell r="AB74" t="str">
            <v>83-08-31</v>
          </cell>
          <cell r="AK74" t="str">
            <v>금성공업에서 타업체로 이관</v>
          </cell>
        </row>
        <row r="75">
          <cell r="A75">
            <v>111</v>
          </cell>
          <cell r="E75" t="str">
            <v>기아모텍</v>
          </cell>
          <cell r="F75" t="str">
            <v>A</v>
          </cell>
          <cell r="G75" t="str">
            <v>전차종</v>
          </cell>
          <cell r="H75" t="str">
            <v>031009080020</v>
          </cell>
          <cell r="I75" t="str">
            <v>200KVA</v>
          </cell>
          <cell r="J75" t="str">
            <v>PROJECTION 용접기</v>
          </cell>
          <cell r="K75" t="str">
            <v>설비</v>
          </cell>
          <cell r="L75" t="str">
            <v>200KVA</v>
          </cell>
          <cell r="M75">
            <v>1</v>
          </cell>
          <cell r="N75">
            <v>5999143</v>
          </cell>
          <cell r="Z75">
            <v>0</v>
          </cell>
          <cell r="AA75" t="str">
            <v>xx</v>
          </cell>
          <cell r="AB75" t="str">
            <v>860909</v>
          </cell>
          <cell r="AI75" t="str">
            <v>KMC</v>
          </cell>
          <cell r="AK75" t="str">
            <v>KMC 이관</v>
          </cell>
        </row>
        <row r="76">
          <cell r="A76">
            <v>112</v>
          </cell>
          <cell r="E76" t="str">
            <v>기아모텍</v>
          </cell>
          <cell r="F76" t="str">
            <v>C1</v>
          </cell>
          <cell r="G76" t="str">
            <v>E/G E-2500/3000</v>
          </cell>
          <cell r="H76" t="str">
            <v>041102070012</v>
          </cell>
          <cell r="I76" t="str">
            <v>3304 10 401</v>
          </cell>
          <cell r="J76" t="str">
            <v>OIL PAN</v>
          </cell>
          <cell r="K76" t="str">
            <v>금형</v>
          </cell>
          <cell r="M76">
            <v>7</v>
          </cell>
          <cell r="N76">
            <v>95520462</v>
          </cell>
          <cell r="Z76">
            <v>0</v>
          </cell>
          <cell r="AA76" t="str">
            <v>xx</v>
          </cell>
          <cell r="AB76" t="str">
            <v>82-01-31</v>
          </cell>
          <cell r="AK76" t="str">
            <v>당사품이 아님</v>
          </cell>
        </row>
        <row r="77">
          <cell r="A77">
            <v>113</v>
          </cell>
          <cell r="E77" t="str">
            <v>기아모텍</v>
          </cell>
          <cell r="F77" t="str">
            <v>C4</v>
          </cell>
          <cell r="G77" t="str">
            <v>BESTA MMO</v>
          </cell>
          <cell r="I77" t="str">
            <v>8850 70/71 041</v>
          </cell>
          <cell r="J77" t="str">
            <v>'A'-PILLER IN LWR R/L</v>
          </cell>
          <cell r="K77" t="str">
            <v>금형</v>
          </cell>
          <cell r="L77" t="str">
            <v>DR,TR,SEP,FL</v>
          </cell>
          <cell r="M77">
            <v>4</v>
          </cell>
          <cell r="N77">
            <v>45000000</v>
          </cell>
          <cell r="Z77">
            <v>0</v>
          </cell>
          <cell r="AA77" t="str">
            <v>xx</v>
          </cell>
          <cell r="AB77" t="str">
            <v>91-08-22</v>
          </cell>
          <cell r="AG77" t="str">
            <v>KIA</v>
          </cell>
          <cell r="AK77" t="str">
            <v>금성공업 이관시 분실</v>
          </cell>
        </row>
        <row r="78">
          <cell r="A78">
            <v>114</v>
          </cell>
          <cell r="E78" t="str">
            <v>기아모텍</v>
          </cell>
          <cell r="F78" t="str">
            <v>B</v>
          </cell>
          <cell r="G78" t="str">
            <v>PRIDE</v>
          </cell>
          <cell r="H78" t="str">
            <v>041102010538</v>
          </cell>
          <cell r="I78" t="str">
            <v>B301 10 401</v>
          </cell>
          <cell r="J78" t="str">
            <v>OIL PAN</v>
          </cell>
          <cell r="K78" t="str">
            <v>금형</v>
          </cell>
          <cell r="L78" t="str">
            <v>1/8-8/8</v>
          </cell>
          <cell r="M78">
            <v>8</v>
          </cell>
          <cell r="N78">
            <v>229826107</v>
          </cell>
          <cell r="Y78" t="str">
            <v>주물</v>
          </cell>
          <cell r="AA78" t="str">
            <v>xx</v>
          </cell>
          <cell r="AB78" t="str">
            <v>90-05-31</v>
          </cell>
          <cell r="AG78" t="str">
            <v>서해공업㈜ 반　</v>
          </cell>
          <cell r="AI78" t="str">
            <v>영재정공</v>
          </cell>
        </row>
        <row r="79">
          <cell r="A79">
            <v>114.09999847412109</v>
          </cell>
          <cell r="E79" t="str">
            <v>기아모텍</v>
          </cell>
          <cell r="F79" t="str">
            <v>B</v>
          </cell>
          <cell r="G79" t="str">
            <v>PRIDE</v>
          </cell>
          <cell r="H79" t="str">
            <v>041102010538</v>
          </cell>
          <cell r="I79" t="str">
            <v>B301 10 401</v>
          </cell>
          <cell r="J79" t="str">
            <v>OIL PAN</v>
          </cell>
          <cell r="K79" t="str">
            <v>금형</v>
          </cell>
          <cell r="L79" t="str">
            <v>1ST DR</v>
          </cell>
          <cell r="M79">
            <v>1</v>
          </cell>
          <cell r="Y79" t="str">
            <v>주물</v>
          </cell>
          <cell r="Z79">
            <v>2.1635855999999998</v>
          </cell>
          <cell r="AA79" t="str">
            <v>1100x580x720</v>
          </cell>
          <cell r="AB79" t="str">
            <v>90-05-31</v>
          </cell>
          <cell r="AG79" t="str">
            <v>서해공업㈜ 반　</v>
          </cell>
          <cell r="AI79" t="str">
            <v>영재정공</v>
          </cell>
        </row>
        <row r="80">
          <cell r="A80">
            <v>114.19999694824219</v>
          </cell>
          <cell r="E80" t="str">
            <v>기아모텍</v>
          </cell>
          <cell r="F80" t="str">
            <v>B</v>
          </cell>
          <cell r="G80" t="str">
            <v>PRIDE</v>
          </cell>
          <cell r="H80" t="str">
            <v>041102010538</v>
          </cell>
          <cell r="I80" t="str">
            <v>B301 10 401</v>
          </cell>
          <cell r="J80" t="str">
            <v>OIL PAN</v>
          </cell>
          <cell r="K80" t="str">
            <v>금형</v>
          </cell>
          <cell r="L80" t="str">
            <v>2ND DR</v>
          </cell>
          <cell r="M80">
            <v>1</v>
          </cell>
          <cell r="Y80" t="str">
            <v>주물</v>
          </cell>
          <cell r="Z80">
            <v>2.1635855999999998</v>
          </cell>
          <cell r="AA80" t="str">
            <v>1100x580x720</v>
          </cell>
          <cell r="AB80" t="str">
            <v>90-05-31</v>
          </cell>
          <cell r="AG80" t="str">
            <v>서해공업㈜ 반　</v>
          </cell>
          <cell r="AI80" t="str">
            <v>영재정공</v>
          </cell>
        </row>
        <row r="81">
          <cell r="A81">
            <v>114.30000305175781</v>
          </cell>
          <cell r="E81" t="str">
            <v>기아모텍</v>
          </cell>
          <cell r="F81" t="str">
            <v>B</v>
          </cell>
          <cell r="G81" t="str">
            <v>PRIDE</v>
          </cell>
          <cell r="H81" t="str">
            <v>041102010538</v>
          </cell>
          <cell r="I81" t="str">
            <v>B301 10 401</v>
          </cell>
          <cell r="J81" t="str">
            <v>OIL PAN</v>
          </cell>
          <cell r="K81" t="str">
            <v>금형</v>
          </cell>
          <cell r="L81" t="str">
            <v>FL &amp; PI</v>
          </cell>
          <cell r="M81">
            <v>1</v>
          </cell>
          <cell r="Y81" t="str">
            <v>주물</v>
          </cell>
          <cell r="Z81">
            <v>2.1635855999999998</v>
          </cell>
          <cell r="AA81" t="str">
            <v>1100x580x720</v>
          </cell>
          <cell r="AB81" t="str">
            <v>90-05-31</v>
          </cell>
          <cell r="AG81" t="str">
            <v>서해공업㈜ 반　</v>
          </cell>
          <cell r="AI81" t="str">
            <v>영재정공</v>
          </cell>
        </row>
        <row r="82">
          <cell r="A82">
            <v>114.40000152587891</v>
          </cell>
          <cell r="E82" t="str">
            <v>기아모텍</v>
          </cell>
          <cell r="F82" t="str">
            <v>B</v>
          </cell>
          <cell r="G82" t="str">
            <v>PRIDE</v>
          </cell>
          <cell r="H82" t="str">
            <v>041102010538</v>
          </cell>
          <cell r="I82" t="str">
            <v>B301 10 401</v>
          </cell>
          <cell r="J82" t="str">
            <v>OIL PAN</v>
          </cell>
          <cell r="K82" t="str">
            <v>금형</v>
          </cell>
          <cell r="L82" t="str">
            <v>REST</v>
          </cell>
          <cell r="M82">
            <v>1</v>
          </cell>
          <cell r="Y82" t="str">
            <v>주물</v>
          </cell>
          <cell r="Z82">
            <v>2.1635855999999998</v>
          </cell>
          <cell r="AA82" t="str">
            <v>1100x580x720</v>
          </cell>
          <cell r="AB82" t="str">
            <v>90-05-31</v>
          </cell>
          <cell r="AG82" t="str">
            <v>서해공업㈜ 반　</v>
          </cell>
          <cell r="AI82" t="str">
            <v>영재정공</v>
          </cell>
        </row>
        <row r="83">
          <cell r="A83">
            <v>114.5</v>
          </cell>
          <cell r="E83" t="str">
            <v>기아모텍</v>
          </cell>
          <cell r="F83" t="str">
            <v>B</v>
          </cell>
          <cell r="G83" t="str">
            <v>PRIDE</v>
          </cell>
          <cell r="H83" t="str">
            <v>041102010538</v>
          </cell>
          <cell r="I83" t="str">
            <v>B301 10 401</v>
          </cell>
          <cell r="J83" t="str">
            <v>OIL PAN</v>
          </cell>
          <cell r="K83" t="str">
            <v>금형</v>
          </cell>
          <cell r="L83" t="str">
            <v>TR &amp; FL</v>
          </cell>
          <cell r="M83">
            <v>1</v>
          </cell>
          <cell r="Y83" t="str">
            <v>주물</v>
          </cell>
          <cell r="Z83">
            <v>2.1635855999999998</v>
          </cell>
          <cell r="AA83" t="str">
            <v>1100x580x720</v>
          </cell>
          <cell r="AB83" t="str">
            <v>90-05-31</v>
          </cell>
          <cell r="AG83" t="str">
            <v>서해공업㈜ 반　</v>
          </cell>
          <cell r="AI83" t="str">
            <v>영재정공</v>
          </cell>
        </row>
        <row r="84">
          <cell r="A84">
            <v>114.59999847412109</v>
          </cell>
          <cell r="E84" t="str">
            <v>기아모텍</v>
          </cell>
          <cell r="F84" t="str">
            <v>B</v>
          </cell>
          <cell r="G84" t="str">
            <v>PRIDE</v>
          </cell>
          <cell r="H84" t="str">
            <v>041102010538</v>
          </cell>
          <cell r="I84" t="str">
            <v>B301 10 401</v>
          </cell>
          <cell r="J84" t="str">
            <v>OIL PAN</v>
          </cell>
          <cell r="K84" t="str">
            <v>금형</v>
          </cell>
          <cell r="L84" t="str">
            <v>FL &amp; EMBO</v>
          </cell>
          <cell r="M84">
            <v>1</v>
          </cell>
          <cell r="Y84" t="str">
            <v>주물</v>
          </cell>
          <cell r="Z84">
            <v>2.1635855999999998</v>
          </cell>
          <cell r="AA84" t="str">
            <v>1100x580x720</v>
          </cell>
          <cell r="AB84" t="str">
            <v>90-05-31</v>
          </cell>
          <cell r="AG84" t="str">
            <v>서해공업㈜ 반　</v>
          </cell>
          <cell r="AI84" t="str">
            <v>영재정공</v>
          </cell>
        </row>
        <row r="85">
          <cell r="A85">
            <v>114.69999694824219</v>
          </cell>
          <cell r="E85" t="str">
            <v>기아모텍</v>
          </cell>
          <cell r="F85" t="str">
            <v>B</v>
          </cell>
          <cell r="G85" t="str">
            <v>PRIDE</v>
          </cell>
          <cell r="H85" t="str">
            <v>041102010538</v>
          </cell>
          <cell r="I85" t="str">
            <v>B301 10 401</v>
          </cell>
          <cell r="J85" t="str">
            <v>OIL PAN</v>
          </cell>
          <cell r="K85" t="str">
            <v>금형</v>
          </cell>
          <cell r="L85" t="str">
            <v>PI</v>
          </cell>
          <cell r="M85">
            <v>1</v>
          </cell>
          <cell r="Y85" t="str">
            <v>주물</v>
          </cell>
          <cell r="Z85">
            <v>2.1635855999999998</v>
          </cell>
          <cell r="AA85" t="str">
            <v>1100x580x720</v>
          </cell>
          <cell r="AB85" t="str">
            <v>90-05-31</v>
          </cell>
          <cell r="AG85" t="str">
            <v>서해공업㈜ 반　</v>
          </cell>
          <cell r="AI85" t="str">
            <v>영재정공</v>
          </cell>
        </row>
        <row r="86">
          <cell r="A86">
            <v>114.80000305175781</v>
          </cell>
          <cell r="E86" t="str">
            <v>기아모텍</v>
          </cell>
          <cell r="F86" t="str">
            <v>B</v>
          </cell>
          <cell r="G86" t="str">
            <v>PRIDE</v>
          </cell>
          <cell r="H86" t="str">
            <v>041102010538</v>
          </cell>
          <cell r="I86" t="str">
            <v>B301 10 401</v>
          </cell>
          <cell r="J86" t="str">
            <v>OIL PAN</v>
          </cell>
          <cell r="K86" t="str">
            <v>금형</v>
          </cell>
          <cell r="L86" t="str">
            <v>C/PI</v>
          </cell>
          <cell r="M86">
            <v>1</v>
          </cell>
          <cell r="Y86" t="str">
            <v>주물</v>
          </cell>
          <cell r="Z86">
            <v>2.1635855999999998</v>
          </cell>
          <cell r="AA86" t="str">
            <v>1100x580x720</v>
          </cell>
          <cell r="AB86" t="str">
            <v>90-05-31</v>
          </cell>
          <cell r="AG86" t="str">
            <v>서해공업㈜ 반　</v>
          </cell>
          <cell r="AI86" t="str">
            <v>영재정공</v>
          </cell>
        </row>
        <row r="87">
          <cell r="A87">
            <v>115</v>
          </cell>
          <cell r="E87" t="str">
            <v>기아모텍</v>
          </cell>
          <cell r="F87" t="str">
            <v>A</v>
          </cell>
          <cell r="G87" t="str">
            <v>PRIDE</v>
          </cell>
          <cell r="H87" t="str">
            <v>044101013906</v>
          </cell>
          <cell r="I87" t="str">
            <v>B301 10 401</v>
          </cell>
          <cell r="J87" t="str">
            <v>OIL PAN</v>
          </cell>
          <cell r="K87" t="str">
            <v>검사구</v>
          </cell>
          <cell r="M87">
            <v>1</v>
          </cell>
          <cell r="N87">
            <v>2800000</v>
          </cell>
          <cell r="Y87" t="str">
            <v>수지</v>
          </cell>
          <cell r="Z87">
            <v>3.6172800000000005E-2</v>
          </cell>
          <cell r="AA87" t="str">
            <v>600x320x120</v>
          </cell>
          <cell r="AB87" t="str">
            <v>88-06-30</v>
          </cell>
          <cell r="AG87" t="str">
            <v>영광정밀</v>
          </cell>
          <cell r="AI87" t="str">
            <v>영재정공</v>
          </cell>
        </row>
        <row r="88">
          <cell r="A88">
            <v>116</v>
          </cell>
          <cell r="E88" t="str">
            <v>기아모텍</v>
          </cell>
          <cell r="F88" t="str">
            <v>A</v>
          </cell>
          <cell r="G88" t="str">
            <v>AVELLA</v>
          </cell>
          <cell r="H88" t="str">
            <v>041103114071</v>
          </cell>
          <cell r="I88" t="str">
            <v>B3H7 10 401</v>
          </cell>
          <cell r="J88" t="str">
            <v>OIL PAN</v>
          </cell>
          <cell r="K88" t="str">
            <v>금형</v>
          </cell>
          <cell r="L88" t="str">
            <v>6.FL/EMBO</v>
          </cell>
          <cell r="M88">
            <v>1</v>
          </cell>
          <cell r="N88">
            <v>9790000</v>
          </cell>
          <cell r="Y88" t="str">
            <v>주물</v>
          </cell>
          <cell r="Z88">
            <v>2.9506831199999999</v>
          </cell>
          <cell r="AA88" t="str">
            <v>1130x770x720</v>
          </cell>
          <cell r="AB88" t="str">
            <v>93-3</v>
          </cell>
          <cell r="AG88" t="str">
            <v>서해공업㈜ 반　</v>
          </cell>
          <cell r="AI88" t="str">
            <v>영재정공</v>
          </cell>
        </row>
        <row r="89">
          <cell r="A89">
            <v>117</v>
          </cell>
          <cell r="E89" t="str">
            <v>기아모텍</v>
          </cell>
          <cell r="F89" t="str">
            <v>A</v>
          </cell>
          <cell r="G89" t="str">
            <v>AVELLA</v>
          </cell>
          <cell r="H89" t="str">
            <v>041103114071</v>
          </cell>
          <cell r="I89" t="str">
            <v>B3H7 10 401</v>
          </cell>
          <cell r="J89" t="str">
            <v>OIL PAN</v>
          </cell>
          <cell r="K89" t="str">
            <v>금형</v>
          </cell>
          <cell r="L89" t="str">
            <v>5.TRIM</v>
          </cell>
          <cell r="M89">
            <v>1</v>
          </cell>
          <cell r="N89">
            <v>10438000</v>
          </cell>
          <cell r="Y89" t="str">
            <v>주물</v>
          </cell>
          <cell r="Z89">
            <v>2.6804044799999995</v>
          </cell>
          <cell r="AA89" t="str">
            <v>1040x760x720</v>
          </cell>
          <cell r="AB89" t="str">
            <v>93-3</v>
          </cell>
          <cell r="AG89" t="str">
            <v>서해공업㈜ 반　</v>
          </cell>
          <cell r="AI89" t="str">
            <v>영재정공</v>
          </cell>
        </row>
        <row r="90">
          <cell r="A90">
            <v>118</v>
          </cell>
          <cell r="E90" t="str">
            <v>기아모텍</v>
          </cell>
          <cell r="F90" t="str">
            <v>A</v>
          </cell>
          <cell r="G90" t="str">
            <v>AVELLA</v>
          </cell>
          <cell r="H90" t="str">
            <v>041103114071</v>
          </cell>
          <cell r="I90" t="str">
            <v>B3H7 10 401</v>
          </cell>
          <cell r="J90" t="str">
            <v>OIL PAN</v>
          </cell>
          <cell r="K90" t="str">
            <v>금형</v>
          </cell>
          <cell r="L90" t="str">
            <v>7.PI/C-PI</v>
          </cell>
          <cell r="M90">
            <v>1</v>
          </cell>
          <cell r="N90">
            <v>10480000</v>
          </cell>
          <cell r="Y90" t="str">
            <v>주물</v>
          </cell>
          <cell r="Z90">
            <v>2.8085918399999996</v>
          </cell>
          <cell r="AA90" t="str">
            <v>1010x820x720</v>
          </cell>
          <cell r="AB90" t="str">
            <v>93-3</v>
          </cell>
          <cell r="AG90" t="str">
            <v>서해공업㈜ 반　</v>
          </cell>
          <cell r="AI90" t="str">
            <v>영재정공</v>
          </cell>
        </row>
        <row r="91">
          <cell r="A91">
            <v>119</v>
          </cell>
          <cell r="E91" t="str">
            <v>기아모텍</v>
          </cell>
          <cell r="F91" t="str">
            <v>A</v>
          </cell>
          <cell r="G91" t="str">
            <v>AVELLA</v>
          </cell>
          <cell r="H91" t="str">
            <v>041103114071</v>
          </cell>
          <cell r="I91" t="str">
            <v>B3H7 10 401</v>
          </cell>
          <cell r="J91" t="str">
            <v>OIL PAN</v>
          </cell>
          <cell r="K91" t="str">
            <v>금형</v>
          </cell>
          <cell r="L91" t="str">
            <v>4.REST</v>
          </cell>
          <cell r="M91">
            <v>1</v>
          </cell>
          <cell r="N91">
            <v>13291000</v>
          </cell>
          <cell r="Y91" t="str">
            <v>주물</v>
          </cell>
          <cell r="Z91">
            <v>2.36298816</v>
          </cell>
          <cell r="AA91" t="str">
            <v>1040x670x720</v>
          </cell>
          <cell r="AB91" t="str">
            <v>93-3</v>
          </cell>
          <cell r="AG91" t="str">
            <v>서해공업㈜ 반　</v>
          </cell>
          <cell r="AI91" t="str">
            <v>영재정공</v>
          </cell>
        </row>
        <row r="92">
          <cell r="A92">
            <v>120</v>
          </cell>
          <cell r="E92" t="str">
            <v>기아모텍</v>
          </cell>
          <cell r="F92" t="str">
            <v>A</v>
          </cell>
          <cell r="G92" t="str">
            <v>AVELLA</v>
          </cell>
          <cell r="H92" t="str">
            <v>041103114071</v>
          </cell>
          <cell r="I92" t="str">
            <v>B3H7 10 401</v>
          </cell>
          <cell r="J92" t="str">
            <v>OIL PAN</v>
          </cell>
          <cell r="K92" t="str">
            <v>금형</v>
          </cell>
          <cell r="L92" t="str">
            <v>3.3rd DR</v>
          </cell>
          <cell r="M92">
            <v>1</v>
          </cell>
          <cell r="N92">
            <v>15923000</v>
          </cell>
          <cell r="Y92" t="str">
            <v>주물</v>
          </cell>
          <cell r="Z92">
            <v>3.1782326399999996</v>
          </cell>
          <cell r="AA92" t="str">
            <v>1320x710x720</v>
          </cell>
          <cell r="AB92" t="str">
            <v>93-3</v>
          </cell>
          <cell r="AG92" t="str">
            <v>서해공업㈜ 반　</v>
          </cell>
          <cell r="AI92" t="str">
            <v>영재정공</v>
          </cell>
        </row>
        <row r="93">
          <cell r="A93">
            <v>121</v>
          </cell>
          <cell r="E93" t="str">
            <v>기아모텍</v>
          </cell>
          <cell r="F93" t="str">
            <v>A</v>
          </cell>
          <cell r="G93" t="str">
            <v>AVELLA</v>
          </cell>
          <cell r="H93" t="str">
            <v>041103114071</v>
          </cell>
          <cell r="I93" t="str">
            <v>B3H7 10 401</v>
          </cell>
          <cell r="J93" t="str">
            <v>OIL PAN</v>
          </cell>
          <cell r="K93" t="str">
            <v>금형</v>
          </cell>
          <cell r="L93" t="str">
            <v>2.2nd DR</v>
          </cell>
          <cell r="M93">
            <v>1</v>
          </cell>
          <cell r="N93">
            <v>15942000</v>
          </cell>
          <cell r="Y93" t="str">
            <v>주물</v>
          </cell>
          <cell r="Z93">
            <v>3.3125241599999997</v>
          </cell>
          <cell r="AA93" t="str">
            <v>1320x740x720</v>
          </cell>
          <cell r="AB93" t="str">
            <v>93-3</v>
          </cell>
          <cell r="AG93" t="str">
            <v>서해공업㈜ 반　</v>
          </cell>
          <cell r="AI93" t="str">
            <v>영재정공</v>
          </cell>
        </row>
        <row r="94">
          <cell r="A94">
            <v>122</v>
          </cell>
          <cell r="E94" t="str">
            <v>기아모텍</v>
          </cell>
          <cell r="F94" t="str">
            <v>A</v>
          </cell>
          <cell r="G94" t="str">
            <v>AVELLA</v>
          </cell>
          <cell r="H94" t="str">
            <v>041103114071</v>
          </cell>
          <cell r="I94" t="str">
            <v>B3H7 10 401</v>
          </cell>
          <cell r="J94" t="str">
            <v>OIL PAN</v>
          </cell>
          <cell r="K94" t="str">
            <v>금형</v>
          </cell>
          <cell r="L94" t="str">
            <v>1.1st DR</v>
          </cell>
          <cell r="M94">
            <v>1</v>
          </cell>
          <cell r="N94">
            <v>17041000</v>
          </cell>
          <cell r="Y94" t="str">
            <v>주물</v>
          </cell>
          <cell r="Z94">
            <v>3.4183295999999999</v>
          </cell>
          <cell r="AA94" t="str">
            <v>1400x720x720</v>
          </cell>
          <cell r="AB94" t="str">
            <v>93-3</v>
          </cell>
          <cell r="AG94" t="str">
            <v>서해공업㈜ 반　</v>
          </cell>
          <cell r="AI94" t="str">
            <v>영재정공</v>
          </cell>
        </row>
        <row r="95">
          <cell r="A95">
            <v>123</v>
          </cell>
          <cell r="E95" t="str">
            <v>기아모텍</v>
          </cell>
          <cell r="F95" t="str">
            <v>A</v>
          </cell>
          <cell r="G95" t="str">
            <v>AVELLA</v>
          </cell>
          <cell r="H95" t="str">
            <v>041103114081</v>
          </cell>
          <cell r="I95" t="str">
            <v>B573 10 402</v>
          </cell>
          <cell r="J95" t="str">
            <v>PLATE OIL BAFFLE</v>
          </cell>
          <cell r="K95" t="str">
            <v>금형</v>
          </cell>
          <cell r="L95" t="str">
            <v>3.TR</v>
          </cell>
          <cell r="M95">
            <v>1</v>
          </cell>
          <cell r="N95">
            <v>1655000</v>
          </cell>
          <cell r="Y95" t="str">
            <v>STEEL</v>
          </cell>
          <cell r="Z95">
            <v>8.0541000000000015E-2</v>
          </cell>
          <cell r="AA95" t="str">
            <v>380x300x150</v>
          </cell>
          <cell r="AB95" t="str">
            <v>93-3</v>
          </cell>
          <cell r="AG95" t="str">
            <v>수민정밀</v>
          </cell>
          <cell r="AI95" t="str">
            <v>수민정밀</v>
          </cell>
        </row>
        <row r="96">
          <cell r="A96">
            <v>124</v>
          </cell>
          <cell r="E96" t="str">
            <v>기아모텍</v>
          </cell>
          <cell r="F96" t="str">
            <v>A</v>
          </cell>
          <cell r="G96" t="str">
            <v>AVELLA</v>
          </cell>
          <cell r="H96" t="str">
            <v>041103114081</v>
          </cell>
          <cell r="I96" t="str">
            <v>B573 10 402</v>
          </cell>
          <cell r="J96" t="str">
            <v>PLATE OIL BAFFLE</v>
          </cell>
          <cell r="K96" t="str">
            <v>금형</v>
          </cell>
          <cell r="L96" t="str">
            <v>2.DR</v>
          </cell>
          <cell r="M96">
            <v>1</v>
          </cell>
          <cell r="N96">
            <v>2398000</v>
          </cell>
          <cell r="Y96" t="str">
            <v>STEEL</v>
          </cell>
          <cell r="Z96">
            <v>7.7319360000000004E-2</v>
          </cell>
          <cell r="AA96" t="str">
            <v>380x270x160</v>
          </cell>
          <cell r="AB96" t="str">
            <v>93-3</v>
          </cell>
          <cell r="AG96" t="str">
            <v>수민정밀</v>
          </cell>
          <cell r="AI96" t="str">
            <v>수민정밀</v>
          </cell>
        </row>
        <row r="97">
          <cell r="A97">
            <v>125</v>
          </cell>
          <cell r="E97" t="str">
            <v>기아모텍</v>
          </cell>
          <cell r="F97" t="str">
            <v>A</v>
          </cell>
          <cell r="G97" t="str">
            <v>AVELLA</v>
          </cell>
          <cell r="H97" t="str">
            <v>041103114081</v>
          </cell>
          <cell r="I97" t="str">
            <v>B573 10 402</v>
          </cell>
          <cell r="J97" t="str">
            <v>PLATE OIL BAFFLE</v>
          </cell>
          <cell r="K97" t="str">
            <v>금형</v>
          </cell>
          <cell r="L97" t="str">
            <v>1.BL/PIE</v>
          </cell>
          <cell r="M97">
            <v>1</v>
          </cell>
          <cell r="N97">
            <v>3042000</v>
          </cell>
          <cell r="Y97" t="str">
            <v>STEEL</v>
          </cell>
          <cell r="Z97">
            <v>7.7319360000000004E-2</v>
          </cell>
          <cell r="AA97" t="str">
            <v>380x270x160</v>
          </cell>
          <cell r="AB97" t="str">
            <v>93-3</v>
          </cell>
          <cell r="AG97" t="str">
            <v>수민정밀</v>
          </cell>
          <cell r="AI97" t="str">
            <v>수민정밀</v>
          </cell>
        </row>
        <row r="98">
          <cell r="A98">
            <v>126</v>
          </cell>
          <cell r="E98" t="str">
            <v>기아모텍</v>
          </cell>
          <cell r="F98" t="str">
            <v>C4</v>
          </cell>
          <cell r="G98" t="str">
            <v>PRIDE</v>
          </cell>
          <cell r="H98" t="str">
            <v>044101011506</v>
          </cell>
          <cell r="I98" t="str">
            <v>D001 53 215</v>
          </cell>
          <cell r="J98" t="str">
            <v>B/K ENG MTG</v>
          </cell>
          <cell r="K98" t="str">
            <v>검사구</v>
          </cell>
          <cell r="M98">
            <v>1</v>
          </cell>
          <cell r="N98">
            <v>1719132</v>
          </cell>
          <cell r="Z98">
            <v>0</v>
          </cell>
          <cell r="AA98" t="str">
            <v>xx</v>
          </cell>
          <cell r="AB98" t="str">
            <v>86-07-01</v>
          </cell>
          <cell r="AG98" t="str">
            <v>MC</v>
          </cell>
          <cell r="AJ98" t="str">
            <v>금성공업</v>
          </cell>
          <cell r="AK98" t="str">
            <v>금성공업에서 타업체로 이관</v>
          </cell>
        </row>
        <row r="99">
          <cell r="A99">
            <v>127</v>
          </cell>
          <cell r="E99" t="str">
            <v>기아모텍</v>
          </cell>
          <cell r="F99" t="str">
            <v>C4</v>
          </cell>
          <cell r="G99" t="str">
            <v>PRIDE</v>
          </cell>
          <cell r="I99" t="str">
            <v>D001 53/54 231</v>
          </cell>
          <cell r="J99" t="str">
            <v>SUS HSG UP R/L</v>
          </cell>
          <cell r="K99" t="str">
            <v>검사구</v>
          </cell>
          <cell r="M99">
            <v>2</v>
          </cell>
          <cell r="N99">
            <v>1326000</v>
          </cell>
          <cell r="Z99">
            <v>0</v>
          </cell>
          <cell r="AA99" t="str">
            <v>xx</v>
          </cell>
          <cell r="AB99" t="str">
            <v>86-08-04</v>
          </cell>
          <cell r="AJ99" t="str">
            <v>금성공업</v>
          </cell>
          <cell r="AK99" t="str">
            <v>금성공업에서 타업체로 이관</v>
          </cell>
        </row>
        <row r="100">
          <cell r="A100">
            <v>128</v>
          </cell>
          <cell r="E100" t="str">
            <v>기아모텍</v>
          </cell>
          <cell r="F100" t="str">
            <v>C1</v>
          </cell>
          <cell r="G100" t="str">
            <v>PRIDE</v>
          </cell>
          <cell r="H100" t="str">
            <v>044101012956</v>
          </cell>
          <cell r="I100" t="str">
            <v>D001 62/63 045</v>
          </cell>
          <cell r="J100" t="str">
            <v>REINF OUT PAN</v>
          </cell>
          <cell r="K100" t="str">
            <v>검사구</v>
          </cell>
          <cell r="M100">
            <v>1</v>
          </cell>
          <cell r="N100">
            <v>1168829</v>
          </cell>
          <cell r="Z100">
            <v>0</v>
          </cell>
          <cell r="AA100" t="str">
            <v>xx</v>
          </cell>
          <cell r="AB100" t="str">
            <v>85-10-07</v>
          </cell>
          <cell r="AG100" t="str">
            <v>KIA</v>
          </cell>
          <cell r="AJ100" t="str">
            <v>새한공업</v>
          </cell>
          <cell r="AK100" t="str">
            <v>KMC 직납</v>
          </cell>
        </row>
        <row r="101">
          <cell r="A101">
            <v>129</v>
          </cell>
          <cell r="E101" t="str">
            <v>기아모텍</v>
          </cell>
          <cell r="F101" t="str">
            <v>A</v>
          </cell>
          <cell r="G101" t="str">
            <v>PRIDE</v>
          </cell>
          <cell r="H101" t="str">
            <v>044102020367</v>
          </cell>
          <cell r="I101" t="str">
            <v>D001 68 860A</v>
          </cell>
          <cell r="J101" t="str">
            <v>TRIM ASSY T/S R CHECKING</v>
          </cell>
          <cell r="K101" t="str">
            <v>검사구</v>
          </cell>
          <cell r="M101">
            <v>1</v>
          </cell>
          <cell r="N101">
            <v>9113639</v>
          </cell>
          <cell r="Y101" t="str">
            <v>수지</v>
          </cell>
          <cell r="Z101">
            <v>0.22419600000000003</v>
          </cell>
          <cell r="AA101" t="str">
            <v>1020x400x350</v>
          </cell>
          <cell r="AB101" t="str">
            <v>87-01-04</v>
          </cell>
          <cell r="AG101" t="str">
            <v>MC</v>
          </cell>
          <cell r="AI101" t="str">
            <v>KMO 광주공장</v>
          </cell>
        </row>
        <row r="102">
          <cell r="A102">
            <v>130</v>
          </cell>
          <cell r="E102" t="str">
            <v>기아모텍</v>
          </cell>
          <cell r="F102" t="str">
            <v>A</v>
          </cell>
          <cell r="G102" t="str">
            <v>PRIDE</v>
          </cell>
          <cell r="H102" t="str">
            <v>044102012275</v>
          </cell>
          <cell r="I102" t="str">
            <v>D001 68 861/871</v>
          </cell>
          <cell r="J102" t="str">
            <v>TRUNK SIDE TRIM</v>
          </cell>
          <cell r="K102" t="str">
            <v>검사구</v>
          </cell>
          <cell r="M102">
            <v>1</v>
          </cell>
          <cell r="N102">
            <v>8000000</v>
          </cell>
          <cell r="Y102" t="str">
            <v>수지</v>
          </cell>
          <cell r="Z102">
            <v>0.23314499999999999</v>
          </cell>
          <cell r="AA102" t="str">
            <v>1100x450x300</v>
          </cell>
          <cell r="AB102" t="str">
            <v>90-03-30</v>
          </cell>
          <cell r="AG102" t="str">
            <v>선진</v>
          </cell>
          <cell r="AI102" t="str">
            <v>KMO 광주공장</v>
          </cell>
        </row>
        <row r="103">
          <cell r="A103">
            <v>131</v>
          </cell>
          <cell r="E103" t="str">
            <v>기아모텍</v>
          </cell>
          <cell r="F103" t="str">
            <v>A</v>
          </cell>
          <cell r="G103" t="str">
            <v>PRIDE P031</v>
          </cell>
          <cell r="H103" t="str">
            <v>041401010119</v>
          </cell>
          <cell r="I103" t="str">
            <v>D001 68 861/871A</v>
          </cell>
          <cell r="J103" t="str">
            <v>TRUNK SIDE TRIM R/L</v>
          </cell>
          <cell r="K103" t="str">
            <v>금형</v>
          </cell>
          <cell r="M103">
            <v>1</v>
          </cell>
          <cell r="N103">
            <v>319939670</v>
          </cell>
          <cell r="Y103" t="str">
            <v>주물</v>
          </cell>
          <cell r="Z103">
            <v>0</v>
          </cell>
          <cell r="AA103" t="str">
            <v>xx</v>
          </cell>
          <cell r="AB103" t="str">
            <v>87-01-04</v>
          </cell>
          <cell r="AG103" t="str">
            <v>MC</v>
          </cell>
          <cell r="AI103" t="str">
            <v>광주 제일산업</v>
          </cell>
        </row>
        <row r="104">
          <cell r="A104">
            <v>132</v>
          </cell>
          <cell r="E104" t="str">
            <v>기아모텍</v>
          </cell>
          <cell r="F104" t="str">
            <v>A</v>
          </cell>
          <cell r="G104" t="str">
            <v>PRIDE</v>
          </cell>
          <cell r="H104" t="str">
            <v>044102020377</v>
          </cell>
          <cell r="I104" t="str">
            <v>D001 68 870A</v>
          </cell>
          <cell r="J104" t="str">
            <v>TRIM ASSY T/S L CHECKING</v>
          </cell>
          <cell r="K104" t="str">
            <v>검사구</v>
          </cell>
          <cell r="M104">
            <v>1</v>
          </cell>
          <cell r="N104">
            <v>9113639</v>
          </cell>
          <cell r="Y104" t="str">
            <v>수지</v>
          </cell>
          <cell r="Z104">
            <v>0.40619040000000001</v>
          </cell>
          <cell r="AA104" t="str">
            <v>1320x560x350</v>
          </cell>
          <cell r="AB104" t="str">
            <v>87-01-04</v>
          </cell>
          <cell r="AG104" t="str">
            <v>MC</v>
          </cell>
          <cell r="AI104" t="str">
            <v>KMO 광주공장</v>
          </cell>
        </row>
        <row r="105">
          <cell r="A105">
            <v>133</v>
          </cell>
          <cell r="E105" t="str">
            <v>기아모텍</v>
          </cell>
          <cell r="F105" t="str">
            <v>A</v>
          </cell>
          <cell r="G105" t="str">
            <v>PRIDE</v>
          </cell>
          <cell r="H105" t="str">
            <v>041102000165</v>
          </cell>
          <cell r="I105" t="str">
            <v>D001 70/71 124</v>
          </cell>
          <cell r="J105" t="str">
            <v>B/K SEAT LOCK FRT R/L</v>
          </cell>
          <cell r="K105" t="str">
            <v>금형</v>
          </cell>
          <cell r="L105" t="str">
            <v>FO,T/P,FL,FL</v>
          </cell>
          <cell r="M105">
            <v>5</v>
          </cell>
          <cell r="N105">
            <v>46025000</v>
          </cell>
          <cell r="AA105" t="str">
            <v>xx</v>
          </cell>
          <cell r="AB105" t="str">
            <v>86-09-30</v>
          </cell>
          <cell r="AG105" t="str">
            <v>서해공업㈜ 반　</v>
          </cell>
          <cell r="AI105" t="str">
            <v>대륭강업</v>
          </cell>
        </row>
        <row r="106">
          <cell r="A106">
            <v>133.10000610351563</v>
          </cell>
          <cell r="E106" t="str">
            <v>기아모텍</v>
          </cell>
          <cell r="F106" t="str">
            <v>A</v>
          </cell>
          <cell r="G106" t="str">
            <v>PRIDE</v>
          </cell>
          <cell r="H106" t="str">
            <v>041102000165</v>
          </cell>
          <cell r="I106" t="str">
            <v>D001 70/71 124</v>
          </cell>
          <cell r="J106" t="str">
            <v>B/K SEAT LOCK FRT R/L</v>
          </cell>
          <cell r="K106" t="str">
            <v>금형</v>
          </cell>
          <cell r="M106">
            <v>1</v>
          </cell>
          <cell r="Y106" t="str">
            <v>STEEL</v>
          </cell>
          <cell r="Z106">
            <v>0.162024</v>
          </cell>
          <cell r="AA106" t="str">
            <v>430x320x250</v>
          </cell>
          <cell r="AB106" t="str">
            <v>86-09-30</v>
          </cell>
          <cell r="AG106" t="str">
            <v>서해공업㈜ 반　</v>
          </cell>
          <cell r="AI106" t="str">
            <v>대륭강업</v>
          </cell>
        </row>
        <row r="107">
          <cell r="A107">
            <v>133.19999694824219</v>
          </cell>
          <cell r="E107" t="str">
            <v>기아모텍</v>
          </cell>
          <cell r="F107" t="str">
            <v>A</v>
          </cell>
          <cell r="G107" t="str">
            <v>PRIDE</v>
          </cell>
          <cell r="H107" t="str">
            <v>041102000165</v>
          </cell>
          <cell r="I107" t="str">
            <v>D001 70/71 124</v>
          </cell>
          <cell r="J107" t="str">
            <v>B/K SEAT LOCK FRT R/L</v>
          </cell>
          <cell r="K107" t="str">
            <v>금형</v>
          </cell>
          <cell r="M107">
            <v>1</v>
          </cell>
          <cell r="Y107" t="str">
            <v>STEEL</v>
          </cell>
          <cell r="Z107">
            <v>0.162024</v>
          </cell>
          <cell r="AA107" t="str">
            <v>430x320x250</v>
          </cell>
          <cell r="AB107" t="str">
            <v>86-09-30</v>
          </cell>
          <cell r="AG107" t="str">
            <v>서해공업㈜ 반　</v>
          </cell>
          <cell r="AI107" t="str">
            <v>대륭강업</v>
          </cell>
        </row>
        <row r="108">
          <cell r="A108">
            <v>133.30000305175781</v>
          </cell>
          <cell r="E108" t="str">
            <v>기아모텍</v>
          </cell>
          <cell r="F108" t="str">
            <v>A</v>
          </cell>
          <cell r="G108" t="str">
            <v>PRIDE</v>
          </cell>
          <cell r="H108" t="str">
            <v>041102000165</v>
          </cell>
          <cell r="I108" t="str">
            <v>D001 70/71 124</v>
          </cell>
          <cell r="J108" t="str">
            <v>B/K SEAT LOCK FRT R/L</v>
          </cell>
          <cell r="K108" t="str">
            <v>금형</v>
          </cell>
          <cell r="M108">
            <v>1</v>
          </cell>
          <cell r="Y108" t="str">
            <v>STEEL</v>
          </cell>
          <cell r="Z108">
            <v>0.162024</v>
          </cell>
          <cell r="AA108" t="str">
            <v>430x320x250</v>
          </cell>
          <cell r="AB108" t="str">
            <v>86-09-30</v>
          </cell>
          <cell r="AG108" t="str">
            <v>서해공업㈜ 반　</v>
          </cell>
          <cell r="AI108" t="str">
            <v>대륭강업</v>
          </cell>
        </row>
        <row r="109">
          <cell r="A109">
            <v>133.39999389648438</v>
          </cell>
          <cell r="E109" t="str">
            <v>기아모텍</v>
          </cell>
          <cell r="F109" t="str">
            <v>A</v>
          </cell>
          <cell r="G109" t="str">
            <v>PRIDE</v>
          </cell>
          <cell r="H109" t="str">
            <v>041102000165</v>
          </cell>
          <cell r="I109" t="str">
            <v>D001 70/71 124</v>
          </cell>
          <cell r="J109" t="str">
            <v>B/K SEAT LOCK FRT R/L</v>
          </cell>
          <cell r="K109" t="str">
            <v>금형</v>
          </cell>
          <cell r="M109">
            <v>1</v>
          </cell>
          <cell r="Y109" t="str">
            <v>STEEL</v>
          </cell>
          <cell r="Z109">
            <v>0.162024</v>
          </cell>
          <cell r="AA109" t="str">
            <v>430x320x250</v>
          </cell>
          <cell r="AB109" t="str">
            <v>86-09-30</v>
          </cell>
          <cell r="AG109" t="str">
            <v>서해공업㈜ 반　</v>
          </cell>
          <cell r="AI109" t="str">
            <v>대륭강업</v>
          </cell>
        </row>
        <row r="110">
          <cell r="A110">
            <v>133.5</v>
          </cell>
          <cell r="E110" t="str">
            <v>기아모텍</v>
          </cell>
          <cell r="F110" t="str">
            <v>A</v>
          </cell>
          <cell r="G110" t="str">
            <v>PRIDE</v>
          </cell>
          <cell r="H110" t="str">
            <v>041102000165</v>
          </cell>
          <cell r="I110" t="str">
            <v>D001 70/71 124</v>
          </cell>
          <cell r="J110" t="str">
            <v>B/K SEAT LOCK FRT R/L</v>
          </cell>
          <cell r="K110" t="str">
            <v>금형</v>
          </cell>
          <cell r="M110">
            <v>1</v>
          </cell>
          <cell r="Y110" t="str">
            <v>STEEL</v>
          </cell>
          <cell r="Z110">
            <v>0.162024</v>
          </cell>
          <cell r="AA110" t="str">
            <v>430x320x250</v>
          </cell>
          <cell r="AB110" t="str">
            <v>86-09-30</v>
          </cell>
          <cell r="AG110" t="str">
            <v>서해공업㈜ 반　</v>
          </cell>
          <cell r="AI110" t="str">
            <v>대륭강업</v>
          </cell>
        </row>
        <row r="111">
          <cell r="A111">
            <v>134</v>
          </cell>
          <cell r="E111" t="str">
            <v>기아모텍</v>
          </cell>
          <cell r="F111" t="str">
            <v>A</v>
          </cell>
          <cell r="G111" t="str">
            <v>PRIDE</v>
          </cell>
          <cell r="H111" t="str">
            <v>041102090046</v>
          </cell>
          <cell r="I111" t="str">
            <v>D001 70/71 125</v>
          </cell>
          <cell r="J111" t="str">
            <v>B/K SEAT Rr R/L</v>
          </cell>
          <cell r="K111" t="str">
            <v>금형</v>
          </cell>
          <cell r="L111" t="str">
            <v>BL,FO/FL,F/P</v>
          </cell>
          <cell r="M111">
            <v>9</v>
          </cell>
          <cell r="N111">
            <v>26249000</v>
          </cell>
          <cell r="AA111" t="str">
            <v>xx</v>
          </cell>
          <cell r="AB111" t="str">
            <v>87-05-30</v>
          </cell>
          <cell r="AG111" t="str">
            <v>서해공업㈜ 반　</v>
          </cell>
          <cell r="AI111" t="str">
            <v>수민정밀</v>
          </cell>
        </row>
        <row r="112">
          <cell r="A112">
            <v>134.10000610351563</v>
          </cell>
          <cell r="E112" t="str">
            <v>기아모텍</v>
          </cell>
          <cell r="F112" t="str">
            <v>A</v>
          </cell>
          <cell r="G112" t="str">
            <v>PRIDE</v>
          </cell>
          <cell r="H112" t="str">
            <v>041102090046</v>
          </cell>
          <cell r="I112" t="str">
            <v>D001 70/71 125</v>
          </cell>
          <cell r="J112" t="str">
            <v>B/K SEAT Rr R/L</v>
          </cell>
          <cell r="K112" t="str">
            <v>금형</v>
          </cell>
          <cell r="L112" t="str">
            <v>BL</v>
          </cell>
          <cell r="M112">
            <v>1</v>
          </cell>
          <cell r="Y112" t="str">
            <v>주물</v>
          </cell>
          <cell r="Z112">
            <v>0.45498599999999995</v>
          </cell>
          <cell r="AA112" t="str">
            <v>800x575x210</v>
          </cell>
          <cell r="AB112" t="str">
            <v>87-05-30</v>
          </cell>
          <cell r="AG112" t="str">
            <v>서해공업㈜ 반　</v>
          </cell>
          <cell r="AI112" t="str">
            <v>수민정밀</v>
          </cell>
        </row>
        <row r="113">
          <cell r="A113">
            <v>134.19999694824219</v>
          </cell>
          <cell r="E113" t="str">
            <v>기아모텍</v>
          </cell>
          <cell r="F113" t="str">
            <v>A</v>
          </cell>
          <cell r="G113" t="str">
            <v>PRIDE</v>
          </cell>
          <cell r="H113" t="str">
            <v>041102090046</v>
          </cell>
          <cell r="I113" t="str">
            <v>D001 70/71 125</v>
          </cell>
          <cell r="J113" t="str">
            <v>B/K SEAT Rr R/L</v>
          </cell>
          <cell r="K113" t="str">
            <v>금형</v>
          </cell>
          <cell r="L113" t="str">
            <v>FO</v>
          </cell>
          <cell r="M113">
            <v>1</v>
          </cell>
          <cell r="Y113" t="str">
            <v>주물</v>
          </cell>
          <cell r="Z113">
            <v>4.32378E-2</v>
          </cell>
          <cell r="AA113" t="str">
            <v>240x225x170</v>
          </cell>
          <cell r="AB113" t="str">
            <v>87-05-30</v>
          </cell>
          <cell r="AG113" t="str">
            <v>서해공업㈜ 반　</v>
          </cell>
          <cell r="AI113" t="str">
            <v>수민정밀</v>
          </cell>
        </row>
        <row r="114">
          <cell r="A114">
            <v>134.30000305175781</v>
          </cell>
          <cell r="E114" t="str">
            <v>기아모텍</v>
          </cell>
          <cell r="F114" t="str">
            <v>A</v>
          </cell>
          <cell r="G114" t="str">
            <v>PRIDE</v>
          </cell>
          <cell r="H114" t="str">
            <v>041102090046</v>
          </cell>
          <cell r="I114" t="str">
            <v>D001 70/71 125</v>
          </cell>
          <cell r="J114" t="str">
            <v>B/K SEAT Rr R/L</v>
          </cell>
          <cell r="K114" t="str">
            <v>금형</v>
          </cell>
          <cell r="L114" t="str">
            <v>FL</v>
          </cell>
          <cell r="M114">
            <v>1</v>
          </cell>
          <cell r="Y114" t="str">
            <v>주물</v>
          </cell>
          <cell r="Z114">
            <v>1.20328254</v>
          </cell>
          <cell r="AA114" t="str">
            <v>830x570x540</v>
          </cell>
          <cell r="AB114" t="str">
            <v>87-05-30</v>
          </cell>
          <cell r="AG114" t="str">
            <v>서해공업㈜ 반　</v>
          </cell>
          <cell r="AI114" t="str">
            <v>수민정밀</v>
          </cell>
        </row>
        <row r="115">
          <cell r="A115">
            <v>134.39999389648438</v>
          </cell>
          <cell r="E115" t="str">
            <v>기아모텍</v>
          </cell>
          <cell r="F115" t="str">
            <v>A</v>
          </cell>
          <cell r="G115" t="str">
            <v>PRIDE</v>
          </cell>
          <cell r="H115" t="str">
            <v>041102090046</v>
          </cell>
          <cell r="I115" t="str">
            <v>D001 70/71 125</v>
          </cell>
          <cell r="J115" t="str">
            <v>B/K SEAT Rr R/L</v>
          </cell>
          <cell r="K115" t="str">
            <v>금형</v>
          </cell>
          <cell r="L115" t="str">
            <v>BE</v>
          </cell>
          <cell r="M115">
            <v>1</v>
          </cell>
          <cell r="Y115" t="str">
            <v>주물</v>
          </cell>
          <cell r="Z115">
            <v>1.20328254</v>
          </cell>
          <cell r="AA115" t="str">
            <v>830x570x540</v>
          </cell>
          <cell r="AB115" t="str">
            <v>87-05-30</v>
          </cell>
          <cell r="AG115" t="str">
            <v>서해공업㈜ 반　</v>
          </cell>
          <cell r="AI115" t="str">
            <v>수민정밀</v>
          </cell>
        </row>
        <row r="116">
          <cell r="A116">
            <v>134.5</v>
          </cell>
          <cell r="E116" t="str">
            <v>기아모텍</v>
          </cell>
          <cell r="F116" t="str">
            <v>A</v>
          </cell>
          <cell r="G116" t="str">
            <v>PRIDE</v>
          </cell>
          <cell r="H116" t="str">
            <v>041102090046</v>
          </cell>
          <cell r="I116" t="str">
            <v>D001 70/71 125</v>
          </cell>
          <cell r="J116" t="str">
            <v>B/K SEAT Rr R/L</v>
          </cell>
          <cell r="K116" t="str">
            <v>금형</v>
          </cell>
          <cell r="L116" t="str">
            <v>PI</v>
          </cell>
          <cell r="M116">
            <v>1</v>
          </cell>
          <cell r="Y116" t="str">
            <v>주물</v>
          </cell>
          <cell r="Z116">
            <v>0.9249403799999999</v>
          </cell>
          <cell r="AA116" t="str">
            <v>830x520x455</v>
          </cell>
          <cell r="AB116" t="str">
            <v>87-05-30</v>
          </cell>
          <cell r="AG116" t="str">
            <v>서해공업㈜ 반　</v>
          </cell>
          <cell r="AI116" t="str">
            <v>수민정밀</v>
          </cell>
        </row>
        <row r="117">
          <cell r="A117">
            <v>134.60000610351563</v>
          </cell>
          <cell r="E117" t="str">
            <v>기아모텍</v>
          </cell>
          <cell r="F117" t="str">
            <v>A</v>
          </cell>
          <cell r="G117" t="str">
            <v>PRIDE</v>
          </cell>
          <cell r="H117" t="str">
            <v>041102090046</v>
          </cell>
          <cell r="I117" t="str">
            <v>D001 70/71 125</v>
          </cell>
          <cell r="J117" t="str">
            <v>B/K SEAT Rr R/L</v>
          </cell>
          <cell r="K117" t="str">
            <v>금형</v>
          </cell>
          <cell r="L117" t="str">
            <v>FO</v>
          </cell>
          <cell r="M117">
            <v>1</v>
          </cell>
          <cell r="Y117" t="str">
            <v>주물</v>
          </cell>
          <cell r="Z117">
            <v>0.9249403799999999</v>
          </cell>
          <cell r="AA117" t="str">
            <v>830x520x455</v>
          </cell>
          <cell r="AB117" t="str">
            <v>87-05-30</v>
          </cell>
          <cell r="AG117" t="str">
            <v>서해공업㈜ 반　</v>
          </cell>
          <cell r="AI117" t="str">
            <v>수민정밀</v>
          </cell>
        </row>
        <row r="118">
          <cell r="A118">
            <v>134.69999694824219</v>
          </cell>
          <cell r="E118" t="str">
            <v>기아모텍</v>
          </cell>
          <cell r="F118" t="str">
            <v>A</v>
          </cell>
          <cell r="G118" t="str">
            <v>PRIDE</v>
          </cell>
          <cell r="H118" t="str">
            <v>041102090046</v>
          </cell>
          <cell r="I118" t="str">
            <v>D001 70/71 125</v>
          </cell>
          <cell r="J118" t="str">
            <v>B/K SEAT Rr R/L</v>
          </cell>
          <cell r="K118" t="str">
            <v>금형</v>
          </cell>
          <cell r="L118" t="str">
            <v>FL</v>
          </cell>
          <cell r="M118">
            <v>1</v>
          </cell>
          <cell r="Y118" t="str">
            <v>주물</v>
          </cell>
          <cell r="Z118">
            <v>1.2112989599999999</v>
          </cell>
          <cell r="AA118" t="str">
            <v>680x620x610</v>
          </cell>
          <cell r="AB118" t="str">
            <v>87-05-30</v>
          </cell>
          <cell r="AG118" t="str">
            <v>서해공업㈜ 반　</v>
          </cell>
          <cell r="AI118" t="str">
            <v>수민정밀</v>
          </cell>
        </row>
        <row r="119">
          <cell r="A119">
            <v>134.80000305175781</v>
          </cell>
          <cell r="E119" t="str">
            <v>기아모텍</v>
          </cell>
          <cell r="F119" t="str">
            <v>A</v>
          </cell>
          <cell r="G119" t="str">
            <v>PRIDE</v>
          </cell>
          <cell r="H119" t="str">
            <v>041102090046</v>
          </cell>
          <cell r="I119" t="str">
            <v>D001 70/71 125</v>
          </cell>
          <cell r="J119" t="str">
            <v>B/K SEAT Rr R/L</v>
          </cell>
          <cell r="K119" t="str">
            <v>금형</v>
          </cell>
          <cell r="L119" t="str">
            <v>BE</v>
          </cell>
          <cell r="M119">
            <v>1</v>
          </cell>
          <cell r="Y119" t="str">
            <v>주물</v>
          </cell>
          <cell r="Z119">
            <v>1.2112989599999999</v>
          </cell>
          <cell r="AA119" t="str">
            <v>680x620x610</v>
          </cell>
          <cell r="AB119" t="str">
            <v>87-05-30</v>
          </cell>
          <cell r="AG119" t="str">
            <v>서해공업㈜ 반　</v>
          </cell>
          <cell r="AI119" t="str">
            <v>수민정밀</v>
          </cell>
        </row>
        <row r="120">
          <cell r="A120">
            <v>134.89999389648438</v>
          </cell>
          <cell r="E120" t="str">
            <v>기아모텍</v>
          </cell>
          <cell r="F120" t="str">
            <v>A</v>
          </cell>
          <cell r="G120" t="str">
            <v>PRIDE</v>
          </cell>
          <cell r="H120" t="str">
            <v>041102090046</v>
          </cell>
          <cell r="I120" t="str">
            <v>D001 70/71 125</v>
          </cell>
          <cell r="J120" t="str">
            <v>B/K SEAT Rr R/L</v>
          </cell>
          <cell r="K120" t="str">
            <v>금형</v>
          </cell>
          <cell r="L120" t="str">
            <v>PI</v>
          </cell>
          <cell r="M120">
            <v>1</v>
          </cell>
          <cell r="Y120" t="str">
            <v>주물</v>
          </cell>
          <cell r="Z120">
            <v>9.8909999999999998E-2</v>
          </cell>
          <cell r="AA120" t="str">
            <v>500x150x280</v>
          </cell>
          <cell r="AB120" t="str">
            <v>87-05-30</v>
          </cell>
          <cell r="AG120" t="str">
            <v>서해공업㈜ 반　</v>
          </cell>
          <cell r="AI120" t="str">
            <v>수민정밀</v>
          </cell>
        </row>
        <row r="121">
          <cell r="A121">
            <v>135</v>
          </cell>
          <cell r="E121" t="str">
            <v>기아모텍</v>
          </cell>
          <cell r="F121" t="str">
            <v>C4</v>
          </cell>
          <cell r="G121" t="str">
            <v>PRIDE</v>
          </cell>
          <cell r="H121" t="str">
            <v>044101012856</v>
          </cell>
          <cell r="I121" t="str">
            <v>D001 70/71 125</v>
          </cell>
          <cell r="J121" t="str">
            <v>B/K SEAT Rr R/L</v>
          </cell>
          <cell r="K121" t="str">
            <v>검사구</v>
          </cell>
          <cell r="M121">
            <v>1</v>
          </cell>
          <cell r="N121">
            <v>3038722</v>
          </cell>
          <cell r="AA121" t="str">
            <v>xx</v>
          </cell>
          <cell r="AB121" t="str">
            <v>85-10-31</v>
          </cell>
          <cell r="AG121" t="str">
            <v>KIA</v>
          </cell>
          <cell r="AI121" t="str">
            <v>수민정밀</v>
          </cell>
          <cell r="AK121" t="str">
            <v>이관중 분실</v>
          </cell>
        </row>
        <row r="122">
          <cell r="A122">
            <v>136</v>
          </cell>
          <cell r="E122" t="str">
            <v>기아모텍</v>
          </cell>
          <cell r="F122" t="str">
            <v>C1</v>
          </cell>
          <cell r="G122" t="str">
            <v>PRIDE</v>
          </cell>
          <cell r="H122" t="str">
            <v>044101020928</v>
          </cell>
          <cell r="I122" t="str">
            <v>DA01 50 260</v>
          </cell>
          <cell r="J122" t="str">
            <v>REINF Rr BUMPER NO.1</v>
          </cell>
          <cell r="K122" t="str">
            <v>검사구</v>
          </cell>
          <cell r="M122">
            <v>1</v>
          </cell>
          <cell r="N122">
            <v>15720948</v>
          </cell>
          <cell r="Z122">
            <v>0</v>
          </cell>
          <cell r="AA122" t="str">
            <v>xx</v>
          </cell>
          <cell r="AB122" t="str">
            <v>86-07-01</v>
          </cell>
          <cell r="AG122" t="str">
            <v>MC</v>
          </cell>
          <cell r="AI122" t="str">
            <v>광주 ㈜호원</v>
          </cell>
          <cell r="AJ122" t="str">
            <v>창화공업</v>
          </cell>
          <cell r="AK122" t="str">
            <v>KMC 직납</v>
          </cell>
        </row>
        <row r="123">
          <cell r="A123">
            <v>137</v>
          </cell>
          <cell r="E123" t="str">
            <v>기아모텍</v>
          </cell>
          <cell r="F123" t="str">
            <v>A</v>
          </cell>
          <cell r="G123" t="str">
            <v>PRIDE</v>
          </cell>
          <cell r="H123" t="str">
            <v>044101011316</v>
          </cell>
          <cell r="I123" t="str">
            <v>DA01 53 291</v>
          </cell>
          <cell r="J123" t="str">
            <v>REINF WHEEL APRON RH</v>
          </cell>
          <cell r="K123" t="str">
            <v>검사구</v>
          </cell>
          <cell r="M123">
            <v>1</v>
          </cell>
          <cell r="N123">
            <v>3000551</v>
          </cell>
          <cell r="Y123" t="str">
            <v>수지</v>
          </cell>
          <cell r="Z123">
            <v>1.3056120000000001E-2</v>
          </cell>
          <cell r="AA123" t="str">
            <v>330x210x120</v>
          </cell>
          <cell r="AB123" t="str">
            <v>86-07-01</v>
          </cell>
          <cell r="AG123" t="str">
            <v>MC</v>
          </cell>
          <cell r="AI123" t="str">
            <v>구동산업</v>
          </cell>
        </row>
        <row r="124">
          <cell r="A124">
            <v>138</v>
          </cell>
          <cell r="E124" t="str">
            <v>기아모텍</v>
          </cell>
          <cell r="F124" t="str">
            <v>C1</v>
          </cell>
          <cell r="G124" t="str">
            <v>PRIDE</v>
          </cell>
          <cell r="H124" t="str">
            <v>044101012996</v>
          </cell>
          <cell r="I124" t="str">
            <v>DA01 53 531</v>
          </cell>
          <cell r="J124" t="str">
            <v>BRKT STG UP</v>
          </cell>
          <cell r="K124" t="str">
            <v>검사구</v>
          </cell>
          <cell r="M124">
            <v>1</v>
          </cell>
          <cell r="N124">
            <v>484739</v>
          </cell>
          <cell r="Y124" t="str">
            <v>수지</v>
          </cell>
          <cell r="AA124" t="str">
            <v>xx</v>
          </cell>
          <cell r="AB124" t="str">
            <v>88-02-29</v>
          </cell>
          <cell r="AG124" t="str">
            <v>KIA</v>
          </cell>
          <cell r="AI124" t="str">
            <v>수민정밀</v>
          </cell>
        </row>
        <row r="125">
          <cell r="A125">
            <v>139</v>
          </cell>
          <cell r="E125" t="str">
            <v>기아모텍</v>
          </cell>
          <cell r="F125" t="str">
            <v>C4</v>
          </cell>
          <cell r="G125" t="str">
            <v>PRIDE</v>
          </cell>
          <cell r="H125" t="str">
            <v>041102160396</v>
          </cell>
          <cell r="I125" t="str">
            <v>DA01 53/54 241</v>
          </cell>
          <cell r="J125" t="str">
            <v>APRON WHEEL UP R/L</v>
          </cell>
          <cell r="K125" t="str">
            <v>금형</v>
          </cell>
          <cell r="L125" t="str">
            <v>DR 1/5</v>
          </cell>
          <cell r="M125">
            <v>1</v>
          </cell>
          <cell r="N125">
            <v>14959764</v>
          </cell>
          <cell r="Z125">
            <v>0</v>
          </cell>
          <cell r="AA125" t="str">
            <v>xx</v>
          </cell>
          <cell r="AB125" t="str">
            <v>86-05-20</v>
          </cell>
          <cell r="AG125" t="str">
            <v>KIA</v>
          </cell>
          <cell r="AJ125" t="str">
            <v>금성공업</v>
          </cell>
          <cell r="AK125" t="str">
            <v>금성공업에서 타업체로 이관</v>
          </cell>
        </row>
        <row r="126">
          <cell r="A126">
            <v>140</v>
          </cell>
          <cell r="E126" t="str">
            <v>기아모텍</v>
          </cell>
          <cell r="F126" t="str">
            <v>C4</v>
          </cell>
          <cell r="G126" t="str">
            <v>PRIDE</v>
          </cell>
          <cell r="H126" t="str">
            <v>041102260373</v>
          </cell>
          <cell r="I126" t="str">
            <v>DA01 53/54 241</v>
          </cell>
          <cell r="J126" t="str">
            <v>APRON WHEEL UP R/L</v>
          </cell>
          <cell r="K126" t="str">
            <v>금형</v>
          </cell>
          <cell r="L126" t="str">
            <v>FORM/FL 2/5</v>
          </cell>
          <cell r="M126">
            <v>1</v>
          </cell>
          <cell r="N126">
            <v>16640432</v>
          </cell>
          <cell r="Z126">
            <v>0</v>
          </cell>
          <cell r="AA126" t="str">
            <v>xx</v>
          </cell>
          <cell r="AB126" t="str">
            <v>86-05-20</v>
          </cell>
          <cell r="AG126" t="str">
            <v>KIA</v>
          </cell>
          <cell r="AJ126" t="str">
            <v>금성공업</v>
          </cell>
          <cell r="AK126" t="str">
            <v>금성공업에서 타업체로 이관</v>
          </cell>
        </row>
        <row r="127">
          <cell r="A127">
            <v>141</v>
          </cell>
          <cell r="E127" t="str">
            <v>기아모텍</v>
          </cell>
          <cell r="F127" t="str">
            <v>C4</v>
          </cell>
          <cell r="G127" t="str">
            <v>PRIDE</v>
          </cell>
          <cell r="H127" t="str">
            <v>041102360370</v>
          </cell>
          <cell r="I127" t="str">
            <v>DA01 53/54 241</v>
          </cell>
          <cell r="J127" t="str">
            <v>APRON WHEEL UP R/L</v>
          </cell>
          <cell r="K127" t="str">
            <v>금형</v>
          </cell>
          <cell r="L127" t="str">
            <v>BEND 3/5</v>
          </cell>
          <cell r="M127">
            <v>1</v>
          </cell>
          <cell r="N127">
            <v>16764396</v>
          </cell>
          <cell r="Z127">
            <v>0</v>
          </cell>
          <cell r="AA127" t="str">
            <v>xx</v>
          </cell>
          <cell r="AB127" t="str">
            <v>86-05-20</v>
          </cell>
          <cell r="AG127" t="str">
            <v>KIA</v>
          </cell>
          <cell r="AJ127" t="str">
            <v>금성공업</v>
          </cell>
          <cell r="AK127" t="str">
            <v>금성공업에서 타업체로 이관</v>
          </cell>
        </row>
        <row r="128">
          <cell r="A128">
            <v>142</v>
          </cell>
          <cell r="E128" t="str">
            <v>기아모텍</v>
          </cell>
          <cell r="F128" t="str">
            <v>C4</v>
          </cell>
          <cell r="G128" t="str">
            <v>PRIDE</v>
          </cell>
          <cell r="H128" t="str">
            <v>041102460376</v>
          </cell>
          <cell r="I128" t="str">
            <v>DA01 53/54 241</v>
          </cell>
          <cell r="J128" t="str">
            <v>APRON WHEEL UP R/L</v>
          </cell>
          <cell r="K128" t="str">
            <v>금형</v>
          </cell>
          <cell r="L128" t="str">
            <v>PI/REST 4/5</v>
          </cell>
          <cell r="M128">
            <v>1</v>
          </cell>
          <cell r="N128">
            <v>30369281</v>
          </cell>
          <cell r="Z128">
            <v>0</v>
          </cell>
          <cell r="AA128" t="str">
            <v>xx</v>
          </cell>
          <cell r="AB128" t="str">
            <v>86-05-20</v>
          </cell>
          <cell r="AG128" t="str">
            <v>KIA</v>
          </cell>
          <cell r="AJ128" t="str">
            <v>금성공업</v>
          </cell>
          <cell r="AK128" t="str">
            <v>금성공업에서 타업체로 이관</v>
          </cell>
        </row>
        <row r="129">
          <cell r="A129">
            <v>143</v>
          </cell>
          <cell r="E129" t="str">
            <v>기아모텍</v>
          </cell>
          <cell r="F129" t="str">
            <v>C4</v>
          </cell>
          <cell r="G129" t="str">
            <v>PRIDE</v>
          </cell>
          <cell r="H129" t="str">
            <v>041102560383</v>
          </cell>
          <cell r="I129" t="str">
            <v>DA01 53/54 241</v>
          </cell>
          <cell r="J129" t="str">
            <v>APRON WHEEL UP R/L</v>
          </cell>
          <cell r="K129" t="str">
            <v>금형</v>
          </cell>
          <cell r="L129" t="str">
            <v>PIE 5/5</v>
          </cell>
          <cell r="M129">
            <v>1</v>
          </cell>
          <cell r="N129">
            <v>7806420</v>
          </cell>
          <cell r="Z129">
            <v>0</v>
          </cell>
          <cell r="AA129" t="str">
            <v>xx</v>
          </cell>
          <cell r="AB129" t="str">
            <v>86-05-20</v>
          </cell>
          <cell r="AG129" t="str">
            <v>KIA</v>
          </cell>
          <cell r="AJ129" t="str">
            <v>금성공업</v>
          </cell>
          <cell r="AK129" t="str">
            <v>금성공업에서 타업체로 이관</v>
          </cell>
        </row>
        <row r="130">
          <cell r="A130">
            <v>144</v>
          </cell>
          <cell r="E130" t="str">
            <v>기아모텍</v>
          </cell>
          <cell r="F130" t="str">
            <v>C4</v>
          </cell>
          <cell r="G130" t="str">
            <v>PRIDE</v>
          </cell>
          <cell r="H130" t="str">
            <v>044101012916</v>
          </cell>
          <cell r="I130" t="str">
            <v>DA01 53/54 241</v>
          </cell>
          <cell r="J130" t="str">
            <v>APRON WHEEL UP R/L</v>
          </cell>
          <cell r="K130" t="str">
            <v>검사구</v>
          </cell>
          <cell r="M130">
            <v>1</v>
          </cell>
          <cell r="N130">
            <v>1809562</v>
          </cell>
          <cell r="Z130">
            <v>0</v>
          </cell>
          <cell r="AA130" t="str">
            <v>xx</v>
          </cell>
          <cell r="AB130" t="str">
            <v>86-05-20</v>
          </cell>
          <cell r="AG130" t="str">
            <v>KIA</v>
          </cell>
          <cell r="AJ130" t="str">
            <v>금성공업</v>
          </cell>
          <cell r="AK130" t="str">
            <v>금성공업에서 타업체로 이관</v>
          </cell>
        </row>
        <row r="131">
          <cell r="A131">
            <v>145</v>
          </cell>
          <cell r="E131" t="str">
            <v>기아모텍</v>
          </cell>
          <cell r="F131" t="str">
            <v>C4</v>
          </cell>
          <cell r="G131" t="str">
            <v>PRIDE</v>
          </cell>
          <cell r="H131" t="str">
            <v>041102041005</v>
          </cell>
          <cell r="I131" t="str">
            <v>DA01 53/54 245</v>
          </cell>
          <cell r="J131" t="str">
            <v>REINF WHEEL APRON R/L</v>
          </cell>
          <cell r="K131" t="str">
            <v>금형</v>
          </cell>
          <cell r="L131" t="str">
            <v>BL 1/3</v>
          </cell>
          <cell r="M131">
            <v>1</v>
          </cell>
          <cell r="N131">
            <v>9803819</v>
          </cell>
          <cell r="Z131">
            <v>0</v>
          </cell>
          <cell r="AA131" t="str">
            <v>xx</v>
          </cell>
          <cell r="AB131" t="str">
            <v>86-05-20</v>
          </cell>
          <cell r="AG131" t="str">
            <v>KIA</v>
          </cell>
          <cell r="AJ131" t="str">
            <v>금성공업</v>
          </cell>
          <cell r="AK131" t="str">
            <v>금성공업에서 타업체로 이관</v>
          </cell>
        </row>
        <row r="132">
          <cell r="A132">
            <v>146</v>
          </cell>
          <cell r="E132" t="str">
            <v>기아모텍</v>
          </cell>
          <cell r="F132" t="str">
            <v>C4</v>
          </cell>
          <cell r="G132" t="str">
            <v>PRIDE</v>
          </cell>
          <cell r="H132" t="str">
            <v>041102041015</v>
          </cell>
          <cell r="I132" t="str">
            <v>DA01 53/54 245</v>
          </cell>
          <cell r="J132" t="str">
            <v>REINF WHEEL APRON R/L</v>
          </cell>
          <cell r="K132" t="str">
            <v>금형</v>
          </cell>
          <cell r="L132" t="str">
            <v>FORM 2/3</v>
          </cell>
          <cell r="M132">
            <v>1</v>
          </cell>
          <cell r="N132">
            <v>9725872</v>
          </cell>
          <cell r="Z132">
            <v>0</v>
          </cell>
          <cell r="AA132" t="str">
            <v>xx</v>
          </cell>
          <cell r="AB132" t="str">
            <v>86-05-20</v>
          </cell>
          <cell r="AG132" t="str">
            <v>KIA</v>
          </cell>
          <cell r="AJ132" t="str">
            <v>금성공업</v>
          </cell>
          <cell r="AK132" t="str">
            <v>금성공업에서 타업체로 이관</v>
          </cell>
        </row>
        <row r="133">
          <cell r="A133">
            <v>147</v>
          </cell>
          <cell r="E133" t="str">
            <v>기아모텍</v>
          </cell>
          <cell r="F133" t="str">
            <v>C4</v>
          </cell>
          <cell r="G133" t="str">
            <v>PRIDE</v>
          </cell>
          <cell r="H133" t="str">
            <v>041102041025</v>
          </cell>
          <cell r="I133" t="str">
            <v>DA01 53/54 245</v>
          </cell>
          <cell r="J133" t="str">
            <v>REINF WHEEL APRON R/L</v>
          </cell>
          <cell r="K133" t="str">
            <v>금형</v>
          </cell>
          <cell r="L133" t="str">
            <v>PIE 3/3</v>
          </cell>
          <cell r="M133">
            <v>1</v>
          </cell>
          <cell r="N133">
            <v>6115583</v>
          </cell>
          <cell r="Z133">
            <v>0</v>
          </cell>
          <cell r="AA133" t="str">
            <v>xx</v>
          </cell>
          <cell r="AB133" t="str">
            <v>86-05-20</v>
          </cell>
          <cell r="AG133" t="str">
            <v>KIA</v>
          </cell>
          <cell r="AJ133" t="str">
            <v>금성공업</v>
          </cell>
          <cell r="AK133" t="str">
            <v>금성공업에서 타업체로 이관</v>
          </cell>
        </row>
        <row r="134">
          <cell r="A134">
            <v>148</v>
          </cell>
          <cell r="E134" t="str">
            <v>기아모텍</v>
          </cell>
          <cell r="F134" t="str">
            <v>C4</v>
          </cell>
          <cell r="G134" t="str">
            <v>PRIDE</v>
          </cell>
          <cell r="H134" t="str">
            <v>044101012836</v>
          </cell>
          <cell r="I134" t="str">
            <v>DA01 53/54 245</v>
          </cell>
          <cell r="J134" t="str">
            <v>REINF WHL APRON F R/L</v>
          </cell>
          <cell r="K134" t="str">
            <v>검사구</v>
          </cell>
          <cell r="M134">
            <v>1</v>
          </cell>
          <cell r="N134">
            <v>1352060</v>
          </cell>
          <cell r="Z134">
            <v>0</v>
          </cell>
          <cell r="AA134" t="str">
            <v>xx</v>
          </cell>
          <cell r="AB134" t="str">
            <v>88-02-29</v>
          </cell>
          <cell r="AG134" t="str">
            <v>KIA</v>
          </cell>
          <cell r="AJ134" t="str">
            <v>금성공업</v>
          </cell>
          <cell r="AK134" t="str">
            <v>금성공업에서 타업체로 이관</v>
          </cell>
        </row>
        <row r="135">
          <cell r="A135">
            <v>149</v>
          </cell>
          <cell r="E135" t="str">
            <v>기아모텍</v>
          </cell>
          <cell r="F135" t="str">
            <v>A</v>
          </cell>
          <cell r="G135" t="str">
            <v>PRIDE</v>
          </cell>
          <cell r="H135" t="str">
            <v>041102140452</v>
          </cell>
          <cell r="I135" t="str">
            <v>DA01 53/54 291</v>
          </cell>
          <cell r="J135" t="str">
            <v>REINF WHEEL APRON R/L</v>
          </cell>
          <cell r="K135" t="str">
            <v>금형</v>
          </cell>
          <cell r="L135" t="str">
            <v>FORM 1/3</v>
          </cell>
          <cell r="M135">
            <v>1</v>
          </cell>
          <cell r="N135">
            <v>38744540</v>
          </cell>
          <cell r="Y135" t="str">
            <v>STEEL</v>
          </cell>
          <cell r="Z135">
            <v>0.95123159999999995</v>
          </cell>
          <cell r="AA135" t="str">
            <v>1100x510x360</v>
          </cell>
          <cell r="AB135" t="str">
            <v>87-12-30</v>
          </cell>
          <cell r="AG135" t="str">
            <v>MC</v>
          </cell>
          <cell r="AI135" t="str">
            <v>구동산업</v>
          </cell>
        </row>
        <row r="136">
          <cell r="A136">
            <v>150</v>
          </cell>
          <cell r="E136" t="str">
            <v>기아모텍</v>
          </cell>
          <cell r="F136" t="str">
            <v>A</v>
          </cell>
          <cell r="G136" t="str">
            <v>PRIDE</v>
          </cell>
          <cell r="H136" t="str">
            <v>041102240429</v>
          </cell>
          <cell r="I136" t="str">
            <v>DA01 53/54 291</v>
          </cell>
          <cell r="J136" t="str">
            <v>REINF WHEEL APRON R/L</v>
          </cell>
          <cell r="K136" t="str">
            <v>금형</v>
          </cell>
          <cell r="L136" t="str">
            <v>TR/PI 2/3</v>
          </cell>
          <cell r="M136">
            <v>1</v>
          </cell>
          <cell r="N136">
            <v>41340294</v>
          </cell>
          <cell r="Y136" t="str">
            <v>STEEL</v>
          </cell>
          <cell r="Z136">
            <v>0.95123159999999995</v>
          </cell>
          <cell r="AA136" t="str">
            <v>1100x510x360</v>
          </cell>
          <cell r="AB136" t="str">
            <v>87-12-30</v>
          </cell>
          <cell r="AG136" t="str">
            <v>MC</v>
          </cell>
          <cell r="AI136" t="str">
            <v>구동산업</v>
          </cell>
        </row>
        <row r="137">
          <cell r="A137">
            <v>151</v>
          </cell>
          <cell r="E137" t="str">
            <v>기아모텍</v>
          </cell>
          <cell r="F137" t="str">
            <v>A</v>
          </cell>
          <cell r="G137" t="str">
            <v>PRIDE</v>
          </cell>
          <cell r="H137" t="str">
            <v>041102340376</v>
          </cell>
          <cell r="I137" t="str">
            <v>DA01 53/54 291</v>
          </cell>
          <cell r="J137" t="str">
            <v>REINF WHEEL APRON R/L</v>
          </cell>
          <cell r="K137" t="str">
            <v>금형</v>
          </cell>
          <cell r="L137" t="str">
            <v>SEP 3/3</v>
          </cell>
          <cell r="M137">
            <v>1</v>
          </cell>
          <cell r="N137">
            <v>36162483</v>
          </cell>
          <cell r="Y137" t="str">
            <v>STEEL</v>
          </cell>
          <cell r="Z137">
            <v>0.95123159999999995</v>
          </cell>
          <cell r="AA137" t="str">
            <v>1100x510x360</v>
          </cell>
          <cell r="AB137" t="str">
            <v>87-12-30</v>
          </cell>
          <cell r="AG137" t="str">
            <v>MC</v>
          </cell>
          <cell r="AI137" t="str">
            <v>구동산업</v>
          </cell>
        </row>
        <row r="138">
          <cell r="A138">
            <v>152</v>
          </cell>
          <cell r="E138" t="str">
            <v>기아모텍</v>
          </cell>
          <cell r="F138" t="str">
            <v>C1</v>
          </cell>
          <cell r="G138" t="str">
            <v>PRIDE</v>
          </cell>
          <cell r="I138" t="str">
            <v>DA01 53/54 292</v>
          </cell>
          <cell r="J138" t="str">
            <v>REINF WHL APRON R/L</v>
          </cell>
          <cell r="K138" t="str">
            <v>검사구</v>
          </cell>
          <cell r="M138">
            <v>2</v>
          </cell>
          <cell r="N138">
            <v>1230000</v>
          </cell>
          <cell r="Y138" t="str">
            <v>수지</v>
          </cell>
          <cell r="Z138">
            <v>0</v>
          </cell>
          <cell r="AA138" t="str">
            <v>xx</v>
          </cell>
          <cell r="AB138" t="str">
            <v>85-10-31</v>
          </cell>
          <cell r="AJ138" t="str">
            <v>㈜기우</v>
          </cell>
        </row>
        <row r="139">
          <cell r="A139">
            <v>153</v>
          </cell>
          <cell r="E139" t="str">
            <v>기아모텍</v>
          </cell>
          <cell r="F139" t="str">
            <v>C4</v>
          </cell>
          <cell r="G139" t="str">
            <v>PRIDE</v>
          </cell>
          <cell r="I139" t="str">
            <v>DA01 53/54 761</v>
          </cell>
          <cell r="J139" t="str">
            <v>B/K BUMPER A R/L</v>
          </cell>
          <cell r="K139" t="str">
            <v>검사구</v>
          </cell>
          <cell r="M139">
            <v>2</v>
          </cell>
          <cell r="N139">
            <v>1560000</v>
          </cell>
          <cell r="Z139">
            <v>0</v>
          </cell>
          <cell r="AA139" t="str">
            <v>xx</v>
          </cell>
          <cell r="AB139" t="str">
            <v>85-10-08</v>
          </cell>
          <cell r="AG139" t="str">
            <v>MC</v>
          </cell>
          <cell r="AJ139" t="str">
            <v>금성공업</v>
          </cell>
          <cell r="AK139" t="str">
            <v>금성공업에서 타업체로 이관</v>
          </cell>
        </row>
        <row r="140">
          <cell r="A140">
            <v>154</v>
          </cell>
          <cell r="E140" t="str">
            <v>기아모텍</v>
          </cell>
          <cell r="F140" t="str">
            <v>C4</v>
          </cell>
          <cell r="G140" t="str">
            <v>PRIDE</v>
          </cell>
          <cell r="I140" t="str">
            <v>DA01 53/54 762</v>
          </cell>
          <cell r="J140" t="str">
            <v>B/K BUMPER B R/L</v>
          </cell>
          <cell r="K140" t="str">
            <v>검사구</v>
          </cell>
          <cell r="M140">
            <v>2</v>
          </cell>
          <cell r="N140">
            <v>4755014</v>
          </cell>
          <cell r="Z140">
            <v>0</v>
          </cell>
          <cell r="AA140" t="str">
            <v>xx</v>
          </cell>
          <cell r="AB140" t="str">
            <v>85-11-30</v>
          </cell>
          <cell r="AG140" t="str">
            <v>MC</v>
          </cell>
          <cell r="AJ140" t="str">
            <v>금성공업</v>
          </cell>
          <cell r="AK140" t="str">
            <v>금성공업에서 타업체로 이관</v>
          </cell>
        </row>
        <row r="141">
          <cell r="A141">
            <v>155</v>
          </cell>
          <cell r="E141" t="str">
            <v>기아모텍</v>
          </cell>
          <cell r="F141" t="str">
            <v>C4</v>
          </cell>
          <cell r="G141" t="str">
            <v>PRIDE</v>
          </cell>
          <cell r="H141" t="str">
            <v>041102060269</v>
          </cell>
          <cell r="I141" t="str">
            <v>DA01 53/54 951</v>
          </cell>
          <cell r="J141" t="str">
            <v>SILL SIDE IN FRT R/L</v>
          </cell>
          <cell r="K141" t="str">
            <v>금형</v>
          </cell>
          <cell r="L141" t="str">
            <v>DR 1/3</v>
          </cell>
          <cell r="M141">
            <v>1</v>
          </cell>
          <cell r="N141">
            <v>9438660</v>
          </cell>
          <cell r="Z141">
            <v>0</v>
          </cell>
          <cell r="AA141" t="str">
            <v>xx</v>
          </cell>
          <cell r="AB141" t="str">
            <v>88-05-17</v>
          </cell>
          <cell r="AG141" t="str">
            <v>KIA</v>
          </cell>
          <cell r="AJ141" t="str">
            <v>금성공업</v>
          </cell>
          <cell r="AK141" t="str">
            <v>금성공업에서 타업체로 이관</v>
          </cell>
        </row>
        <row r="142">
          <cell r="A142">
            <v>156</v>
          </cell>
          <cell r="E142" t="str">
            <v>기아모텍</v>
          </cell>
          <cell r="F142" t="str">
            <v>C4</v>
          </cell>
          <cell r="G142" t="str">
            <v>PRIDE</v>
          </cell>
          <cell r="H142" t="str">
            <v>041102060279</v>
          </cell>
          <cell r="I142" t="str">
            <v>DA01 53/54 951</v>
          </cell>
          <cell r="J142" t="str">
            <v>SILL SIDE IN FRT R/L</v>
          </cell>
          <cell r="K142" t="str">
            <v>금형</v>
          </cell>
          <cell r="L142" t="str">
            <v>TR/PIE 2/3</v>
          </cell>
          <cell r="M142">
            <v>1</v>
          </cell>
          <cell r="N142">
            <v>12480911</v>
          </cell>
          <cell r="Z142">
            <v>0</v>
          </cell>
          <cell r="AA142" t="str">
            <v>xx</v>
          </cell>
          <cell r="AB142" t="str">
            <v>86-05-17</v>
          </cell>
          <cell r="AG142" t="str">
            <v>KIA</v>
          </cell>
          <cell r="AJ142" t="str">
            <v>금성공업</v>
          </cell>
          <cell r="AK142" t="str">
            <v>금성공업에서 타업체로 이관</v>
          </cell>
        </row>
        <row r="143">
          <cell r="A143">
            <v>157</v>
          </cell>
          <cell r="E143" t="str">
            <v>기아모텍</v>
          </cell>
          <cell r="F143" t="str">
            <v>C4</v>
          </cell>
          <cell r="G143" t="str">
            <v>PRIDE</v>
          </cell>
          <cell r="H143" t="str">
            <v>041102060289</v>
          </cell>
          <cell r="I143" t="str">
            <v>DA01 53/54 951</v>
          </cell>
          <cell r="J143" t="str">
            <v>SILL SIDE IN FRT R/L</v>
          </cell>
          <cell r="K143" t="str">
            <v>금형</v>
          </cell>
          <cell r="L143" t="str">
            <v>SEP/PIE 3/3</v>
          </cell>
          <cell r="M143">
            <v>1</v>
          </cell>
          <cell r="N143">
            <v>13442074</v>
          </cell>
          <cell r="Z143">
            <v>0</v>
          </cell>
          <cell r="AA143" t="str">
            <v>xx</v>
          </cell>
          <cell r="AB143" t="str">
            <v>86-05-17</v>
          </cell>
          <cell r="AG143" t="str">
            <v>KIA</v>
          </cell>
          <cell r="AJ143" t="str">
            <v>금성공업</v>
          </cell>
          <cell r="AK143" t="str">
            <v>금성공업에서 타업체로 이관</v>
          </cell>
        </row>
        <row r="144">
          <cell r="A144">
            <v>158</v>
          </cell>
          <cell r="E144" t="str">
            <v>기아모텍</v>
          </cell>
          <cell r="F144" t="str">
            <v>A</v>
          </cell>
          <cell r="G144" t="str">
            <v>PRIDE</v>
          </cell>
          <cell r="H144" t="str">
            <v>044101011326</v>
          </cell>
          <cell r="I144" t="str">
            <v>DA01 54 291</v>
          </cell>
          <cell r="J144" t="str">
            <v>REINF WHEEL APRON LH</v>
          </cell>
          <cell r="K144" t="str">
            <v>검사구</v>
          </cell>
          <cell r="M144">
            <v>1</v>
          </cell>
          <cell r="N144">
            <v>3000551</v>
          </cell>
          <cell r="Y144" t="str">
            <v>수지</v>
          </cell>
          <cell r="Z144">
            <v>1.3056120000000001E-2</v>
          </cell>
          <cell r="AA144" t="str">
            <v>330x210x120</v>
          </cell>
          <cell r="AB144" t="str">
            <v>86-07-01</v>
          </cell>
          <cell r="AG144" t="str">
            <v>MC</v>
          </cell>
          <cell r="AI144" t="str">
            <v>구동산업</v>
          </cell>
        </row>
        <row r="145">
          <cell r="A145">
            <v>159</v>
          </cell>
          <cell r="E145" t="str">
            <v>기아모텍</v>
          </cell>
          <cell r="F145" t="str">
            <v>C4</v>
          </cell>
          <cell r="G145" t="str">
            <v>PRIDE</v>
          </cell>
          <cell r="H145" t="str">
            <v>044206010068</v>
          </cell>
          <cell r="I145" t="str">
            <v>DA01 54 481</v>
          </cell>
          <cell r="J145" t="str">
            <v>B/K BACK MTG</v>
          </cell>
          <cell r="K145" t="str">
            <v>검사구</v>
          </cell>
          <cell r="M145">
            <v>1</v>
          </cell>
          <cell r="N145">
            <v>414399</v>
          </cell>
          <cell r="Z145">
            <v>0</v>
          </cell>
          <cell r="AA145" t="str">
            <v>xx</v>
          </cell>
          <cell r="AB145" t="str">
            <v>85-10-07</v>
          </cell>
          <cell r="AG145" t="str">
            <v>KIA</v>
          </cell>
          <cell r="AJ145" t="str">
            <v>금성공업</v>
          </cell>
          <cell r="AK145" t="str">
            <v>금성공업에서 타업체로 이관</v>
          </cell>
        </row>
        <row r="146">
          <cell r="A146">
            <v>160</v>
          </cell>
          <cell r="E146" t="str">
            <v>기아모텍</v>
          </cell>
          <cell r="F146" t="str">
            <v>A</v>
          </cell>
          <cell r="G146" t="str">
            <v>PRIDE</v>
          </cell>
          <cell r="H146" t="str">
            <v>044901014540</v>
          </cell>
          <cell r="I146" t="str">
            <v>DA01 54 541</v>
          </cell>
          <cell r="J146" t="str">
            <v>B/K-BLOWER R/L</v>
          </cell>
          <cell r="K146" t="str">
            <v>검사구</v>
          </cell>
          <cell r="M146">
            <v>1</v>
          </cell>
          <cell r="N146">
            <v>718781</v>
          </cell>
          <cell r="AA146" t="str">
            <v>xx</v>
          </cell>
          <cell r="AB146" t="str">
            <v>85-11-30</v>
          </cell>
          <cell r="AG146" t="str">
            <v>MC</v>
          </cell>
          <cell r="AK146" t="str">
            <v>당사품이 아님</v>
          </cell>
        </row>
        <row r="147">
          <cell r="A147">
            <v>161</v>
          </cell>
          <cell r="E147" t="str">
            <v>기아모텍</v>
          </cell>
          <cell r="F147" t="str">
            <v>A</v>
          </cell>
          <cell r="G147" t="str">
            <v>PRIDE P031</v>
          </cell>
          <cell r="H147" t="str">
            <v>041102110915</v>
          </cell>
          <cell r="I147" t="str">
            <v>DA01 58 020</v>
          </cell>
          <cell r="J147" t="str">
            <v>DOOR ASSY-F RH HEM</v>
          </cell>
          <cell r="K147" t="str">
            <v>금형</v>
          </cell>
          <cell r="L147" t="str">
            <v>HEM</v>
          </cell>
          <cell r="M147">
            <v>1</v>
          </cell>
          <cell r="N147">
            <v>104020861</v>
          </cell>
          <cell r="Y147" t="str">
            <v>주물</v>
          </cell>
          <cell r="AA147" t="str">
            <v>xx</v>
          </cell>
          <cell r="AB147" t="str">
            <v>87-01-04</v>
          </cell>
          <cell r="AG147" t="str">
            <v>MAZDA</v>
          </cell>
          <cell r="AI147" t="str">
            <v>KMO 안산2공장</v>
          </cell>
        </row>
        <row r="148">
          <cell r="A148">
            <v>162</v>
          </cell>
          <cell r="E148" t="str">
            <v>기아모텍</v>
          </cell>
          <cell r="F148" t="str">
            <v>A</v>
          </cell>
          <cell r="G148" t="str">
            <v>PRIDE 3DOOR</v>
          </cell>
          <cell r="H148" t="str">
            <v>041102150354</v>
          </cell>
          <cell r="I148" t="str">
            <v>DA01 58 071</v>
          </cell>
          <cell r="J148" t="str">
            <v>FRT DOOR IN RH</v>
          </cell>
          <cell r="K148" t="str">
            <v>금형</v>
          </cell>
          <cell r="L148" t="str">
            <v>1/5 DR</v>
          </cell>
          <cell r="M148">
            <v>1</v>
          </cell>
          <cell r="N148">
            <v>86491957</v>
          </cell>
          <cell r="Y148" t="str">
            <v>주물</v>
          </cell>
          <cell r="Z148">
            <v>14.862875999999998</v>
          </cell>
          <cell r="AA148" t="str">
            <v>2300x1400x980</v>
          </cell>
          <cell r="AB148" t="str">
            <v>93-02-04</v>
          </cell>
          <cell r="AG148" t="str">
            <v>MAZDA</v>
          </cell>
          <cell r="AI148" t="str">
            <v>KMO 안산2공장</v>
          </cell>
          <cell r="AK148" t="str">
            <v>93.외주조치</v>
          </cell>
        </row>
        <row r="149">
          <cell r="A149">
            <v>163</v>
          </cell>
          <cell r="E149" t="str">
            <v>기아모텍</v>
          </cell>
          <cell r="F149" t="str">
            <v>A</v>
          </cell>
          <cell r="G149" t="str">
            <v>PRIDE 3DOOR</v>
          </cell>
          <cell r="H149" t="str">
            <v>041102250331</v>
          </cell>
          <cell r="I149" t="str">
            <v>DA01 58 071</v>
          </cell>
          <cell r="J149" t="str">
            <v>FRT DOOR IN RH</v>
          </cell>
          <cell r="K149" t="str">
            <v>금형</v>
          </cell>
          <cell r="L149" t="str">
            <v>2/5 FORM</v>
          </cell>
          <cell r="M149">
            <v>1</v>
          </cell>
          <cell r="N149">
            <v>83687426</v>
          </cell>
          <cell r="Y149" t="str">
            <v>주물</v>
          </cell>
          <cell r="Z149">
            <v>14.862875999999998</v>
          </cell>
          <cell r="AA149" t="str">
            <v>2300x1400x980</v>
          </cell>
          <cell r="AB149" t="str">
            <v>93-02-04</v>
          </cell>
          <cell r="AG149" t="str">
            <v>MAZDA</v>
          </cell>
          <cell r="AI149" t="str">
            <v>KMO 안산2공장</v>
          </cell>
          <cell r="AK149" t="str">
            <v>93.외주조치</v>
          </cell>
        </row>
        <row r="150">
          <cell r="A150">
            <v>164</v>
          </cell>
          <cell r="E150" t="str">
            <v>기아모텍</v>
          </cell>
          <cell r="F150" t="str">
            <v>A</v>
          </cell>
          <cell r="G150" t="str">
            <v>PRIDE 3DOOR</v>
          </cell>
          <cell r="H150" t="str">
            <v>041102350368</v>
          </cell>
          <cell r="I150" t="str">
            <v>DA01 58 071</v>
          </cell>
          <cell r="J150" t="str">
            <v>FRT DOOR IN RH</v>
          </cell>
          <cell r="K150" t="str">
            <v>금형</v>
          </cell>
          <cell r="L150" t="str">
            <v>3/5 TR&amp;PLER</v>
          </cell>
          <cell r="M150">
            <v>1</v>
          </cell>
          <cell r="N150">
            <v>80827741</v>
          </cell>
          <cell r="Y150" t="str">
            <v>주물</v>
          </cell>
          <cell r="Z150">
            <v>14.862875999999998</v>
          </cell>
          <cell r="AA150" t="str">
            <v>2300x1400x980</v>
          </cell>
          <cell r="AB150" t="str">
            <v>93-02-04</v>
          </cell>
          <cell r="AG150" t="str">
            <v>MAZDA</v>
          </cell>
          <cell r="AI150" t="str">
            <v>KMO 안산2공장</v>
          </cell>
          <cell r="AK150" t="str">
            <v>93.외주조치</v>
          </cell>
        </row>
        <row r="151">
          <cell r="A151">
            <v>165</v>
          </cell>
          <cell r="E151" t="str">
            <v>기아모텍</v>
          </cell>
          <cell r="F151" t="str">
            <v>A</v>
          </cell>
          <cell r="G151" t="str">
            <v>PRIDE 3DOOR</v>
          </cell>
          <cell r="H151" t="str">
            <v>041102450324</v>
          </cell>
          <cell r="I151" t="str">
            <v>DA01 58 071</v>
          </cell>
          <cell r="J151" t="str">
            <v>FRT DOOR IN RH</v>
          </cell>
          <cell r="K151" t="str">
            <v>금형</v>
          </cell>
          <cell r="L151" t="str">
            <v>4/5 FL&amp;PLER</v>
          </cell>
          <cell r="M151">
            <v>1</v>
          </cell>
          <cell r="N151">
            <v>105916167</v>
          </cell>
          <cell r="Y151" t="str">
            <v>주물</v>
          </cell>
          <cell r="Z151">
            <v>14.862875999999998</v>
          </cell>
          <cell r="AA151" t="str">
            <v>2300x1400x980</v>
          </cell>
          <cell r="AB151" t="str">
            <v>93-02-04</v>
          </cell>
          <cell r="AG151" t="str">
            <v>MAZDA</v>
          </cell>
          <cell r="AI151" t="str">
            <v>KMO 안산2공장</v>
          </cell>
          <cell r="AK151" t="str">
            <v>93.외주조치</v>
          </cell>
        </row>
        <row r="152">
          <cell r="A152">
            <v>166</v>
          </cell>
          <cell r="E152" t="str">
            <v>기아모텍</v>
          </cell>
          <cell r="F152" t="str">
            <v>A</v>
          </cell>
          <cell r="G152" t="str">
            <v>PRIDE 3DOOR</v>
          </cell>
          <cell r="H152" t="str">
            <v>041102550361</v>
          </cell>
          <cell r="I152" t="str">
            <v>DA01 58 071</v>
          </cell>
          <cell r="J152" t="str">
            <v>FRT DOOR IN RH</v>
          </cell>
          <cell r="K152" t="str">
            <v>금형</v>
          </cell>
          <cell r="L152" t="str">
            <v>5/5 RE&amp;BEND</v>
          </cell>
          <cell r="M152">
            <v>1</v>
          </cell>
          <cell r="N152">
            <v>73337568</v>
          </cell>
          <cell r="Y152" t="str">
            <v>주물</v>
          </cell>
          <cell r="Z152">
            <v>14.862875999999998</v>
          </cell>
          <cell r="AA152" t="str">
            <v>2300x1400x980</v>
          </cell>
          <cell r="AB152" t="str">
            <v>93-02-04</v>
          </cell>
          <cell r="AG152" t="str">
            <v>MAZDA</v>
          </cell>
          <cell r="AI152" t="str">
            <v>KMO 안산2공장</v>
          </cell>
          <cell r="AK152" t="str">
            <v>93.외주조치</v>
          </cell>
        </row>
        <row r="153">
          <cell r="A153">
            <v>167</v>
          </cell>
          <cell r="E153" t="str">
            <v>기아모텍</v>
          </cell>
          <cell r="F153" t="str">
            <v>C1</v>
          </cell>
          <cell r="G153" t="str">
            <v>PRIDE DR공용</v>
          </cell>
          <cell r="H153" t="str">
            <v>044101011946</v>
          </cell>
          <cell r="I153" t="str">
            <v>DA01 58 071</v>
          </cell>
          <cell r="J153" t="str">
            <v>PANEL-F DOOR IN C/F</v>
          </cell>
          <cell r="K153" t="str">
            <v>검사구</v>
          </cell>
          <cell r="M153">
            <v>1</v>
          </cell>
          <cell r="N153">
            <v>96485541</v>
          </cell>
          <cell r="Y153" t="str">
            <v>수지</v>
          </cell>
          <cell r="Z153">
            <v>0</v>
          </cell>
          <cell r="AA153" t="str">
            <v>xx</v>
          </cell>
          <cell r="AB153" t="str">
            <v>87-01-04</v>
          </cell>
          <cell r="AG153" t="str">
            <v>MAZDA</v>
          </cell>
          <cell r="AI153" t="str">
            <v>KMO 안산2공장</v>
          </cell>
        </row>
        <row r="154">
          <cell r="A154">
            <v>168</v>
          </cell>
          <cell r="E154" t="str">
            <v>기아모텍</v>
          </cell>
          <cell r="F154" t="str">
            <v>C3</v>
          </cell>
          <cell r="G154" t="str">
            <v>PRIDE</v>
          </cell>
          <cell r="H154" t="str">
            <v>044901014400</v>
          </cell>
          <cell r="I154" t="str">
            <v>DA01 58 190</v>
          </cell>
          <cell r="J154" t="str">
            <v>BAR ASSY-IMPACT RH</v>
          </cell>
          <cell r="K154" t="str">
            <v>검사구</v>
          </cell>
          <cell r="M154">
            <v>1</v>
          </cell>
          <cell r="N154">
            <v>7127752</v>
          </cell>
          <cell r="Y154" t="str">
            <v>수지</v>
          </cell>
          <cell r="Z154">
            <v>0</v>
          </cell>
          <cell r="AA154" t="str">
            <v>xx</v>
          </cell>
          <cell r="AB154" t="str">
            <v>85-11-30</v>
          </cell>
          <cell r="AG154" t="str">
            <v>MC</v>
          </cell>
          <cell r="AI154" t="str">
            <v>일석산업</v>
          </cell>
        </row>
        <row r="155">
          <cell r="A155">
            <v>169</v>
          </cell>
          <cell r="E155" t="str">
            <v>기아모텍</v>
          </cell>
          <cell r="F155" t="str">
            <v>A</v>
          </cell>
          <cell r="G155" t="str">
            <v>PRIDE DR공용</v>
          </cell>
          <cell r="H155" t="str">
            <v>042104011045</v>
          </cell>
          <cell r="I155" t="str">
            <v>DA01 58/59 010</v>
          </cell>
          <cell r="J155" t="str">
            <v>FRT DOOR ASSY W/J R/L</v>
          </cell>
          <cell r="K155" t="str">
            <v>치구</v>
          </cell>
          <cell r="L155" t="str">
            <v>070ST</v>
          </cell>
          <cell r="M155">
            <v>2</v>
          </cell>
          <cell r="N155">
            <v>112202900</v>
          </cell>
          <cell r="Z155">
            <v>0</v>
          </cell>
          <cell r="AA155" t="str">
            <v>xx</v>
          </cell>
          <cell r="AB155" t="str">
            <v>87-01-04</v>
          </cell>
          <cell r="AG155" t="str">
            <v>MAZDA</v>
          </cell>
          <cell r="AI155" t="str">
            <v>KMO 안산2공장</v>
          </cell>
        </row>
        <row r="156">
          <cell r="A156">
            <v>169.10000610351563</v>
          </cell>
          <cell r="E156" t="str">
            <v>기아모텍</v>
          </cell>
          <cell r="F156" t="str">
            <v>A</v>
          </cell>
          <cell r="G156" t="str">
            <v>PRIDE DR공용</v>
          </cell>
          <cell r="H156" t="str">
            <v>042104011045</v>
          </cell>
          <cell r="I156" t="str">
            <v>DA01 58/59 010</v>
          </cell>
          <cell r="J156" t="str">
            <v>FRT DOOR ASSY W/J R/L</v>
          </cell>
          <cell r="K156" t="str">
            <v>치구</v>
          </cell>
          <cell r="L156" t="str">
            <v>070ST</v>
          </cell>
          <cell r="M156">
            <v>1</v>
          </cell>
          <cell r="Z156">
            <v>0</v>
          </cell>
          <cell r="AA156" t="str">
            <v>xx</v>
          </cell>
          <cell r="AB156" t="str">
            <v>87-01-04</v>
          </cell>
          <cell r="AG156" t="str">
            <v>MAZDA</v>
          </cell>
          <cell r="AI156" t="str">
            <v>KMO 안산2공장</v>
          </cell>
        </row>
        <row r="157">
          <cell r="A157">
            <v>169.19999694824219</v>
          </cell>
          <cell r="E157" t="str">
            <v>기아모텍</v>
          </cell>
          <cell r="F157" t="str">
            <v>A</v>
          </cell>
          <cell r="G157" t="str">
            <v>PRIDE DR공용</v>
          </cell>
          <cell r="H157" t="str">
            <v>042104011045</v>
          </cell>
          <cell r="I157" t="str">
            <v>DA01 58/59 010</v>
          </cell>
          <cell r="J157" t="str">
            <v>FRT DOOR ASSY W/J R/L</v>
          </cell>
          <cell r="K157" t="str">
            <v>치구</v>
          </cell>
          <cell r="L157" t="str">
            <v>070ST</v>
          </cell>
          <cell r="M157">
            <v>1</v>
          </cell>
          <cell r="Z157">
            <v>0</v>
          </cell>
          <cell r="AA157" t="str">
            <v>xx</v>
          </cell>
          <cell r="AB157" t="str">
            <v>87-01-04</v>
          </cell>
          <cell r="AG157" t="str">
            <v>MAZDA</v>
          </cell>
          <cell r="AI157" t="str">
            <v>KMO 안산2공장</v>
          </cell>
        </row>
        <row r="158">
          <cell r="A158">
            <v>170</v>
          </cell>
          <cell r="E158" t="str">
            <v>기아모텍</v>
          </cell>
          <cell r="F158" t="str">
            <v>A</v>
          </cell>
          <cell r="G158" t="str">
            <v>PRIDE</v>
          </cell>
          <cell r="H158" t="str">
            <v>042104011055</v>
          </cell>
          <cell r="I158" t="str">
            <v>DA01 58/59 010</v>
          </cell>
          <cell r="J158" t="str">
            <v>FRT DOOR ASSY WGW R/L</v>
          </cell>
          <cell r="K158" t="str">
            <v>치구</v>
          </cell>
          <cell r="L158" t="str">
            <v>080ST</v>
          </cell>
          <cell r="M158">
            <v>2</v>
          </cell>
          <cell r="N158">
            <v>118264030</v>
          </cell>
          <cell r="Z158">
            <v>0</v>
          </cell>
          <cell r="AA158" t="str">
            <v>xx</v>
          </cell>
          <cell r="AB158" t="str">
            <v>87-01-04</v>
          </cell>
          <cell r="AG158" t="str">
            <v>MAZDA</v>
          </cell>
          <cell r="AI158" t="str">
            <v>KMO 안산2공장</v>
          </cell>
        </row>
        <row r="159">
          <cell r="A159">
            <v>170.10000610351563</v>
          </cell>
          <cell r="E159" t="str">
            <v>기아모텍</v>
          </cell>
          <cell r="F159" t="str">
            <v>A</v>
          </cell>
          <cell r="G159" t="str">
            <v>PRIDE</v>
          </cell>
          <cell r="H159" t="str">
            <v>042104011055</v>
          </cell>
          <cell r="I159" t="str">
            <v>DA01 58/59 010</v>
          </cell>
          <cell r="J159" t="str">
            <v>FRT DOOR ASSY WGW R/L</v>
          </cell>
          <cell r="K159" t="str">
            <v>치구</v>
          </cell>
          <cell r="L159" t="str">
            <v>080ST</v>
          </cell>
          <cell r="M159">
            <v>2</v>
          </cell>
          <cell r="N159">
            <v>118264030</v>
          </cell>
          <cell r="Z159">
            <v>0</v>
          </cell>
          <cell r="AA159" t="str">
            <v>xx</v>
          </cell>
          <cell r="AB159" t="str">
            <v>87-01-04</v>
          </cell>
          <cell r="AG159" t="str">
            <v>MAZDA</v>
          </cell>
          <cell r="AI159" t="str">
            <v>KMO 안산2공장</v>
          </cell>
        </row>
        <row r="160">
          <cell r="A160">
            <v>170.19999694824219</v>
          </cell>
          <cell r="E160" t="str">
            <v>기아모텍</v>
          </cell>
          <cell r="F160" t="str">
            <v>A</v>
          </cell>
          <cell r="G160" t="str">
            <v>PRIDE</v>
          </cell>
          <cell r="H160" t="str">
            <v>042104011055</v>
          </cell>
          <cell r="I160" t="str">
            <v>DA01 58/59 010</v>
          </cell>
          <cell r="J160" t="str">
            <v>FRT DOOR ASSY WGW R/L</v>
          </cell>
          <cell r="K160" t="str">
            <v>치구</v>
          </cell>
          <cell r="L160" t="str">
            <v>080ST</v>
          </cell>
          <cell r="M160">
            <v>2</v>
          </cell>
          <cell r="N160">
            <v>118264030</v>
          </cell>
          <cell r="Z160">
            <v>0</v>
          </cell>
          <cell r="AA160" t="str">
            <v>xx</v>
          </cell>
          <cell r="AB160" t="str">
            <v>87-01-04</v>
          </cell>
          <cell r="AG160" t="str">
            <v>MAZDA</v>
          </cell>
          <cell r="AI160" t="str">
            <v>KMO 안산2공장</v>
          </cell>
        </row>
        <row r="161">
          <cell r="A161">
            <v>171</v>
          </cell>
          <cell r="E161" t="str">
            <v>기아모텍</v>
          </cell>
          <cell r="F161" t="str">
            <v>A</v>
          </cell>
          <cell r="G161" t="str">
            <v>PRIDE</v>
          </cell>
          <cell r="H161" t="str">
            <v>044101021268</v>
          </cell>
          <cell r="I161" t="str">
            <v>DA01 58/59 010</v>
          </cell>
          <cell r="J161" t="str">
            <v>FRT DOOR JIG MASTER</v>
          </cell>
          <cell r="K161" t="str">
            <v>치구</v>
          </cell>
          <cell r="M161">
            <v>2</v>
          </cell>
          <cell r="N161">
            <v>142353752</v>
          </cell>
          <cell r="Z161">
            <v>0</v>
          </cell>
          <cell r="AA161" t="str">
            <v>xx</v>
          </cell>
          <cell r="AB161" t="str">
            <v>87-12-30</v>
          </cell>
          <cell r="AG161" t="str">
            <v>MAZDA</v>
          </cell>
          <cell r="AI161" t="str">
            <v>KMO 안산2공장</v>
          </cell>
        </row>
        <row r="162">
          <cell r="A162">
            <v>172</v>
          </cell>
          <cell r="E162" t="str">
            <v>기아모텍</v>
          </cell>
          <cell r="F162" t="str">
            <v>A</v>
          </cell>
          <cell r="G162" t="str">
            <v>PRIDE</v>
          </cell>
          <cell r="H162" t="str">
            <v>042104011065</v>
          </cell>
          <cell r="I162" t="str">
            <v>DA01 58/59 070</v>
          </cell>
          <cell r="J162" t="str">
            <v>FRT DOOR IN ASSY PSW R/L</v>
          </cell>
          <cell r="K162" t="str">
            <v>치구</v>
          </cell>
          <cell r="L162" t="str">
            <v>010ST</v>
          </cell>
          <cell r="M162">
            <v>2</v>
          </cell>
          <cell r="N162">
            <v>130999096</v>
          </cell>
          <cell r="Z162">
            <v>0</v>
          </cell>
          <cell r="AA162" t="str">
            <v>xx</v>
          </cell>
          <cell r="AB162" t="str">
            <v>87-01-04</v>
          </cell>
          <cell r="AG162" t="str">
            <v>MAZDA</v>
          </cell>
          <cell r="AI162" t="str">
            <v>KMO 안산2공장</v>
          </cell>
        </row>
        <row r="163">
          <cell r="A163">
            <v>172.10000610351563</v>
          </cell>
          <cell r="E163" t="str">
            <v>기아모텍</v>
          </cell>
          <cell r="F163" t="str">
            <v>A</v>
          </cell>
          <cell r="G163" t="str">
            <v>PRIDE</v>
          </cell>
          <cell r="H163" t="str">
            <v>042104011065</v>
          </cell>
          <cell r="I163" t="str">
            <v>DA01 58/59 070</v>
          </cell>
          <cell r="J163" t="str">
            <v>FRT DOOR IN ASSY PSW R/L</v>
          </cell>
          <cell r="K163" t="str">
            <v>치구</v>
          </cell>
          <cell r="L163" t="str">
            <v>010ST</v>
          </cell>
          <cell r="M163">
            <v>1</v>
          </cell>
          <cell r="Z163">
            <v>0</v>
          </cell>
          <cell r="AA163" t="str">
            <v>xx</v>
          </cell>
          <cell r="AB163" t="str">
            <v>87-01-04</v>
          </cell>
          <cell r="AG163" t="str">
            <v>MAZDA</v>
          </cell>
          <cell r="AI163" t="str">
            <v>KMO 안산2공장</v>
          </cell>
        </row>
        <row r="164">
          <cell r="A164">
            <v>172.19999694824219</v>
          </cell>
          <cell r="E164" t="str">
            <v>기아모텍</v>
          </cell>
          <cell r="F164" t="str">
            <v>A</v>
          </cell>
          <cell r="G164" t="str">
            <v>PRIDE</v>
          </cell>
          <cell r="H164" t="str">
            <v>042104011065</v>
          </cell>
          <cell r="I164" t="str">
            <v>DA01 58/59 070</v>
          </cell>
          <cell r="J164" t="str">
            <v>FRT DOOR IN ASSY PSW R/L</v>
          </cell>
          <cell r="K164" t="str">
            <v>치구</v>
          </cell>
          <cell r="L164" t="str">
            <v>010ST</v>
          </cell>
          <cell r="M164">
            <v>1</v>
          </cell>
          <cell r="Z164">
            <v>0</v>
          </cell>
          <cell r="AA164" t="str">
            <v>xx</v>
          </cell>
          <cell r="AB164" t="str">
            <v>87-01-04</v>
          </cell>
          <cell r="AG164" t="str">
            <v>MAZDA</v>
          </cell>
          <cell r="AI164" t="str">
            <v>KMO 안산2공장</v>
          </cell>
        </row>
        <row r="165">
          <cell r="A165">
            <v>173</v>
          </cell>
          <cell r="E165" t="str">
            <v>기아모텍</v>
          </cell>
          <cell r="F165" t="str">
            <v>A</v>
          </cell>
          <cell r="G165" t="str">
            <v>PRIDE</v>
          </cell>
          <cell r="H165" t="str">
            <v>042104011225</v>
          </cell>
          <cell r="I165" t="str">
            <v>DA01 58/59 070</v>
          </cell>
          <cell r="J165" t="str">
            <v>FRT DOOR IN ASSY PSW R/L</v>
          </cell>
          <cell r="K165" t="str">
            <v>치구</v>
          </cell>
          <cell r="L165" t="str">
            <v>020ST</v>
          </cell>
          <cell r="M165">
            <v>2</v>
          </cell>
          <cell r="N165">
            <v>121047185</v>
          </cell>
          <cell r="Z165">
            <v>0</v>
          </cell>
          <cell r="AA165" t="str">
            <v>xx</v>
          </cell>
          <cell r="AB165" t="str">
            <v>87-12-30</v>
          </cell>
          <cell r="AG165" t="str">
            <v>MAZDA</v>
          </cell>
          <cell r="AI165" t="str">
            <v>KMO 안산2공장</v>
          </cell>
        </row>
        <row r="166">
          <cell r="A166">
            <v>173.10000610351563</v>
          </cell>
          <cell r="E166" t="str">
            <v>기아모텍</v>
          </cell>
          <cell r="F166" t="str">
            <v>A</v>
          </cell>
          <cell r="G166" t="str">
            <v>PRIDE</v>
          </cell>
          <cell r="H166" t="str">
            <v>042104011225</v>
          </cell>
          <cell r="I166" t="str">
            <v>DA01 58/59 070</v>
          </cell>
          <cell r="J166" t="str">
            <v>FRT DOOR IN ASSY PSW R/L</v>
          </cell>
          <cell r="K166" t="str">
            <v>치구</v>
          </cell>
          <cell r="L166" t="str">
            <v>020ST</v>
          </cell>
          <cell r="M166">
            <v>1</v>
          </cell>
          <cell r="Z166">
            <v>0</v>
          </cell>
          <cell r="AA166" t="str">
            <v>xx</v>
          </cell>
          <cell r="AB166" t="str">
            <v>87-12-30</v>
          </cell>
          <cell r="AG166" t="str">
            <v>MAZDA</v>
          </cell>
          <cell r="AI166" t="str">
            <v>KMO 안산2공장</v>
          </cell>
        </row>
        <row r="167">
          <cell r="A167">
            <v>173.19999694824219</v>
          </cell>
          <cell r="E167" t="str">
            <v>기아모텍</v>
          </cell>
          <cell r="F167" t="str">
            <v>A</v>
          </cell>
          <cell r="G167" t="str">
            <v>PRIDE</v>
          </cell>
          <cell r="H167" t="str">
            <v>042104011225</v>
          </cell>
          <cell r="I167" t="str">
            <v>DA01 58/59 070</v>
          </cell>
          <cell r="J167" t="str">
            <v>FRT DOOR IN ASSY PSW R/L</v>
          </cell>
          <cell r="K167" t="str">
            <v>치구</v>
          </cell>
          <cell r="L167" t="str">
            <v>020ST</v>
          </cell>
          <cell r="M167">
            <v>1</v>
          </cell>
          <cell r="Z167">
            <v>0</v>
          </cell>
          <cell r="AA167" t="str">
            <v>xx</v>
          </cell>
          <cell r="AB167" t="str">
            <v>87-12-30</v>
          </cell>
          <cell r="AG167" t="str">
            <v>MAZDA</v>
          </cell>
          <cell r="AI167" t="str">
            <v>KMO 안산2공장</v>
          </cell>
        </row>
        <row r="168">
          <cell r="A168">
            <v>174</v>
          </cell>
          <cell r="E168" t="str">
            <v>기아모텍</v>
          </cell>
          <cell r="F168" t="str">
            <v>A</v>
          </cell>
          <cell r="G168" t="str">
            <v>PRIDE P031</v>
          </cell>
          <cell r="H168" t="str">
            <v>041102110925</v>
          </cell>
          <cell r="I168" t="str">
            <v>DA01 59 020</v>
          </cell>
          <cell r="J168" t="str">
            <v>DOOR ASSY-F LH HEM</v>
          </cell>
          <cell r="K168" t="str">
            <v>금형</v>
          </cell>
          <cell r="L168" t="str">
            <v>HEM</v>
          </cell>
          <cell r="M168">
            <v>1</v>
          </cell>
          <cell r="N168">
            <v>104020863</v>
          </cell>
          <cell r="Y168" t="str">
            <v>주물</v>
          </cell>
          <cell r="Z168">
            <v>14.862875999999998</v>
          </cell>
          <cell r="AA168" t="str">
            <v>2300x1400x980</v>
          </cell>
          <cell r="AB168" t="str">
            <v>87-01-04</v>
          </cell>
          <cell r="AG168" t="str">
            <v>MAZDA</v>
          </cell>
          <cell r="AI168" t="str">
            <v>KMO 안산2공장</v>
          </cell>
        </row>
        <row r="169">
          <cell r="A169">
            <v>175</v>
          </cell>
          <cell r="E169" t="str">
            <v>기아모텍</v>
          </cell>
          <cell r="F169" t="str">
            <v>A</v>
          </cell>
          <cell r="G169" t="str">
            <v>PRIDE 3DOOR</v>
          </cell>
          <cell r="H169" t="str">
            <v>041102150344</v>
          </cell>
          <cell r="I169" t="str">
            <v>DA01 59 071</v>
          </cell>
          <cell r="J169" t="str">
            <v>FRT DOOR IN LH</v>
          </cell>
          <cell r="K169" t="str">
            <v>금형</v>
          </cell>
          <cell r="L169" t="str">
            <v>1/5 DR</v>
          </cell>
          <cell r="M169">
            <v>1</v>
          </cell>
          <cell r="N169">
            <v>86491957</v>
          </cell>
          <cell r="Y169" t="str">
            <v>주물</v>
          </cell>
          <cell r="Z169">
            <v>14.862875999999998</v>
          </cell>
          <cell r="AA169" t="str">
            <v>2300x1400x980</v>
          </cell>
          <cell r="AB169" t="str">
            <v>93-02-04</v>
          </cell>
          <cell r="AG169" t="str">
            <v>MAZDA</v>
          </cell>
          <cell r="AI169" t="str">
            <v>KMO 안산2공장</v>
          </cell>
          <cell r="AK169" t="str">
            <v>93.외주조치</v>
          </cell>
        </row>
        <row r="170">
          <cell r="A170">
            <v>176</v>
          </cell>
          <cell r="E170" t="str">
            <v>기아모텍</v>
          </cell>
          <cell r="F170" t="str">
            <v>A</v>
          </cell>
          <cell r="G170" t="str">
            <v>PRIDE 3DOOR</v>
          </cell>
          <cell r="H170" t="str">
            <v>041102250341</v>
          </cell>
          <cell r="I170" t="str">
            <v>DA01 59 071</v>
          </cell>
          <cell r="J170" t="str">
            <v>FRT DOOR IN LH</v>
          </cell>
          <cell r="K170" t="str">
            <v>금형</v>
          </cell>
          <cell r="L170" t="str">
            <v>2/5 FORM</v>
          </cell>
          <cell r="M170">
            <v>1</v>
          </cell>
          <cell r="N170">
            <v>83687426</v>
          </cell>
          <cell r="Y170" t="str">
            <v>주물</v>
          </cell>
          <cell r="Z170">
            <v>14.862875999999998</v>
          </cell>
          <cell r="AA170" t="str">
            <v>2300x1400x980</v>
          </cell>
          <cell r="AB170" t="str">
            <v>93-02-06</v>
          </cell>
          <cell r="AG170" t="str">
            <v>MAZDA</v>
          </cell>
          <cell r="AI170" t="str">
            <v>KMO 안산2공장</v>
          </cell>
          <cell r="AK170" t="str">
            <v>93.외주조치</v>
          </cell>
        </row>
        <row r="171">
          <cell r="A171">
            <v>177</v>
          </cell>
          <cell r="E171" t="str">
            <v>기아모텍</v>
          </cell>
          <cell r="F171" t="str">
            <v>A</v>
          </cell>
          <cell r="G171" t="str">
            <v>PRIDE 3DOOR</v>
          </cell>
          <cell r="H171" t="str">
            <v>041102350358</v>
          </cell>
          <cell r="I171" t="str">
            <v>DA01 59 071</v>
          </cell>
          <cell r="J171" t="str">
            <v>FRT DOOR IN LH</v>
          </cell>
          <cell r="K171" t="str">
            <v>금형</v>
          </cell>
          <cell r="L171" t="str">
            <v>3/5 TR&amp;PLER</v>
          </cell>
          <cell r="M171">
            <v>1</v>
          </cell>
          <cell r="N171">
            <v>80827741</v>
          </cell>
          <cell r="Y171" t="str">
            <v>주물</v>
          </cell>
          <cell r="Z171">
            <v>14.862875999999998</v>
          </cell>
          <cell r="AA171" t="str">
            <v>2300x1400x980</v>
          </cell>
          <cell r="AB171" t="str">
            <v>93-02-06</v>
          </cell>
          <cell r="AG171" t="str">
            <v>MAZDA</v>
          </cell>
          <cell r="AI171" t="str">
            <v>KMO 안산2공장</v>
          </cell>
          <cell r="AK171" t="str">
            <v>93.외주조치</v>
          </cell>
        </row>
        <row r="172">
          <cell r="A172">
            <v>178</v>
          </cell>
          <cell r="E172" t="str">
            <v>기아모텍</v>
          </cell>
          <cell r="F172" t="str">
            <v>A</v>
          </cell>
          <cell r="G172" t="str">
            <v>PRIDE 3DOOR</v>
          </cell>
          <cell r="H172" t="str">
            <v>041102450334</v>
          </cell>
          <cell r="I172" t="str">
            <v>DA01 59 071</v>
          </cell>
          <cell r="J172" t="str">
            <v>FRT DOOR IN LH</v>
          </cell>
          <cell r="K172" t="str">
            <v>금형</v>
          </cell>
          <cell r="L172" t="str">
            <v>4/5 FL&amp;PLER</v>
          </cell>
          <cell r="M172">
            <v>1</v>
          </cell>
          <cell r="N172">
            <v>105916167</v>
          </cell>
          <cell r="Y172" t="str">
            <v>주물</v>
          </cell>
          <cell r="Z172">
            <v>14.862875999999998</v>
          </cell>
          <cell r="AA172" t="str">
            <v>2300x1400x980</v>
          </cell>
          <cell r="AB172" t="str">
            <v>93-02-06</v>
          </cell>
          <cell r="AG172" t="str">
            <v>MAZDA</v>
          </cell>
          <cell r="AI172" t="str">
            <v>KMO 안산2공장</v>
          </cell>
          <cell r="AK172" t="str">
            <v>93.외주조치</v>
          </cell>
        </row>
        <row r="173">
          <cell r="A173">
            <v>179</v>
          </cell>
          <cell r="E173" t="str">
            <v>기아모텍</v>
          </cell>
          <cell r="F173" t="str">
            <v>A</v>
          </cell>
          <cell r="G173" t="str">
            <v>PRIDE 3DOOR</v>
          </cell>
          <cell r="H173" t="str">
            <v>041102550351</v>
          </cell>
          <cell r="I173" t="str">
            <v>DA01 59 071</v>
          </cell>
          <cell r="J173" t="str">
            <v>FRT DOOR IN LH</v>
          </cell>
          <cell r="K173" t="str">
            <v>금형</v>
          </cell>
          <cell r="L173" t="str">
            <v>5/5 RE&amp;BEND</v>
          </cell>
          <cell r="M173">
            <v>1</v>
          </cell>
          <cell r="N173">
            <v>7337568</v>
          </cell>
          <cell r="Y173" t="str">
            <v>주물</v>
          </cell>
          <cell r="Z173">
            <v>14.862875999999998</v>
          </cell>
          <cell r="AA173" t="str">
            <v>2300x1400x980</v>
          </cell>
          <cell r="AB173" t="str">
            <v>93-02-06</v>
          </cell>
          <cell r="AG173" t="str">
            <v>MAZDA</v>
          </cell>
          <cell r="AI173" t="str">
            <v>KMO 안산2공장</v>
          </cell>
          <cell r="AK173" t="str">
            <v>93.외주조치</v>
          </cell>
        </row>
        <row r="174">
          <cell r="A174">
            <v>180</v>
          </cell>
          <cell r="E174" t="str">
            <v>기아모텍</v>
          </cell>
          <cell r="F174" t="str">
            <v>A</v>
          </cell>
          <cell r="G174" t="str">
            <v>PRIDE RHD</v>
          </cell>
          <cell r="H174" t="str">
            <v>041101113054</v>
          </cell>
          <cell r="I174" t="str">
            <v>DA01 60 401</v>
          </cell>
          <cell r="J174" t="str">
            <v>INST PNL</v>
          </cell>
          <cell r="K174" t="str">
            <v>금형</v>
          </cell>
          <cell r="L174" t="str">
            <v>INJ</v>
          </cell>
          <cell r="M174">
            <v>1</v>
          </cell>
          <cell r="N174">
            <v>351129000</v>
          </cell>
          <cell r="Z174">
            <v>24.24708</v>
          </cell>
          <cell r="AA174" t="str">
            <v>1500x1560x2200</v>
          </cell>
          <cell r="AB174" t="str">
            <v>96-4</v>
          </cell>
          <cell r="AG174" t="str">
            <v>기아모텍</v>
          </cell>
          <cell r="AI174" t="str">
            <v>KMC 사급품</v>
          </cell>
        </row>
        <row r="175">
          <cell r="A175">
            <v>181</v>
          </cell>
          <cell r="E175" t="str">
            <v>기아모텍</v>
          </cell>
          <cell r="F175" t="str">
            <v>C1</v>
          </cell>
          <cell r="G175" t="str">
            <v>PRIDE</v>
          </cell>
          <cell r="I175" t="str">
            <v>DA01 70/71 114</v>
          </cell>
          <cell r="J175" t="str">
            <v>REINF BELT LINE R/L</v>
          </cell>
          <cell r="K175" t="str">
            <v>검사구</v>
          </cell>
          <cell r="M175">
            <v>1</v>
          </cell>
          <cell r="N175">
            <v>2320640</v>
          </cell>
          <cell r="Z175">
            <v>0</v>
          </cell>
          <cell r="AA175" t="str">
            <v>xx</v>
          </cell>
          <cell r="AB175" t="str">
            <v>86-10-05</v>
          </cell>
          <cell r="AJ175" t="str">
            <v>새한공업</v>
          </cell>
          <cell r="AK175" t="str">
            <v>KMC 직납</v>
          </cell>
        </row>
        <row r="176">
          <cell r="A176">
            <v>182</v>
          </cell>
          <cell r="E176" t="str">
            <v>기아모텍</v>
          </cell>
          <cell r="F176" t="str">
            <v>C4</v>
          </cell>
          <cell r="G176" t="str">
            <v>PRIDE</v>
          </cell>
          <cell r="H176" t="str">
            <v>044101012726</v>
          </cell>
          <cell r="I176" t="str">
            <v>DX18 53/54 950</v>
          </cell>
          <cell r="J176" t="str">
            <v>SILL SIDE IN ASSY R/L</v>
          </cell>
          <cell r="K176" t="str">
            <v>검사구</v>
          </cell>
          <cell r="M176">
            <v>2</v>
          </cell>
          <cell r="N176">
            <v>2943237</v>
          </cell>
          <cell r="Z176">
            <v>0</v>
          </cell>
          <cell r="AA176" t="str">
            <v>xx</v>
          </cell>
          <cell r="AB176" t="str">
            <v>85-12-18</v>
          </cell>
          <cell r="AG176" t="str">
            <v>KIA</v>
          </cell>
          <cell r="AJ176" t="str">
            <v>금성공업</v>
          </cell>
          <cell r="AK176" t="str">
            <v>금성공업에서 타업체로 이관</v>
          </cell>
        </row>
        <row r="177">
          <cell r="A177">
            <v>183</v>
          </cell>
          <cell r="E177" t="str">
            <v>기아모텍</v>
          </cell>
          <cell r="F177" t="str">
            <v>C4</v>
          </cell>
          <cell r="G177" t="str">
            <v>PRIDE</v>
          </cell>
          <cell r="H177" t="str">
            <v>044901016170</v>
          </cell>
          <cell r="I177" t="str">
            <v>DX18 53/54 952</v>
          </cell>
          <cell r="J177" t="str">
            <v>REINF SILL SIDE R/L</v>
          </cell>
          <cell r="K177" t="str">
            <v>검사구</v>
          </cell>
          <cell r="M177">
            <v>2</v>
          </cell>
          <cell r="N177">
            <v>1414516</v>
          </cell>
          <cell r="Z177">
            <v>0</v>
          </cell>
          <cell r="AA177" t="str">
            <v>xx</v>
          </cell>
          <cell r="AB177" t="str">
            <v>85-10-08</v>
          </cell>
          <cell r="AG177" t="str">
            <v>KIA</v>
          </cell>
          <cell r="AJ177" t="str">
            <v>금성공업</v>
          </cell>
          <cell r="AK177" t="str">
            <v>금성공업에서 타업체로 이관</v>
          </cell>
        </row>
        <row r="178">
          <cell r="A178">
            <v>184</v>
          </cell>
          <cell r="E178" t="str">
            <v>기아모텍</v>
          </cell>
          <cell r="F178" t="str">
            <v>A</v>
          </cell>
          <cell r="G178" t="str">
            <v>AVELLA</v>
          </cell>
          <cell r="H178" t="str">
            <v>041101113441</v>
          </cell>
          <cell r="I178" t="str">
            <v>DX50 53/54 811</v>
          </cell>
          <cell r="J178" t="str">
            <v>RR SIDE FRAME R/L (5HB)</v>
          </cell>
          <cell r="K178" t="str">
            <v>금형</v>
          </cell>
          <cell r="M178">
            <v>11</v>
          </cell>
          <cell r="N178">
            <v>460000000</v>
          </cell>
          <cell r="AA178" t="str">
            <v>xx</v>
          </cell>
          <cell r="AB178" t="str">
            <v>92-12-26</v>
          </cell>
          <cell r="AG178" t="str">
            <v>서해공업㈜ 반　</v>
          </cell>
          <cell r="AI178" t="str">
            <v>일석산업</v>
          </cell>
          <cell r="AK178" t="str">
            <v>92.외주조치</v>
          </cell>
        </row>
        <row r="179">
          <cell r="A179">
            <v>184.00999450683594</v>
          </cell>
          <cell r="E179" t="str">
            <v>기아모텍</v>
          </cell>
          <cell r="F179" t="str">
            <v>A</v>
          </cell>
          <cell r="G179" t="str">
            <v>AVELLA</v>
          </cell>
          <cell r="H179" t="str">
            <v>041101113441</v>
          </cell>
          <cell r="I179" t="str">
            <v>DX50 53/54 811</v>
          </cell>
          <cell r="J179" t="str">
            <v>RR SIDE FRAME R/L (5HB)</v>
          </cell>
          <cell r="K179" t="str">
            <v>금형</v>
          </cell>
          <cell r="L179" t="str">
            <v>1/11</v>
          </cell>
          <cell r="M179">
            <v>1</v>
          </cell>
          <cell r="Y179" t="str">
            <v>주물</v>
          </cell>
          <cell r="Z179">
            <v>3.7475020799999998</v>
          </cell>
          <cell r="AA179" t="str">
            <v>1120x960x740</v>
          </cell>
          <cell r="AB179" t="str">
            <v>92-12-26</v>
          </cell>
          <cell r="AG179" t="str">
            <v>서해공업㈜ 반　</v>
          </cell>
          <cell r="AI179" t="str">
            <v>일석산업</v>
          </cell>
          <cell r="AK179" t="str">
            <v>92.외주조치</v>
          </cell>
        </row>
        <row r="180">
          <cell r="A180">
            <v>184.02000427246094</v>
          </cell>
          <cell r="E180" t="str">
            <v>기아모텍</v>
          </cell>
          <cell r="F180" t="str">
            <v>A</v>
          </cell>
          <cell r="G180" t="str">
            <v>AVELLA</v>
          </cell>
          <cell r="H180" t="str">
            <v>041101113441</v>
          </cell>
          <cell r="I180" t="str">
            <v>DX50 53/54 811</v>
          </cell>
          <cell r="J180" t="str">
            <v>RR SIDE FRAME R/L (5HB)</v>
          </cell>
          <cell r="K180" t="str">
            <v>금형</v>
          </cell>
          <cell r="L180" t="str">
            <v>2/11</v>
          </cell>
          <cell r="M180">
            <v>1</v>
          </cell>
          <cell r="Y180" t="str">
            <v>주물</v>
          </cell>
          <cell r="Z180">
            <v>3.7475020799999998</v>
          </cell>
          <cell r="AA180" t="str">
            <v>1120x960x740</v>
          </cell>
          <cell r="AB180" t="str">
            <v>92-12-26</v>
          </cell>
          <cell r="AG180" t="str">
            <v>서해공업㈜ 반　</v>
          </cell>
          <cell r="AI180" t="str">
            <v>일석산업</v>
          </cell>
          <cell r="AK180" t="str">
            <v>92.외주조치</v>
          </cell>
        </row>
        <row r="181">
          <cell r="A181">
            <v>184.02999877929688</v>
          </cell>
          <cell r="E181" t="str">
            <v>기아모텍</v>
          </cell>
          <cell r="F181" t="str">
            <v>A</v>
          </cell>
          <cell r="G181" t="str">
            <v>AVELLA</v>
          </cell>
          <cell r="H181" t="str">
            <v>041101113441</v>
          </cell>
          <cell r="I181" t="str">
            <v>DX50 53/54 811</v>
          </cell>
          <cell r="J181" t="str">
            <v>RR SIDE FRAME R/L (5HB)</v>
          </cell>
          <cell r="K181" t="str">
            <v>금형</v>
          </cell>
          <cell r="L181" t="str">
            <v>3/11</v>
          </cell>
          <cell r="M181">
            <v>1</v>
          </cell>
          <cell r="Y181" t="str">
            <v>주물</v>
          </cell>
          <cell r="Z181">
            <v>3.7475020799999998</v>
          </cell>
          <cell r="AA181" t="str">
            <v>1120x960x740</v>
          </cell>
          <cell r="AB181" t="str">
            <v>92-12-26</v>
          </cell>
          <cell r="AG181" t="str">
            <v>서해공업㈜ 반　</v>
          </cell>
          <cell r="AI181" t="str">
            <v>일석산업</v>
          </cell>
          <cell r="AK181" t="str">
            <v>92.외주조치</v>
          </cell>
        </row>
        <row r="182">
          <cell r="A182">
            <v>184.03999328613281</v>
          </cell>
          <cell r="E182" t="str">
            <v>기아모텍</v>
          </cell>
          <cell r="F182" t="str">
            <v>A</v>
          </cell>
          <cell r="G182" t="str">
            <v>AVELLA</v>
          </cell>
          <cell r="H182" t="str">
            <v>041101113441</v>
          </cell>
          <cell r="I182" t="str">
            <v>DX50 53/54 811</v>
          </cell>
          <cell r="J182" t="str">
            <v>RR SIDE FRAME R/L (5HB)</v>
          </cell>
          <cell r="K182" t="str">
            <v>금형</v>
          </cell>
          <cell r="L182" t="str">
            <v>4/11</v>
          </cell>
          <cell r="M182">
            <v>1</v>
          </cell>
          <cell r="Y182" t="str">
            <v>주물</v>
          </cell>
          <cell r="Z182">
            <v>3.7475020799999998</v>
          </cell>
          <cell r="AA182" t="str">
            <v>1120x960x740</v>
          </cell>
          <cell r="AB182" t="str">
            <v>92-12-26</v>
          </cell>
          <cell r="AG182" t="str">
            <v>서해공업㈜ 반　</v>
          </cell>
          <cell r="AI182" t="str">
            <v>일석산업</v>
          </cell>
          <cell r="AK182" t="str">
            <v>92.외주조치</v>
          </cell>
        </row>
        <row r="183">
          <cell r="A183">
            <v>184.05000305175781</v>
          </cell>
          <cell r="E183" t="str">
            <v>기아모텍</v>
          </cell>
          <cell r="F183" t="str">
            <v>A</v>
          </cell>
          <cell r="G183" t="str">
            <v>AVELLA</v>
          </cell>
          <cell r="H183" t="str">
            <v>041101113441</v>
          </cell>
          <cell r="I183" t="str">
            <v>DX50 53/54 811</v>
          </cell>
          <cell r="J183" t="str">
            <v>RR SIDE FRAME R/L (5HB)</v>
          </cell>
          <cell r="K183" t="str">
            <v>금형</v>
          </cell>
          <cell r="L183" t="str">
            <v>5/11</v>
          </cell>
          <cell r="M183">
            <v>1</v>
          </cell>
          <cell r="Y183" t="str">
            <v>주물</v>
          </cell>
          <cell r="Z183">
            <v>3.7475020799999998</v>
          </cell>
          <cell r="AA183" t="str">
            <v>1120x960x740</v>
          </cell>
          <cell r="AB183" t="str">
            <v>92-12-26</v>
          </cell>
          <cell r="AG183" t="str">
            <v>서해공업㈜ 반　</v>
          </cell>
          <cell r="AI183" t="str">
            <v>일석산업</v>
          </cell>
          <cell r="AK183" t="str">
            <v>92.외주조치</v>
          </cell>
        </row>
        <row r="184">
          <cell r="A184">
            <v>184.05999755859375</v>
          </cell>
          <cell r="E184" t="str">
            <v>기아모텍</v>
          </cell>
          <cell r="F184" t="str">
            <v>A</v>
          </cell>
          <cell r="G184" t="str">
            <v>AVELLA</v>
          </cell>
          <cell r="H184" t="str">
            <v>041101113441</v>
          </cell>
          <cell r="I184" t="str">
            <v>DX50 53/54 811</v>
          </cell>
          <cell r="J184" t="str">
            <v>RR SIDE FRAME R/L (5HB)</v>
          </cell>
          <cell r="K184" t="str">
            <v>금형</v>
          </cell>
          <cell r="L184" t="str">
            <v>6/11</v>
          </cell>
          <cell r="M184">
            <v>1</v>
          </cell>
          <cell r="Y184" t="str">
            <v>주물</v>
          </cell>
          <cell r="Z184">
            <v>3.7475020799999998</v>
          </cell>
          <cell r="AA184" t="str">
            <v>1120x960x740</v>
          </cell>
          <cell r="AB184" t="str">
            <v>92-12-26</v>
          </cell>
          <cell r="AG184" t="str">
            <v>서해공업㈜ 반　</v>
          </cell>
          <cell r="AI184" t="str">
            <v>일석산업</v>
          </cell>
          <cell r="AK184" t="str">
            <v>92.외주조치</v>
          </cell>
        </row>
        <row r="185">
          <cell r="A185">
            <v>184.07000732421875</v>
          </cell>
          <cell r="E185" t="str">
            <v>기아모텍</v>
          </cell>
          <cell r="F185" t="str">
            <v>A</v>
          </cell>
          <cell r="G185" t="str">
            <v>AVELLA</v>
          </cell>
          <cell r="H185" t="str">
            <v>041101113441</v>
          </cell>
          <cell r="I185" t="str">
            <v>DX50 53/54 811</v>
          </cell>
          <cell r="J185" t="str">
            <v>RR SIDE FRAME R/L (5HB)</v>
          </cell>
          <cell r="K185" t="str">
            <v>금형</v>
          </cell>
          <cell r="L185" t="str">
            <v>7/11</v>
          </cell>
          <cell r="M185">
            <v>1</v>
          </cell>
          <cell r="Y185" t="str">
            <v>주물</v>
          </cell>
          <cell r="Z185">
            <v>3.7475020799999998</v>
          </cell>
          <cell r="AA185" t="str">
            <v>1120x960x740</v>
          </cell>
          <cell r="AB185" t="str">
            <v>92-12-26</v>
          </cell>
          <cell r="AG185" t="str">
            <v>서해공업㈜ 반　</v>
          </cell>
          <cell r="AI185" t="str">
            <v>일석산업</v>
          </cell>
          <cell r="AK185" t="str">
            <v>92.외주조치</v>
          </cell>
        </row>
        <row r="186">
          <cell r="A186">
            <v>184.08000183105469</v>
          </cell>
          <cell r="E186" t="str">
            <v>기아모텍</v>
          </cell>
          <cell r="F186" t="str">
            <v>A</v>
          </cell>
          <cell r="G186" t="str">
            <v>AVELLA</v>
          </cell>
          <cell r="H186" t="str">
            <v>041101113441</v>
          </cell>
          <cell r="I186" t="str">
            <v>DX50 53/54 811</v>
          </cell>
          <cell r="J186" t="str">
            <v>RR SIDE FRAME R/L (5HB)</v>
          </cell>
          <cell r="K186" t="str">
            <v>금형</v>
          </cell>
          <cell r="L186" t="str">
            <v>8/11</v>
          </cell>
          <cell r="M186">
            <v>1</v>
          </cell>
          <cell r="Y186" t="str">
            <v>주물</v>
          </cell>
          <cell r="Z186">
            <v>3.7475020799999998</v>
          </cell>
          <cell r="AA186" t="str">
            <v>1120x960x740</v>
          </cell>
          <cell r="AB186" t="str">
            <v>92-12-26</v>
          </cell>
          <cell r="AG186" t="str">
            <v>서해공업㈜ 반　</v>
          </cell>
          <cell r="AI186" t="str">
            <v>일석산업</v>
          </cell>
          <cell r="AK186" t="str">
            <v>92.외주조치</v>
          </cell>
        </row>
        <row r="187">
          <cell r="A187">
            <v>184.08999633789063</v>
          </cell>
          <cell r="E187" t="str">
            <v>기아모텍</v>
          </cell>
          <cell r="F187" t="str">
            <v>A</v>
          </cell>
          <cell r="G187" t="str">
            <v>AVELLA</v>
          </cell>
          <cell r="H187" t="str">
            <v>041101113441</v>
          </cell>
          <cell r="I187" t="str">
            <v>DX50 53/54 811</v>
          </cell>
          <cell r="J187" t="str">
            <v>RR SIDE FRAME R/L (5HB)</v>
          </cell>
          <cell r="K187" t="str">
            <v>금형</v>
          </cell>
          <cell r="L187" t="str">
            <v>9/11</v>
          </cell>
          <cell r="M187">
            <v>1</v>
          </cell>
          <cell r="Y187" t="str">
            <v>주물</v>
          </cell>
          <cell r="Z187">
            <v>3.7475020799999998</v>
          </cell>
          <cell r="AA187" t="str">
            <v>1120x960x740</v>
          </cell>
          <cell r="AB187" t="str">
            <v>92-12-26</v>
          </cell>
          <cell r="AG187" t="str">
            <v>서해공업㈜ 반　</v>
          </cell>
          <cell r="AI187" t="str">
            <v>일석산업</v>
          </cell>
          <cell r="AK187" t="str">
            <v>92.외주조치</v>
          </cell>
        </row>
        <row r="188">
          <cell r="A188">
            <v>184.10000610351563</v>
          </cell>
          <cell r="E188" t="str">
            <v>기아모텍</v>
          </cell>
          <cell r="F188" t="str">
            <v>A</v>
          </cell>
          <cell r="G188" t="str">
            <v>AVELLA</v>
          </cell>
          <cell r="H188" t="str">
            <v>041101113441</v>
          </cell>
          <cell r="I188" t="str">
            <v>DX50 53/54 811</v>
          </cell>
          <cell r="J188" t="str">
            <v>RR SIDE FRAME R/L (5HB)</v>
          </cell>
          <cell r="K188" t="str">
            <v>금형</v>
          </cell>
          <cell r="L188" t="str">
            <v>10/11</v>
          </cell>
          <cell r="M188">
            <v>1</v>
          </cell>
          <cell r="Y188" t="str">
            <v>주물</v>
          </cell>
          <cell r="Z188">
            <v>3.7475020799999998</v>
          </cell>
          <cell r="AA188" t="str">
            <v>1120x960x740</v>
          </cell>
          <cell r="AB188" t="str">
            <v>92-12-26</v>
          </cell>
          <cell r="AG188" t="str">
            <v>서해공업㈜ 반　</v>
          </cell>
          <cell r="AI188" t="str">
            <v>일석산업</v>
          </cell>
          <cell r="AK188" t="str">
            <v>92.외주조치</v>
          </cell>
        </row>
        <row r="189">
          <cell r="A189">
            <v>184.11000061035156</v>
          </cell>
          <cell r="E189" t="str">
            <v>기아모텍</v>
          </cell>
          <cell r="F189" t="str">
            <v>A</v>
          </cell>
          <cell r="G189" t="str">
            <v>AVELLA</v>
          </cell>
          <cell r="H189" t="str">
            <v>041101113441</v>
          </cell>
          <cell r="I189" t="str">
            <v>DX50 53/54 811</v>
          </cell>
          <cell r="J189" t="str">
            <v>RR SIDE FRAME R/L (5HB)</v>
          </cell>
          <cell r="K189" t="str">
            <v>금형</v>
          </cell>
          <cell r="L189" t="str">
            <v>11/11</v>
          </cell>
          <cell r="M189">
            <v>1</v>
          </cell>
          <cell r="Y189" t="str">
            <v>주물</v>
          </cell>
          <cell r="Z189">
            <v>3.7475020799999998</v>
          </cell>
          <cell r="AA189" t="str">
            <v>1120x960x740</v>
          </cell>
          <cell r="AB189" t="str">
            <v>92-12-26</v>
          </cell>
          <cell r="AG189" t="str">
            <v>서해공업㈜ 반　</v>
          </cell>
          <cell r="AI189" t="str">
            <v>일석산업</v>
          </cell>
          <cell r="AK189" t="str">
            <v>92.외주조치</v>
          </cell>
        </row>
        <row r="190">
          <cell r="A190">
            <v>185</v>
          </cell>
          <cell r="E190" t="str">
            <v>기아모텍</v>
          </cell>
          <cell r="F190" t="str">
            <v>A</v>
          </cell>
          <cell r="G190" t="str">
            <v>AVELLA</v>
          </cell>
          <cell r="H190" t="str">
            <v>044101017856</v>
          </cell>
          <cell r="I190" t="str">
            <v>DX50 53/54 811</v>
          </cell>
          <cell r="J190" t="str">
            <v>RR SIDE FRAME R/L (5HB)</v>
          </cell>
          <cell r="K190" t="str">
            <v>검사구</v>
          </cell>
          <cell r="M190">
            <v>1</v>
          </cell>
          <cell r="N190">
            <v>15000000</v>
          </cell>
          <cell r="Y190" t="str">
            <v>수지</v>
          </cell>
          <cell r="Z190">
            <v>0.24597504000000001</v>
          </cell>
          <cell r="AA190" t="str">
            <v>720x680x320</v>
          </cell>
          <cell r="AB190" t="str">
            <v>92-08-26</v>
          </cell>
          <cell r="AG190" t="str">
            <v>영광</v>
          </cell>
          <cell r="AI190" t="str">
            <v>일석산업</v>
          </cell>
        </row>
        <row r="191">
          <cell r="A191">
            <v>186</v>
          </cell>
          <cell r="E191" t="str">
            <v>기아모텍</v>
          </cell>
          <cell r="F191" t="str">
            <v>A</v>
          </cell>
          <cell r="G191" t="str">
            <v>AVELLA</v>
          </cell>
          <cell r="H191" t="str">
            <v>044101010771</v>
          </cell>
          <cell r="I191" t="str">
            <v>DX50 56 130/140</v>
          </cell>
          <cell r="J191" t="str">
            <v>MUD GUARD R/L</v>
          </cell>
          <cell r="K191" t="str">
            <v>검사구</v>
          </cell>
          <cell r="M191">
            <v>1</v>
          </cell>
          <cell r="N191">
            <v>8900000</v>
          </cell>
          <cell r="Y191" t="str">
            <v>수지</v>
          </cell>
          <cell r="Z191">
            <v>0.50444100000000003</v>
          </cell>
          <cell r="AA191" t="str">
            <v>1050x510x600</v>
          </cell>
          <cell r="AB191" t="str">
            <v>92-11-23</v>
          </cell>
          <cell r="AG191" t="str">
            <v>학림</v>
          </cell>
          <cell r="AI191" t="str">
            <v>㈜태진</v>
          </cell>
        </row>
        <row r="192">
          <cell r="A192">
            <v>187</v>
          </cell>
          <cell r="E192" t="str">
            <v>기아모텍</v>
          </cell>
          <cell r="F192" t="str">
            <v>A</v>
          </cell>
          <cell r="G192" t="str">
            <v>AVELLA</v>
          </cell>
          <cell r="H192" t="str">
            <v>042101011301</v>
          </cell>
          <cell r="I192" t="str">
            <v>DX50/2 53/54 811</v>
          </cell>
          <cell r="J192" t="str">
            <v>RR SIDE FRAME ASSY W/J</v>
          </cell>
          <cell r="K192" t="str">
            <v>치구</v>
          </cell>
          <cell r="M192">
            <v>4</v>
          </cell>
          <cell r="N192">
            <v>92000000</v>
          </cell>
          <cell r="Z192">
            <v>0</v>
          </cell>
          <cell r="AA192" t="str">
            <v>xx</v>
          </cell>
          <cell r="AB192" t="str">
            <v>92-12-23</v>
          </cell>
          <cell r="AG192" t="str">
            <v>효진</v>
          </cell>
          <cell r="AI192" t="str">
            <v>KMO 안산2공장</v>
          </cell>
          <cell r="AK192" t="str">
            <v>92.외주조치</v>
          </cell>
        </row>
        <row r="193">
          <cell r="A193">
            <v>187.10000610351563</v>
          </cell>
          <cell r="E193" t="str">
            <v>기아모텍</v>
          </cell>
          <cell r="F193" t="str">
            <v>A</v>
          </cell>
          <cell r="G193" t="str">
            <v>AVELLA</v>
          </cell>
          <cell r="H193" t="str">
            <v>042101011301</v>
          </cell>
          <cell r="I193" t="str">
            <v>DX50/2 53/54 811</v>
          </cell>
          <cell r="J193" t="str">
            <v>RR SIDE FRAME ASSY W/J</v>
          </cell>
          <cell r="K193" t="str">
            <v>치구</v>
          </cell>
          <cell r="M193">
            <v>1</v>
          </cell>
          <cell r="Z193">
            <v>0</v>
          </cell>
          <cell r="AA193" t="str">
            <v>xx</v>
          </cell>
          <cell r="AB193" t="str">
            <v>92-12-23</v>
          </cell>
          <cell r="AG193" t="str">
            <v>효진</v>
          </cell>
          <cell r="AI193" t="str">
            <v>KMO 안산2공장</v>
          </cell>
          <cell r="AK193" t="str">
            <v>92.외주조치</v>
          </cell>
        </row>
        <row r="194">
          <cell r="A194">
            <v>187.19999694824219</v>
          </cell>
          <cell r="E194" t="str">
            <v>기아모텍</v>
          </cell>
          <cell r="F194" t="str">
            <v>A</v>
          </cell>
          <cell r="G194" t="str">
            <v>AVELLA</v>
          </cell>
          <cell r="H194" t="str">
            <v>042101011301</v>
          </cell>
          <cell r="I194" t="str">
            <v>DX50/2 53/54 811</v>
          </cell>
          <cell r="J194" t="str">
            <v>RR SIDE FRAME ASSY W/J</v>
          </cell>
          <cell r="K194" t="str">
            <v>치구</v>
          </cell>
          <cell r="M194">
            <v>1</v>
          </cell>
          <cell r="Z194">
            <v>0</v>
          </cell>
          <cell r="AA194" t="str">
            <v>xx</v>
          </cell>
          <cell r="AB194" t="str">
            <v>92-12-23</v>
          </cell>
          <cell r="AG194" t="str">
            <v>효진</v>
          </cell>
          <cell r="AI194" t="str">
            <v>KMO 안산2공장</v>
          </cell>
          <cell r="AK194" t="str">
            <v>92.외주조치</v>
          </cell>
        </row>
        <row r="195">
          <cell r="A195">
            <v>187.30000305175781</v>
          </cell>
          <cell r="E195" t="str">
            <v>기아모텍</v>
          </cell>
          <cell r="F195" t="str">
            <v>A</v>
          </cell>
          <cell r="G195" t="str">
            <v>AVELLA</v>
          </cell>
          <cell r="H195" t="str">
            <v>042101011301</v>
          </cell>
          <cell r="I195" t="str">
            <v>DX50/2 53/54 811</v>
          </cell>
          <cell r="J195" t="str">
            <v>RR SIDE FRAME ASSY W/J</v>
          </cell>
          <cell r="K195" t="str">
            <v>치구</v>
          </cell>
          <cell r="M195">
            <v>1</v>
          </cell>
          <cell r="Z195">
            <v>0</v>
          </cell>
          <cell r="AA195" t="str">
            <v>xx</v>
          </cell>
          <cell r="AB195" t="str">
            <v>92-12-23</v>
          </cell>
          <cell r="AG195" t="str">
            <v>효진</v>
          </cell>
          <cell r="AI195" t="str">
            <v>KMO 안산2공장</v>
          </cell>
          <cell r="AK195" t="str">
            <v>92.외주조치</v>
          </cell>
        </row>
        <row r="196">
          <cell r="A196">
            <v>187.39999389648438</v>
          </cell>
          <cell r="E196" t="str">
            <v>기아모텍</v>
          </cell>
          <cell r="F196" t="str">
            <v>A</v>
          </cell>
          <cell r="G196" t="str">
            <v>AVELLA</v>
          </cell>
          <cell r="H196" t="str">
            <v>042101011301</v>
          </cell>
          <cell r="I196" t="str">
            <v>DX50/2 53/54 811</v>
          </cell>
          <cell r="J196" t="str">
            <v>RR SIDE FRAME ASSY W/J</v>
          </cell>
          <cell r="K196" t="str">
            <v>치구</v>
          </cell>
          <cell r="M196">
            <v>1</v>
          </cell>
          <cell r="Z196">
            <v>0</v>
          </cell>
          <cell r="AA196" t="str">
            <v>xx</v>
          </cell>
          <cell r="AB196" t="str">
            <v>92-12-23</v>
          </cell>
          <cell r="AG196" t="str">
            <v>효진</v>
          </cell>
          <cell r="AI196" t="str">
            <v>KMO 안산2공장</v>
          </cell>
          <cell r="AK196" t="str">
            <v>92.외주조치</v>
          </cell>
        </row>
        <row r="197">
          <cell r="A197">
            <v>188</v>
          </cell>
          <cell r="E197" t="str">
            <v>기아모텍</v>
          </cell>
          <cell r="F197" t="str">
            <v>A</v>
          </cell>
          <cell r="G197" t="str">
            <v>AVELLA</v>
          </cell>
          <cell r="H197" t="str">
            <v>041101113461</v>
          </cell>
          <cell r="I197" t="str">
            <v>DX52 53/54 811</v>
          </cell>
          <cell r="J197" t="str">
            <v>RR SIDE FRAME R/L (3HB)</v>
          </cell>
          <cell r="K197" t="str">
            <v>금형</v>
          </cell>
          <cell r="M197">
            <v>13</v>
          </cell>
          <cell r="N197">
            <v>455000000</v>
          </cell>
          <cell r="AA197" t="str">
            <v>xx</v>
          </cell>
          <cell r="AB197" t="str">
            <v>92-12-26</v>
          </cell>
          <cell r="AG197" t="str">
            <v>서해공업㈜ 반　</v>
          </cell>
          <cell r="AI197" t="str">
            <v>일석산업</v>
          </cell>
          <cell r="AK197" t="str">
            <v>92.외주조치</v>
          </cell>
        </row>
        <row r="198">
          <cell r="A198">
            <v>188.00999450683594</v>
          </cell>
          <cell r="E198" t="str">
            <v>기아모텍</v>
          </cell>
          <cell r="F198" t="str">
            <v>A</v>
          </cell>
          <cell r="G198" t="str">
            <v>AVELLA</v>
          </cell>
          <cell r="H198" t="str">
            <v>041101113461</v>
          </cell>
          <cell r="I198" t="str">
            <v>DX52 53/54 811</v>
          </cell>
          <cell r="J198" t="str">
            <v>RR SIDE FRAME R/L (3HB)</v>
          </cell>
          <cell r="K198" t="str">
            <v>금형</v>
          </cell>
          <cell r="L198" t="str">
            <v>1/13</v>
          </cell>
          <cell r="M198">
            <v>1</v>
          </cell>
          <cell r="Y198" t="str">
            <v>주물</v>
          </cell>
          <cell r="Z198">
            <v>4.0021811999999999</v>
          </cell>
          <cell r="AA198" t="str">
            <v>1200x970x730</v>
          </cell>
          <cell r="AB198" t="str">
            <v>92-12-26</v>
          </cell>
          <cell r="AG198" t="str">
            <v>서해공업㈜ 반　</v>
          </cell>
          <cell r="AI198" t="str">
            <v>일석산업</v>
          </cell>
          <cell r="AK198" t="str">
            <v>92.외주조치</v>
          </cell>
        </row>
        <row r="199">
          <cell r="A199">
            <v>188.02000427246094</v>
          </cell>
          <cell r="E199" t="str">
            <v>기아모텍</v>
          </cell>
          <cell r="F199" t="str">
            <v>A</v>
          </cell>
          <cell r="G199" t="str">
            <v>AVELLA</v>
          </cell>
          <cell r="H199" t="str">
            <v>041101113461</v>
          </cell>
          <cell r="I199" t="str">
            <v>DX52 53/54 811</v>
          </cell>
          <cell r="J199" t="str">
            <v>RR SIDE FRAME R/L (3HB)</v>
          </cell>
          <cell r="K199" t="str">
            <v>금형</v>
          </cell>
          <cell r="L199" t="str">
            <v>2/13</v>
          </cell>
          <cell r="M199">
            <v>1</v>
          </cell>
          <cell r="Y199" t="str">
            <v>주물</v>
          </cell>
          <cell r="Z199">
            <v>4.0021811999999999</v>
          </cell>
          <cell r="AA199" t="str">
            <v>1200x970x730</v>
          </cell>
          <cell r="AB199" t="str">
            <v>92-12-26</v>
          </cell>
          <cell r="AG199" t="str">
            <v>서해공업㈜ 반　</v>
          </cell>
          <cell r="AI199" t="str">
            <v>일석산업</v>
          </cell>
          <cell r="AK199" t="str">
            <v>92.외주조치</v>
          </cell>
        </row>
        <row r="200">
          <cell r="A200">
            <v>188.02999877929688</v>
          </cell>
          <cell r="E200" t="str">
            <v>기아모텍</v>
          </cell>
          <cell r="F200" t="str">
            <v>A</v>
          </cell>
          <cell r="G200" t="str">
            <v>AVELLA</v>
          </cell>
          <cell r="H200" t="str">
            <v>041101113461</v>
          </cell>
          <cell r="I200" t="str">
            <v>DX52 53/54 811</v>
          </cell>
          <cell r="J200" t="str">
            <v>RR SIDE FRAME R/L (3HB)</v>
          </cell>
          <cell r="K200" t="str">
            <v>금형</v>
          </cell>
          <cell r="L200" t="str">
            <v>3/13</v>
          </cell>
          <cell r="M200">
            <v>1</v>
          </cell>
          <cell r="Y200" t="str">
            <v>주물</v>
          </cell>
          <cell r="Z200">
            <v>4.0021811999999999</v>
          </cell>
          <cell r="AA200" t="str">
            <v>1200x970x730</v>
          </cell>
          <cell r="AB200" t="str">
            <v>92-12-26</v>
          </cell>
          <cell r="AG200" t="str">
            <v>서해공업㈜ 반　</v>
          </cell>
          <cell r="AI200" t="str">
            <v>일석산업</v>
          </cell>
          <cell r="AK200" t="str">
            <v>92.외주조치</v>
          </cell>
        </row>
        <row r="201">
          <cell r="A201">
            <v>188.03999328613281</v>
          </cell>
          <cell r="E201" t="str">
            <v>기아모텍</v>
          </cell>
          <cell r="F201" t="str">
            <v>A</v>
          </cell>
          <cell r="G201" t="str">
            <v>AVELLA</v>
          </cell>
          <cell r="H201" t="str">
            <v>041101113461</v>
          </cell>
          <cell r="I201" t="str">
            <v>DX52 53/54 811</v>
          </cell>
          <cell r="J201" t="str">
            <v>RR SIDE FRAME R/L (3HB)</v>
          </cell>
          <cell r="K201" t="str">
            <v>금형</v>
          </cell>
          <cell r="L201" t="str">
            <v>4/13</v>
          </cell>
          <cell r="M201">
            <v>1</v>
          </cell>
          <cell r="Y201" t="str">
            <v>주물</v>
          </cell>
          <cell r="Z201">
            <v>4.0021811999999999</v>
          </cell>
          <cell r="AA201" t="str">
            <v>1200x970x730</v>
          </cell>
          <cell r="AB201" t="str">
            <v>92-12-26</v>
          </cell>
          <cell r="AG201" t="str">
            <v>서해공업㈜ 반　</v>
          </cell>
          <cell r="AI201" t="str">
            <v>일석산업</v>
          </cell>
          <cell r="AK201" t="str">
            <v>92.외주조치</v>
          </cell>
        </row>
        <row r="202">
          <cell r="A202">
            <v>188.05000305175781</v>
          </cell>
          <cell r="E202" t="str">
            <v>기아모텍</v>
          </cell>
          <cell r="F202" t="str">
            <v>A</v>
          </cell>
          <cell r="G202" t="str">
            <v>AVELLA</v>
          </cell>
          <cell r="H202" t="str">
            <v>041101113461</v>
          </cell>
          <cell r="I202" t="str">
            <v>DX52 53/54 811</v>
          </cell>
          <cell r="J202" t="str">
            <v>RR SIDE FRAME R/L (3HB)</v>
          </cell>
          <cell r="K202" t="str">
            <v>금형</v>
          </cell>
          <cell r="L202" t="str">
            <v>5/13</v>
          </cell>
          <cell r="M202">
            <v>1</v>
          </cell>
          <cell r="Y202" t="str">
            <v>주물</v>
          </cell>
          <cell r="Z202">
            <v>4.0021811999999999</v>
          </cell>
          <cell r="AA202" t="str">
            <v>1200x970x730</v>
          </cell>
          <cell r="AB202" t="str">
            <v>92-12-26</v>
          </cell>
          <cell r="AG202" t="str">
            <v>서해공업㈜ 반　</v>
          </cell>
          <cell r="AI202" t="str">
            <v>일석산업</v>
          </cell>
          <cell r="AK202" t="str">
            <v>92.외주조치</v>
          </cell>
        </row>
        <row r="203">
          <cell r="A203">
            <v>188.05999755859375</v>
          </cell>
          <cell r="E203" t="str">
            <v>기아모텍</v>
          </cell>
          <cell r="F203" t="str">
            <v>A</v>
          </cell>
          <cell r="G203" t="str">
            <v>AVELLA</v>
          </cell>
          <cell r="H203" t="str">
            <v>041101113461</v>
          </cell>
          <cell r="I203" t="str">
            <v>DX52 53/54 811</v>
          </cell>
          <cell r="J203" t="str">
            <v>RR SIDE FRAME R/L (3HB)</v>
          </cell>
          <cell r="K203" t="str">
            <v>금형</v>
          </cell>
          <cell r="L203" t="str">
            <v>6/13</v>
          </cell>
          <cell r="M203">
            <v>1</v>
          </cell>
          <cell r="Y203" t="str">
            <v>주물</v>
          </cell>
          <cell r="Z203">
            <v>4.0021811999999999</v>
          </cell>
          <cell r="AA203" t="str">
            <v>1200x970x730</v>
          </cell>
          <cell r="AB203" t="str">
            <v>92-12-26</v>
          </cell>
          <cell r="AG203" t="str">
            <v>서해공업㈜ 반　</v>
          </cell>
          <cell r="AI203" t="str">
            <v>일석산업</v>
          </cell>
          <cell r="AK203" t="str">
            <v>92.외주조치</v>
          </cell>
        </row>
        <row r="204">
          <cell r="A204">
            <v>188.07000732421875</v>
          </cell>
          <cell r="E204" t="str">
            <v>기아모텍</v>
          </cell>
          <cell r="F204" t="str">
            <v>A</v>
          </cell>
          <cell r="G204" t="str">
            <v>AVELLA</v>
          </cell>
          <cell r="H204" t="str">
            <v>041101113461</v>
          </cell>
          <cell r="I204" t="str">
            <v>DX52 53/54 811</v>
          </cell>
          <cell r="J204" t="str">
            <v>RR SIDE FRAME R/L (3HB)</v>
          </cell>
          <cell r="K204" t="str">
            <v>금형</v>
          </cell>
          <cell r="L204" t="str">
            <v>7/13</v>
          </cell>
          <cell r="M204">
            <v>1</v>
          </cell>
          <cell r="Y204" t="str">
            <v>주물</v>
          </cell>
          <cell r="Z204">
            <v>4.0021811999999999</v>
          </cell>
          <cell r="AA204" t="str">
            <v>1200x970x730</v>
          </cell>
          <cell r="AB204" t="str">
            <v>92-12-26</v>
          </cell>
          <cell r="AG204" t="str">
            <v>서해공업㈜ 반　</v>
          </cell>
          <cell r="AI204" t="str">
            <v>일석산업</v>
          </cell>
          <cell r="AK204" t="str">
            <v>92.외주조치</v>
          </cell>
        </row>
        <row r="205">
          <cell r="A205">
            <v>188.08000183105469</v>
          </cell>
          <cell r="E205" t="str">
            <v>기아모텍</v>
          </cell>
          <cell r="F205" t="str">
            <v>A</v>
          </cell>
          <cell r="G205" t="str">
            <v>AVELLA</v>
          </cell>
          <cell r="H205" t="str">
            <v>041101113461</v>
          </cell>
          <cell r="I205" t="str">
            <v>DX52 53/54 811</v>
          </cell>
          <cell r="J205" t="str">
            <v>RR SIDE FRAME R/L (3HB)</v>
          </cell>
          <cell r="K205" t="str">
            <v>금형</v>
          </cell>
          <cell r="L205" t="str">
            <v>8/13</v>
          </cell>
          <cell r="M205">
            <v>1</v>
          </cell>
          <cell r="Y205" t="str">
            <v>주물</v>
          </cell>
          <cell r="Z205">
            <v>4.0021811999999999</v>
          </cell>
          <cell r="AA205" t="str">
            <v>1200x970x730</v>
          </cell>
          <cell r="AB205" t="str">
            <v>92-12-26</v>
          </cell>
          <cell r="AG205" t="str">
            <v>서해공업㈜ 반　</v>
          </cell>
          <cell r="AI205" t="str">
            <v>일석산업</v>
          </cell>
          <cell r="AK205" t="str">
            <v>92.외주조치</v>
          </cell>
        </row>
        <row r="206">
          <cell r="A206">
            <v>188.08999633789063</v>
          </cell>
          <cell r="E206" t="str">
            <v>기아모텍</v>
          </cell>
          <cell r="F206" t="str">
            <v>A</v>
          </cell>
          <cell r="G206" t="str">
            <v>AVELLA</v>
          </cell>
          <cell r="H206" t="str">
            <v>041101113461</v>
          </cell>
          <cell r="I206" t="str">
            <v>DX52 53/54 811</v>
          </cell>
          <cell r="J206" t="str">
            <v>RR SIDE FRAME R/L (3HB)</v>
          </cell>
          <cell r="K206" t="str">
            <v>금형</v>
          </cell>
          <cell r="L206" t="str">
            <v>9/13</v>
          </cell>
          <cell r="M206">
            <v>1</v>
          </cell>
          <cell r="Y206" t="str">
            <v>주물</v>
          </cell>
          <cell r="Z206">
            <v>4.0021811999999999</v>
          </cell>
          <cell r="AA206" t="str">
            <v>1200x970x730</v>
          </cell>
          <cell r="AB206" t="str">
            <v>92-12-26</v>
          </cell>
          <cell r="AG206" t="str">
            <v>서해공업㈜ 반　</v>
          </cell>
          <cell r="AI206" t="str">
            <v>일석산업</v>
          </cell>
          <cell r="AK206" t="str">
            <v>92.외주조치</v>
          </cell>
        </row>
        <row r="207">
          <cell r="A207">
            <v>188.10000610351563</v>
          </cell>
          <cell r="E207" t="str">
            <v>기아모텍</v>
          </cell>
          <cell r="F207" t="str">
            <v>A</v>
          </cell>
          <cell r="G207" t="str">
            <v>AVELLA</v>
          </cell>
          <cell r="H207" t="str">
            <v>041101113461</v>
          </cell>
          <cell r="I207" t="str">
            <v>DX52 53/54 811</v>
          </cell>
          <cell r="J207" t="str">
            <v>RR SIDE FRAME R/L (3HB)</v>
          </cell>
          <cell r="K207" t="str">
            <v>금형</v>
          </cell>
          <cell r="L207" t="str">
            <v>10/13</v>
          </cell>
          <cell r="M207">
            <v>1</v>
          </cell>
          <cell r="Y207" t="str">
            <v>주물</v>
          </cell>
          <cell r="Z207">
            <v>4.0021811999999999</v>
          </cell>
          <cell r="AA207" t="str">
            <v>1200x970x730</v>
          </cell>
          <cell r="AB207" t="str">
            <v>92-12-26</v>
          </cell>
          <cell r="AG207" t="str">
            <v>서해공업㈜ 반　</v>
          </cell>
          <cell r="AI207" t="str">
            <v>일석산업</v>
          </cell>
          <cell r="AK207" t="str">
            <v>92.외주조치</v>
          </cell>
        </row>
        <row r="208">
          <cell r="A208">
            <v>188.11000061035156</v>
          </cell>
          <cell r="E208" t="str">
            <v>기아모텍</v>
          </cell>
          <cell r="F208" t="str">
            <v>A</v>
          </cell>
          <cell r="G208" t="str">
            <v>AVELLA</v>
          </cell>
          <cell r="H208" t="str">
            <v>041101113461</v>
          </cell>
          <cell r="I208" t="str">
            <v>DX52 53/54 811</v>
          </cell>
          <cell r="J208" t="str">
            <v>RR SIDE FRAME R/L (3HB)</v>
          </cell>
          <cell r="K208" t="str">
            <v>금형</v>
          </cell>
          <cell r="L208" t="str">
            <v>11/13</v>
          </cell>
          <cell r="M208">
            <v>1</v>
          </cell>
          <cell r="Y208" t="str">
            <v>주물</v>
          </cell>
          <cell r="Z208">
            <v>4.0021811999999999</v>
          </cell>
          <cell r="AA208" t="str">
            <v>1200x970x730</v>
          </cell>
          <cell r="AB208" t="str">
            <v>92-12-26</v>
          </cell>
          <cell r="AG208" t="str">
            <v>서해공업㈜ 반　</v>
          </cell>
          <cell r="AI208" t="str">
            <v>일석산업</v>
          </cell>
          <cell r="AK208" t="str">
            <v>92.외주조치</v>
          </cell>
        </row>
        <row r="209">
          <cell r="A209">
            <v>188.1199951171875</v>
          </cell>
          <cell r="E209" t="str">
            <v>기아모텍</v>
          </cell>
          <cell r="F209" t="str">
            <v>A</v>
          </cell>
          <cell r="G209" t="str">
            <v>AVELLA</v>
          </cell>
          <cell r="H209" t="str">
            <v>041101113461</v>
          </cell>
          <cell r="I209" t="str">
            <v>DX52 53/54 811</v>
          </cell>
          <cell r="J209" t="str">
            <v>RR SIDE FRAME R/L (3HB)</v>
          </cell>
          <cell r="K209" t="str">
            <v>금형</v>
          </cell>
          <cell r="L209" t="str">
            <v>12/13</v>
          </cell>
          <cell r="M209">
            <v>1</v>
          </cell>
          <cell r="Y209" t="str">
            <v>주물</v>
          </cell>
          <cell r="Z209">
            <v>4.0021811999999999</v>
          </cell>
          <cell r="AA209" t="str">
            <v>1200x970x730</v>
          </cell>
          <cell r="AB209" t="str">
            <v>92-12-26</v>
          </cell>
          <cell r="AG209" t="str">
            <v>서해공업㈜ 반　</v>
          </cell>
          <cell r="AI209" t="str">
            <v>일석산업</v>
          </cell>
          <cell r="AK209" t="str">
            <v>92.외주조치</v>
          </cell>
        </row>
        <row r="210">
          <cell r="A210">
            <v>188.1300048828125</v>
          </cell>
          <cell r="E210" t="str">
            <v>기아모텍</v>
          </cell>
          <cell r="F210" t="str">
            <v>A</v>
          </cell>
          <cell r="G210" t="str">
            <v>AVELLA</v>
          </cell>
          <cell r="H210" t="str">
            <v>041101113461</v>
          </cell>
          <cell r="I210" t="str">
            <v>DX52 53/54 811</v>
          </cell>
          <cell r="J210" t="str">
            <v>RR SIDE FRAME R/L (3HB)</v>
          </cell>
          <cell r="K210" t="str">
            <v>금형</v>
          </cell>
          <cell r="L210" t="str">
            <v>13/13</v>
          </cell>
          <cell r="M210">
            <v>1</v>
          </cell>
          <cell r="Z210">
            <v>4.0021811999999999</v>
          </cell>
          <cell r="AA210" t="str">
            <v>1200x970x730</v>
          </cell>
          <cell r="AB210" t="str">
            <v>92-12-26</v>
          </cell>
          <cell r="AG210" t="str">
            <v>서해공업㈜ 반　</v>
          </cell>
          <cell r="AI210" t="str">
            <v>일석산업</v>
          </cell>
          <cell r="AK210" t="str">
            <v>92.외주조치</v>
          </cell>
        </row>
        <row r="211">
          <cell r="A211">
            <v>189</v>
          </cell>
          <cell r="E211" t="str">
            <v>기아모텍</v>
          </cell>
          <cell r="F211" t="str">
            <v>A</v>
          </cell>
          <cell r="G211" t="str">
            <v>AVELLA</v>
          </cell>
          <cell r="H211" t="str">
            <v>044101016986</v>
          </cell>
          <cell r="I211" t="str">
            <v>DX52 53/54 811</v>
          </cell>
          <cell r="J211" t="str">
            <v>RR SIDE FRAME R/L (3HB)</v>
          </cell>
          <cell r="K211" t="str">
            <v>검사구</v>
          </cell>
          <cell r="M211">
            <v>2</v>
          </cell>
          <cell r="N211">
            <v>15000000</v>
          </cell>
          <cell r="Y211" t="str">
            <v>수지</v>
          </cell>
          <cell r="AA211" t="str">
            <v>xx</v>
          </cell>
          <cell r="AB211" t="str">
            <v>92-07-24</v>
          </cell>
          <cell r="AG211" t="str">
            <v>영광</v>
          </cell>
          <cell r="AI211" t="str">
            <v>일석산업</v>
          </cell>
        </row>
        <row r="212">
          <cell r="A212">
            <v>189.10000610351563</v>
          </cell>
          <cell r="E212" t="str">
            <v>기아모텍</v>
          </cell>
          <cell r="F212" t="str">
            <v>A</v>
          </cell>
          <cell r="G212" t="str">
            <v>AVELLA</v>
          </cell>
          <cell r="H212" t="str">
            <v>044101016986</v>
          </cell>
          <cell r="I212" t="str">
            <v>DX52 53/54 811</v>
          </cell>
          <cell r="J212" t="str">
            <v>RR SIDE FRAME R/L (3HB)</v>
          </cell>
          <cell r="K212" t="str">
            <v>검사구</v>
          </cell>
          <cell r="M212">
            <v>2</v>
          </cell>
          <cell r="N212">
            <v>15000000</v>
          </cell>
          <cell r="Y212" t="str">
            <v>수지</v>
          </cell>
          <cell r="Z212">
            <v>0</v>
          </cell>
          <cell r="AA212" t="str">
            <v>720x400x320</v>
          </cell>
          <cell r="AB212" t="str">
            <v>92-07-24</v>
          </cell>
          <cell r="AG212" t="str">
            <v>영광</v>
          </cell>
          <cell r="AI212" t="str">
            <v>일석산업</v>
          </cell>
        </row>
        <row r="213">
          <cell r="A213">
            <v>189.19999694824219</v>
          </cell>
          <cell r="E213" t="str">
            <v>기아모텍</v>
          </cell>
          <cell r="F213" t="str">
            <v>A</v>
          </cell>
          <cell r="G213" t="str">
            <v>AVELLA</v>
          </cell>
          <cell r="H213" t="str">
            <v>044101016986</v>
          </cell>
          <cell r="I213" t="str">
            <v>DX52 53/54 811</v>
          </cell>
          <cell r="J213" t="str">
            <v>RR SIDE FRAME R/L (3HB)</v>
          </cell>
          <cell r="K213" t="str">
            <v>검사구</v>
          </cell>
          <cell r="M213">
            <v>2</v>
          </cell>
          <cell r="N213">
            <v>15000000</v>
          </cell>
          <cell r="Y213" t="str">
            <v>수지</v>
          </cell>
          <cell r="Z213">
            <v>0</v>
          </cell>
          <cell r="AA213" t="str">
            <v>720x400x320</v>
          </cell>
          <cell r="AB213" t="str">
            <v>92-07-24</v>
          </cell>
          <cell r="AG213" t="str">
            <v>영광</v>
          </cell>
          <cell r="AI213" t="str">
            <v>일석산업</v>
          </cell>
        </row>
        <row r="214">
          <cell r="A214">
            <v>190</v>
          </cell>
          <cell r="E214" t="str">
            <v>기아모텍</v>
          </cell>
          <cell r="F214" t="str">
            <v>B</v>
          </cell>
          <cell r="G214" t="str">
            <v>CONCORD</v>
          </cell>
          <cell r="H214" t="str">
            <v>041105150161</v>
          </cell>
          <cell r="I214" t="str">
            <v>F801 10 401</v>
          </cell>
          <cell r="J214" t="str">
            <v>OIL PAN</v>
          </cell>
          <cell r="K214" t="str">
            <v>금형</v>
          </cell>
          <cell r="L214" t="str">
            <v>DR 1/5</v>
          </cell>
          <cell r="M214">
            <v>1</v>
          </cell>
          <cell r="N214">
            <v>8090653</v>
          </cell>
          <cell r="Y214" t="str">
            <v>주물</v>
          </cell>
          <cell r="Z214">
            <v>3.051609</v>
          </cell>
          <cell r="AA214" t="str">
            <v>1100x950x620</v>
          </cell>
          <cell r="AB214" t="str">
            <v>87-07-30</v>
          </cell>
          <cell r="AG214" t="str">
            <v>KIA</v>
          </cell>
          <cell r="AI214" t="str">
            <v>영재정공</v>
          </cell>
        </row>
        <row r="215">
          <cell r="A215">
            <v>191</v>
          </cell>
          <cell r="E215" t="str">
            <v>기아모텍</v>
          </cell>
          <cell r="F215" t="str">
            <v>B</v>
          </cell>
          <cell r="G215" t="str">
            <v>CONCORD</v>
          </cell>
          <cell r="H215" t="str">
            <v>041105250128</v>
          </cell>
          <cell r="I215" t="str">
            <v>F801 10 401</v>
          </cell>
          <cell r="J215" t="str">
            <v>OIL PAN</v>
          </cell>
          <cell r="K215" t="str">
            <v>금형</v>
          </cell>
          <cell r="L215" t="str">
            <v>DR 2/5</v>
          </cell>
          <cell r="M215">
            <v>1</v>
          </cell>
          <cell r="N215">
            <v>6787556</v>
          </cell>
          <cell r="Y215" t="str">
            <v>주물</v>
          </cell>
          <cell r="Z215">
            <v>3.051609</v>
          </cell>
          <cell r="AA215" t="str">
            <v>1100x950x620</v>
          </cell>
          <cell r="AB215" t="str">
            <v>87-07-30</v>
          </cell>
          <cell r="AG215" t="str">
            <v>KIA</v>
          </cell>
          <cell r="AI215" t="str">
            <v>영재정공</v>
          </cell>
        </row>
        <row r="216">
          <cell r="A216">
            <v>192</v>
          </cell>
          <cell r="E216" t="str">
            <v>기아모텍</v>
          </cell>
          <cell r="F216" t="str">
            <v>B</v>
          </cell>
          <cell r="G216" t="str">
            <v>CONCORD</v>
          </cell>
          <cell r="H216" t="str">
            <v>041105350125</v>
          </cell>
          <cell r="I216" t="str">
            <v>F801 10 401</v>
          </cell>
          <cell r="J216" t="str">
            <v>OIL PAN</v>
          </cell>
          <cell r="K216" t="str">
            <v>금형</v>
          </cell>
          <cell r="L216" t="str">
            <v>REST 3/5</v>
          </cell>
          <cell r="M216">
            <v>1</v>
          </cell>
          <cell r="N216">
            <v>9665432</v>
          </cell>
          <cell r="Y216" t="str">
            <v>주물</v>
          </cell>
          <cell r="Z216">
            <v>2.102544</v>
          </cell>
          <cell r="AA216" t="str">
            <v>1000x620x720</v>
          </cell>
          <cell r="AB216" t="str">
            <v>87-07-30</v>
          </cell>
          <cell r="AG216" t="str">
            <v>KIA</v>
          </cell>
          <cell r="AI216" t="str">
            <v>영재정공</v>
          </cell>
        </row>
        <row r="217">
          <cell r="A217">
            <v>193</v>
          </cell>
          <cell r="E217" t="str">
            <v>기아모텍</v>
          </cell>
          <cell r="F217" t="str">
            <v>B</v>
          </cell>
          <cell r="G217" t="str">
            <v>CONCORD</v>
          </cell>
          <cell r="H217" t="str">
            <v>041105450141</v>
          </cell>
          <cell r="I217" t="str">
            <v>F801 10 401</v>
          </cell>
          <cell r="J217" t="str">
            <v>OIL PAN</v>
          </cell>
          <cell r="K217" t="str">
            <v>금형</v>
          </cell>
          <cell r="L217" t="str">
            <v>TR/FL 4/5</v>
          </cell>
          <cell r="M217">
            <v>1</v>
          </cell>
          <cell r="N217">
            <v>13281127</v>
          </cell>
          <cell r="Y217" t="str">
            <v>주물</v>
          </cell>
          <cell r="Z217">
            <v>4.8081187200000004</v>
          </cell>
          <cell r="AA217" t="str">
            <v>1520x920x730</v>
          </cell>
          <cell r="AB217" t="str">
            <v>87-07-30</v>
          </cell>
          <cell r="AG217" t="str">
            <v>KIA</v>
          </cell>
          <cell r="AI217" t="str">
            <v>영재정공</v>
          </cell>
        </row>
        <row r="218">
          <cell r="A218">
            <v>194</v>
          </cell>
          <cell r="E218" t="str">
            <v>기아모텍</v>
          </cell>
          <cell r="F218" t="str">
            <v>B</v>
          </cell>
          <cell r="G218" t="str">
            <v>CONCORD</v>
          </cell>
          <cell r="H218" t="str">
            <v>041105550128</v>
          </cell>
          <cell r="I218" t="str">
            <v>F801 10 401</v>
          </cell>
          <cell r="J218" t="str">
            <v>OIL PAN</v>
          </cell>
          <cell r="K218" t="str">
            <v>금형</v>
          </cell>
          <cell r="L218" t="str">
            <v>PIE 5/5</v>
          </cell>
          <cell r="M218">
            <v>1</v>
          </cell>
          <cell r="N218">
            <v>15450284</v>
          </cell>
          <cell r="Y218" t="str">
            <v>주물</v>
          </cell>
          <cell r="Z218">
            <v>3.5098919999999998</v>
          </cell>
          <cell r="AA218" t="str">
            <v>1150x900x720</v>
          </cell>
          <cell r="AB218" t="str">
            <v>87-07-30</v>
          </cell>
          <cell r="AG218" t="str">
            <v>KIA</v>
          </cell>
          <cell r="AI218" t="str">
            <v>영재정공</v>
          </cell>
        </row>
        <row r="219">
          <cell r="A219">
            <v>195</v>
          </cell>
          <cell r="E219" t="str">
            <v>기아모텍</v>
          </cell>
          <cell r="F219" t="str">
            <v>B</v>
          </cell>
          <cell r="G219" t="str">
            <v>CONCORD MMO-2</v>
          </cell>
          <cell r="H219" t="str">
            <v>041102023961</v>
          </cell>
          <cell r="I219" t="str">
            <v>FE3N 10 401</v>
          </cell>
          <cell r="J219" t="str">
            <v>PAN OIL</v>
          </cell>
          <cell r="K219" t="str">
            <v>금형</v>
          </cell>
          <cell r="M219">
            <v>6</v>
          </cell>
          <cell r="N219">
            <v>10504200</v>
          </cell>
          <cell r="Y219" t="str">
            <v>주물</v>
          </cell>
          <cell r="AA219" t="str">
            <v>xx</v>
          </cell>
          <cell r="AB219" t="str">
            <v>93-11-08</v>
          </cell>
          <cell r="AI219" t="str">
            <v>영재정공</v>
          </cell>
        </row>
        <row r="220">
          <cell r="A220">
            <v>195.10000610351563</v>
          </cell>
          <cell r="E220" t="str">
            <v>기아모텍</v>
          </cell>
          <cell r="F220" t="str">
            <v>B</v>
          </cell>
          <cell r="G220" t="str">
            <v>CONCORD MMO-2</v>
          </cell>
          <cell r="H220" t="str">
            <v>041102023961</v>
          </cell>
          <cell r="I220" t="str">
            <v>FE3N 10 401</v>
          </cell>
          <cell r="J220" t="str">
            <v>PAN OIL</v>
          </cell>
          <cell r="K220" t="str">
            <v>금형</v>
          </cell>
          <cell r="L220" t="str">
            <v>DR</v>
          </cell>
          <cell r="M220">
            <v>1</v>
          </cell>
          <cell r="Y220" t="str">
            <v>주물</v>
          </cell>
          <cell r="Z220">
            <v>3.0215591999999996</v>
          </cell>
          <cell r="AA220" t="str">
            <v>1200x810x660</v>
          </cell>
          <cell r="AB220" t="str">
            <v>93-11-08</v>
          </cell>
          <cell r="AI220" t="str">
            <v>영재정공</v>
          </cell>
        </row>
        <row r="221">
          <cell r="A221">
            <v>195.19999694824219</v>
          </cell>
          <cell r="E221" t="str">
            <v>기아모텍</v>
          </cell>
          <cell r="F221" t="str">
            <v>B</v>
          </cell>
          <cell r="G221" t="str">
            <v>CONCORD MMO-2</v>
          </cell>
          <cell r="H221" t="str">
            <v>041102023961</v>
          </cell>
          <cell r="I221" t="str">
            <v>FE3N 10 401</v>
          </cell>
          <cell r="J221" t="str">
            <v>PAN OIL</v>
          </cell>
          <cell r="K221" t="str">
            <v>금형</v>
          </cell>
          <cell r="L221" t="str">
            <v>1ST REST</v>
          </cell>
          <cell r="M221">
            <v>1</v>
          </cell>
          <cell r="Y221" t="str">
            <v>주물</v>
          </cell>
          <cell r="Z221">
            <v>3.3013331999999997</v>
          </cell>
          <cell r="AA221" t="str">
            <v>1180x900x660</v>
          </cell>
          <cell r="AB221" t="str">
            <v>93-11-08</v>
          </cell>
          <cell r="AI221" t="str">
            <v>영재정공</v>
          </cell>
        </row>
        <row r="222">
          <cell r="A222">
            <v>195.30000305175781</v>
          </cell>
          <cell r="E222" t="str">
            <v>기아모텍</v>
          </cell>
          <cell r="F222" t="str">
            <v>B</v>
          </cell>
          <cell r="G222" t="str">
            <v>CONCORD MMO-2</v>
          </cell>
          <cell r="H222" t="str">
            <v>041102023961</v>
          </cell>
          <cell r="I222" t="str">
            <v>FE3N 10 401</v>
          </cell>
          <cell r="J222" t="str">
            <v>PAN OIL</v>
          </cell>
          <cell r="K222" t="str">
            <v>금형</v>
          </cell>
          <cell r="L222" t="str">
            <v>TR</v>
          </cell>
          <cell r="M222">
            <v>1</v>
          </cell>
          <cell r="Y222" t="str">
            <v>주물</v>
          </cell>
          <cell r="Z222">
            <v>3.1894236</v>
          </cell>
          <cell r="AA222" t="str">
            <v>1140x900x660</v>
          </cell>
          <cell r="AB222" t="str">
            <v>93-11-08</v>
          </cell>
          <cell r="AI222" t="str">
            <v>영재정공</v>
          </cell>
        </row>
        <row r="223">
          <cell r="A223">
            <v>195.39999389648438</v>
          </cell>
          <cell r="E223" t="str">
            <v>기아모텍</v>
          </cell>
          <cell r="F223" t="str">
            <v>B</v>
          </cell>
          <cell r="G223" t="str">
            <v>CONCORD MMO-2</v>
          </cell>
          <cell r="H223" t="str">
            <v>041102023961</v>
          </cell>
          <cell r="I223" t="str">
            <v>FE3N 10 401</v>
          </cell>
          <cell r="J223" t="str">
            <v>PAN OIL</v>
          </cell>
          <cell r="K223" t="str">
            <v>금형</v>
          </cell>
          <cell r="L223" t="str">
            <v>FL</v>
          </cell>
          <cell r="M223">
            <v>1</v>
          </cell>
          <cell r="Y223" t="str">
            <v>주물</v>
          </cell>
          <cell r="Z223">
            <v>3.1894236</v>
          </cell>
          <cell r="AA223" t="str">
            <v>1140x900x660</v>
          </cell>
          <cell r="AB223" t="str">
            <v>93-11-08</v>
          </cell>
          <cell r="AI223" t="str">
            <v>영재정공</v>
          </cell>
        </row>
        <row r="224">
          <cell r="A224">
            <v>195.5</v>
          </cell>
          <cell r="E224" t="str">
            <v>기아모텍</v>
          </cell>
          <cell r="F224" t="str">
            <v>B</v>
          </cell>
          <cell r="G224" t="str">
            <v>CONCORD MMO-2</v>
          </cell>
          <cell r="H224" t="str">
            <v>041102023961</v>
          </cell>
          <cell r="I224" t="str">
            <v>FE3N 10 401</v>
          </cell>
          <cell r="J224" t="str">
            <v>PAN OIL</v>
          </cell>
          <cell r="K224" t="str">
            <v>금형</v>
          </cell>
          <cell r="L224" t="str">
            <v>PI</v>
          </cell>
          <cell r="M224">
            <v>1</v>
          </cell>
          <cell r="Y224" t="str">
            <v>주물</v>
          </cell>
          <cell r="Z224">
            <v>3.1894236</v>
          </cell>
          <cell r="AA224" t="str">
            <v>1140x900x660</v>
          </cell>
          <cell r="AB224" t="str">
            <v>93-11-08</v>
          </cell>
          <cell r="AI224" t="str">
            <v>영재정공</v>
          </cell>
        </row>
        <row r="225">
          <cell r="A225">
            <v>195.60000610351563</v>
          </cell>
          <cell r="E225" t="str">
            <v>기아모텍</v>
          </cell>
          <cell r="F225" t="str">
            <v>B</v>
          </cell>
          <cell r="G225" t="str">
            <v>CONCORD MMO-2</v>
          </cell>
          <cell r="H225" t="str">
            <v>041102023961</v>
          </cell>
          <cell r="I225" t="str">
            <v>FE3N 10 401</v>
          </cell>
          <cell r="J225" t="str">
            <v>PAN OIL</v>
          </cell>
          <cell r="K225" t="str">
            <v>금형</v>
          </cell>
          <cell r="L225" t="str">
            <v>C/PI</v>
          </cell>
          <cell r="M225">
            <v>1</v>
          </cell>
          <cell r="Y225" t="str">
            <v>주물</v>
          </cell>
          <cell r="Z225">
            <v>3.1894236</v>
          </cell>
          <cell r="AA225" t="str">
            <v>1140x900x660</v>
          </cell>
          <cell r="AB225" t="str">
            <v>93-11-08</v>
          </cell>
          <cell r="AI225" t="str">
            <v>영재정공</v>
          </cell>
        </row>
        <row r="226">
          <cell r="A226">
            <v>196</v>
          </cell>
          <cell r="E226" t="str">
            <v>기아모텍</v>
          </cell>
          <cell r="F226" t="str">
            <v>C1</v>
          </cell>
          <cell r="G226" t="str">
            <v>CONCORD</v>
          </cell>
          <cell r="H226" t="str">
            <v>044101014006</v>
          </cell>
          <cell r="I226" t="str">
            <v>G030 52 331/341</v>
          </cell>
          <cell r="J226" t="str">
            <v>HINGE REINF R/L</v>
          </cell>
          <cell r="K226" t="str">
            <v>검사구</v>
          </cell>
          <cell r="M226">
            <v>1</v>
          </cell>
          <cell r="N226">
            <v>3170769</v>
          </cell>
          <cell r="Y226" t="str">
            <v>수지</v>
          </cell>
          <cell r="AA226" t="str">
            <v>xx</v>
          </cell>
          <cell r="AB226" t="str">
            <v>87-10-30</v>
          </cell>
          <cell r="AG226" t="str">
            <v>SHIBASAKI</v>
          </cell>
          <cell r="AI226" t="str">
            <v>구동산업</v>
          </cell>
        </row>
        <row r="227">
          <cell r="A227">
            <v>197</v>
          </cell>
          <cell r="E227" t="str">
            <v>기아모텍</v>
          </cell>
          <cell r="F227" t="str">
            <v>C1</v>
          </cell>
          <cell r="G227" t="str">
            <v>CONCORD</v>
          </cell>
          <cell r="H227" t="str">
            <v>041106110791</v>
          </cell>
          <cell r="I227" t="str">
            <v>G030 52 331/341</v>
          </cell>
          <cell r="J227" t="str">
            <v>REINF-HINGE R/L</v>
          </cell>
          <cell r="K227" t="str">
            <v>금형</v>
          </cell>
          <cell r="M227">
            <v>6</v>
          </cell>
          <cell r="N227">
            <v>26200000</v>
          </cell>
          <cell r="AA227" t="str">
            <v>xx</v>
          </cell>
          <cell r="AB227" t="str">
            <v>87-5</v>
          </cell>
          <cell r="AI227" t="str">
            <v>구동산업</v>
          </cell>
        </row>
        <row r="228">
          <cell r="A228">
            <v>198</v>
          </cell>
          <cell r="E228" t="str">
            <v>기아모텍</v>
          </cell>
          <cell r="F228" t="str">
            <v>C1</v>
          </cell>
          <cell r="G228" t="str">
            <v>CONCORD</v>
          </cell>
          <cell r="H228" t="str">
            <v>044101010816</v>
          </cell>
          <cell r="I228" t="str">
            <v>G030 52 411/412</v>
          </cell>
          <cell r="J228" t="str">
            <v>BONNET HINGE R/L</v>
          </cell>
          <cell r="K228" t="str">
            <v>검사구</v>
          </cell>
          <cell r="M228">
            <v>2</v>
          </cell>
          <cell r="N228">
            <v>500000</v>
          </cell>
          <cell r="Y228" t="str">
            <v>수지</v>
          </cell>
          <cell r="AA228" t="str">
            <v>xx</v>
          </cell>
          <cell r="AB228" t="str">
            <v>86-12-24</v>
          </cell>
          <cell r="AG228" t="str">
            <v>한국정우</v>
          </cell>
          <cell r="AI228" t="str">
            <v>한우정공</v>
          </cell>
        </row>
        <row r="229">
          <cell r="A229">
            <v>199</v>
          </cell>
          <cell r="E229" t="str">
            <v>기아모텍</v>
          </cell>
          <cell r="F229" t="str">
            <v>C4</v>
          </cell>
          <cell r="G229" t="str">
            <v>CONCORD</v>
          </cell>
          <cell r="H229" t="str">
            <v>044101010686</v>
          </cell>
          <cell r="I229" t="str">
            <v>G030 52 631/641</v>
          </cell>
          <cell r="J229" t="str">
            <v>REINF HINGE R/L</v>
          </cell>
          <cell r="K229" t="str">
            <v>검사구</v>
          </cell>
          <cell r="L229" t="str">
            <v>C/F</v>
          </cell>
          <cell r="M229">
            <v>2</v>
          </cell>
          <cell r="N229">
            <v>800000</v>
          </cell>
          <cell r="AA229" t="str">
            <v>xx</v>
          </cell>
          <cell r="AB229" t="str">
            <v>87-12-30</v>
          </cell>
          <cell r="AG229" t="str">
            <v>학림모델</v>
          </cell>
          <cell r="AI229" t="str">
            <v>일석산업</v>
          </cell>
          <cell r="AJ229" t="str">
            <v>삼아금속</v>
          </cell>
          <cell r="AK229" t="str">
            <v>이관중 분실</v>
          </cell>
        </row>
        <row r="230">
          <cell r="A230">
            <v>200</v>
          </cell>
          <cell r="E230" t="str">
            <v>기아모텍</v>
          </cell>
          <cell r="F230" t="str">
            <v>C</v>
          </cell>
          <cell r="G230" t="str">
            <v>CONCORD</v>
          </cell>
          <cell r="I230" t="str">
            <v>G030 52 711</v>
          </cell>
          <cell r="J230" t="str">
            <v>HINGE LID</v>
          </cell>
          <cell r="K230" t="str">
            <v>금형</v>
          </cell>
          <cell r="M230">
            <v>1</v>
          </cell>
          <cell r="N230">
            <v>196482000</v>
          </cell>
          <cell r="AA230" t="str">
            <v>xx</v>
          </cell>
          <cell r="AB230" t="str">
            <v>87-01-16</v>
          </cell>
          <cell r="AI230" t="str">
            <v>일석산업</v>
          </cell>
        </row>
        <row r="231">
          <cell r="A231">
            <v>201</v>
          </cell>
          <cell r="E231" t="str">
            <v>기아모텍</v>
          </cell>
          <cell r="F231" t="str">
            <v>C4</v>
          </cell>
          <cell r="G231" t="str">
            <v>CONCORD</v>
          </cell>
          <cell r="H231" t="str">
            <v>044102010505</v>
          </cell>
          <cell r="I231" t="str">
            <v>G030 52 711/731</v>
          </cell>
          <cell r="J231" t="str">
            <v>HINGE LID R/L</v>
          </cell>
          <cell r="K231" t="str">
            <v>검사구</v>
          </cell>
          <cell r="M231">
            <v>1</v>
          </cell>
          <cell r="N231">
            <v>400000</v>
          </cell>
          <cell r="AA231" t="str">
            <v>xx</v>
          </cell>
          <cell r="AB231" t="str">
            <v>86-12-24</v>
          </cell>
          <cell r="AG231" t="str">
            <v>한국정우</v>
          </cell>
          <cell r="AI231" t="str">
            <v>일석산업</v>
          </cell>
          <cell r="AJ231" t="str">
            <v>풍기정공</v>
          </cell>
          <cell r="AK231" t="str">
            <v>이관중 분실</v>
          </cell>
        </row>
        <row r="232">
          <cell r="A232">
            <v>202</v>
          </cell>
          <cell r="E232" t="str">
            <v>기아모텍</v>
          </cell>
          <cell r="F232" t="str">
            <v>B</v>
          </cell>
          <cell r="G232" t="str">
            <v>CONCORD</v>
          </cell>
          <cell r="H232" t="str">
            <v>041102660440</v>
          </cell>
          <cell r="I232" t="str">
            <v>G030 52 711A</v>
          </cell>
          <cell r="J232" t="str">
            <v>HINGE- LID</v>
          </cell>
          <cell r="K232" t="str">
            <v>금형</v>
          </cell>
          <cell r="L232" t="str">
            <v>RE &amp; FL</v>
          </cell>
          <cell r="M232">
            <v>1</v>
          </cell>
          <cell r="N232">
            <v>4160000</v>
          </cell>
          <cell r="Y232" t="str">
            <v>주물</v>
          </cell>
          <cell r="Z232">
            <v>1.0511966399999999</v>
          </cell>
          <cell r="AA232" t="str">
            <v>740x520x580</v>
          </cell>
          <cell r="AB232" t="str">
            <v>87-3</v>
          </cell>
          <cell r="AG232" t="str">
            <v>구일</v>
          </cell>
          <cell r="AI232" t="str">
            <v>일석산업</v>
          </cell>
        </row>
        <row r="233">
          <cell r="A233">
            <v>203</v>
          </cell>
          <cell r="E233" t="str">
            <v>기아모텍</v>
          </cell>
          <cell r="F233" t="str">
            <v>B</v>
          </cell>
          <cell r="G233" t="str">
            <v>CONCORD</v>
          </cell>
          <cell r="H233" t="str">
            <v>041102660440</v>
          </cell>
          <cell r="I233" t="str">
            <v>G030 52 711A</v>
          </cell>
          <cell r="J233" t="str">
            <v>HINGE- LID</v>
          </cell>
          <cell r="K233" t="str">
            <v>금형</v>
          </cell>
          <cell r="L233" t="str">
            <v>BE</v>
          </cell>
          <cell r="M233">
            <v>1</v>
          </cell>
          <cell r="N233">
            <v>4680000</v>
          </cell>
          <cell r="Y233" t="str">
            <v>주물</v>
          </cell>
          <cell r="Z233">
            <v>1.2111859199999999</v>
          </cell>
          <cell r="AA233" t="str">
            <v>820x560x560</v>
          </cell>
          <cell r="AB233" t="str">
            <v>87-3</v>
          </cell>
          <cell r="AG233" t="str">
            <v>구일</v>
          </cell>
          <cell r="AI233" t="str">
            <v>일석산업</v>
          </cell>
        </row>
        <row r="234">
          <cell r="A234">
            <v>204</v>
          </cell>
          <cell r="E234" t="str">
            <v>기아모텍</v>
          </cell>
          <cell r="F234" t="str">
            <v>B</v>
          </cell>
          <cell r="G234" t="str">
            <v>CONCORD</v>
          </cell>
          <cell r="H234" t="str">
            <v>041102660440</v>
          </cell>
          <cell r="I234" t="str">
            <v>G030 52 711A</v>
          </cell>
          <cell r="J234" t="str">
            <v>HINGE- LID</v>
          </cell>
          <cell r="K234" t="str">
            <v>금형</v>
          </cell>
          <cell r="L234" t="str">
            <v>FO</v>
          </cell>
          <cell r="M234">
            <v>1</v>
          </cell>
          <cell r="N234">
            <v>4680000</v>
          </cell>
          <cell r="Y234" t="str">
            <v>주물</v>
          </cell>
          <cell r="Z234">
            <v>1.1895575999999999</v>
          </cell>
          <cell r="AA234" t="str">
            <v>820x550x560</v>
          </cell>
          <cell r="AB234" t="str">
            <v>87-3</v>
          </cell>
          <cell r="AG234" t="str">
            <v>구일</v>
          </cell>
          <cell r="AI234" t="str">
            <v>일석산업</v>
          </cell>
        </row>
        <row r="235">
          <cell r="A235">
            <v>205</v>
          </cell>
          <cell r="E235" t="str">
            <v>기아모텍</v>
          </cell>
          <cell r="F235" t="str">
            <v>B</v>
          </cell>
          <cell r="G235" t="str">
            <v>CONCORD</v>
          </cell>
          <cell r="H235" t="str">
            <v>041102660440</v>
          </cell>
          <cell r="I235" t="str">
            <v>G030 52 711A</v>
          </cell>
          <cell r="J235" t="str">
            <v>HINGE- LID</v>
          </cell>
          <cell r="K235" t="str">
            <v>금형</v>
          </cell>
          <cell r="L235" t="str">
            <v>PIE&amp;CAM P</v>
          </cell>
          <cell r="M235">
            <v>1</v>
          </cell>
          <cell r="N235">
            <v>6240000</v>
          </cell>
          <cell r="Y235" t="str">
            <v>주물</v>
          </cell>
          <cell r="Z235">
            <v>1.6390800000000001</v>
          </cell>
          <cell r="AA235" t="str">
            <v>1000x600x580</v>
          </cell>
          <cell r="AB235" t="str">
            <v>87-3</v>
          </cell>
          <cell r="AG235" t="str">
            <v>구일</v>
          </cell>
          <cell r="AI235" t="str">
            <v>일석산업</v>
          </cell>
        </row>
        <row r="236">
          <cell r="A236">
            <v>206</v>
          </cell>
          <cell r="E236" t="str">
            <v>기아모텍</v>
          </cell>
          <cell r="F236" t="str">
            <v>B</v>
          </cell>
          <cell r="G236" t="str">
            <v>CONCORD</v>
          </cell>
          <cell r="H236" t="str">
            <v>041102660440</v>
          </cell>
          <cell r="I236" t="str">
            <v>G030 52 711A</v>
          </cell>
          <cell r="J236" t="str">
            <v>HINGE- LID</v>
          </cell>
          <cell r="K236" t="str">
            <v>금형</v>
          </cell>
          <cell r="L236" t="str">
            <v>BL &amp; PIE</v>
          </cell>
          <cell r="M236">
            <v>1</v>
          </cell>
          <cell r="N236">
            <v>7280000</v>
          </cell>
          <cell r="Y236" t="str">
            <v>주물</v>
          </cell>
          <cell r="Z236">
            <v>1.3429152</v>
          </cell>
          <cell r="AA236" t="str">
            <v>1100x540x480</v>
          </cell>
          <cell r="AB236" t="str">
            <v>87-3</v>
          </cell>
          <cell r="AG236" t="str">
            <v>구일</v>
          </cell>
          <cell r="AI236" t="str">
            <v>일석산업</v>
          </cell>
        </row>
        <row r="237">
          <cell r="A237">
            <v>207</v>
          </cell>
          <cell r="E237" t="str">
            <v>기아모텍</v>
          </cell>
          <cell r="F237" t="str">
            <v>B</v>
          </cell>
          <cell r="G237" t="str">
            <v>CONCORD</v>
          </cell>
          <cell r="H237" t="str">
            <v>041102660440</v>
          </cell>
          <cell r="I237" t="str">
            <v>G030 52 711A</v>
          </cell>
          <cell r="J237" t="str">
            <v>HINGE- LID</v>
          </cell>
          <cell r="K237" t="str">
            <v>금형</v>
          </cell>
          <cell r="L237" t="str">
            <v>CAM&amp;PIE</v>
          </cell>
          <cell r="M237">
            <v>1</v>
          </cell>
          <cell r="N237">
            <v>8320000</v>
          </cell>
          <cell r="Y237" t="str">
            <v>주물</v>
          </cell>
          <cell r="Z237">
            <v>3.1233705599999997</v>
          </cell>
          <cell r="AA237" t="str">
            <v>1060x920x680</v>
          </cell>
          <cell r="AB237" t="str">
            <v>87-3</v>
          </cell>
          <cell r="AG237" t="str">
            <v>구일</v>
          </cell>
          <cell r="AI237" t="str">
            <v>일석산업</v>
          </cell>
        </row>
        <row r="238">
          <cell r="A238">
            <v>208</v>
          </cell>
          <cell r="E238" t="str">
            <v>기아모텍</v>
          </cell>
          <cell r="F238" t="str">
            <v>C1</v>
          </cell>
          <cell r="G238" t="str">
            <v>CONCORD</v>
          </cell>
          <cell r="I238" t="str">
            <v>G030 52 713</v>
          </cell>
          <cell r="J238" t="str">
            <v>STIFF HINGE LID</v>
          </cell>
          <cell r="K238" t="str">
            <v>금형</v>
          </cell>
          <cell r="M238">
            <v>4</v>
          </cell>
          <cell r="N238">
            <v>98751000</v>
          </cell>
          <cell r="Z238">
            <v>0</v>
          </cell>
          <cell r="AA238" t="str">
            <v>xx</v>
          </cell>
          <cell r="AB238" t="str">
            <v>87-01-16</v>
          </cell>
          <cell r="AI238" t="str">
            <v>일석산업</v>
          </cell>
        </row>
        <row r="239">
          <cell r="A239">
            <v>209</v>
          </cell>
          <cell r="E239" t="str">
            <v>기아모텍</v>
          </cell>
          <cell r="F239" t="str">
            <v>C1</v>
          </cell>
          <cell r="G239" t="str">
            <v>CONCORD</v>
          </cell>
          <cell r="I239" t="str">
            <v>G030 52 721</v>
          </cell>
          <cell r="J239" t="str">
            <v>B/K HINGE R/L</v>
          </cell>
          <cell r="K239" t="str">
            <v>금형</v>
          </cell>
          <cell r="M239">
            <v>7</v>
          </cell>
          <cell r="N239">
            <v>82382000</v>
          </cell>
          <cell r="Z239">
            <v>0</v>
          </cell>
          <cell r="AA239" t="str">
            <v>xx</v>
          </cell>
          <cell r="AB239" t="str">
            <v>87-01-16</v>
          </cell>
          <cell r="AI239" t="str">
            <v>일석산업</v>
          </cell>
        </row>
        <row r="240">
          <cell r="A240">
            <v>210</v>
          </cell>
          <cell r="E240" t="str">
            <v>기아모텍</v>
          </cell>
          <cell r="F240" t="str">
            <v>B</v>
          </cell>
          <cell r="G240" t="str">
            <v>CONCORD</v>
          </cell>
          <cell r="H240" t="str">
            <v>041102440972</v>
          </cell>
          <cell r="I240" t="str">
            <v>G030 52 721A</v>
          </cell>
          <cell r="J240" t="str">
            <v>BRKT-HINGE</v>
          </cell>
          <cell r="K240" t="str">
            <v>금형</v>
          </cell>
          <cell r="L240" t="str">
            <v>PIE</v>
          </cell>
          <cell r="M240">
            <v>1</v>
          </cell>
          <cell r="N240">
            <v>2470000</v>
          </cell>
          <cell r="Y240" t="str">
            <v>STEEL</v>
          </cell>
          <cell r="Z240">
            <v>0.63351383999999999</v>
          </cell>
          <cell r="AA240" t="str">
            <v>680x460x430</v>
          </cell>
          <cell r="AB240" t="str">
            <v>87-2</v>
          </cell>
          <cell r="AG240" t="str">
            <v>화성</v>
          </cell>
          <cell r="AI240" t="str">
            <v>일석산업</v>
          </cell>
        </row>
        <row r="241">
          <cell r="A241">
            <v>211</v>
          </cell>
          <cell r="E241" t="str">
            <v>기아모텍</v>
          </cell>
          <cell r="F241" t="str">
            <v>B</v>
          </cell>
          <cell r="G241" t="str">
            <v>CONCORD</v>
          </cell>
          <cell r="H241" t="str">
            <v>041102440972</v>
          </cell>
          <cell r="I241" t="str">
            <v>G030 52 721A</v>
          </cell>
          <cell r="J241" t="str">
            <v>BRKT-HINGE</v>
          </cell>
          <cell r="K241" t="str">
            <v>금형</v>
          </cell>
          <cell r="L241" t="str">
            <v>REST &amp; BU</v>
          </cell>
          <cell r="M241">
            <v>1</v>
          </cell>
          <cell r="N241">
            <v>2860000</v>
          </cell>
          <cell r="Y241" t="str">
            <v>STEEL</v>
          </cell>
          <cell r="Z241">
            <v>0.69994367999999996</v>
          </cell>
          <cell r="AA241" t="str">
            <v>720x480x430</v>
          </cell>
          <cell r="AB241" t="str">
            <v>87-2</v>
          </cell>
          <cell r="AG241" t="str">
            <v>화성</v>
          </cell>
          <cell r="AI241" t="str">
            <v>일석산업</v>
          </cell>
        </row>
        <row r="242">
          <cell r="A242">
            <v>212</v>
          </cell>
          <cell r="E242" t="str">
            <v>기아모텍</v>
          </cell>
          <cell r="F242" t="str">
            <v>B</v>
          </cell>
          <cell r="G242" t="str">
            <v>CONCORD</v>
          </cell>
          <cell r="H242" t="str">
            <v>041102440972</v>
          </cell>
          <cell r="I242" t="str">
            <v>G030 52 721A</v>
          </cell>
          <cell r="J242" t="str">
            <v>BRKT-HINGE</v>
          </cell>
          <cell r="K242" t="str">
            <v>금형</v>
          </cell>
          <cell r="L242" t="str">
            <v>TR &amp; PIE</v>
          </cell>
          <cell r="M242">
            <v>1</v>
          </cell>
          <cell r="N242">
            <v>2960000</v>
          </cell>
          <cell r="Y242" t="str">
            <v>STEEL</v>
          </cell>
          <cell r="Z242">
            <v>0.72910800000000009</v>
          </cell>
          <cell r="AA242" t="str">
            <v>750x480x430</v>
          </cell>
          <cell r="AB242" t="str">
            <v>87-2</v>
          </cell>
          <cell r="AG242" t="str">
            <v>화성</v>
          </cell>
          <cell r="AI242" t="str">
            <v>일석산업</v>
          </cell>
        </row>
        <row r="243">
          <cell r="A243">
            <v>213</v>
          </cell>
          <cell r="E243" t="str">
            <v>기아모텍</v>
          </cell>
          <cell r="F243" t="str">
            <v>B</v>
          </cell>
          <cell r="G243" t="str">
            <v>CONCORD</v>
          </cell>
          <cell r="H243" t="str">
            <v>041102440972</v>
          </cell>
          <cell r="I243" t="str">
            <v>G030 52 721A</v>
          </cell>
          <cell r="J243" t="str">
            <v>BRKT-HINGE</v>
          </cell>
          <cell r="K243" t="str">
            <v>금형</v>
          </cell>
          <cell r="L243" t="str">
            <v>DR &amp; FO</v>
          </cell>
          <cell r="M243">
            <v>1</v>
          </cell>
          <cell r="N243">
            <v>3410000</v>
          </cell>
          <cell r="Y243" t="str">
            <v>STEEL</v>
          </cell>
          <cell r="Z243">
            <v>0.83543624999999999</v>
          </cell>
          <cell r="AA243" t="str">
            <v>750x550x430</v>
          </cell>
          <cell r="AB243" t="str">
            <v>87-2</v>
          </cell>
          <cell r="AG243" t="str">
            <v>화성</v>
          </cell>
          <cell r="AI243" t="str">
            <v>일석산업</v>
          </cell>
        </row>
        <row r="244">
          <cell r="A244">
            <v>214</v>
          </cell>
          <cell r="E244" t="str">
            <v>기아모텍</v>
          </cell>
          <cell r="F244" t="str">
            <v>C4</v>
          </cell>
          <cell r="G244" t="str">
            <v>CONCORD</v>
          </cell>
          <cell r="H244" t="str">
            <v>041101550112</v>
          </cell>
          <cell r="I244" t="str">
            <v>G030 53 151</v>
          </cell>
          <cell r="J244" t="str">
            <v>SHROUD PANEL UP</v>
          </cell>
          <cell r="K244" t="str">
            <v>금형</v>
          </cell>
          <cell r="L244" t="str">
            <v>BL</v>
          </cell>
          <cell r="M244">
            <v>1</v>
          </cell>
          <cell r="N244">
            <v>7100000</v>
          </cell>
          <cell r="Z244">
            <v>1.9075499999999999</v>
          </cell>
          <cell r="AA244" t="str">
            <v>450x1500x600</v>
          </cell>
          <cell r="AB244" t="str">
            <v>86-A</v>
          </cell>
          <cell r="AG244" t="str">
            <v>세아</v>
          </cell>
          <cell r="AJ244" t="str">
            <v>금성공업</v>
          </cell>
          <cell r="AK244" t="str">
            <v>금성공업에서 타업체로 이관</v>
          </cell>
        </row>
        <row r="245">
          <cell r="A245">
            <v>215</v>
          </cell>
          <cell r="E245" t="str">
            <v>기아모텍</v>
          </cell>
          <cell r="F245" t="str">
            <v>C4</v>
          </cell>
          <cell r="G245" t="str">
            <v>CONCORD</v>
          </cell>
          <cell r="H245" t="str">
            <v>041101550112</v>
          </cell>
          <cell r="I245" t="str">
            <v>G030 53 151</v>
          </cell>
          <cell r="J245" t="str">
            <v>SHROUD PANEL UP</v>
          </cell>
          <cell r="K245" t="str">
            <v>금형</v>
          </cell>
          <cell r="L245" t="str">
            <v>FO&amp;FL</v>
          </cell>
          <cell r="M245">
            <v>1</v>
          </cell>
          <cell r="N245">
            <v>7100000</v>
          </cell>
          <cell r="Z245">
            <v>1.9075499999999999</v>
          </cell>
          <cell r="AA245" t="str">
            <v>450x1500x600</v>
          </cell>
          <cell r="AB245" t="str">
            <v>86-A</v>
          </cell>
          <cell r="AG245" t="str">
            <v>세아</v>
          </cell>
          <cell r="AJ245" t="str">
            <v>금성공업</v>
          </cell>
          <cell r="AK245" t="str">
            <v>금성공업에서 타업체로 이관</v>
          </cell>
        </row>
        <row r="246">
          <cell r="A246">
            <v>216</v>
          </cell>
          <cell r="E246" t="str">
            <v>기아모텍</v>
          </cell>
          <cell r="F246" t="str">
            <v>C4</v>
          </cell>
          <cell r="G246" t="str">
            <v>CONCORD</v>
          </cell>
          <cell r="H246" t="str">
            <v>041101550112</v>
          </cell>
          <cell r="I246" t="str">
            <v>G030 53 151</v>
          </cell>
          <cell r="J246" t="str">
            <v>SHROUD PANEL UP</v>
          </cell>
          <cell r="K246" t="str">
            <v>금형</v>
          </cell>
          <cell r="L246" t="str">
            <v>PIE</v>
          </cell>
          <cell r="M246">
            <v>1</v>
          </cell>
          <cell r="N246">
            <v>7100000</v>
          </cell>
          <cell r="Z246">
            <v>1.9075499999999999</v>
          </cell>
          <cell r="AA246" t="str">
            <v>450x1500x600</v>
          </cell>
          <cell r="AB246" t="str">
            <v>86-A</v>
          </cell>
          <cell r="AG246" t="str">
            <v>세아</v>
          </cell>
          <cell r="AJ246" t="str">
            <v>금성공업</v>
          </cell>
          <cell r="AK246" t="str">
            <v>금성공업에서 타업체로 이관</v>
          </cell>
        </row>
        <row r="247">
          <cell r="A247">
            <v>217</v>
          </cell>
          <cell r="E247" t="str">
            <v>기아모텍</v>
          </cell>
          <cell r="F247" t="str">
            <v>C4</v>
          </cell>
          <cell r="G247" t="str">
            <v>CONCORD</v>
          </cell>
          <cell r="H247" t="str">
            <v>041101550112</v>
          </cell>
          <cell r="I247" t="str">
            <v>G030 53 151</v>
          </cell>
          <cell r="J247" t="str">
            <v>SHROUD PANEL UP</v>
          </cell>
          <cell r="K247" t="str">
            <v>금형</v>
          </cell>
          <cell r="L247" t="str">
            <v>RES&amp;PIE</v>
          </cell>
          <cell r="M247">
            <v>1</v>
          </cell>
          <cell r="N247">
            <v>13600000</v>
          </cell>
          <cell r="Z247">
            <v>3.6172800000000001</v>
          </cell>
          <cell r="AA247" t="str">
            <v>800x1600x600</v>
          </cell>
          <cell r="AB247" t="str">
            <v>86-A</v>
          </cell>
          <cell r="AG247" t="str">
            <v>세아</v>
          </cell>
          <cell r="AJ247" t="str">
            <v>금성공업</v>
          </cell>
          <cell r="AK247" t="str">
            <v>금성공업에서 타업체로 이관</v>
          </cell>
        </row>
        <row r="248">
          <cell r="A248">
            <v>218</v>
          </cell>
          <cell r="E248" t="str">
            <v>기아모텍</v>
          </cell>
          <cell r="F248" t="str">
            <v>C1</v>
          </cell>
          <cell r="G248" t="str">
            <v>CONCORD</v>
          </cell>
          <cell r="H248" t="str">
            <v>041101220015</v>
          </cell>
          <cell r="I248" t="str">
            <v>G030 53 161</v>
          </cell>
          <cell r="J248" t="str">
            <v>CROSS MEMBER NO.1 A</v>
          </cell>
          <cell r="K248" t="str">
            <v>금형</v>
          </cell>
          <cell r="L248" t="str">
            <v>BL&amp;PIE</v>
          </cell>
          <cell r="M248">
            <v>1</v>
          </cell>
          <cell r="N248">
            <v>4950000</v>
          </cell>
          <cell r="Y248" t="str">
            <v>STEEL</v>
          </cell>
          <cell r="Z248">
            <v>0.8160075</v>
          </cell>
          <cell r="AA248" t="str">
            <v>450x1100x350</v>
          </cell>
          <cell r="AB248" t="str">
            <v>86-A</v>
          </cell>
          <cell r="AG248" t="str">
            <v>광성</v>
          </cell>
          <cell r="AI248" t="str">
            <v>대륭강업</v>
          </cell>
        </row>
        <row r="249">
          <cell r="A249">
            <v>219</v>
          </cell>
          <cell r="E249" t="str">
            <v>기아모텍</v>
          </cell>
          <cell r="F249" t="str">
            <v>C1</v>
          </cell>
          <cell r="G249" t="str">
            <v>CONCORD</v>
          </cell>
          <cell r="H249" t="str">
            <v>041101220015</v>
          </cell>
          <cell r="I249" t="str">
            <v>G030 53 161</v>
          </cell>
          <cell r="J249" t="str">
            <v>CROSS MEMBER NO.1 A</v>
          </cell>
          <cell r="K249" t="str">
            <v>금형</v>
          </cell>
          <cell r="L249" t="str">
            <v>FO&amp;FL</v>
          </cell>
          <cell r="M249">
            <v>1</v>
          </cell>
          <cell r="N249">
            <v>4950000</v>
          </cell>
          <cell r="Y249" t="str">
            <v>STEEL</v>
          </cell>
          <cell r="Z249">
            <v>0.8160075</v>
          </cell>
          <cell r="AA249" t="str">
            <v>450x1100x350</v>
          </cell>
          <cell r="AB249" t="str">
            <v>86-A</v>
          </cell>
          <cell r="AG249" t="str">
            <v>광성</v>
          </cell>
          <cell r="AI249" t="str">
            <v>대륭강업</v>
          </cell>
        </row>
        <row r="250">
          <cell r="A250">
            <v>220</v>
          </cell>
          <cell r="E250" t="str">
            <v>기아모텍</v>
          </cell>
          <cell r="F250" t="str">
            <v>C1</v>
          </cell>
          <cell r="G250" t="str">
            <v>CONCORD</v>
          </cell>
          <cell r="H250" t="str">
            <v>044101013466</v>
          </cell>
          <cell r="I250" t="str">
            <v>G030 53 171</v>
          </cell>
          <cell r="J250" t="str">
            <v>CROSS MEMBER NO.1 B</v>
          </cell>
          <cell r="K250" t="str">
            <v>검사구</v>
          </cell>
          <cell r="M250">
            <v>1</v>
          </cell>
          <cell r="N250">
            <v>3325974</v>
          </cell>
          <cell r="Y250" t="str">
            <v>수지</v>
          </cell>
          <cell r="Z250">
            <v>0</v>
          </cell>
          <cell r="AA250" t="str">
            <v>xx</v>
          </cell>
          <cell r="AB250" t="str">
            <v>88-03-15</v>
          </cell>
          <cell r="AG250" t="str">
            <v>KIA</v>
          </cell>
          <cell r="AI250" t="str">
            <v>대륭강업</v>
          </cell>
        </row>
        <row r="251">
          <cell r="A251">
            <v>221</v>
          </cell>
          <cell r="E251" t="str">
            <v>기아모텍</v>
          </cell>
          <cell r="F251" t="str">
            <v>C1</v>
          </cell>
          <cell r="G251" t="str">
            <v>CONCORD</v>
          </cell>
          <cell r="H251" t="str">
            <v>041105140029</v>
          </cell>
          <cell r="I251" t="str">
            <v>G030 53 451</v>
          </cell>
          <cell r="J251" t="str">
            <v>M/B DASH LWR</v>
          </cell>
          <cell r="K251" t="str">
            <v>금형</v>
          </cell>
          <cell r="L251" t="str">
            <v>DR 1/5</v>
          </cell>
          <cell r="M251">
            <v>1</v>
          </cell>
          <cell r="N251">
            <v>20834748</v>
          </cell>
          <cell r="Z251">
            <v>0</v>
          </cell>
          <cell r="AA251" t="str">
            <v>xx</v>
          </cell>
          <cell r="AB251" t="str">
            <v>88-02-29</v>
          </cell>
          <cell r="AG251" t="str">
            <v>KIA</v>
          </cell>
          <cell r="AI251" t="str">
            <v>대륭강업</v>
          </cell>
        </row>
        <row r="252">
          <cell r="A252">
            <v>222</v>
          </cell>
          <cell r="E252" t="str">
            <v>기아모텍</v>
          </cell>
          <cell r="F252" t="str">
            <v>C1</v>
          </cell>
          <cell r="G252" t="str">
            <v>CONCORD</v>
          </cell>
          <cell r="H252" t="str">
            <v>041105240026</v>
          </cell>
          <cell r="I252" t="str">
            <v>G030 53 451</v>
          </cell>
          <cell r="J252" t="str">
            <v>M/B DASH LWR</v>
          </cell>
          <cell r="K252" t="str">
            <v>금형</v>
          </cell>
          <cell r="L252" t="str">
            <v>DR 2/5</v>
          </cell>
          <cell r="M252">
            <v>1</v>
          </cell>
          <cell r="N252">
            <v>22822285</v>
          </cell>
          <cell r="Z252">
            <v>0</v>
          </cell>
          <cell r="AA252" t="str">
            <v>xx</v>
          </cell>
          <cell r="AB252" t="str">
            <v>88-02-29</v>
          </cell>
          <cell r="AG252" t="str">
            <v>KIA</v>
          </cell>
          <cell r="AI252" t="str">
            <v>대륭강업</v>
          </cell>
        </row>
        <row r="253">
          <cell r="A253">
            <v>223</v>
          </cell>
          <cell r="E253" t="str">
            <v>기아모텍</v>
          </cell>
          <cell r="F253" t="str">
            <v>C1</v>
          </cell>
          <cell r="G253" t="str">
            <v>CONCORD</v>
          </cell>
          <cell r="H253" t="str">
            <v>041105340023</v>
          </cell>
          <cell r="I253" t="str">
            <v>G030 53 451</v>
          </cell>
          <cell r="J253" t="str">
            <v>M/B DASH LWR</v>
          </cell>
          <cell r="K253" t="str">
            <v>금형</v>
          </cell>
          <cell r="L253" t="str">
            <v>TR/PIE 3/5</v>
          </cell>
          <cell r="M253">
            <v>1</v>
          </cell>
          <cell r="N253">
            <v>87954851</v>
          </cell>
          <cell r="Z253">
            <v>0</v>
          </cell>
          <cell r="AA253" t="str">
            <v>xx</v>
          </cell>
          <cell r="AB253" t="str">
            <v>88-02-29</v>
          </cell>
          <cell r="AG253" t="str">
            <v>KIA</v>
          </cell>
          <cell r="AI253" t="str">
            <v>대륭강업</v>
          </cell>
        </row>
        <row r="254">
          <cell r="A254">
            <v>224</v>
          </cell>
          <cell r="E254" t="str">
            <v>기아모텍</v>
          </cell>
          <cell r="F254" t="str">
            <v>C1</v>
          </cell>
          <cell r="G254" t="str">
            <v>CONCORD</v>
          </cell>
          <cell r="H254" t="str">
            <v>041105340033</v>
          </cell>
          <cell r="I254" t="str">
            <v>G030 53 451</v>
          </cell>
          <cell r="J254" t="str">
            <v>M/B DASH LWR</v>
          </cell>
          <cell r="K254" t="str">
            <v>금형</v>
          </cell>
          <cell r="L254" t="str">
            <v>REST/FL 4/5</v>
          </cell>
          <cell r="M254">
            <v>1</v>
          </cell>
          <cell r="N254">
            <v>26292692</v>
          </cell>
          <cell r="Z254">
            <v>0</v>
          </cell>
          <cell r="AA254" t="str">
            <v>xx</v>
          </cell>
          <cell r="AB254" t="str">
            <v>88-02-29</v>
          </cell>
          <cell r="AG254" t="str">
            <v>KIA</v>
          </cell>
          <cell r="AI254" t="str">
            <v>대륭강업</v>
          </cell>
        </row>
        <row r="255">
          <cell r="A255">
            <v>225</v>
          </cell>
          <cell r="E255" t="str">
            <v>기아모텍</v>
          </cell>
          <cell r="F255" t="str">
            <v>C1</v>
          </cell>
          <cell r="G255" t="str">
            <v>CONCORD</v>
          </cell>
          <cell r="H255" t="str">
            <v>041105340043</v>
          </cell>
          <cell r="I255" t="str">
            <v>G030 53 451</v>
          </cell>
          <cell r="J255" t="str">
            <v>M/B DASH LWR</v>
          </cell>
          <cell r="K255" t="str">
            <v>금형</v>
          </cell>
          <cell r="L255" t="str">
            <v>TR/PIE 5/5</v>
          </cell>
          <cell r="M255">
            <v>1</v>
          </cell>
          <cell r="N255">
            <v>35708874</v>
          </cell>
          <cell r="Z255">
            <v>0</v>
          </cell>
          <cell r="AA255" t="str">
            <v>xx</v>
          </cell>
          <cell r="AB255" t="str">
            <v>88-02-29</v>
          </cell>
          <cell r="AG255" t="str">
            <v>KIA</v>
          </cell>
          <cell r="AI255" t="str">
            <v>대륭강업</v>
          </cell>
        </row>
        <row r="256">
          <cell r="A256">
            <v>226</v>
          </cell>
          <cell r="E256" t="str">
            <v>기아모텍</v>
          </cell>
          <cell r="F256" t="str">
            <v>C1</v>
          </cell>
          <cell r="G256" t="str">
            <v>CONCORD</v>
          </cell>
          <cell r="H256" t="str">
            <v>044101010736</v>
          </cell>
          <cell r="I256" t="str">
            <v>G030 53 471</v>
          </cell>
          <cell r="J256" t="str">
            <v>STG BRKT</v>
          </cell>
          <cell r="K256" t="str">
            <v>검사구</v>
          </cell>
          <cell r="M256">
            <v>1</v>
          </cell>
          <cell r="N256">
            <v>850000</v>
          </cell>
          <cell r="Y256" t="str">
            <v>수지</v>
          </cell>
          <cell r="AA256" t="str">
            <v>xx</v>
          </cell>
          <cell r="AG256" t="str">
            <v>선진제품</v>
          </cell>
          <cell r="AI256" t="str">
            <v>대륭강업</v>
          </cell>
        </row>
        <row r="257">
          <cell r="A257">
            <v>227</v>
          </cell>
          <cell r="E257" t="str">
            <v>기아모텍</v>
          </cell>
          <cell r="F257" t="str">
            <v>C1</v>
          </cell>
          <cell r="G257" t="str">
            <v>CONCORD</v>
          </cell>
          <cell r="H257" t="str">
            <v>044101010746</v>
          </cell>
          <cell r="I257" t="str">
            <v>G030 53 491</v>
          </cell>
          <cell r="J257" t="str">
            <v>BRKT MTG RH</v>
          </cell>
          <cell r="K257" t="str">
            <v>검사구</v>
          </cell>
          <cell r="M257">
            <v>1</v>
          </cell>
          <cell r="N257">
            <v>825000</v>
          </cell>
          <cell r="Y257" t="str">
            <v>수지</v>
          </cell>
          <cell r="Z257">
            <v>0</v>
          </cell>
          <cell r="AA257" t="str">
            <v>xx</v>
          </cell>
          <cell r="AB257" t="str">
            <v>86-12-12</v>
          </cell>
          <cell r="AG257" t="str">
            <v>선진모델</v>
          </cell>
          <cell r="AI257" t="str">
            <v>대륭강업</v>
          </cell>
        </row>
        <row r="258">
          <cell r="A258">
            <v>228</v>
          </cell>
          <cell r="E258" t="str">
            <v>기아모텍</v>
          </cell>
          <cell r="F258" t="str">
            <v>C1</v>
          </cell>
          <cell r="G258" t="str">
            <v>CONCORD</v>
          </cell>
          <cell r="H258" t="str">
            <v>044101010766</v>
          </cell>
          <cell r="I258" t="str">
            <v>G030 53 531A</v>
          </cell>
          <cell r="J258" t="str">
            <v>BRKT STG A</v>
          </cell>
          <cell r="K258" t="str">
            <v>검사구</v>
          </cell>
          <cell r="M258">
            <v>1</v>
          </cell>
          <cell r="N258">
            <v>1284000</v>
          </cell>
          <cell r="Y258" t="str">
            <v>수지</v>
          </cell>
          <cell r="Z258">
            <v>0</v>
          </cell>
          <cell r="AA258" t="str">
            <v>xx</v>
          </cell>
          <cell r="AB258" t="str">
            <v>86-12-12</v>
          </cell>
          <cell r="AG258" t="str">
            <v>선진모델</v>
          </cell>
          <cell r="AI258" t="str">
            <v>대륭강업</v>
          </cell>
        </row>
        <row r="259">
          <cell r="A259">
            <v>229</v>
          </cell>
          <cell r="E259" t="str">
            <v>기아모텍</v>
          </cell>
          <cell r="F259" t="str">
            <v>C1</v>
          </cell>
          <cell r="G259" t="str">
            <v>CONCORD</v>
          </cell>
          <cell r="H259" t="str">
            <v>044101010706</v>
          </cell>
          <cell r="I259" t="str">
            <v>G030 53 532A</v>
          </cell>
          <cell r="J259" t="str">
            <v>BRKT STG B</v>
          </cell>
          <cell r="K259" t="str">
            <v>검사구</v>
          </cell>
          <cell r="L259" t="str">
            <v>C/F</v>
          </cell>
          <cell r="M259">
            <v>1</v>
          </cell>
          <cell r="N259">
            <v>1815000</v>
          </cell>
          <cell r="Y259" t="str">
            <v>수지</v>
          </cell>
          <cell r="Z259">
            <v>0</v>
          </cell>
          <cell r="AA259" t="str">
            <v>xx</v>
          </cell>
          <cell r="AB259" t="str">
            <v>87-12-30</v>
          </cell>
          <cell r="AG259" t="str">
            <v>학림모델</v>
          </cell>
          <cell r="AI259" t="str">
            <v>대륭강업</v>
          </cell>
        </row>
        <row r="260">
          <cell r="A260">
            <v>230</v>
          </cell>
          <cell r="E260" t="str">
            <v>기아모텍</v>
          </cell>
          <cell r="F260" t="str">
            <v>C1</v>
          </cell>
          <cell r="G260" t="str">
            <v>CONCORD</v>
          </cell>
          <cell r="H260" t="str">
            <v>044101014036</v>
          </cell>
          <cell r="I260" t="str">
            <v>G030 53/54 453</v>
          </cell>
          <cell r="J260" t="str">
            <v>MEMBER REINF</v>
          </cell>
          <cell r="K260" t="str">
            <v>검사구</v>
          </cell>
          <cell r="M260">
            <v>2</v>
          </cell>
          <cell r="N260">
            <v>3242344</v>
          </cell>
          <cell r="Y260" t="str">
            <v>수지</v>
          </cell>
          <cell r="Z260">
            <v>0</v>
          </cell>
          <cell r="AA260" t="str">
            <v>xx</v>
          </cell>
          <cell r="AB260" t="str">
            <v>87-10-30</v>
          </cell>
          <cell r="AG260" t="str">
            <v>SHIBASAKI</v>
          </cell>
          <cell r="AI260" t="str">
            <v>대륭강업</v>
          </cell>
        </row>
        <row r="261">
          <cell r="A261">
            <v>231</v>
          </cell>
          <cell r="E261" t="str">
            <v>기아모텍</v>
          </cell>
          <cell r="F261" t="str">
            <v>C1</v>
          </cell>
          <cell r="G261" t="str">
            <v>CONCORD</v>
          </cell>
          <cell r="H261" t="str">
            <v>041102440802</v>
          </cell>
          <cell r="I261" t="str">
            <v>G030 53/54 453</v>
          </cell>
          <cell r="J261" t="str">
            <v>REINF-MEMBER RH/LH</v>
          </cell>
          <cell r="M261">
            <v>4</v>
          </cell>
          <cell r="N261">
            <v>30362000</v>
          </cell>
          <cell r="Z261">
            <v>5.85</v>
          </cell>
          <cell r="AA261" t="str">
            <v>xx</v>
          </cell>
          <cell r="AB261" t="str">
            <v>87-1</v>
          </cell>
          <cell r="AI261" t="str">
            <v>대륭강업</v>
          </cell>
        </row>
        <row r="262">
          <cell r="A262">
            <v>232</v>
          </cell>
          <cell r="E262" t="str">
            <v>기아모텍</v>
          </cell>
          <cell r="F262" t="str">
            <v>C1</v>
          </cell>
          <cell r="G262" t="str">
            <v>CONCORD</v>
          </cell>
          <cell r="I262" t="str">
            <v>G030 53/54 453</v>
          </cell>
          <cell r="J262" t="str">
            <v>REINF-MEMBER RH/LH</v>
          </cell>
          <cell r="K262" t="str">
            <v>금형</v>
          </cell>
          <cell r="L262" t="str">
            <v>SEP&amp; PIE</v>
          </cell>
          <cell r="M262">
            <v>1</v>
          </cell>
          <cell r="N262">
            <v>5949000</v>
          </cell>
          <cell r="Y262" t="str">
            <v>STEEL</v>
          </cell>
          <cell r="Z262">
            <v>1.8522074999999998</v>
          </cell>
          <cell r="AA262" t="str">
            <v>650x1100x550</v>
          </cell>
          <cell r="AB262" t="str">
            <v>87-1</v>
          </cell>
          <cell r="AG262" t="str">
            <v>삼양</v>
          </cell>
          <cell r="AI262" t="str">
            <v>대륭강업</v>
          </cell>
        </row>
        <row r="263">
          <cell r="A263">
            <v>233</v>
          </cell>
          <cell r="E263" t="str">
            <v>기아모텍</v>
          </cell>
          <cell r="F263" t="str">
            <v>C1</v>
          </cell>
          <cell r="G263" t="str">
            <v>CONCORD</v>
          </cell>
          <cell r="I263" t="str">
            <v>G030 53/54 453</v>
          </cell>
          <cell r="J263" t="str">
            <v>REINF-MEMBER RH/LH</v>
          </cell>
          <cell r="K263" t="str">
            <v>금형</v>
          </cell>
          <cell r="L263" t="str">
            <v>REST&amp; FL</v>
          </cell>
          <cell r="M263">
            <v>1</v>
          </cell>
          <cell r="N263">
            <v>6388000</v>
          </cell>
          <cell r="Y263" t="str">
            <v>STEEL</v>
          </cell>
          <cell r="Z263">
            <v>1.8522074999999998</v>
          </cell>
          <cell r="AA263" t="str">
            <v>650x1100x550</v>
          </cell>
          <cell r="AB263" t="str">
            <v>87-1</v>
          </cell>
          <cell r="AG263" t="str">
            <v>삼양</v>
          </cell>
          <cell r="AI263" t="str">
            <v>대륭강업</v>
          </cell>
        </row>
        <row r="264">
          <cell r="A264">
            <v>234</v>
          </cell>
          <cell r="E264" t="str">
            <v>기아모텍</v>
          </cell>
          <cell r="F264" t="str">
            <v>C1</v>
          </cell>
          <cell r="G264" t="str">
            <v>CONCORD</v>
          </cell>
          <cell r="I264" t="str">
            <v>G030 53/54 453</v>
          </cell>
          <cell r="J264" t="str">
            <v>REINF-MEMBER RH/LH</v>
          </cell>
          <cell r="K264" t="str">
            <v>금형</v>
          </cell>
          <cell r="L264" t="str">
            <v>DR</v>
          </cell>
          <cell r="M264">
            <v>1</v>
          </cell>
          <cell r="N264">
            <v>8575000</v>
          </cell>
          <cell r="Y264" t="str">
            <v>STEEL</v>
          </cell>
          <cell r="Z264">
            <v>2.3573550000000001</v>
          </cell>
          <cell r="AA264" t="str">
            <v>700x1300x550</v>
          </cell>
          <cell r="AB264" t="str">
            <v>87-1</v>
          </cell>
          <cell r="AG264" t="str">
            <v>삼양</v>
          </cell>
          <cell r="AI264" t="str">
            <v>대륭강업</v>
          </cell>
        </row>
        <row r="265">
          <cell r="A265">
            <v>235</v>
          </cell>
          <cell r="E265" t="str">
            <v>기아모텍</v>
          </cell>
          <cell r="F265" t="str">
            <v>C1</v>
          </cell>
          <cell r="G265" t="str">
            <v>CONCORD</v>
          </cell>
          <cell r="H265" t="str">
            <v>044101010736</v>
          </cell>
          <cell r="I265" t="str">
            <v>G030 53/54 471</v>
          </cell>
          <cell r="J265" t="str">
            <v>STG BRKT A</v>
          </cell>
          <cell r="K265" t="str">
            <v>검사구</v>
          </cell>
          <cell r="M265">
            <v>1</v>
          </cell>
          <cell r="N265">
            <v>850000</v>
          </cell>
          <cell r="Y265" t="str">
            <v>수지</v>
          </cell>
          <cell r="Z265">
            <v>0</v>
          </cell>
          <cell r="AA265" t="str">
            <v>xx</v>
          </cell>
          <cell r="AB265" t="str">
            <v>87-12-12</v>
          </cell>
          <cell r="AG265" t="str">
            <v>선진모델</v>
          </cell>
          <cell r="AI265" t="str">
            <v>대륭강업</v>
          </cell>
        </row>
        <row r="266">
          <cell r="A266">
            <v>236</v>
          </cell>
          <cell r="E266" t="str">
            <v>기아모텍</v>
          </cell>
          <cell r="F266" t="str">
            <v>C1</v>
          </cell>
          <cell r="G266" t="str">
            <v>CONCORD</v>
          </cell>
          <cell r="H266" t="str">
            <v>041106110841</v>
          </cell>
          <cell r="I266" t="str">
            <v>G030 53/54 472</v>
          </cell>
          <cell r="J266" t="str">
            <v>STEERING C</v>
          </cell>
          <cell r="K266" t="str">
            <v>금형</v>
          </cell>
          <cell r="M266">
            <v>2</v>
          </cell>
          <cell r="N266">
            <v>2200000</v>
          </cell>
          <cell r="Z266">
            <v>0</v>
          </cell>
          <cell r="AA266" t="str">
            <v>xx</v>
          </cell>
          <cell r="AB266" t="str">
            <v>87-5</v>
          </cell>
          <cell r="AI266" t="str">
            <v>대륭강업</v>
          </cell>
        </row>
        <row r="267">
          <cell r="A267">
            <v>237</v>
          </cell>
          <cell r="E267" t="str">
            <v>기아모텍</v>
          </cell>
          <cell r="F267" t="str">
            <v>C1</v>
          </cell>
          <cell r="G267" t="str">
            <v>CONCORD</v>
          </cell>
          <cell r="H267" t="str">
            <v>041106110831</v>
          </cell>
          <cell r="I267" t="str">
            <v>G030 53/54 481</v>
          </cell>
          <cell r="J267" t="str">
            <v>STEERING B</v>
          </cell>
          <cell r="K267" t="str">
            <v>금형</v>
          </cell>
          <cell r="M267">
            <v>4</v>
          </cell>
          <cell r="N267">
            <v>23500000</v>
          </cell>
          <cell r="Z267">
            <v>0</v>
          </cell>
          <cell r="AA267" t="str">
            <v>xx</v>
          </cell>
          <cell r="AB267" t="str">
            <v>87-5</v>
          </cell>
          <cell r="AI267" t="str">
            <v>대륭강업</v>
          </cell>
        </row>
        <row r="268">
          <cell r="A268">
            <v>238</v>
          </cell>
          <cell r="E268" t="str">
            <v>기아모텍</v>
          </cell>
          <cell r="F268" t="str">
            <v>C1</v>
          </cell>
          <cell r="G268" t="str">
            <v>CONCORD</v>
          </cell>
          <cell r="H268" t="str">
            <v>044101010106</v>
          </cell>
          <cell r="I268" t="str">
            <v>G030 54 491</v>
          </cell>
          <cell r="J268" t="str">
            <v>BRKT MTG LH</v>
          </cell>
          <cell r="K268" t="str">
            <v>검사구</v>
          </cell>
          <cell r="M268">
            <v>1</v>
          </cell>
          <cell r="N268">
            <v>825000</v>
          </cell>
          <cell r="Y268" t="str">
            <v>수지</v>
          </cell>
          <cell r="Z268">
            <v>0</v>
          </cell>
          <cell r="AA268" t="str">
            <v>xx</v>
          </cell>
          <cell r="AB268" t="str">
            <v>86-09-30</v>
          </cell>
          <cell r="AG268" t="str">
            <v>선진모델</v>
          </cell>
          <cell r="AI268" t="str">
            <v>대륭강업</v>
          </cell>
        </row>
        <row r="269">
          <cell r="A269">
            <v>239</v>
          </cell>
          <cell r="E269" t="str">
            <v>기아모텍</v>
          </cell>
          <cell r="F269" t="str">
            <v>C1</v>
          </cell>
          <cell r="G269" t="str">
            <v>CONCORD</v>
          </cell>
          <cell r="H269" t="str">
            <v>041106110761</v>
          </cell>
          <cell r="I269" t="str">
            <v>G030 58/59 101</v>
          </cell>
          <cell r="J269" t="str">
            <v>REINF-HINGE R/L</v>
          </cell>
          <cell r="K269" t="str">
            <v>금형</v>
          </cell>
          <cell r="M269">
            <v>5</v>
          </cell>
          <cell r="N269">
            <v>14365000</v>
          </cell>
          <cell r="AA269" t="str">
            <v>xx</v>
          </cell>
          <cell r="AB269" t="str">
            <v>87-5</v>
          </cell>
          <cell r="AI269" t="str">
            <v>수민정밀</v>
          </cell>
        </row>
        <row r="270">
          <cell r="A270">
            <v>240</v>
          </cell>
          <cell r="E270" t="str">
            <v>기아모텍</v>
          </cell>
          <cell r="F270" t="str">
            <v>C1</v>
          </cell>
          <cell r="G270" t="str">
            <v>CONCORD</v>
          </cell>
          <cell r="H270" t="str">
            <v>044101010166</v>
          </cell>
          <cell r="I270" t="str">
            <v>G030 58/59 121</v>
          </cell>
          <cell r="J270" t="str">
            <v>REINF HINGE LWR R/L</v>
          </cell>
          <cell r="K270" t="str">
            <v>검사구</v>
          </cell>
          <cell r="M270">
            <v>2</v>
          </cell>
          <cell r="N270">
            <v>920000</v>
          </cell>
          <cell r="Y270" t="str">
            <v>수지</v>
          </cell>
          <cell r="AA270" t="str">
            <v>xx</v>
          </cell>
          <cell r="AB270" t="str">
            <v>86-09-30</v>
          </cell>
          <cell r="AG270" t="str">
            <v>선진모델</v>
          </cell>
          <cell r="AI270" t="str">
            <v>수민정밀</v>
          </cell>
        </row>
        <row r="271">
          <cell r="A271">
            <v>241</v>
          </cell>
          <cell r="E271" t="str">
            <v>기아모텍</v>
          </cell>
          <cell r="F271" t="str">
            <v>C1</v>
          </cell>
          <cell r="G271" t="str">
            <v>CONCORD</v>
          </cell>
          <cell r="H271" t="str">
            <v>041106110771</v>
          </cell>
          <cell r="I271" t="str">
            <v>G030 58/59 121</v>
          </cell>
          <cell r="J271" t="str">
            <v>REINF-DOOR HINGE R/L</v>
          </cell>
          <cell r="K271" t="str">
            <v>금형</v>
          </cell>
          <cell r="M271">
            <v>4</v>
          </cell>
          <cell r="N271">
            <v>14290000</v>
          </cell>
          <cell r="AA271" t="str">
            <v>xx</v>
          </cell>
          <cell r="AB271" t="str">
            <v>87-5</v>
          </cell>
          <cell r="AI271" t="str">
            <v>수민정밀</v>
          </cell>
        </row>
        <row r="272">
          <cell r="A272">
            <v>242</v>
          </cell>
          <cell r="E272" t="str">
            <v>기아모텍</v>
          </cell>
          <cell r="F272" t="str">
            <v>C4</v>
          </cell>
          <cell r="G272" t="str">
            <v>CONCORD</v>
          </cell>
          <cell r="H272" t="str">
            <v>041102440772</v>
          </cell>
          <cell r="I272" t="str">
            <v>G030 70 162C</v>
          </cell>
          <cell r="J272" t="str">
            <v>HOUSING,SUSP UP RH</v>
          </cell>
          <cell r="K272" t="str">
            <v>금형</v>
          </cell>
          <cell r="L272" t="str">
            <v>FO</v>
          </cell>
          <cell r="M272">
            <v>1</v>
          </cell>
          <cell r="N272">
            <v>2141000</v>
          </cell>
          <cell r="Z272">
            <v>0.57094619999999996</v>
          </cell>
          <cell r="AA272" t="str">
            <v>580x550x380</v>
          </cell>
          <cell r="AB272" t="str">
            <v>87-1</v>
          </cell>
          <cell r="AG272" t="str">
            <v>광성</v>
          </cell>
          <cell r="AJ272" t="str">
            <v>광성기업</v>
          </cell>
          <cell r="AK272" t="str">
            <v>확인 불가</v>
          </cell>
        </row>
        <row r="273">
          <cell r="A273">
            <v>243</v>
          </cell>
          <cell r="E273" t="str">
            <v>기아모텍</v>
          </cell>
          <cell r="F273" t="str">
            <v>C4</v>
          </cell>
          <cell r="G273" t="str">
            <v>CONCORD</v>
          </cell>
          <cell r="H273" t="str">
            <v>041102440772</v>
          </cell>
          <cell r="I273" t="str">
            <v>G030 70 162C</v>
          </cell>
          <cell r="J273" t="str">
            <v>HOUSING,SUSP UP RH</v>
          </cell>
          <cell r="K273" t="str">
            <v>금형</v>
          </cell>
          <cell r="L273" t="str">
            <v>BE</v>
          </cell>
          <cell r="M273">
            <v>1</v>
          </cell>
          <cell r="N273">
            <v>2589000</v>
          </cell>
          <cell r="Z273">
            <v>0.70589711999999993</v>
          </cell>
          <cell r="AA273" t="str">
            <v>680x580x380</v>
          </cell>
          <cell r="AB273" t="str">
            <v>87-1</v>
          </cell>
          <cell r="AG273" t="str">
            <v>광성</v>
          </cell>
          <cell r="AJ273" t="str">
            <v>광성기업</v>
          </cell>
          <cell r="AK273" t="str">
            <v>확인 불가</v>
          </cell>
        </row>
        <row r="274">
          <cell r="A274">
            <v>244</v>
          </cell>
          <cell r="E274" t="str">
            <v>기아모텍</v>
          </cell>
          <cell r="F274" t="str">
            <v>C4</v>
          </cell>
          <cell r="G274" t="str">
            <v>CONCORD</v>
          </cell>
          <cell r="H274" t="str">
            <v>041102440772</v>
          </cell>
          <cell r="I274" t="str">
            <v>G030 70 162C</v>
          </cell>
          <cell r="J274" t="str">
            <v>HOUSING,SUSP UP RH</v>
          </cell>
          <cell r="K274" t="str">
            <v>금형</v>
          </cell>
          <cell r="L274" t="str">
            <v>BL &amp; PIE</v>
          </cell>
          <cell r="M274">
            <v>1</v>
          </cell>
          <cell r="N274">
            <v>2825000</v>
          </cell>
          <cell r="Z274">
            <v>0.57367800000000002</v>
          </cell>
          <cell r="AA274" t="str">
            <v>600x580x350</v>
          </cell>
          <cell r="AB274" t="str">
            <v>87-1</v>
          </cell>
          <cell r="AG274" t="str">
            <v>광성</v>
          </cell>
          <cell r="AJ274" t="str">
            <v>광성기업</v>
          </cell>
          <cell r="AK274" t="str">
            <v>확인 불가</v>
          </cell>
        </row>
        <row r="275">
          <cell r="A275">
            <v>245</v>
          </cell>
          <cell r="E275" t="str">
            <v>기아모텍</v>
          </cell>
          <cell r="F275" t="str">
            <v>C4</v>
          </cell>
          <cell r="G275" t="str">
            <v>CONCORD</v>
          </cell>
          <cell r="H275" t="str">
            <v>041102440772</v>
          </cell>
          <cell r="I275" t="str">
            <v>G030 70 162C</v>
          </cell>
          <cell r="J275" t="str">
            <v>HOUSING,SUSP UP RH</v>
          </cell>
          <cell r="K275" t="str">
            <v>금형</v>
          </cell>
          <cell r="L275" t="str">
            <v>BU &amp; FL</v>
          </cell>
          <cell r="M275">
            <v>1</v>
          </cell>
          <cell r="N275">
            <v>2825000</v>
          </cell>
          <cell r="Z275">
            <v>0.71627795999999988</v>
          </cell>
          <cell r="AA275" t="str">
            <v>690x580x380</v>
          </cell>
          <cell r="AB275" t="str">
            <v>87-1</v>
          </cell>
          <cell r="AG275" t="str">
            <v>광성</v>
          </cell>
          <cell r="AJ275" t="str">
            <v>광성기업</v>
          </cell>
          <cell r="AK275" t="str">
            <v>확인 불가</v>
          </cell>
        </row>
        <row r="276">
          <cell r="A276">
            <v>246</v>
          </cell>
          <cell r="E276" t="str">
            <v>기아모텍</v>
          </cell>
          <cell r="F276" t="str">
            <v>C1</v>
          </cell>
          <cell r="G276" t="str">
            <v>CONCORD</v>
          </cell>
          <cell r="H276" t="str">
            <v>044101010486</v>
          </cell>
          <cell r="I276" t="str">
            <v>G030 70/71 052</v>
          </cell>
          <cell r="J276" t="str">
            <v>PILLAR CTR UP</v>
          </cell>
          <cell r="K276" t="str">
            <v>검사구</v>
          </cell>
          <cell r="M276">
            <v>1</v>
          </cell>
          <cell r="N276">
            <v>786000</v>
          </cell>
          <cell r="Y276" t="str">
            <v>수지</v>
          </cell>
          <cell r="AA276" t="str">
            <v>xx</v>
          </cell>
          <cell r="AB276" t="str">
            <v>86-12-24</v>
          </cell>
          <cell r="AG276" t="str">
            <v>선진모델</v>
          </cell>
          <cell r="AI276" t="str">
            <v>구동산업</v>
          </cell>
        </row>
        <row r="277">
          <cell r="A277">
            <v>247</v>
          </cell>
          <cell r="E277" t="str">
            <v>기아모텍</v>
          </cell>
          <cell r="F277" t="str">
            <v>C1</v>
          </cell>
          <cell r="G277" t="str">
            <v>CONCORD</v>
          </cell>
          <cell r="H277" t="str">
            <v>041101550122</v>
          </cell>
          <cell r="I277" t="str">
            <v>G030 70/71 052</v>
          </cell>
          <cell r="J277" t="str">
            <v>CTR. PILLAR UP R/L</v>
          </cell>
          <cell r="K277" t="str">
            <v>금형</v>
          </cell>
          <cell r="L277" t="str">
            <v>FORM</v>
          </cell>
          <cell r="M277">
            <v>1</v>
          </cell>
          <cell r="N277">
            <v>14880000</v>
          </cell>
          <cell r="Y277" t="str">
            <v>STEEL</v>
          </cell>
          <cell r="Z277">
            <v>2.1760199999999998</v>
          </cell>
          <cell r="AA277" t="str">
            <v>600x1100x700</v>
          </cell>
          <cell r="AB277" t="str">
            <v>86-A</v>
          </cell>
          <cell r="AG277" t="str">
            <v>구일</v>
          </cell>
          <cell r="AI277" t="str">
            <v>구동산업</v>
          </cell>
        </row>
        <row r="278">
          <cell r="A278">
            <v>248</v>
          </cell>
          <cell r="E278" t="str">
            <v>기아모텍</v>
          </cell>
          <cell r="F278" t="str">
            <v>C1</v>
          </cell>
          <cell r="G278" t="str">
            <v>CONCORD</v>
          </cell>
          <cell r="H278" t="str">
            <v>041101550122</v>
          </cell>
          <cell r="I278" t="str">
            <v>G030 70/71 052</v>
          </cell>
          <cell r="J278" t="str">
            <v>CTR. PILLAR UP R/L</v>
          </cell>
          <cell r="K278" t="str">
            <v>금형</v>
          </cell>
          <cell r="L278" t="str">
            <v>PIE</v>
          </cell>
          <cell r="M278">
            <v>1</v>
          </cell>
          <cell r="N278">
            <v>22320000</v>
          </cell>
          <cell r="Y278" t="str">
            <v>STEEL</v>
          </cell>
          <cell r="Z278">
            <v>3.1651199999999999</v>
          </cell>
          <cell r="AA278" t="str">
            <v>800x1200x700</v>
          </cell>
          <cell r="AB278" t="str">
            <v>86-A</v>
          </cell>
          <cell r="AG278" t="str">
            <v>구일</v>
          </cell>
          <cell r="AI278" t="str">
            <v>구동산업</v>
          </cell>
        </row>
        <row r="279">
          <cell r="A279">
            <v>249</v>
          </cell>
          <cell r="E279" t="str">
            <v>기아모텍</v>
          </cell>
          <cell r="F279" t="str">
            <v>C1</v>
          </cell>
          <cell r="G279" t="str">
            <v>CONCORD</v>
          </cell>
          <cell r="H279" t="str">
            <v>041101550122</v>
          </cell>
          <cell r="I279" t="str">
            <v>G030 70/71 052</v>
          </cell>
          <cell r="J279" t="str">
            <v>CTR. PILLAR UP R/L</v>
          </cell>
          <cell r="K279" t="str">
            <v>금형</v>
          </cell>
          <cell r="L279" t="str">
            <v>TR#1</v>
          </cell>
          <cell r="M279">
            <v>1</v>
          </cell>
          <cell r="N279">
            <v>22320000</v>
          </cell>
          <cell r="Y279" t="str">
            <v>STEEL</v>
          </cell>
          <cell r="Z279">
            <v>3.1651199999999999</v>
          </cell>
          <cell r="AA279" t="str">
            <v>800x1200x700</v>
          </cell>
          <cell r="AB279" t="str">
            <v>86-A</v>
          </cell>
          <cell r="AG279" t="str">
            <v>구일</v>
          </cell>
          <cell r="AI279" t="str">
            <v>구동산업</v>
          </cell>
        </row>
        <row r="280">
          <cell r="A280">
            <v>250</v>
          </cell>
          <cell r="E280" t="str">
            <v>기아모텍</v>
          </cell>
          <cell r="F280" t="str">
            <v>C1</v>
          </cell>
          <cell r="G280" t="str">
            <v>CONCORD</v>
          </cell>
          <cell r="H280" t="str">
            <v>041101550122</v>
          </cell>
          <cell r="I280" t="str">
            <v>G030 70/71 052</v>
          </cell>
          <cell r="J280" t="str">
            <v>CTR. PILLAR UP R/L</v>
          </cell>
          <cell r="K280" t="str">
            <v>금형</v>
          </cell>
          <cell r="L280" t="str">
            <v>TR#2</v>
          </cell>
          <cell r="M280">
            <v>1</v>
          </cell>
          <cell r="N280">
            <v>22320000</v>
          </cell>
          <cell r="Y280" t="str">
            <v>STEEL</v>
          </cell>
          <cell r="Z280">
            <v>3.1651199999999999</v>
          </cell>
          <cell r="AA280" t="str">
            <v>800x1200x700</v>
          </cell>
          <cell r="AB280" t="str">
            <v>86-A</v>
          </cell>
          <cell r="AG280" t="str">
            <v>구일</v>
          </cell>
          <cell r="AI280" t="str">
            <v>구동산업</v>
          </cell>
        </row>
        <row r="281">
          <cell r="A281">
            <v>251</v>
          </cell>
          <cell r="E281" t="str">
            <v>기아모텍</v>
          </cell>
          <cell r="F281" t="str">
            <v>C1</v>
          </cell>
          <cell r="G281" t="str">
            <v>CONCORD</v>
          </cell>
          <cell r="H281" t="str">
            <v>041101550122</v>
          </cell>
          <cell r="I281" t="str">
            <v>G030 70/71 052</v>
          </cell>
          <cell r="J281" t="str">
            <v>CTR. PILLAR UP R/L</v>
          </cell>
          <cell r="K281" t="str">
            <v>금형</v>
          </cell>
          <cell r="L281" t="str">
            <v>TR&amp;PIE</v>
          </cell>
          <cell r="M281">
            <v>1</v>
          </cell>
          <cell r="N281">
            <v>22320000</v>
          </cell>
          <cell r="Y281" t="str">
            <v>STEEL</v>
          </cell>
          <cell r="Z281">
            <v>3.1651199999999999</v>
          </cell>
          <cell r="AA281" t="str">
            <v>800x1200x700</v>
          </cell>
          <cell r="AB281" t="str">
            <v>86-A</v>
          </cell>
          <cell r="AG281" t="str">
            <v>구일</v>
          </cell>
          <cell r="AI281" t="str">
            <v>구동산업</v>
          </cell>
        </row>
        <row r="282">
          <cell r="A282">
            <v>252</v>
          </cell>
          <cell r="E282" t="str">
            <v>기아모텍</v>
          </cell>
          <cell r="F282" t="str">
            <v>C1</v>
          </cell>
          <cell r="G282" t="str">
            <v>CONCORD</v>
          </cell>
          <cell r="H282" t="str">
            <v>044101014066</v>
          </cell>
          <cell r="I282" t="str">
            <v>G030 70/71 081</v>
          </cell>
          <cell r="J282" t="str">
            <v>PILLAR CTR IN</v>
          </cell>
          <cell r="K282" t="str">
            <v>검사구</v>
          </cell>
          <cell r="M282">
            <v>2</v>
          </cell>
          <cell r="N282">
            <v>4559323</v>
          </cell>
          <cell r="Y282" t="str">
            <v>수지</v>
          </cell>
          <cell r="AA282" t="str">
            <v>xx</v>
          </cell>
          <cell r="AB282" t="str">
            <v>87-10-30</v>
          </cell>
          <cell r="AG282" t="str">
            <v>SHIBASAKI</v>
          </cell>
          <cell r="AI282" t="str">
            <v>구동산업</v>
          </cell>
        </row>
        <row r="283">
          <cell r="A283">
            <v>253</v>
          </cell>
          <cell r="E283" t="str">
            <v>기아모텍</v>
          </cell>
          <cell r="F283" t="str">
            <v>C1</v>
          </cell>
          <cell r="G283" t="str">
            <v>CONCORD</v>
          </cell>
          <cell r="H283" t="str">
            <v>041101330044</v>
          </cell>
          <cell r="I283" t="str">
            <v>G030 70/71 081</v>
          </cell>
          <cell r="J283" t="str">
            <v>CTR. PILLAR IN R/L</v>
          </cell>
          <cell r="K283" t="str">
            <v>금형</v>
          </cell>
          <cell r="L283" t="str">
            <v>FORM</v>
          </cell>
          <cell r="M283">
            <v>1</v>
          </cell>
          <cell r="N283">
            <v>8445000</v>
          </cell>
          <cell r="Y283" t="str">
            <v>STEEL</v>
          </cell>
          <cell r="Z283">
            <v>1.8651599999999999</v>
          </cell>
          <cell r="AA283" t="str">
            <v>600x1100x600</v>
          </cell>
          <cell r="AB283" t="str">
            <v>86-A</v>
          </cell>
          <cell r="AG283" t="str">
            <v>삼양</v>
          </cell>
          <cell r="AI283" t="str">
            <v>구동산업</v>
          </cell>
        </row>
        <row r="284">
          <cell r="A284">
            <v>254</v>
          </cell>
          <cell r="E284" t="str">
            <v>기아모텍</v>
          </cell>
          <cell r="F284" t="str">
            <v>C1</v>
          </cell>
          <cell r="G284" t="str">
            <v>CONCORD</v>
          </cell>
          <cell r="H284" t="str">
            <v>041101330044</v>
          </cell>
          <cell r="I284" t="str">
            <v>G030 70/71 081</v>
          </cell>
          <cell r="J284" t="str">
            <v>CTR. PILLAR IN R/L</v>
          </cell>
          <cell r="K284" t="str">
            <v>금형</v>
          </cell>
          <cell r="L284" t="str">
            <v>RE&amp;TR&amp;BU</v>
          </cell>
          <cell r="M284">
            <v>1</v>
          </cell>
          <cell r="N284">
            <v>8445000</v>
          </cell>
          <cell r="Y284" t="str">
            <v>STEEL</v>
          </cell>
          <cell r="Z284">
            <v>1.8651599999999999</v>
          </cell>
          <cell r="AA284" t="str">
            <v>600x1100x600</v>
          </cell>
          <cell r="AB284" t="str">
            <v>86-A</v>
          </cell>
          <cell r="AG284" t="str">
            <v>삼양</v>
          </cell>
          <cell r="AI284" t="str">
            <v>구동산업</v>
          </cell>
        </row>
        <row r="285">
          <cell r="A285">
            <v>255</v>
          </cell>
          <cell r="E285" t="str">
            <v>기아모텍</v>
          </cell>
          <cell r="F285" t="str">
            <v>C1</v>
          </cell>
          <cell r="G285" t="str">
            <v>CONCORD</v>
          </cell>
          <cell r="H285" t="str">
            <v>041101330044</v>
          </cell>
          <cell r="I285" t="str">
            <v>G030 70/71 081</v>
          </cell>
          <cell r="J285" t="str">
            <v>CTR. PILLAR IN R/L</v>
          </cell>
          <cell r="K285" t="str">
            <v>금형</v>
          </cell>
          <cell r="L285" t="str">
            <v>SEP</v>
          </cell>
          <cell r="M285">
            <v>1</v>
          </cell>
          <cell r="N285">
            <v>12670000</v>
          </cell>
          <cell r="Y285" t="str">
            <v>STEEL</v>
          </cell>
          <cell r="Z285">
            <v>2.7694800000000002</v>
          </cell>
          <cell r="AA285" t="str">
            <v>700x1400x600</v>
          </cell>
          <cell r="AB285" t="str">
            <v>86-A</v>
          </cell>
          <cell r="AG285" t="str">
            <v>삼양</v>
          </cell>
          <cell r="AI285" t="str">
            <v>구동산업</v>
          </cell>
        </row>
        <row r="286">
          <cell r="A286">
            <v>256</v>
          </cell>
          <cell r="E286" t="str">
            <v>기아모텍</v>
          </cell>
          <cell r="F286" t="str">
            <v>C1</v>
          </cell>
          <cell r="G286" t="str">
            <v>CONCORD</v>
          </cell>
          <cell r="H286" t="str">
            <v>041101330044</v>
          </cell>
          <cell r="I286" t="str">
            <v>G030 70/71 081</v>
          </cell>
          <cell r="J286" t="str">
            <v>CTR. PILLAR IN R/L</v>
          </cell>
          <cell r="K286" t="str">
            <v>금형</v>
          </cell>
          <cell r="L286" t="str">
            <v>TR&amp;PIE#1</v>
          </cell>
          <cell r="M286">
            <v>1</v>
          </cell>
          <cell r="N286">
            <v>12670000</v>
          </cell>
          <cell r="Y286" t="str">
            <v>STEEL</v>
          </cell>
          <cell r="Z286">
            <v>2.7694800000000002</v>
          </cell>
          <cell r="AA286" t="str">
            <v>700x1400x600</v>
          </cell>
          <cell r="AB286" t="str">
            <v>86-A</v>
          </cell>
          <cell r="AG286" t="str">
            <v>삼양</v>
          </cell>
          <cell r="AI286" t="str">
            <v>구동산업</v>
          </cell>
        </row>
        <row r="287">
          <cell r="A287">
            <v>257</v>
          </cell>
          <cell r="E287" t="str">
            <v>기아모텍</v>
          </cell>
          <cell r="F287" t="str">
            <v>C1</v>
          </cell>
          <cell r="G287" t="str">
            <v>CONCORD</v>
          </cell>
          <cell r="H287" t="str">
            <v>041101330044</v>
          </cell>
          <cell r="I287" t="str">
            <v>G030 70/71 081</v>
          </cell>
          <cell r="J287" t="str">
            <v>CTR. PILLAR IN R/L</v>
          </cell>
          <cell r="K287" t="str">
            <v>금형</v>
          </cell>
          <cell r="L287" t="str">
            <v>TR&amp;PIE#2</v>
          </cell>
          <cell r="M287">
            <v>1</v>
          </cell>
          <cell r="N287">
            <v>12670000</v>
          </cell>
          <cell r="Y287" t="str">
            <v>STEEL</v>
          </cell>
          <cell r="Z287">
            <v>2.7694800000000002</v>
          </cell>
          <cell r="AA287" t="str">
            <v>700x1400x600</v>
          </cell>
          <cell r="AB287" t="str">
            <v>86-A</v>
          </cell>
          <cell r="AG287" t="str">
            <v>삼양</v>
          </cell>
          <cell r="AI287" t="str">
            <v>구동산업</v>
          </cell>
        </row>
        <row r="288">
          <cell r="A288">
            <v>258</v>
          </cell>
          <cell r="E288" t="str">
            <v>기아모텍</v>
          </cell>
          <cell r="F288" t="str">
            <v>C1</v>
          </cell>
          <cell r="G288" t="str">
            <v>CONCORD</v>
          </cell>
          <cell r="H288" t="str">
            <v>044101014076</v>
          </cell>
          <cell r="I288" t="str">
            <v>G030 70/71 082</v>
          </cell>
          <cell r="J288" t="str">
            <v>PILLAR CTR IN LWR</v>
          </cell>
          <cell r="K288" t="str">
            <v>검사구</v>
          </cell>
          <cell r="M288">
            <v>1</v>
          </cell>
          <cell r="N288">
            <v>2977517</v>
          </cell>
          <cell r="Y288" t="str">
            <v>수지</v>
          </cell>
          <cell r="AA288" t="str">
            <v>xx</v>
          </cell>
          <cell r="AB288" t="str">
            <v>87-10-30</v>
          </cell>
          <cell r="AG288" t="str">
            <v>SHIBASAKI</v>
          </cell>
          <cell r="AI288" t="str">
            <v>구동산업</v>
          </cell>
        </row>
        <row r="289">
          <cell r="A289">
            <v>259</v>
          </cell>
          <cell r="E289" t="str">
            <v>기아모텍</v>
          </cell>
          <cell r="F289" t="str">
            <v>C1</v>
          </cell>
          <cell r="G289" t="str">
            <v>CONCORD</v>
          </cell>
          <cell r="H289" t="str">
            <v>041101330054</v>
          </cell>
          <cell r="I289" t="str">
            <v>G030 70/71 082</v>
          </cell>
          <cell r="J289" t="str">
            <v>CTR. PILLAR LWR R/L</v>
          </cell>
          <cell r="K289" t="str">
            <v>금형</v>
          </cell>
          <cell r="L289" t="str">
            <v>FL&amp;PIE</v>
          </cell>
          <cell r="M289">
            <v>1</v>
          </cell>
          <cell r="N289">
            <v>8680000</v>
          </cell>
          <cell r="Y289" t="str">
            <v>STEEL</v>
          </cell>
          <cell r="Z289">
            <v>2.0205899999999999</v>
          </cell>
          <cell r="AA289" t="str">
            <v>650x1100x600</v>
          </cell>
          <cell r="AB289" t="str">
            <v>86-A</v>
          </cell>
          <cell r="AG289" t="str">
            <v>삼양</v>
          </cell>
          <cell r="AI289" t="str">
            <v>구동산업</v>
          </cell>
        </row>
        <row r="290">
          <cell r="A290">
            <v>260</v>
          </cell>
          <cell r="E290" t="str">
            <v>기아모텍</v>
          </cell>
          <cell r="F290" t="str">
            <v>C1</v>
          </cell>
          <cell r="G290" t="str">
            <v>CONCORD</v>
          </cell>
          <cell r="H290" t="str">
            <v>041101330054</v>
          </cell>
          <cell r="I290" t="str">
            <v>G030 70/71 082</v>
          </cell>
          <cell r="J290" t="str">
            <v>CTR. PILLAR LWR R/L</v>
          </cell>
          <cell r="K290" t="str">
            <v>금형</v>
          </cell>
          <cell r="L290" t="str">
            <v>FORM</v>
          </cell>
          <cell r="M290">
            <v>1</v>
          </cell>
          <cell r="N290">
            <v>8680000</v>
          </cell>
          <cell r="Y290" t="str">
            <v>STEEL</v>
          </cell>
          <cell r="Z290">
            <v>2.0205899999999999</v>
          </cell>
          <cell r="AA290" t="str">
            <v>650x1100x600</v>
          </cell>
          <cell r="AB290" t="str">
            <v>86-A</v>
          </cell>
          <cell r="AG290" t="str">
            <v>삼양</v>
          </cell>
          <cell r="AI290" t="str">
            <v>구동산업</v>
          </cell>
        </row>
        <row r="291">
          <cell r="A291">
            <v>261</v>
          </cell>
          <cell r="E291" t="str">
            <v>기아모텍</v>
          </cell>
          <cell r="F291" t="str">
            <v>C1</v>
          </cell>
          <cell r="G291" t="str">
            <v>CONCORD</v>
          </cell>
          <cell r="H291" t="str">
            <v>041101330054</v>
          </cell>
          <cell r="I291" t="str">
            <v>G030 70/71 082</v>
          </cell>
          <cell r="J291" t="str">
            <v>CTR. PILLAR LWR R/L</v>
          </cell>
          <cell r="K291" t="str">
            <v>금형</v>
          </cell>
          <cell r="L291" t="str">
            <v>TR&amp;PIE</v>
          </cell>
          <cell r="M291">
            <v>1</v>
          </cell>
          <cell r="N291">
            <v>11000000</v>
          </cell>
          <cell r="Y291" t="str">
            <v>STEEL</v>
          </cell>
          <cell r="Z291">
            <v>2.4868800000000002</v>
          </cell>
          <cell r="AA291" t="str">
            <v>800x1100x600</v>
          </cell>
          <cell r="AB291" t="str">
            <v>86-A</v>
          </cell>
          <cell r="AG291" t="str">
            <v>삼양</v>
          </cell>
          <cell r="AI291" t="str">
            <v>구동산업</v>
          </cell>
        </row>
        <row r="292">
          <cell r="A292">
            <v>262</v>
          </cell>
          <cell r="E292" t="str">
            <v>기아모텍</v>
          </cell>
          <cell r="F292" t="str">
            <v>C1</v>
          </cell>
          <cell r="G292" t="str">
            <v>CONCORD</v>
          </cell>
          <cell r="H292" t="str">
            <v>041101330054</v>
          </cell>
          <cell r="I292" t="str">
            <v>G030 70/71 082</v>
          </cell>
          <cell r="J292" t="str">
            <v>CTR. PILLAR LWR R/L</v>
          </cell>
          <cell r="K292" t="str">
            <v>금형</v>
          </cell>
          <cell r="L292" t="str">
            <v>BL</v>
          </cell>
          <cell r="M292">
            <v>1</v>
          </cell>
          <cell r="N292">
            <v>11570000</v>
          </cell>
          <cell r="Y292" t="str">
            <v>STEEL</v>
          </cell>
          <cell r="Z292">
            <v>2.7129599999999998</v>
          </cell>
          <cell r="AA292" t="str">
            <v>800x1200x600</v>
          </cell>
          <cell r="AB292" t="str">
            <v>86-A</v>
          </cell>
          <cell r="AG292" t="str">
            <v>삼양</v>
          </cell>
          <cell r="AI292" t="str">
            <v>구동산업</v>
          </cell>
        </row>
        <row r="293">
          <cell r="A293">
            <v>263</v>
          </cell>
          <cell r="E293" t="str">
            <v>기아모텍</v>
          </cell>
          <cell r="F293" t="str">
            <v>C1</v>
          </cell>
          <cell r="G293" t="str">
            <v>CONCORD</v>
          </cell>
          <cell r="H293" t="str">
            <v>041101330054</v>
          </cell>
          <cell r="I293" t="str">
            <v>G030 70/71 082</v>
          </cell>
          <cell r="J293" t="str">
            <v>CTR. PILLAR LWR R/L</v>
          </cell>
          <cell r="K293" t="str">
            <v>금형</v>
          </cell>
          <cell r="L293" t="str">
            <v>S.TRIM</v>
          </cell>
          <cell r="M293">
            <v>1</v>
          </cell>
          <cell r="N293">
            <v>11570000</v>
          </cell>
          <cell r="Y293" t="str">
            <v>STEEL</v>
          </cell>
          <cell r="Z293">
            <v>2.6423100000000002</v>
          </cell>
          <cell r="AA293" t="str">
            <v>850x1100x600</v>
          </cell>
          <cell r="AB293" t="str">
            <v>86-A</v>
          </cell>
          <cell r="AG293" t="str">
            <v>삼양</v>
          </cell>
          <cell r="AI293" t="str">
            <v>구동산업</v>
          </cell>
        </row>
        <row r="294">
          <cell r="A294">
            <v>264</v>
          </cell>
          <cell r="E294" t="str">
            <v>기아모텍</v>
          </cell>
          <cell r="F294" t="str">
            <v>C4</v>
          </cell>
          <cell r="G294" t="str">
            <v>CONCORD</v>
          </cell>
          <cell r="H294" t="str">
            <v>044101010586</v>
          </cell>
          <cell r="I294" t="str">
            <v>G030 70/71 152</v>
          </cell>
          <cell r="J294" t="str">
            <v>PLATE END B R/L</v>
          </cell>
          <cell r="K294" t="str">
            <v>검사구</v>
          </cell>
          <cell r="M294">
            <v>2</v>
          </cell>
          <cell r="N294">
            <v>1750000</v>
          </cell>
          <cell r="Z294">
            <v>0</v>
          </cell>
          <cell r="AA294" t="str">
            <v>xx</v>
          </cell>
          <cell r="AB294" t="str">
            <v>86-12-30</v>
          </cell>
          <cell r="AG294" t="str">
            <v>학림모델</v>
          </cell>
          <cell r="AJ294" t="str">
            <v>광성기업</v>
          </cell>
          <cell r="AK294" t="str">
            <v>확인 불가</v>
          </cell>
        </row>
        <row r="295">
          <cell r="A295">
            <v>265</v>
          </cell>
          <cell r="E295" t="str">
            <v>기아모텍</v>
          </cell>
          <cell r="F295" t="str">
            <v>C4</v>
          </cell>
          <cell r="G295" t="str">
            <v>CONCORD</v>
          </cell>
          <cell r="H295" t="str">
            <v>041102220194</v>
          </cell>
          <cell r="I295" t="str">
            <v>G030 70/71 152</v>
          </cell>
          <cell r="J295" t="str">
            <v>PLATE END B LH</v>
          </cell>
          <cell r="M295">
            <v>2</v>
          </cell>
          <cell r="N295">
            <v>5860000</v>
          </cell>
          <cell r="Z295">
            <v>1.1299999999999999</v>
          </cell>
          <cell r="AA295" t="str">
            <v>xx</v>
          </cell>
          <cell r="AB295" t="str">
            <v>87-1</v>
          </cell>
          <cell r="AG295" t="str">
            <v>광성</v>
          </cell>
          <cell r="AJ295" t="str">
            <v>광성기업</v>
          </cell>
          <cell r="AK295" t="str">
            <v>확인 불가</v>
          </cell>
        </row>
        <row r="296">
          <cell r="A296">
            <v>266</v>
          </cell>
          <cell r="E296" t="str">
            <v>기아모텍</v>
          </cell>
          <cell r="F296" t="str">
            <v>C4</v>
          </cell>
          <cell r="G296" t="str">
            <v>CONCORD</v>
          </cell>
          <cell r="H296" t="str">
            <v>041102330843</v>
          </cell>
          <cell r="I296" t="str">
            <v>G030 70/71 152</v>
          </cell>
          <cell r="J296" t="str">
            <v>PLATE END B RH</v>
          </cell>
          <cell r="M296">
            <v>3</v>
          </cell>
          <cell r="N296">
            <v>6856000</v>
          </cell>
          <cell r="Z296">
            <v>1.3</v>
          </cell>
          <cell r="AA296" t="str">
            <v>xx</v>
          </cell>
          <cell r="AB296" t="str">
            <v>87-1</v>
          </cell>
          <cell r="AG296" t="str">
            <v>광성</v>
          </cell>
          <cell r="AJ296" t="str">
            <v>광성기업</v>
          </cell>
          <cell r="AK296" t="str">
            <v>확인 불가</v>
          </cell>
        </row>
        <row r="297">
          <cell r="A297">
            <v>267</v>
          </cell>
          <cell r="E297" t="str">
            <v>기아모텍</v>
          </cell>
          <cell r="F297" t="str">
            <v>C4</v>
          </cell>
          <cell r="G297" t="str">
            <v>CONCORD</v>
          </cell>
          <cell r="I297" t="str">
            <v>G030 70/71 152</v>
          </cell>
          <cell r="J297" t="str">
            <v>PLATE END B RH</v>
          </cell>
          <cell r="K297" t="str">
            <v>금형</v>
          </cell>
          <cell r="L297" t="str">
            <v>DR &amp; RE</v>
          </cell>
          <cell r="M297">
            <v>1</v>
          </cell>
          <cell r="N297">
            <v>2070000</v>
          </cell>
          <cell r="Z297">
            <v>0.56519999999999992</v>
          </cell>
          <cell r="AA297" t="str">
            <v>600x500x400</v>
          </cell>
          <cell r="AB297" t="str">
            <v>87-1</v>
          </cell>
          <cell r="AG297" t="str">
            <v>광성</v>
          </cell>
          <cell r="AJ297" t="str">
            <v>광성기업</v>
          </cell>
          <cell r="AK297" t="str">
            <v>확인 불가</v>
          </cell>
        </row>
        <row r="298">
          <cell r="A298">
            <v>268</v>
          </cell>
          <cell r="E298" t="str">
            <v>기아모텍</v>
          </cell>
          <cell r="F298" t="str">
            <v>C4</v>
          </cell>
          <cell r="G298" t="str">
            <v>CONCORD</v>
          </cell>
          <cell r="I298" t="str">
            <v>G030 70/71 152</v>
          </cell>
          <cell r="J298" t="str">
            <v>PLATE END B RH</v>
          </cell>
          <cell r="K298" t="str">
            <v>금형</v>
          </cell>
          <cell r="L298" t="str">
            <v>FO &amp; FL</v>
          </cell>
          <cell r="M298">
            <v>1</v>
          </cell>
          <cell r="N298">
            <v>2330000</v>
          </cell>
          <cell r="Z298">
            <v>0.56519999999999992</v>
          </cell>
          <cell r="AA298" t="str">
            <v>600x500x400</v>
          </cell>
          <cell r="AB298" t="str">
            <v>87-1</v>
          </cell>
          <cell r="AG298" t="str">
            <v>광성</v>
          </cell>
          <cell r="AJ298" t="str">
            <v>광성기업</v>
          </cell>
          <cell r="AK298" t="str">
            <v>확인 불가</v>
          </cell>
        </row>
        <row r="299">
          <cell r="A299">
            <v>269</v>
          </cell>
          <cell r="E299" t="str">
            <v>기아모텍</v>
          </cell>
          <cell r="F299" t="str">
            <v>C4</v>
          </cell>
          <cell r="G299" t="str">
            <v>CONCORD</v>
          </cell>
          <cell r="I299" t="str">
            <v>G030 70/71 152</v>
          </cell>
          <cell r="J299" t="str">
            <v>PLATE END B RH</v>
          </cell>
          <cell r="K299" t="str">
            <v>금형</v>
          </cell>
          <cell r="L299" t="str">
            <v>BL</v>
          </cell>
          <cell r="M299">
            <v>1</v>
          </cell>
          <cell r="N299">
            <v>2356000</v>
          </cell>
          <cell r="Z299">
            <v>0.49454999999999993</v>
          </cell>
          <cell r="AA299" t="str">
            <v>600x500x350</v>
          </cell>
          <cell r="AB299" t="str">
            <v>87-1</v>
          </cell>
          <cell r="AG299" t="str">
            <v>광성</v>
          </cell>
          <cell r="AJ299" t="str">
            <v>광성기업</v>
          </cell>
          <cell r="AK299" t="str">
            <v>확인 불가</v>
          </cell>
        </row>
        <row r="300">
          <cell r="A300">
            <v>270</v>
          </cell>
          <cell r="E300" t="str">
            <v>기아모텍</v>
          </cell>
          <cell r="F300" t="str">
            <v>C4</v>
          </cell>
          <cell r="G300" t="str">
            <v>CONCORD</v>
          </cell>
          <cell r="I300" t="str">
            <v>G030 70/71 152</v>
          </cell>
          <cell r="J300" t="str">
            <v>PLATE END B LH</v>
          </cell>
          <cell r="K300" t="str">
            <v>금형</v>
          </cell>
          <cell r="L300" t="str">
            <v>BL &amp; PIE</v>
          </cell>
          <cell r="M300">
            <v>1</v>
          </cell>
          <cell r="N300">
            <v>2827000</v>
          </cell>
          <cell r="Z300">
            <v>0.59345999999999999</v>
          </cell>
          <cell r="AA300" t="str">
            <v>600x600x350</v>
          </cell>
          <cell r="AB300" t="str">
            <v>87-1</v>
          </cell>
          <cell r="AG300" t="str">
            <v>광성</v>
          </cell>
          <cell r="AJ300" t="str">
            <v>광성기업</v>
          </cell>
          <cell r="AK300" t="str">
            <v>확인 불가</v>
          </cell>
        </row>
        <row r="301">
          <cell r="A301">
            <v>271</v>
          </cell>
          <cell r="E301" t="str">
            <v>기아모텍</v>
          </cell>
          <cell r="F301" t="str">
            <v>C4</v>
          </cell>
          <cell r="G301" t="str">
            <v>CONCORD</v>
          </cell>
          <cell r="I301" t="str">
            <v>G030 70/71 152</v>
          </cell>
          <cell r="J301" t="str">
            <v>PLATE END B LH</v>
          </cell>
          <cell r="K301" t="str">
            <v>금형</v>
          </cell>
          <cell r="L301" t="str">
            <v>FL &amp; FO</v>
          </cell>
          <cell r="M301">
            <v>1</v>
          </cell>
          <cell r="N301">
            <v>3029000</v>
          </cell>
          <cell r="Z301">
            <v>0.75312899999999994</v>
          </cell>
          <cell r="AA301" t="str">
            <v>600x650x410</v>
          </cell>
          <cell r="AB301" t="str">
            <v>87-1</v>
          </cell>
          <cell r="AG301" t="str">
            <v>광성</v>
          </cell>
          <cell r="AJ301" t="str">
            <v>광성기업</v>
          </cell>
          <cell r="AK301" t="str">
            <v>확인 불가</v>
          </cell>
        </row>
        <row r="302">
          <cell r="A302">
            <v>272</v>
          </cell>
          <cell r="E302" t="str">
            <v>기아모텍</v>
          </cell>
          <cell r="F302" t="str">
            <v>C4</v>
          </cell>
          <cell r="G302" t="str">
            <v>CONCORD</v>
          </cell>
          <cell r="H302" t="str">
            <v>041102440762</v>
          </cell>
          <cell r="I302" t="str">
            <v>G030 70/71 154</v>
          </cell>
          <cell r="J302" t="str">
            <v>REINF-WHEEL HOUSE R/L</v>
          </cell>
          <cell r="K302" t="str">
            <v>금형</v>
          </cell>
          <cell r="L302" t="str">
            <v>TR &amp; SEP</v>
          </cell>
          <cell r="M302">
            <v>1</v>
          </cell>
          <cell r="N302">
            <v>2524000</v>
          </cell>
          <cell r="Z302">
            <v>0.63103166999999993</v>
          </cell>
          <cell r="AA302" t="str">
            <v>710x510x370</v>
          </cell>
          <cell r="AB302" t="str">
            <v>87-1</v>
          </cell>
          <cell r="AG302" t="str">
            <v>광성</v>
          </cell>
          <cell r="AJ302" t="str">
            <v>광성기업</v>
          </cell>
          <cell r="AK302" t="str">
            <v>확인 불가</v>
          </cell>
        </row>
        <row r="303">
          <cell r="A303">
            <v>273</v>
          </cell>
          <cell r="E303" t="str">
            <v>기아모텍</v>
          </cell>
          <cell r="F303" t="str">
            <v>C4</v>
          </cell>
          <cell r="G303" t="str">
            <v>CONCORD</v>
          </cell>
          <cell r="H303" t="str">
            <v>041102440762</v>
          </cell>
          <cell r="I303" t="str">
            <v>G030 70/71 154</v>
          </cell>
          <cell r="J303" t="str">
            <v>REINF-WHEEL HOUSE R/L</v>
          </cell>
          <cell r="K303" t="str">
            <v>금형</v>
          </cell>
          <cell r="L303" t="str">
            <v>DR</v>
          </cell>
          <cell r="M303">
            <v>1</v>
          </cell>
          <cell r="N303">
            <v>3652000</v>
          </cell>
          <cell r="Z303">
            <v>0.71310341999999993</v>
          </cell>
          <cell r="AA303" t="str">
            <v>730x610x340</v>
          </cell>
          <cell r="AB303" t="str">
            <v>87-1</v>
          </cell>
          <cell r="AG303" t="str">
            <v>광성</v>
          </cell>
          <cell r="AJ303" t="str">
            <v>광성기업</v>
          </cell>
          <cell r="AK303" t="str">
            <v>확인 불가</v>
          </cell>
        </row>
        <row r="304">
          <cell r="A304">
            <v>274</v>
          </cell>
          <cell r="E304" t="str">
            <v>기아모텍</v>
          </cell>
          <cell r="F304" t="str">
            <v>C4</v>
          </cell>
          <cell r="G304" t="str">
            <v>CONCORD</v>
          </cell>
          <cell r="H304" t="str">
            <v>044101010446</v>
          </cell>
          <cell r="I304" t="str">
            <v>G030 70/71 161</v>
          </cell>
          <cell r="J304" t="str">
            <v>HSG SUSP LWR R/L</v>
          </cell>
          <cell r="K304" t="str">
            <v>검사구</v>
          </cell>
          <cell r="M304">
            <v>2</v>
          </cell>
          <cell r="N304">
            <v>1770000</v>
          </cell>
          <cell r="Z304">
            <v>0</v>
          </cell>
          <cell r="AA304" t="str">
            <v>xx</v>
          </cell>
          <cell r="AB304" t="str">
            <v>86-12-24</v>
          </cell>
          <cell r="AG304" t="str">
            <v>선진모델</v>
          </cell>
          <cell r="AJ304" t="str">
            <v>광성기업</v>
          </cell>
          <cell r="AK304" t="str">
            <v>확인 불가</v>
          </cell>
        </row>
        <row r="305">
          <cell r="A305">
            <v>275</v>
          </cell>
          <cell r="E305" t="str">
            <v>기아모텍</v>
          </cell>
          <cell r="F305" t="str">
            <v>C4</v>
          </cell>
          <cell r="G305" t="str">
            <v>CONCORD</v>
          </cell>
          <cell r="H305" t="str">
            <v>041102660380</v>
          </cell>
          <cell r="I305" t="str">
            <v>G030 70/71 161C</v>
          </cell>
          <cell r="J305" t="str">
            <v>HOUSING,SUSP LWR R/L</v>
          </cell>
          <cell r="K305" t="str">
            <v>금형</v>
          </cell>
          <cell r="L305" t="str">
            <v>PIE</v>
          </cell>
          <cell r="M305">
            <v>1</v>
          </cell>
          <cell r="N305">
            <v>1318000</v>
          </cell>
          <cell r="Z305">
            <v>0.39563999999999999</v>
          </cell>
          <cell r="AA305" t="str">
            <v>600x400x350</v>
          </cell>
          <cell r="AB305" t="str">
            <v>87-1</v>
          </cell>
          <cell r="AG305" t="str">
            <v>광성</v>
          </cell>
          <cell r="AJ305" t="str">
            <v>광성기업</v>
          </cell>
          <cell r="AK305" t="str">
            <v>확인 불가</v>
          </cell>
        </row>
        <row r="306">
          <cell r="A306">
            <v>276</v>
          </cell>
          <cell r="E306" t="str">
            <v>기아모텍</v>
          </cell>
          <cell r="F306" t="str">
            <v>C4</v>
          </cell>
          <cell r="G306" t="str">
            <v>CONCORD</v>
          </cell>
          <cell r="H306" t="str">
            <v>041102660380</v>
          </cell>
          <cell r="I306" t="str">
            <v>G030 70/71 161C</v>
          </cell>
          <cell r="J306" t="str">
            <v>HOUSING,SUSP LWR R/L</v>
          </cell>
          <cell r="K306" t="str">
            <v>금형</v>
          </cell>
          <cell r="L306" t="str">
            <v>SEP</v>
          </cell>
          <cell r="M306">
            <v>1</v>
          </cell>
          <cell r="N306">
            <v>3313000</v>
          </cell>
          <cell r="Z306">
            <v>1.15395</v>
          </cell>
          <cell r="AA306" t="str">
            <v>1000x700x350</v>
          </cell>
          <cell r="AB306" t="str">
            <v>87-1</v>
          </cell>
          <cell r="AG306" t="str">
            <v>광성</v>
          </cell>
          <cell r="AJ306" t="str">
            <v>광성기업</v>
          </cell>
          <cell r="AK306" t="str">
            <v>확인 불가</v>
          </cell>
        </row>
        <row r="307">
          <cell r="A307">
            <v>277</v>
          </cell>
          <cell r="E307" t="str">
            <v>기아모텍</v>
          </cell>
          <cell r="F307" t="str">
            <v>C4</v>
          </cell>
          <cell r="G307" t="str">
            <v>CONCORD</v>
          </cell>
          <cell r="H307" t="str">
            <v>041102660380</v>
          </cell>
          <cell r="I307" t="str">
            <v>G030 70/71 161C</v>
          </cell>
          <cell r="J307" t="str">
            <v>HOUSING,SUSP LWR R/L</v>
          </cell>
          <cell r="K307" t="str">
            <v>금형</v>
          </cell>
          <cell r="L307" t="str">
            <v>FL</v>
          </cell>
          <cell r="M307">
            <v>1</v>
          </cell>
          <cell r="N307">
            <v>4892000</v>
          </cell>
          <cell r="Z307">
            <v>1.28503872</v>
          </cell>
          <cell r="AA307" t="str">
            <v>1160x840x280</v>
          </cell>
          <cell r="AB307" t="str">
            <v>87-1</v>
          </cell>
          <cell r="AG307" t="str">
            <v>광성</v>
          </cell>
          <cell r="AJ307" t="str">
            <v>광성기업</v>
          </cell>
          <cell r="AK307" t="str">
            <v>확인 불가</v>
          </cell>
        </row>
        <row r="308">
          <cell r="A308">
            <v>278</v>
          </cell>
          <cell r="E308" t="str">
            <v>기아모텍</v>
          </cell>
          <cell r="F308" t="str">
            <v>C4</v>
          </cell>
          <cell r="G308" t="str">
            <v>CONCORD</v>
          </cell>
          <cell r="H308" t="str">
            <v>041102660380</v>
          </cell>
          <cell r="I308" t="str">
            <v>G030 70/71 161C</v>
          </cell>
          <cell r="J308" t="str">
            <v>HOUSING,SUSP LWR R/L</v>
          </cell>
          <cell r="K308" t="str">
            <v>금형</v>
          </cell>
          <cell r="L308" t="str">
            <v>TR &amp; PIE</v>
          </cell>
          <cell r="M308">
            <v>1</v>
          </cell>
          <cell r="N308">
            <v>5096000</v>
          </cell>
          <cell r="Z308">
            <v>1.5260400000000001</v>
          </cell>
          <cell r="AA308" t="str">
            <v>1200x900x300</v>
          </cell>
          <cell r="AB308" t="str">
            <v>87-1</v>
          </cell>
          <cell r="AG308" t="str">
            <v>광성</v>
          </cell>
          <cell r="AJ308" t="str">
            <v>광성기업</v>
          </cell>
          <cell r="AK308" t="str">
            <v>확인 불가</v>
          </cell>
        </row>
        <row r="309">
          <cell r="A309">
            <v>279</v>
          </cell>
          <cell r="E309" t="str">
            <v>기아모텍</v>
          </cell>
          <cell r="F309" t="str">
            <v>C4</v>
          </cell>
          <cell r="G309" t="str">
            <v>CONCORD</v>
          </cell>
          <cell r="H309" t="str">
            <v>041102660380</v>
          </cell>
          <cell r="I309" t="str">
            <v>G030 70/71 161C</v>
          </cell>
          <cell r="J309" t="str">
            <v>HOUSING,SUSP LWR R/L</v>
          </cell>
          <cell r="K309" t="str">
            <v>금형</v>
          </cell>
          <cell r="L309" t="str">
            <v>BE &amp; RE</v>
          </cell>
          <cell r="M309">
            <v>1</v>
          </cell>
          <cell r="N309">
            <v>7309000</v>
          </cell>
          <cell r="Z309">
            <v>2.09124</v>
          </cell>
          <cell r="AA309" t="str">
            <v>1200x740x500</v>
          </cell>
          <cell r="AB309" t="str">
            <v>87-1</v>
          </cell>
          <cell r="AG309" t="str">
            <v>광성</v>
          </cell>
          <cell r="AJ309" t="str">
            <v>광성기업</v>
          </cell>
          <cell r="AK309" t="str">
            <v>확인 불가</v>
          </cell>
        </row>
        <row r="310">
          <cell r="A310">
            <v>280</v>
          </cell>
          <cell r="E310" t="str">
            <v>기아모텍</v>
          </cell>
          <cell r="F310" t="str">
            <v>C4</v>
          </cell>
          <cell r="G310" t="str">
            <v>CONCORD</v>
          </cell>
          <cell r="H310" t="str">
            <v>041102660380</v>
          </cell>
          <cell r="I310" t="str">
            <v>G030 70/71 161C</v>
          </cell>
          <cell r="J310" t="str">
            <v>HOUSING,SUSP LWR R/L</v>
          </cell>
          <cell r="K310" t="str">
            <v>금형</v>
          </cell>
          <cell r="L310" t="str">
            <v>DR</v>
          </cell>
          <cell r="M310">
            <v>1</v>
          </cell>
          <cell r="N310">
            <v>8226000</v>
          </cell>
          <cell r="Z310">
            <v>1.6277760000000001</v>
          </cell>
          <cell r="AA310" t="str">
            <v>1200x900x320</v>
          </cell>
          <cell r="AB310" t="str">
            <v>87-1</v>
          </cell>
          <cell r="AG310" t="str">
            <v>광성</v>
          </cell>
          <cell r="AJ310" t="str">
            <v>광성기업</v>
          </cell>
          <cell r="AK310" t="str">
            <v>확인 불가</v>
          </cell>
        </row>
        <row r="311">
          <cell r="A311">
            <v>281</v>
          </cell>
          <cell r="E311" t="str">
            <v>기아모텍</v>
          </cell>
          <cell r="F311" t="str">
            <v>C4</v>
          </cell>
          <cell r="G311" t="str">
            <v>CONCORD</v>
          </cell>
          <cell r="H311" t="str">
            <v>044101014096</v>
          </cell>
          <cell r="I311" t="str">
            <v>G030 70/71 162</v>
          </cell>
          <cell r="J311" t="str">
            <v>HSG SUSP UPR R/L</v>
          </cell>
          <cell r="K311" t="str">
            <v>검사구</v>
          </cell>
          <cell r="M311">
            <v>2</v>
          </cell>
          <cell r="N311">
            <v>3177926</v>
          </cell>
          <cell r="Z311">
            <v>0</v>
          </cell>
          <cell r="AA311" t="str">
            <v>xx</v>
          </cell>
          <cell r="AB311" t="str">
            <v>87-10-30</v>
          </cell>
          <cell r="AG311" t="str">
            <v>SHIBASAKI</v>
          </cell>
          <cell r="AJ311" t="str">
            <v>광성기업</v>
          </cell>
          <cell r="AK311" t="str">
            <v>확인 불가</v>
          </cell>
        </row>
        <row r="312">
          <cell r="A312">
            <v>282</v>
          </cell>
          <cell r="E312" t="str">
            <v>기아모텍</v>
          </cell>
          <cell r="F312" t="str">
            <v>C4</v>
          </cell>
          <cell r="G312" t="str">
            <v>CONCORD</v>
          </cell>
          <cell r="H312" t="str">
            <v>044101010046</v>
          </cell>
          <cell r="I312" t="str">
            <v>G030 70/71 163</v>
          </cell>
          <cell r="J312" t="str">
            <v>HSG SUSP LWR B R/L</v>
          </cell>
          <cell r="K312" t="str">
            <v>검사구</v>
          </cell>
          <cell r="M312">
            <v>2</v>
          </cell>
          <cell r="N312">
            <v>1000000</v>
          </cell>
          <cell r="Z312">
            <v>0</v>
          </cell>
          <cell r="AA312" t="str">
            <v>xx</v>
          </cell>
          <cell r="AB312" t="str">
            <v>86-09-30</v>
          </cell>
          <cell r="AG312" t="str">
            <v>학림모델</v>
          </cell>
          <cell r="AJ312" t="str">
            <v>광성기업</v>
          </cell>
          <cell r="AK312" t="str">
            <v>확인 불가</v>
          </cell>
        </row>
        <row r="313">
          <cell r="A313">
            <v>283</v>
          </cell>
          <cell r="E313" t="str">
            <v>기아모텍</v>
          </cell>
          <cell r="F313" t="str">
            <v>C1</v>
          </cell>
          <cell r="G313" t="str">
            <v>CONCORD</v>
          </cell>
          <cell r="H313" t="str">
            <v>041102440782</v>
          </cell>
          <cell r="I313" t="str">
            <v>G032 50 332</v>
          </cell>
          <cell r="J313" t="str">
            <v>REINF NO.2-Rr.BUMPER</v>
          </cell>
          <cell r="K313" t="str">
            <v>금형</v>
          </cell>
          <cell r="L313" t="str">
            <v>PIE</v>
          </cell>
          <cell r="M313">
            <v>1</v>
          </cell>
          <cell r="N313">
            <v>17537000</v>
          </cell>
          <cell r="Y313" t="str">
            <v>주물</v>
          </cell>
          <cell r="Z313">
            <v>5.6972160000000001</v>
          </cell>
          <cell r="AA313" t="str">
            <v>800x2100x720</v>
          </cell>
          <cell r="AB313" t="str">
            <v>87-1</v>
          </cell>
          <cell r="AG313" t="str">
            <v>광성</v>
          </cell>
          <cell r="AI313" t="str">
            <v>대륭강업</v>
          </cell>
        </row>
        <row r="314">
          <cell r="A314">
            <v>284</v>
          </cell>
          <cell r="E314" t="str">
            <v>기아모텍</v>
          </cell>
          <cell r="F314" t="str">
            <v>C1</v>
          </cell>
          <cell r="G314" t="str">
            <v>CONCORD</v>
          </cell>
          <cell r="H314" t="str">
            <v>041102440782</v>
          </cell>
          <cell r="I314" t="str">
            <v>G032 50 332</v>
          </cell>
          <cell r="J314" t="str">
            <v>REINF NO.2-Rr.BUMPER</v>
          </cell>
          <cell r="K314" t="str">
            <v>금형</v>
          </cell>
          <cell r="L314" t="str">
            <v>FL&amp; REST</v>
          </cell>
          <cell r="M314">
            <v>1</v>
          </cell>
          <cell r="N314">
            <v>18416000</v>
          </cell>
          <cell r="Y314" t="str">
            <v>주물</v>
          </cell>
          <cell r="Z314">
            <v>5.6972160000000001</v>
          </cell>
          <cell r="AA314" t="str">
            <v>800x2100x720</v>
          </cell>
          <cell r="AB314" t="str">
            <v>87-1</v>
          </cell>
          <cell r="AG314" t="str">
            <v>광성</v>
          </cell>
          <cell r="AI314" t="str">
            <v>대륭강업</v>
          </cell>
        </row>
        <row r="315">
          <cell r="A315">
            <v>285</v>
          </cell>
          <cell r="E315" t="str">
            <v>기아모텍</v>
          </cell>
          <cell r="F315" t="str">
            <v>C1</v>
          </cell>
          <cell r="G315" t="str">
            <v>CONCORD</v>
          </cell>
          <cell r="H315" t="str">
            <v>041102440782</v>
          </cell>
          <cell r="I315" t="str">
            <v>G032 50 332</v>
          </cell>
          <cell r="J315" t="str">
            <v>REINF NO.2-Rr.BUMPER</v>
          </cell>
          <cell r="K315" t="str">
            <v>금형</v>
          </cell>
          <cell r="L315" t="str">
            <v>TR &amp; PIE</v>
          </cell>
          <cell r="M315">
            <v>1</v>
          </cell>
          <cell r="N315">
            <v>21054000</v>
          </cell>
          <cell r="Y315" t="str">
            <v>주물</v>
          </cell>
          <cell r="Z315">
            <v>5.9685119999999996</v>
          </cell>
          <cell r="AA315" t="str">
            <v>800x2200x720</v>
          </cell>
          <cell r="AB315" t="str">
            <v>87-1</v>
          </cell>
          <cell r="AG315" t="str">
            <v>광성</v>
          </cell>
          <cell r="AI315" t="str">
            <v>대륭강업</v>
          </cell>
        </row>
        <row r="316">
          <cell r="A316">
            <v>286</v>
          </cell>
          <cell r="E316" t="str">
            <v>기아모텍</v>
          </cell>
          <cell r="F316" t="str">
            <v>C1</v>
          </cell>
          <cell r="G316" t="str">
            <v>CONCORD</v>
          </cell>
          <cell r="H316" t="str">
            <v>041102440782</v>
          </cell>
          <cell r="I316" t="str">
            <v>G032 50 332</v>
          </cell>
          <cell r="J316" t="str">
            <v>REINF NO.2-Rr.BUMPER</v>
          </cell>
          <cell r="K316" t="str">
            <v>금형</v>
          </cell>
          <cell r="L316" t="str">
            <v>DR</v>
          </cell>
          <cell r="M316">
            <v>1</v>
          </cell>
          <cell r="N316">
            <v>21933000</v>
          </cell>
          <cell r="Y316" t="str">
            <v>주물</v>
          </cell>
          <cell r="Z316">
            <v>7.0197839999999996</v>
          </cell>
          <cell r="AA316" t="str">
            <v>900x2300x720</v>
          </cell>
          <cell r="AB316" t="str">
            <v>87-1</v>
          </cell>
          <cell r="AG316" t="str">
            <v>광성</v>
          </cell>
          <cell r="AI316" t="str">
            <v>대륭강업</v>
          </cell>
        </row>
        <row r="317">
          <cell r="A317">
            <v>287</v>
          </cell>
          <cell r="E317" t="str">
            <v>기아모텍</v>
          </cell>
          <cell r="F317" t="str">
            <v>C1</v>
          </cell>
          <cell r="G317" t="str">
            <v>CONCORD</v>
          </cell>
          <cell r="H317" t="str">
            <v>041102440832</v>
          </cell>
          <cell r="I317" t="str">
            <v>G032 50 361</v>
          </cell>
          <cell r="J317" t="str">
            <v>REINF-Rr.BUMPER IN</v>
          </cell>
          <cell r="K317" t="str">
            <v>금형</v>
          </cell>
          <cell r="L317" t="str">
            <v>PIE</v>
          </cell>
          <cell r="M317">
            <v>1</v>
          </cell>
          <cell r="N317">
            <v>9196000</v>
          </cell>
          <cell r="Y317" t="str">
            <v>주물</v>
          </cell>
          <cell r="Z317">
            <v>3.26403</v>
          </cell>
          <cell r="AA317" t="str">
            <v>700x1800x550</v>
          </cell>
          <cell r="AB317" t="str">
            <v>87-1</v>
          </cell>
          <cell r="AG317" t="str">
            <v>광성</v>
          </cell>
          <cell r="AI317" t="str">
            <v>대륭강업</v>
          </cell>
        </row>
        <row r="318">
          <cell r="A318">
            <v>288</v>
          </cell>
          <cell r="E318" t="str">
            <v>기아모텍</v>
          </cell>
          <cell r="F318" t="str">
            <v>C1</v>
          </cell>
          <cell r="G318" t="str">
            <v>CONCORD</v>
          </cell>
          <cell r="H318" t="str">
            <v>041102440832</v>
          </cell>
          <cell r="I318" t="str">
            <v>G032 50 361</v>
          </cell>
          <cell r="J318" t="str">
            <v>REINF-Rr.BUMPER IN</v>
          </cell>
          <cell r="K318" t="str">
            <v>금형</v>
          </cell>
          <cell r="L318" t="str">
            <v>REST</v>
          </cell>
          <cell r="M318">
            <v>1</v>
          </cell>
          <cell r="N318">
            <v>11083000</v>
          </cell>
          <cell r="Y318" t="str">
            <v>주물</v>
          </cell>
          <cell r="Z318">
            <v>3.26403</v>
          </cell>
          <cell r="AA318" t="str">
            <v>700x1800x550</v>
          </cell>
          <cell r="AB318" t="str">
            <v>87-1</v>
          </cell>
          <cell r="AG318" t="str">
            <v>광성</v>
          </cell>
          <cell r="AI318" t="str">
            <v>대륭강업</v>
          </cell>
        </row>
        <row r="319">
          <cell r="A319">
            <v>289</v>
          </cell>
          <cell r="E319" t="str">
            <v>기아모텍</v>
          </cell>
          <cell r="F319" t="str">
            <v>C1</v>
          </cell>
          <cell r="G319" t="str">
            <v>CONCORD</v>
          </cell>
          <cell r="H319" t="str">
            <v>041102440832</v>
          </cell>
          <cell r="I319" t="str">
            <v>G032 50 361</v>
          </cell>
          <cell r="J319" t="str">
            <v>REINF-Rr.BUMPER IN</v>
          </cell>
          <cell r="K319" t="str">
            <v>금형</v>
          </cell>
          <cell r="L319" t="str">
            <v>TR &amp; PIE</v>
          </cell>
          <cell r="M319">
            <v>1</v>
          </cell>
          <cell r="N319">
            <v>13912000</v>
          </cell>
          <cell r="Y319" t="str">
            <v>주물</v>
          </cell>
          <cell r="Z319">
            <v>3.4453649999999998</v>
          </cell>
          <cell r="AA319" t="str">
            <v>700x1900x550</v>
          </cell>
          <cell r="AB319" t="str">
            <v>87-1</v>
          </cell>
          <cell r="AG319" t="str">
            <v>광성</v>
          </cell>
          <cell r="AI319" t="str">
            <v>대륭강업</v>
          </cell>
        </row>
        <row r="320">
          <cell r="A320">
            <v>290</v>
          </cell>
          <cell r="E320" t="str">
            <v>기아모텍</v>
          </cell>
          <cell r="F320" t="str">
            <v>C1</v>
          </cell>
          <cell r="G320" t="str">
            <v>CONCORD</v>
          </cell>
          <cell r="H320" t="str">
            <v>041102440832</v>
          </cell>
          <cell r="I320" t="str">
            <v>G032 50 361</v>
          </cell>
          <cell r="J320" t="str">
            <v>REINF-Rr.BUMPER IN</v>
          </cell>
          <cell r="K320" t="str">
            <v>금형</v>
          </cell>
          <cell r="L320" t="str">
            <v>DR</v>
          </cell>
          <cell r="M320">
            <v>1</v>
          </cell>
          <cell r="N320">
            <v>14855000</v>
          </cell>
          <cell r="Y320" t="str">
            <v>주물</v>
          </cell>
          <cell r="Z320">
            <v>4.2050879999999999</v>
          </cell>
          <cell r="AA320" t="str">
            <v>800x1800x620</v>
          </cell>
          <cell r="AB320" t="str">
            <v>87-1</v>
          </cell>
          <cell r="AG320" t="str">
            <v>광성</v>
          </cell>
          <cell r="AI320" t="str">
            <v>대륭강업</v>
          </cell>
        </row>
        <row r="321">
          <cell r="A321">
            <v>291</v>
          </cell>
          <cell r="E321" t="str">
            <v>기아모텍</v>
          </cell>
          <cell r="F321" t="str">
            <v>C</v>
          </cell>
          <cell r="G321" t="str">
            <v>CONCORD</v>
          </cell>
          <cell r="H321" t="str">
            <v>041102040755</v>
          </cell>
          <cell r="I321" t="str">
            <v>G113 52 911</v>
          </cell>
          <cell r="J321" t="str">
            <v>FRT SKIRT PANEL</v>
          </cell>
          <cell r="K321" t="str">
            <v>금형</v>
          </cell>
          <cell r="L321" t="str">
            <v>DR 1/5</v>
          </cell>
          <cell r="M321">
            <v>1</v>
          </cell>
          <cell r="N321">
            <v>21295122</v>
          </cell>
          <cell r="Y321" t="str">
            <v>주물</v>
          </cell>
          <cell r="Z321">
            <v>6.1569120000000002</v>
          </cell>
          <cell r="AA321" t="str">
            <v>2150x760x800</v>
          </cell>
          <cell r="AB321" t="str">
            <v>88-02-29</v>
          </cell>
          <cell r="AG321" t="str">
            <v>KIA</v>
          </cell>
          <cell r="AI321" t="str">
            <v>KMO 안산2공장</v>
          </cell>
        </row>
        <row r="322">
          <cell r="A322">
            <v>292</v>
          </cell>
          <cell r="E322" t="str">
            <v>기아모텍</v>
          </cell>
          <cell r="F322" t="str">
            <v>C</v>
          </cell>
          <cell r="G322" t="str">
            <v>CONCORD</v>
          </cell>
          <cell r="H322" t="str">
            <v>041102040765</v>
          </cell>
          <cell r="I322" t="str">
            <v>G113 52 911</v>
          </cell>
          <cell r="J322" t="str">
            <v>FRT SKIRT PANEL</v>
          </cell>
          <cell r="K322" t="str">
            <v>금형</v>
          </cell>
          <cell r="L322" t="str">
            <v>TR/PIE 2/5</v>
          </cell>
          <cell r="M322">
            <v>1</v>
          </cell>
          <cell r="N322">
            <v>28639960</v>
          </cell>
          <cell r="Y322" t="str">
            <v>주물</v>
          </cell>
          <cell r="Z322">
            <v>5.9375672999999995</v>
          </cell>
          <cell r="AA322" t="str">
            <v>2030x690x900</v>
          </cell>
          <cell r="AB322" t="str">
            <v>88-02-29</v>
          </cell>
          <cell r="AG322" t="str">
            <v>KIA</v>
          </cell>
          <cell r="AI322" t="str">
            <v>KMO 안산2공장</v>
          </cell>
        </row>
        <row r="323">
          <cell r="A323">
            <v>293</v>
          </cell>
          <cell r="E323" t="str">
            <v>기아모텍</v>
          </cell>
          <cell r="F323" t="str">
            <v>C</v>
          </cell>
          <cell r="G323" t="str">
            <v>CONCORD</v>
          </cell>
          <cell r="H323" t="str">
            <v>041102040775</v>
          </cell>
          <cell r="I323" t="str">
            <v>G113 52 911</v>
          </cell>
          <cell r="J323" t="str">
            <v>FRT SKIRT PANEL</v>
          </cell>
          <cell r="K323" t="str">
            <v>금형</v>
          </cell>
          <cell r="L323" t="str">
            <v>CAM/PIE 3/5</v>
          </cell>
          <cell r="M323">
            <v>1</v>
          </cell>
          <cell r="N323">
            <v>29401709</v>
          </cell>
          <cell r="Y323" t="str">
            <v>주물</v>
          </cell>
          <cell r="Z323">
            <v>6.8078339999999997</v>
          </cell>
          <cell r="AA323" t="str">
            <v>2190x825x800</v>
          </cell>
          <cell r="AB323" t="str">
            <v>88-02-29</v>
          </cell>
          <cell r="AG323" t="str">
            <v>KIA</v>
          </cell>
          <cell r="AI323" t="str">
            <v>KMO 안산2공장</v>
          </cell>
        </row>
        <row r="324">
          <cell r="A324">
            <v>294</v>
          </cell>
          <cell r="E324" t="str">
            <v>기아모텍</v>
          </cell>
          <cell r="F324" t="str">
            <v>C</v>
          </cell>
          <cell r="G324" t="str">
            <v>CONCORD</v>
          </cell>
          <cell r="H324" t="str">
            <v>041102040785</v>
          </cell>
          <cell r="I324" t="str">
            <v>G113 52 911</v>
          </cell>
          <cell r="J324" t="str">
            <v>FRT SKIRT PANEL</v>
          </cell>
          <cell r="K324" t="str">
            <v>금형</v>
          </cell>
          <cell r="L324" t="str">
            <v>FL 4/5</v>
          </cell>
          <cell r="M324">
            <v>1</v>
          </cell>
          <cell r="N324">
            <v>21094219</v>
          </cell>
          <cell r="Y324" t="str">
            <v>주물</v>
          </cell>
          <cell r="Z324">
            <v>4.9222891199999994</v>
          </cell>
          <cell r="AA324" t="str">
            <v>1960x620x860</v>
          </cell>
          <cell r="AB324" t="str">
            <v>88-02-29</v>
          </cell>
          <cell r="AG324" t="str">
            <v>KIA</v>
          </cell>
          <cell r="AI324" t="str">
            <v>KMO 안산2공장</v>
          </cell>
        </row>
        <row r="325">
          <cell r="A325">
            <v>295</v>
          </cell>
          <cell r="E325" t="str">
            <v>기아모텍</v>
          </cell>
          <cell r="F325" t="str">
            <v>C</v>
          </cell>
          <cell r="G325" t="str">
            <v>CONCORD</v>
          </cell>
          <cell r="H325" t="str">
            <v>041102040795</v>
          </cell>
          <cell r="I325" t="str">
            <v>G113 52 911</v>
          </cell>
          <cell r="J325" t="str">
            <v>FRT SKIRT PANEL</v>
          </cell>
          <cell r="K325" t="str">
            <v>금형</v>
          </cell>
          <cell r="L325" t="str">
            <v>CAM/PI 5/5</v>
          </cell>
          <cell r="M325">
            <v>1</v>
          </cell>
          <cell r="N325">
            <v>20598950</v>
          </cell>
          <cell r="Y325" t="str">
            <v>주물</v>
          </cell>
          <cell r="Z325">
            <v>6.7548935999999999</v>
          </cell>
          <cell r="AA325" t="str">
            <v>1970x800x910</v>
          </cell>
          <cell r="AB325" t="str">
            <v>88-02-29</v>
          </cell>
          <cell r="AG325" t="str">
            <v>KIA</v>
          </cell>
          <cell r="AI325" t="str">
            <v>KMO 안산2공장</v>
          </cell>
        </row>
        <row r="326">
          <cell r="A326">
            <v>296</v>
          </cell>
          <cell r="E326" t="str">
            <v>기아모텍</v>
          </cell>
          <cell r="F326" t="str">
            <v>C</v>
          </cell>
          <cell r="G326" t="str">
            <v>CONCORD</v>
          </cell>
          <cell r="H326" t="str">
            <v>044101010296</v>
          </cell>
          <cell r="I326" t="str">
            <v>G113 52 921/931</v>
          </cell>
          <cell r="J326" t="str">
            <v>B/K F SKIRT SET R/L</v>
          </cell>
          <cell r="K326" t="str">
            <v>검사구</v>
          </cell>
          <cell r="M326">
            <v>1</v>
          </cell>
          <cell r="N326">
            <v>582000</v>
          </cell>
          <cell r="AA326" t="str">
            <v>xx</v>
          </cell>
          <cell r="AB326" t="str">
            <v>86-10-31</v>
          </cell>
          <cell r="AG326" t="str">
            <v>선진모델</v>
          </cell>
          <cell r="AK326" t="str">
            <v>당사품이 아님</v>
          </cell>
        </row>
        <row r="327">
          <cell r="A327">
            <v>297</v>
          </cell>
          <cell r="E327" t="str">
            <v>기아모텍</v>
          </cell>
          <cell r="F327" t="str">
            <v>C1</v>
          </cell>
          <cell r="G327" t="str">
            <v>CONCORD</v>
          </cell>
          <cell r="H327" t="str">
            <v>044101010326</v>
          </cell>
          <cell r="I327" t="str">
            <v>G115 50 335</v>
          </cell>
          <cell r="J327" t="str">
            <v>RR BUMPER REINF</v>
          </cell>
          <cell r="K327" t="str">
            <v>검사구</v>
          </cell>
          <cell r="M327">
            <v>1</v>
          </cell>
          <cell r="N327">
            <v>900000</v>
          </cell>
          <cell r="Y327" t="str">
            <v>수지</v>
          </cell>
          <cell r="Z327">
            <v>0</v>
          </cell>
          <cell r="AA327" t="str">
            <v>xx</v>
          </cell>
          <cell r="AB327" t="str">
            <v>86-10-31</v>
          </cell>
          <cell r="AG327" t="str">
            <v>삼협목형</v>
          </cell>
          <cell r="AI327" t="str">
            <v>대륭강업</v>
          </cell>
        </row>
        <row r="328">
          <cell r="A328">
            <v>298</v>
          </cell>
          <cell r="E328" t="str">
            <v>기아모텍</v>
          </cell>
          <cell r="F328" t="str">
            <v>C</v>
          </cell>
          <cell r="G328" t="str">
            <v>CONCORD</v>
          </cell>
          <cell r="H328" t="str">
            <v>044101010476</v>
          </cell>
          <cell r="I328" t="str">
            <v>G115 53/54 081C</v>
          </cell>
          <cell r="J328" t="str">
            <v>M/B DASH UP R/L</v>
          </cell>
          <cell r="K328" t="str">
            <v>검사구</v>
          </cell>
          <cell r="M328">
            <v>2</v>
          </cell>
          <cell r="N328">
            <v>630000</v>
          </cell>
          <cell r="Z328">
            <v>0</v>
          </cell>
          <cell r="AA328" t="str">
            <v>xx</v>
          </cell>
          <cell r="AB328" t="str">
            <v>86-12-24</v>
          </cell>
          <cell r="AG328" t="str">
            <v>선진모델</v>
          </cell>
          <cell r="AJ328" t="str">
            <v>한신기공</v>
          </cell>
        </row>
        <row r="329">
          <cell r="A329">
            <v>299</v>
          </cell>
          <cell r="E329" t="str">
            <v>기아모텍</v>
          </cell>
          <cell r="F329" t="str">
            <v>C</v>
          </cell>
          <cell r="G329" t="str">
            <v>CONCORD</v>
          </cell>
          <cell r="H329" t="str">
            <v>041102550761</v>
          </cell>
          <cell r="I329" t="str">
            <v>G115 53/54 081C</v>
          </cell>
          <cell r="J329" t="str">
            <v>MEMBER-DASH UP RH</v>
          </cell>
          <cell r="K329" t="str">
            <v>금형</v>
          </cell>
          <cell r="L329" t="str">
            <v>FL&amp;REST</v>
          </cell>
          <cell r="M329">
            <v>1</v>
          </cell>
          <cell r="N329">
            <v>2408000</v>
          </cell>
          <cell r="Z329">
            <v>0.8160075</v>
          </cell>
          <cell r="AA329" t="str">
            <v>700x450x550</v>
          </cell>
          <cell r="AB329" t="str">
            <v>87-1</v>
          </cell>
          <cell r="AG329" t="str">
            <v>삼양</v>
          </cell>
          <cell r="AJ329" t="str">
            <v>한신기공</v>
          </cell>
        </row>
        <row r="330">
          <cell r="A330">
            <v>300</v>
          </cell>
          <cell r="E330" t="str">
            <v>기아모텍</v>
          </cell>
          <cell r="F330" t="str">
            <v>C</v>
          </cell>
          <cell r="G330" t="str">
            <v>CONCORD</v>
          </cell>
          <cell r="H330" t="str">
            <v>041102550761</v>
          </cell>
          <cell r="I330" t="str">
            <v>G115 53/54 081C</v>
          </cell>
          <cell r="J330" t="str">
            <v>MEMBER-DASH UP RH</v>
          </cell>
          <cell r="K330" t="str">
            <v>금형</v>
          </cell>
          <cell r="L330" t="str">
            <v>TR&amp;PIE#1</v>
          </cell>
          <cell r="M330">
            <v>1</v>
          </cell>
          <cell r="N330">
            <v>2567000</v>
          </cell>
          <cell r="Z330">
            <v>0.8160075</v>
          </cell>
          <cell r="AA330" t="str">
            <v>700x450x550</v>
          </cell>
          <cell r="AB330" t="str">
            <v>87-1</v>
          </cell>
          <cell r="AG330" t="str">
            <v>삼양</v>
          </cell>
          <cell r="AJ330" t="str">
            <v>한신기공</v>
          </cell>
        </row>
        <row r="331">
          <cell r="A331">
            <v>301</v>
          </cell>
          <cell r="E331" t="str">
            <v>기아모텍</v>
          </cell>
          <cell r="F331" t="str">
            <v>C</v>
          </cell>
          <cell r="G331" t="str">
            <v>CONCORD</v>
          </cell>
          <cell r="H331" t="str">
            <v>041102550761</v>
          </cell>
          <cell r="I331" t="str">
            <v>G115 53/54 081C</v>
          </cell>
          <cell r="J331" t="str">
            <v>MEMBER-DASH UP RH</v>
          </cell>
          <cell r="K331" t="str">
            <v>금형</v>
          </cell>
          <cell r="L331" t="str">
            <v>TR&amp;PIE#2</v>
          </cell>
          <cell r="M331">
            <v>1</v>
          </cell>
          <cell r="N331">
            <v>3046000</v>
          </cell>
          <cell r="Z331">
            <v>0.8160075</v>
          </cell>
          <cell r="AA331" t="str">
            <v>700x450x550</v>
          </cell>
          <cell r="AB331" t="str">
            <v>87-1</v>
          </cell>
          <cell r="AG331" t="str">
            <v>삼양</v>
          </cell>
          <cell r="AJ331" t="str">
            <v>한신기공</v>
          </cell>
        </row>
        <row r="332">
          <cell r="A332">
            <v>302</v>
          </cell>
          <cell r="E332" t="str">
            <v>기아모텍</v>
          </cell>
          <cell r="F332" t="str">
            <v>C</v>
          </cell>
          <cell r="G332" t="str">
            <v>CONCORD</v>
          </cell>
          <cell r="H332" t="str">
            <v>041102550761</v>
          </cell>
          <cell r="I332" t="str">
            <v>G115 53/54 081C</v>
          </cell>
          <cell r="J332" t="str">
            <v>MEMBER-DASH UP RH</v>
          </cell>
          <cell r="K332" t="str">
            <v>금형</v>
          </cell>
          <cell r="L332" t="str">
            <v>CAM PIE</v>
          </cell>
          <cell r="M332">
            <v>1</v>
          </cell>
          <cell r="N332">
            <v>3173000</v>
          </cell>
          <cell r="Z332">
            <v>0.69943499999999992</v>
          </cell>
          <cell r="AA332" t="str">
            <v>600x450x550</v>
          </cell>
          <cell r="AB332" t="str">
            <v>87-1</v>
          </cell>
          <cell r="AG332" t="str">
            <v>삼양</v>
          </cell>
          <cell r="AJ332" t="str">
            <v>한신기공</v>
          </cell>
        </row>
        <row r="333">
          <cell r="A333">
            <v>303</v>
          </cell>
          <cell r="E333" t="str">
            <v>기아모텍</v>
          </cell>
          <cell r="F333" t="str">
            <v>C</v>
          </cell>
          <cell r="G333" t="str">
            <v>CONCORD</v>
          </cell>
          <cell r="H333" t="str">
            <v>041102550761</v>
          </cell>
          <cell r="I333" t="str">
            <v>G115 53/54 081C</v>
          </cell>
          <cell r="J333" t="str">
            <v>MEMBER-DASH UP RH</v>
          </cell>
          <cell r="K333" t="str">
            <v>금형</v>
          </cell>
          <cell r="L333" t="str">
            <v>DR</v>
          </cell>
          <cell r="M333">
            <v>1</v>
          </cell>
          <cell r="N333">
            <v>3206000</v>
          </cell>
          <cell r="Z333">
            <v>0.8160075</v>
          </cell>
          <cell r="AA333" t="str">
            <v>700x450x550</v>
          </cell>
          <cell r="AB333" t="str">
            <v>87-1</v>
          </cell>
          <cell r="AG333" t="str">
            <v>삼양</v>
          </cell>
          <cell r="AJ333" t="str">
            <v>한신기공</v>
          </cell>
        </row>
        <row r="334">
          <cell r="A334">
            <v>304</v>
          </cell>
          <cell r="E334" t="str">
            <v>기아모텍</v>
          </cell>
          <cell r="F334" t="str">
            <v>C1</v>
          </cell>
          <cell r="G334" t="str">
            <v>CONCORD</v>
          </cell>
          <cell r="H334" t="str">
            <v>044102010455</v>
          </cell>
          <cell r="I334" t="str">
            <v>G116 50 331</v>
          </cell>
          <cell r="J334" t="str">
            <v>R BUMPER REINF</v>
          </cell>
          <cell r="K334" t="str">
            <v>검사구</v>
          </cell>
          <cell r="M334">
            <v>1</v>
          </cell>
          <cell r="N334">
            <v>4900000</v>
          </cell>
          <cell r="Y334" t="str">
            <v>수지</v>
          </cell>
          <cell r="Z334">
            <v>0</v>
          </cell>
          <cell r="AA334" t="str">
            <v>xx</v>
          </cell>
          <cell r="AB334" t="str">
            <v>86-12-24</v>
          </cell>
          <cell r="AG334" t="str">
            <v>한국정우</v>
          </cell>
          <cell r="AI334" t="str">
            <v>대륭강업</v>
          </cell>
        </row>
        <row r="335">
          <cell r="A335">
            <v>305</v>
          </cell>
          <cell r="E335" t="str">
            <v>기아모텍</v>
          </cell>
          <cell r="F335" t="str">
            <v>B</v>
          </cell>
          <cell r="G335" t="str">
            <v>CONCORD</v>
          </cell>
          <cell r="H335" t="str">
            <v>041102550741</v>
          </cell>
          <cell r="I335" t="str">
            <v>G116 50 331</v>
          </cell>
          <cell r="J335" t="str">
            <v>REINF NO.1-Rr.BUMPER</v>
          </cell>
          <cell r="K335" t="str">
            <v>금형</v>
          </cell>
          <cell r="L335" t="str">
            <v>FL&amp; REST</v>
          </cell>
          <cell r="M335">
            <v>1</v>
          </cell>
          <cell r="N335">
            <v>16545000</v>
          </cell>
          <cell r="Y335" t="str">
            <v>주물</v>
          </cell>
          <cell r="Z335">
            <v>5.2224479999999991</v>
          </cell>
          <cell r="AA335" t="str">
            <v>2200x700x720</v>
          </cell>
          <cell r="AB335" t="str">
            <v>87-1</v>
          </cell>
          <cell r="AG335" t="str">
            <v>삼양</v>
          </cell>
          <cell r="AI335" t="str">
            <v>대륭강업</v>
          </cell>
        </row>
        <row r="336">
          <cell r="A336">
            <v>306</v>
          </cell>
          <cell r="E336" t="str">
            <v>기아모텍</v>
          </cell>
          <cell r="F336" t="str">
            <v>B</v>
          </cell>
          <cell r="G336" t="str">
            <v>CONCORD</v>
          </cell>
          <cell r="H336" t="str">
            <v>041102550741</v>
          </cell>
          <cell r="I336" t="str">
            <v>G116 50 331</v>
          </cell>
          <cell r="J336" t="str">
            <v>REINF NO.1-Rr.BUMPER</v>
          </cell>
          <cell r="K336" t="str">
            <v>금형</v>
          </cell>
          <cell r="L336" t="str">
            <v>PIE</v>
          </cell>
          <cell r="M336">
            <v>1</v>
          </cell>
          <cell r="N336">
            <v>17474000</v>
          </cell>
          <cell r="Y336" t="str">
            <v>주물</v>
          </cell>
          <cell r="Z336">
            <v>1.3564799999999999</v>
          </cell>
          <cell r="AA336" t="str">
            <v>500x800x720</v>
          </cell>
          <cell r="AB336" t="str">
            <v>87-1</v>
          </cell>
          <cell r="AG336" t="str">
            <v>삼양</v>
          </cell>
          <cell r="AI336" t="str">
            <v>대륭강업</v>
          </cell>
        </row>
        <row r="337">
          <cell r="A337">
            <v>307</v>
          </cell>
          <cell r="E337" t="str">
            <v>기아모텍</v>
          </cell>
          <cell r="F337" t="str">
            <v>B</v>
          </cell>
          <cell r="G337" t="str">
            <v>CONCORD</v>
          </cell>
          <cell r="H337" t="str">
            <v>041102550741</v>
          </cell>
          <cell r="I337" t="str">
            <v>G116 50 331</v>
          </cell>
          <cell r="J337" t="str">
            <v>REINF NO.1-Rr.BUMPER</v>
          </cell>
          <cell r="K337" t="str">
            <v>금형</v>
          </cell>
          <cell r="L337" t="str">
            <v>TR &amp; PIE</v>
          </cell>
          <cell r="M337">
            <v>1</v>
          </cell>
          <cell r="N337">
            <v>21192000</v>
          </cell>
          <cell r="Y337" t="str">
            <v>주물</v>
          </cell>
          <cell r="Z337">
            <v>5.9685119999999996</v>
          </cell>
          <cell r="AA337" t="str">
            <v>2200x800x720</v>
          </cell>
          <cell r="AB337" t="str">
            <v>87-1</v>
          </cell>
          <cell r="AG337" t="str">
            <v>삼양</v>
          </cell>
          <cell r="AI337" t="str">
            <v>대륭강업</v>
          </cell>
        </row>
        <row r="338">
          <cell r="A338">
            <v>308</v>
          </cell>
          <cell r="E338" t="str">
            <v>기아모텍</v>
          </cell>
          <cell r="F338" t="str">
            <v>B</v>
          </cell>
          <cell r="G338" t="str">
            <v>CONCORD</v>
          </cell>
          <cell r="H338" t="str">
            <v>041102550741</v>
          </cell>
          <cell r="I338" t="str">
            <v>G116 50 331</v>
          </cell>
          <cell r="J338" t="str">
            <v>REINF NO.1-Rr.BUMPER</v>
          </cell>
          <cell r="K338" t="str">
            <v>금형</v>
          </cell>
          <cell r="L338" t="str">
            <v>DR</v>
          </cell>
          <cell r="M338">
            <v>1</v>
          </cell>
          <cell r="N338">
            <v>23051000</v>
          </cell>
          <cell r="Y338" t="str">
            <v>주물</v>
          </cell>
          <cell r="Z338">
            <v>6.7145759999999992</v>
          </cell>
          <cell r="AA338" t="str">
            <v>2200x900x720</v>
          </cell>
          <cell r="AB338" t="str">
            <v>87-1</v>
          </cell>
          <cell r="AG338" t="str">
            <v>삼양</v>
          </cell>
          <cell r="AI338" t="str">
            <v>대륭강업</v>
          </cell>
        </row>
        <row r="339">
          <cell r="A339">
            <v>309</v>
          </cell>
          <cell r="E339" t="str">
            <v>기아모텍</v>
          </cell>
          <cell r="F339" t="str">
            <v>B</v>
          </cell>
          <cell r="G339" t="str">
            <v>CONCORD</v>
          </cell>
          <cell r="H339" t="str">
            <v>041102550741</v>
          </cell>
          <cell r="I339" t="str">
            <v>G116 50 331</v>
          </cell>
          <cell r="J339" t="str">
            <v>REINF NO.1-Rr.BUMPER</v>
          </cell>
          <cell r="K339" t="str">
            <v>금형</v>
          </cell>
          <cell r="L339" t="str">
            <v>PIE&amp;CAM P</v>
          </cell>
          <cell r="M339">
            <v>1</v>
          </cell>
          <cell r="N339">
            <v>23981000</v>
          </cell>
          <cell r="Y339" t="str">
            <v>주물</v>
          </cell>
          <cell r="Z339">
            <v>7.1757792</v>
          </cell>
          <cell r="AA339" t="str">
            <v>2300x920x720</v>
          </cell>
          <cell r="AB339" t="str">
            <v>87-1</v>
          </cell>
          <cell r="AG339" t="str">
            <v>삼양</v>
          </cell>
          <cell r="AI339" t="str">
            <v>대륭강업</v>
          </cell>
        </row>
        <row r="340">
          <cell r="A340">
            <v>310</v>
          </cell>
          <cell r="E340" t="str">
            <v>기아모텍</v>
          </cell>
          <cell r="F340" t="str">
            <v>B</v>
          </cell>
          <cell r="G340" t="str">
            <v>CONCORD MMO</v>
          </cell>
          <cell r="H340" t="str">
            <v>041102017231</v>
          </cell>
          <cell r="I340" t="str">
            <v>G116 50 331B</v>
          </cell>
          <cell r="J340" t="str">
            <v>REINF Rr. BUMPER</v>
          </cell>
          <cell r="K340" t="str">
            <v>금형</v>
          </cell>
          <cell r="L340" t="str">
            <v>TR&amp;C/PI</v>
          </cell>
          <cell r="M340">
            <v>1</v>
          </cell>
          <cell r="N340">
            <v>2416600</v>
          </cell>
          <cell r="Y340" t="str">
            <v>주물</v>
          </cell>
          <cell r="Z340">
            <v>7.0130015999999999</v>
          </cell>
          <cell r="AA340" t="str">
            <v>2200x940x720</v>
          </cell>
          <cell r="AB340" t="str">
            <v>93-12-16</v>
          </cell>
          <cell r="AG340" t="str">
            <v>구일정공</v>
          </cell>
          <cell r="AI340" t="str">
            <v>대륭강업</v>
          </cell>
        </row>
        <row r="341">
          <cell r="A341">
            <v>311</v>
          </cell>
          <cell r="E341" t="str">
            <v>기아모텍</v>
          </cell>
          <cell r="F341" t="str">
            <v>C1</v>
          </cell>
          <cell r="G341" t="str">
            <v>CONCORD</v>
          </cell>
          <cell r="H341" t="str">
            <v>044102010375</v>
          </cell>
          <cell r="I341" t="str">
            <v>G116 50 333/334</v>
          </cell>
          <cell r="J341" t="str">
            <v>Rr REINF SIDE R/L</v>
          </cell>
          <cell r="K341" t="str">
            <v>검사구</v>
          </cell>
          <cell r="L341" t="str">
            <v>C/F</v>
          </cell>
          <cell r="M341">
            <v>2</v>
          </cell>
          <cell r="N341">
            <v>570000</v>
          </cell>
          <cell r="Y341" t="str">
            <v>수지</v>
          </cell>
          <cell r="AA341" t="str">
            <v>xx</v>
          </cell>
          <cell r="AB341" t="str">
            <v>86-12-30</v>
          </cell>
          <cell r="AG341" t="str">
            <v>학림모델</v>
          </cell>
          <cell r="AI341" t="str">
            <v>수민정밀</v>
          </cell>
        </row>
        <row r="342">
          <cell r="A342">
            <v>312</v>
          </cell>
          <cell r="E342" t="str">
            <v>기아모텍</v>
          </cell>
          <cell r="F342" t="str">
            <v>B</v>
          </cell>
          <cell r="G342" t="str">
            <v>CONCORD</v>
          </cell>
          <cell r="I342" t="str">
            <v>G116 50 335</v>
          </cell>
          <cell r="J342" t="str">
            <v>REINF-Rr. BUMPER</v>
          </cell>
          <cell r="K342" t="str">
            <v>금형</v>
          </cell>
          <cell r="L342" t="str">
            <v>NO &amp; PIE</v>
          </cell>
          <cell r="M342">
            <v>1</v>
          </cell>
          <cell r="N342">
            <v>9520000</v>
          </cell>
          <cell r="Y342" t="str">
            <v>주물</v>
          </cell>
          <cell r="Z342">
            <v>2.4609749999999999</v>
          </cell>
          <cell r="AA342" t="str">
            <v>1900x500x550</v>
          </cell>
          <cell r="AB342" t="str">
            <v>87-5</v>
          </cell>
          <cell r="AG342" t="str">
            <v>삼양정기</v>
          </cell>
          <cell r="AI342" t="str">
            <v>대륭강업</v>
          </cell>
        </row>
        <row r="343">
          <cell r="A343">
            <v>313</v>
          </cell>
          <cell r="E343" t="str">
            <v>기아모텍</v>
          </cell>
          <cell r="F343" t="str">
            <v>B</v>
          </cell>
          <cell r="G343" t="str">
            <v>CONCORD</v>
          </cell>
          <cell r="I343" t="str">
            <v>G116 50 335</v>
          </cell>
          <cell r="J343" t="str">
            <v>REINF-Rr. BUMPER</v>
          </cell>
          <cell r="K343" t="str">
            <v>금형</v>
          </cell>
          <cell r="L343" t="str">
            <v>S/TR</v>
          </cell>
          <cell r="M343">
            <v>1</v>
          </cell>
          <cell r="N343">
            <v>10200000</v>
          </cell>
          <cell r="Y343" t="str">
            <v>주물</v>
          </cell>
          <cell r="Z343">
            <v>2.4609749999999999</v>
          </cell>
          <cell r="AA343" t="str">
            <v>1900x500x550</v>
          </cell>
          <cell r="AB343" t="str">
            <v>87-5</v>
          </cell>
          <cell r="AG343" t="str">
            <v>삼양정기</v>
          </cell>
          <cell r="AI343" t="str">
            <v>대륭강업</v>
          </cell>
        </row>
        <row r="344">
          <cell r="A344">
            <v>314</v>
          </cell>
          <cell r="E344" t="str">
            <v>기아모텍</v>
          </cell>
          <cell r="F344" t="str">
            <v>B</v>
          </cell>
          <cell r="G344" t="str">
            <v>CONCORD</v>
          </cell>
          <cell r="I344" t="str">
            <v>G116 50 335</v>
          </cell>
          <cell r="J344" t="str">
            <v>REINF-Rr. BUMPER</v>
          </cell>
          <cell r="K344" t="str">
            <v>금형</v>
          </cell>
          <cell r="L344" t="str">
            <v>DR</v>
          </cell>
          <cell r="M344">
            <v>1</v>
          </cell>
          <cell r="N344">
            <v>14610000</v>
          </cell>
          <cell r="Y344" t="str">
            <v>주물</v>
          </cell>
          <cell r="Z344">
            <v>2.8495499999999998</v>
          </cell>
          <cell r="AA344" t="str">
            <v>2000x550x550</v>
          </cell>
          <cell r="AB344" t="str">
            <v>87-5</v>
          </cell>
          <cell r="AG344" t="str">
            <v>삼양정기</v>
          </cell>
          <cell r="AI344" t="str">
            <v>대륭강업</v>
          </cell>
        </row>
        <row r="345">
          <cell r="A345">
            <v>315</v>
          </cell>
          <cell r="E345" t="str">
            <v>기아모텍</v>
          </cell>
          <cell r="F345" t="str">
            <v>B</v>
          </cell>
          <cell r="G345" t="str">
            <v>CONCORD MMO</v>
          </cell>
          <cell r="H345" t="str">
            <v>041102017241</v>
          </cell>
          <cell r="I345" t="str">
            <v>G116 50 335A</v>
          </cell>
          <cell r="J345" t="str">
            <v>REINF Rr. BUMPER</v>
          </cell>
          <cell r="K345" t="str">
            <v>금형</v>
          </cell>
          <cell r="L345" t="str">
            <v>PI/CUT</v>
          </cell>
          <cell r="M345">
            <v>1</v>
          </cell>
          <cell r="N345">
            <v>1084600</v>
          </cell>
          <cell r="Y345" t="str">
            <v>주물</v>
          </cell>
          <cell r="Z345">
            <v>2.4609749999999999</v>
          </cell>
          <cell r="AA345" t="str">
            <v>1900x500x550</v>
          </cell>
          <cell r="AB345" t="str">
            <v>93-12-16</v>
          </cell>
          <cell r="AG345" t="str">
            <v>구일정공</v>
          </cell>
          <cell r="AI345" t="str">
            <v>대륭강업</v>
          </cell>
        </row>
        <row r="346">
          <cell r="A346">
            <v>316</v>
          </cell>
          <cell r="E346" t="str">
            <v>기아모텍</v>
          </cell>
          <cell r="F346" t="str">
            <v>A</v>
          </cell>
          <cell r="G346" t="str">
            <v>CONCORD</v>
          </cell>
          <cell r="H346" t="str">
            <v>044202020014</v>
          </cell>
          <cell r="I346" t="str">
            <v>G315 55 100</v>
          </cell>
          <cell r="J346" t="str">
            <v>INST PAN FRAME 총합</v>
          </cell>
          <cell r="K346" t="str">
            <v>치구</v>
          </cell>
          <cell r="M346">
            <v>1</v>
          </cell>
          <cell r="N346">
            <v>16700000</v>
          </cell>
          <cell r="AA346" t="str">
            <v>xx</v>
          </cell>
          <cell r="AI346" t="str">
            <v>KMO 안산2공장</v>
          </cell>
          <cell r="AK346" t="str">
            <v>정산 완료</v>
          </cell>
        </row>
        <row r="347">
          <cell r="A347">
            <v>317</v>
          </cell>
          <cell r="E347" t="str">
            <v>기아모텍</v>
          </cell>
          <cell r="F347" t="str">
            <v>C1</v>
          </cell>
          <cell r="G347" t="str">
            <v>CONCORD</v>
          </cell>
          <cell r="H347" t="str">
            <v>041102660390</v>
          </cell>
          <cell r="I347" t="str">
            <v>G501 17 331A</v>
          </cell>
          <cell r="J347" t="str">
            <v>COVER Rr.</v>
          </cell>
          <cell r="K347" t="str">
            <v>금형</v>
          </cell>
          <cell r="L347" t="str">
            <v>PIE</v>
          </cell>
          <cell r="M347">
            <v>1</v>
          </cell>
          <cell r="N347">
            <v>2347000</v>
          </cell>
          <cell r="Y347" t="str">
            <v>STEEL</v>
          </cell>
          <cell r="Z347">
            <v>0.39563999999999999</v>
          </cell>
          <cell r="AA347" t="str">
            <v>400x700x300</v>
          </cell>
          <cell r="AB347" t="str">
            <v>87-1</v>
          </cell>
          <cell r="AG347" t="str">
            <v>한국정우</v>
          </cell>
          <cell r="AI347" t="str">
            <v>대륭강업</v>
          </cell>
        </row>
        <row r="348">
          <cell r="A348">
            <v>318</v>
          </cell>
          <cell r="E348" t="str">
            <v>기아모텍</v>
          </cell>
          <cell r="F348" t="str">
            <v>C1</v>
          </cell>
          <cell r="G348" t="str">
            <v>CONCORD</v>
          </cell>
          <cell r="H348" t="str">
            <v>041102660390</v>
          </cell>
          <cell r="I348" t="str">
            <v>G501 17 331A</v>
          </cell>
          <cell r="J348" t="str">
            <v>COVER Rr.</v>
          </cell>
          <cell r="K348" t="str">
            <v>금형</v>
          </cell>
          <cell r="L348" t="str">
            <v>FL&amp; REST</v>
          </cell>
          <cell r="M348">
            <v>1</v>
          </cell>
          <cell r="N348">
            <v>3096000</v>
          </cell>
          <cell r="Y348" t="str">
            <v>STEEL</v>
          </cell>
          <cell r="Z348">
            <v>0.71742719999999993</v>
          </cell>
          <cell r="AA348" t="str">
            <v>560x800x340</v>
          </cell>
          <cell r="AB348" t="str">
            <v>87-1</v>
          </cell>
          <cell r="AG348" t="str">
            <v>한국정우</v>
          </cell>
          <cell r="AI348" t="str">
            <v>대륭강업</v>
          </cell>
        </row>
        <row r="349">
          <cell r="A349">
            <v>319</v>
          </cell>
          <cell r="E349" t="str">
            <v>기아모텍</v>
          </cell>
          <cell r="F349" t="str">
            <v>C1</v>
          </cell>
          <cell r="G349" t="str">
            <v>CONCORD</v>
          </cell>
          <cell r="H349" t="str">
            <v>041102660390</v>
          </cell>
          <cell r="I349" t="str">
            <v>G501 17 331A</v>
          </cell>
          <cell r="J349" t="str">
            <v>COVER Rr.</v>
          </cell>
          <cell r="K349" t="str">
            <v>금형</v>
          </cell>
          <cell r="L349" t="str">
            <v>BL &amp; PIE</v>
          </cell>
          <cell r="M349">
            <v>1</v>
          </cell>
          <cell r="N349">
            <v>3621000</v>
          </cell>
          <cell r="Y349" t="str">
            <v>STEEL</v>
          </cell>
          <cell r="Z349">
            <v>1.0649310000000001</v>
          </cell>
          <cell r="AA349" t="str">
            <v>700x850x380</v>
          </cell>
          <cell r="AB349" t="str">
            <v>87-1</v>
          </cell>
          <cell r="AG349" t="str">
            <v>한국정우</v>
          </cell>
          <cell r="AI349" t="str">
            <v>대륭강업</v>
          </cell>
        </row>
        <row r="350">
          <cell r="A350">
            <v>320</v>
          </cell>
          <cell r="E350" t="str">
            <v>기아모텍</v>
          </cell>
          <cell r="F350" t="str">
            <v>C1</v>
          </cell>
          <cell r="G350" t="str">
            <v>CONCORD</v>
          </cell>
          <cell r="H350" t="str">
            <v>041102660390</v>
          </cell>
          <cell r="I350" t="str">
            <v>G501 17 331A</v>
          </cell>
          <cell r="J350" t="str">
            <v>COVER Rr.</v>
          </cell>
          <cell r="K350" t="str">
            <v>금형</v>
          </cell>
          <cell r="L350" t="str">
            <v>DR#2</v>
          </cell>
          <cell r="M350">
            <v>1</v>
          </cell>
          <cell r="N350">
            <v>4220000</v>
          </cell>
          <cell r="Y350" t="str">
            <v>STEEL</v>
          </cell>
          <cell r="Z350">
            <v>1.3211550000000001</v>
          </cell>
          <cell r="AA350" t="str">
            <v>600x850x550</v>
          </cell>
          <cell r="AB350" t="str">
            <v>87-1</v>
          </cell>
          <cell r="AG350" t="str">
            <v>한국정우</v>
          </cell>
          <cell r="AI350" t="str">
            <v>대륭강업</v>
          </cell>
        </row>
        <row r="351">
          <cell r="A351">
            <v>321</v>
          </cell>
          <cell r="E351" t="str">
            <v>기아모텍</v>
          </cell>
          <cell r="F351" t="str">
            <v>C1</v>
          </cell>
          <cell r="G351" t="str">
            <v>CONCORD</v>
          </cell>
          <cell r="H351" t="str">
            <v>041102660390</v>
          </cell>
          <cell r="I351" t="str">
            <v>G501 17 331A</v>
          </cell>
          <cell r="J351" t="str">
            <v>COVER Rr.</v>
          </cell>
          <cell r="K351" t="str">
            <v>금형</v>
          </cell>
          <cell r="L351" t="str">
            <v>DR#1</v>
          </cell>
          <cell r="M351">
            <v>1</v>
          </cell>
          <cell r="N351">
            <v>4520000</v>
          </cell>
          <cell r="Y351" t="str">
            <v>STEEL</v>
          </cell>
          <cell r="Z351">
            <v>1.3211550000000001</v>
          </cell>
          <cell r="AA351" t="str">
            <v>600x850x550</v>
          </cell>
          <cell r="AB351" t="str">
            <v>87-1</v>
          </cell>
          <cell r="AG351" t="str">
            <v>한국정우</v>
          </cell>
          <cell r="AI351" t="str">
            <v>대륭강업</v>
          </cell>
        </row>
        <row r="352">
          <cell r="A352">
            <v>322</v>
          </cell>
          <cell r="E352" t="str">
            <v>기아모텍</v>
          </cell>
          <cell r="F352" t="str">
            <v>C1</v>
          </cell>
          <cell r="G352" t="str">
            <v>CONCORD</v>
          </cell>
          <cell r="H352" t="str">
            <v>041102660390</v>
          </cell>
          <cell r="I352" t="str">
            <v>G501 17 331A</v>
          </cell>
          <cell r="J352" t="str">
            <v>COVER Rr.</v>
          </cell>
          <cell r="K352" t="str">
            <v>금형</v>
          </cell>
          <cell r="L352" t="str">
            <v>TR</v>
          </cell>
          <cell r="M352">
            <v>1</v>
          </cell>
          <cell r="N352">
            <v>5343000</v>
          </cell>
          <cell r="Y352" t="str">
            <v>STEEL</v>
          </cell>
          <cell r="Z352">
            <v>0.76867199999999991</v>
          </cell>
          <cell r="AA352" t="str">
            <v>600x800x340</v>
          </cell>
          <cell r="AB352" t="str">
            <v>87-1</v>
          </cell>
          <cell r="AG352" t="str">
            <v>한국정우</v>
          </cell>
          <cell r="AI352" t="str">
            <v>대륭강업</v>
          </cell>
        </row>
        <row r="353">
          <cell r="A353">
            <v>323</v>
          </cell>
          <cell r="E353" t="str">
            <v>기아모텍</v>
          </cell>
          <cell r="F353" t="str">
            <v>C4</v>
          </cell>
          <cell r="G353" t="str">
            <v>CONCORD</v>
          </cell>
          <cell r="H353" t="str">
            <v>041102440792</v>
          </cell>
          <cell r="I353" t="str">
            <v>G900 53 171</v>
          </cell>
          <cell r="J353" t="str">
            <v>CROSS MEMBER NO.1 B</v>
          </cell>
          <cell r="K353" t="str">
            <v>금형</v>
          </cell>
          <cell r="L353" t="str">
            <v>FL</v>
          </cell>
          <cell r="M353">
            <v>1</v>
          </cell>
          <cell r="N353">
            <v>4691000</v>
          </cell>
          <cell r="Z353">
            <v>1.413</v>
          </cell>
          <cell r="AA353" t="str">
            <v>400x500x1500</v>
          </cell>
          <cell r="AB353" t="str">
            <v>87-1</v>
          </cell>
          <cell r="AG353" t="str">
            <v>삼우정공</v>
          </cell>
          <cell r="AJ353" t="str">
            <v>금성공업</v>
          </cell>
          <cell r="AK353" t="str">
            <v>금성공업에서 타업체로 이관</v>
          </cell>
        </row>
        <row r="354">
          <cell r="A354">
            <v>324</v>
          </cell>
          <cell r="E354" t="str">
            <v>기아모텍</v>
          </cell>
          <cell r="F354" t="str">
            <v>C4</v>
          </cell>
          <cell r="G354" t="str">
            <v>CONCORD</v>
          </cell>
          <cell r="H354" t="str">
            <v>041102440792</v>
          </cell>
          <cell r="I354" t="str">
            <v>G900 53 171</v>
          </cell>
          <cell r="J354" t="str">
            <v>CROSS MEMBER NO.1 B</v>
          </cell>
          <cell r="K354" t="str">
            <v>금형</v>
          </cell>
          <cell r="L354" t="str">
            <v>TR &amp; PIE</v>
          </cell>
          <cell r="M354">
            <v>1</v>
          </cell>
          <cell r="N354">
            <v>5188000</v>
          </cell>
          <cell r="Z354">
            <v>1.3188</v>
          </cell>
          <cell r="AA354" t="str">
            <v>400x500x1400</v>
          </cell>
          <cell r="AB354" t="str">
            <v>87-1</v>
          </cell>
          <cell r="AG354" t="str">
            <v>삼우정공</v>
          </cell>
          <cell r="AJ354" t="str">
            <v>금성공업</v>
          </cell>
          <cell r="AK354" t="str">
            <v>금성공업에서 타업체로 이관</v>
          </cell>
        </row>
        <row r="355">
          <cell r="A355">
            <v>325</v>
          </cell>
          <cell r="E355" t="str">
            <v>기아모텍</v>
          </cell>
          <cell r="F355" t="str">
            <v>C4</v>
          </cell>
          <cell r="G355" t="str">
            <v>CONCORD</v>
          </cell>
          <cell r="H355" t="str">
            <v>041102440792</v>
          </cell>
          <cell r="I355" t="str">
            <v>G900 53 171</v>
          </cell>
          <cell r="J355" t="str">
            <v>CROSS MEMBER NO.1 B</v>
          </cell>
          <cell r="K355" t="str">
            <v>금형</v>
          </cell>
          <cell r="L355" t="str">
            <v>BE &amp; PIE</v>
          </cell>
          <cell r="M355">
            <v>1</v>
          </cell>
          <cell r="N355">
            <v>8132000</v>
          </cell>
          <cell r="Z355">
            <v>2.1194999999999999</v>
          </cell>
          <cell r="AA355" t="str">
            <v>600x500x1500</v>
          </cell>
          <cell r="AB355" t="str">
            <v>87-1</v>
          </cell>
          <cell r="AG355" t="str">
            <v>삼우정공</v>
          </cell>
          <cell r="AJ355" t="str">
            <v>금성공업</v>
          </cell>
          <cell r="AK355" t="str">
            <v>금성공업에서 타업체로 이관</v>
          </cell>
        </row>
        <row r="356">
          <cell r="A356">
            <v>326</v>
          </cell>
          <cell r="E356" t="str">
            <v>기아모텍</v>
          </cell>
          <cell r="F356" t="str">
            <v>C4</v>
          </cell>
          <cell r="G356" t="str">
            <v>CONCORD</v>
          </cell>
          <cell r="H356" t="str">
            <v>041102440792</v>
          </cell>
          <cell r="I356" t="str">
            <v>G900 53 171</v>
          </cell>
          <cell r="J356" t="str">
            <v>CROSS MEMBER NO.1 B</v>
          </cell>
          <cell r="K356" t="str">
            <v>금형</v>
          </cell>
          <cell r="L356" t="str">
            <v>DR</v>
          </cell>
          <cell r="M356">
            <v>1</v>
          </cell>
          <cell r="N356">
            <v>8614000</v>
          </cell>
          <cell r="Z356">
            <v>1.413</v>
          </cell>
          <cell r="AA356" t="str">
            <v>400x500x1500</v>
          </cell>
          <cell r="AB356" t="str">
            <v>87-1</v>
          </cell>
          <cell r="AG356" t="str">
            <v>삼우정공</v>
          </cell>
          <cell r="AJ356" t="str">
            <v>금성공업</v>
          </cell>
          <cell r="AK356" t="str">
            <v>금성공업에서 타업체로 이관</v>
          </cell>
        </row>
        <row r="357">
          <cell r="A357">
            <v>327</v>
          </cell>
          <cell r="E357" t="str">
            <v>기아모텍</v>
          </cell>
          <cell r="F357" t="str">
            <v>C1</v>
          </cell>
          <cell r="G357" t="str">
            <v>CONCORD</v>
          </cell>
          <cell r="H357" t="str">
            <v>044101010756</v>
          </cell>
          <cell r="I357" t="str">
            <v>GA97 53 521</v>
          </cell>
          <cell r="J357" t="str">
            <v>DASH UP M/B A</v>
          </cell>
          <cell r="K357" t="str">
            <v>검사구</v>
          </cell>
          <cell r="M357">
            <v>1</v>
          </cell>
          <cell r="N357">
            <v>4140000</v>
          </cell>
          <cell r="Y357" t="str">
            <v>수지</v>
          </cell>
          <cell r="Z357">
            <v>0</v>
          </cell>
          <cell r="AA357" t="str">
            <v>xx</v>
          </cell>
          <cell r="AB357" t="str">
            <v>86-12-12</v>
          </cell>
          <cell r="AG357" t="str">
            <v>선진모델</v>
          </cell>
          <cell r="AI357" t="str">
            <v>대륭강업</v>
          </cell>
        </row>
        <row r="358">
          <cell r="A358">
            <v>328</v>
          </cell>
          <cell r="E358" t="str">
            <v>기아모텍</v>
          </cell>
          <cell r="F358" t="str">
            <v>C1</v>
          </cell>
          <cell r="G358" t="str">
            <v>CONCORD</v>
          </cell>
          <cell r="H358" t="str">
            <v>041102440842</v>
          </cell>
          <cell r="I358" t="str">
            <v>GA97 53 521</v>
          </cell>
          <cell r="J358" t="str">
            <v>MEMBER-DASH UP A</v>
          </cell>
          <cell r="K358" t="str">
            <v>금형</v>
          </cell>
          <cell r="L358" t="str">
            <v>FL &amp; BE</v>
          </cell>
          <cell r="M358">
            <v>1</v>
          </cell>
          <cell r="N358">
            <v>18677000</v>
          </cell>
          <cell r="Y358" t="str">
            <v>주물</v>
          </cell>
          <cell r="Z358">
            <v>5.6972160000000001</v>
          </cell>
          <cell r="AA358" t="str">
            <v>800x2100x720</v>
          </cell>
          <cell r="AB358" t="str">
            <v>87-1</v>
          </cell>
          <cell r="AG358" t="str">
            <v>서해공업㈜ 반　</v>
          </cell>
          <cell r="AI358" t="str">
            <v>대륭강업</v>
          </cell>
        </row>
        <row r="359">
          <cell r="A359">
            <v>329</v>
          </cell>
          <cell r="E359" t="str">
            <v>기아모텍</v>
          </cell>
          <cell r="F359" t="str">
            <v>C1</v>
          </cell>
          <cell r="G359" t="str">
            <v>CONCORD</v>
          </cell>
          <cell r="H359" t="str">
            <v>041102440842</v>
          </cell>
          <cell r="I359" t="str">
            <v>GA97 53 521</v>
          </cell>
          <cell r="J359" t="str">
            <v>MEMBER-DASH UP A</v>
          </cell>
          <cell r="K359" t="str">
            <v>금형</v>
          </cell>
          <cell r="L359" t="str">
            <v>TR</v>
          </cell>
          <cell r="M359">
            <v>1</v>
          </cell>
          <cell r="N359">
            <v>19717000</v>
          </cell>
          <cell r="Y359" t="str">
            <v>주물</v>
          </cell>
          <cell r="Z359">
            <v>6.239808</v>
          </cell>
          <cell r="AA359" t="str">
            <v>800x2300x720</v>
          </cell>
          <cell r="AB359" t="str">
            <v>87-1</v>
          </cell>
          <cell r="AG359" t="str">
            <v>서해공업㈜ 반　</v>
          </cell>
          <cell r="AI359" t="str">
            <v>대륭강업</v>
          </cell>
        </row>
        <row r="360">
          <cell r="A360">
            <v>330</v>
          </cell>
          <cell r="E360" t="str">
            <v>기아모텍</v>
          </cell>
          <cell r="F360" t="str">
            <v>C1</v>
          </cell>
          <cell r="G360" t="str">
            <v>CONCORD</v>
          </cell>
          <cell r="H360" t="str">
            <v>041102440842</v>
          </cell>
          <cell r="I360" t="str">
            <v>GA97 53 521</v>
          </cell>
          <cell r="J360" t="str">
            <v>MEMBER-DASH UP A</v>
          </cell>
          <cell r="K360" t="str">
            <v>금형</v>
          </cell>
          <cell r="L360" t="str">
            <v>DR</v>
          </cell>
          <cell r="M360">
            <v>1</v>
          </cell>
          <cell r="N360">
            <v>22838000</v>
          </cell>
          <cell r="Y360" t="str">
            <v>주물</v>
          </cell>
          <cell r="Z360">
            <v>5.9685119999999996</v>
          </cell>
          <cell r="AA360" t="str">
            <v>800x2200x720</v>
          </cell>
          <cell r="AB360" t="str">
            <v>87-1</v>
          </cell>
          <cell r="AG360" t="str">
            <v>서해공업㈜ 반　</v>
          </cell>
          <cell r="AI360" t="str">
            <v>대륭강업</v>
          </cell>
        </row>
        <row r="361">
          <cell r="A361">
            <v>331</v>
          </cell>
          <cell r="E361" t="str">
            <v>기아모텍</v>
          </cell>
          <cell r="F361" t="str">
            <v>C1</v>
          </cell>
          <cell r="G361" t="str">
            <v>CONCORD</v>
          </cell>
          <cell r="H361" t="str">
            <v>041102440842</v>
          </cell>
          <cell r="I361" t="str">
            <v>GA97 53 521</v>
          </cell>
          <cell r="J361" t="str">
            <v>MEMBER-DASH UP A</v>
          </cell>
          <cell r="K361" t="str">
            <v>금형</v>
          </cell>
          <cell r="L361" t="str">
            <v>PIE &amp; TR</v>
          </cell>
          <cell r="M361">
            <v>1</v>
          </cell>
          <cell r="N361">
            <v>25960000</v>
          </cell>
          <cell r="Y361" t="str">
            <v>주물</v>
          </cell>
          <cell r="Z361">
            <v>5.6972160000000001</v>
          </cell>
          <cell r="AA361" t="str">
            <v>700x2400x720</v>
          </cell>
          <cell r="AB361" t="str">
            <v>87-1</v>
          </cell>
          <cell r="AG361" t="str">
            <v>서해공업㈜ 반　</v>
          </cell>
          <cell r="AI361" t="str">
            <v>대륭강업</v>
          </cell>
        </row>
        <row r="362">
          <cell r="A362">
            <v>332</v>
          </cell>
          <cell r="E362" t="str">
            <v>기아모텍</v>
          </cell>
          <cell r="F362" t="str">
            <v>C1</v>
          </cell>
          <cell r="G362" t="str">
            <v>CONCORD</v>
          </cell>
          <cell r="H362" t="str">
            <v>041102440812</v>
          </cell>
          <cell r="I362" t="str">
            <v>GA97 53 531</v>
          </cell>
          <cell r="J362" t="str">
            <v>BRKT-STEERING A</v>
          </cell>
          <cell r="K362" t="str">
            <v>금형</v>
          </cell>
          <cell r="L362" t="str">
            <v>PIE</v>
          </cell>
          <cell r="M362">
            <v>1</v>
          </cell>
          <cell r="N362">
            <v>911000</v>
          </cell>
          <cell r="Y362" t="str">
            <v>STEEL</v>
          </cell>
          <cell r="Z362">
            <v>0.12716999999999998</v>
          </cell>
          <cell r="AA362" t="str">
            <v>300x200x450</v>
          </cell>
          <cell r="AB362" t="str">
            <v>87-1</v>
          </cell>
          <cell r="AG362" t="str">
            <v>새한산업</v>
          </cell>
          <cell r="AI362" t="str">
            <v>대륭강업</v>
          </cell>
        </row>
        <row r="363">
          <cell r="A363">
            <v>333</v>
          </cell>
          <cell r="E363" t="str">
            <v>기아모텍</v>
          </cell>
          <cell r="F363" t="str">
            <v>C1</v>
          </cell>
          <cell r="G363" t="str">
            <v>CONCORD</v>
          </cell>
          <cell r="H363" t="str">
            <v>041102440812</v>
          </cell>
          <cell r="I363" t="str">
            <v>GA97 53 531</v>
          </cell>
          <cell r="J363" t="str">
            <v>BRKT-STEERING A</v>
          </cell>
          <cell r="K363" t="str">
            <v>금형</v>
          </cell>
          <cell r="L363" t="str">
            <v>BL</v>
          </cell>
          <cell r="M363">
            <v>1</v>
          </cell>
          <cell r="N363">
            <v>1108000</v>
          </cell>
          <cell r="Y363" t="str">
            <v>STEEL</v>
          </cell>
          <cell r="Z363">
            <v>0.25433999999999996</v>
          </cell>
          <cell r="AA363" t="str">
            <v>450x200x600</v>
          </cell>
          <cell r="AB363" t="str">
            <v>87-1</v>
          </cell>
          <cell r="AG363" t="str">
            <v>새한산업</v>
          </cell>
          <cell r="AI363" t="str">
            <v>대륭강업</v>
          </cell>
        </row>
        <row r="364">
          <cell r="A364">
            <v>334</v>
          </cell>
          <cell r="E364" t="str">
            <v>기아모텍</v>
          </cell>
          <cell r="F364" t="str">
            <v>C1</v>
          </cell>
          <cell r="G364" t="str">
            <v>CONCORD</v>
          </cell>
          <cell r="H364" t="str">
            <v>041102440812</v>
          </cell>
          <cell r="I364" t="str">
            <v>GA97 53 531</v>
          </cell>
          <cell r="J364" t="str">
            <v>BRKT-STEERING A</v>
          </cell>
          <cell r="K364" t="str">
            <v>금형</v>
          </cell>
          <cell r="L364" t="str">
            <v>REST</v>
          </cell>
          <cell r="M364">
            <v>1</v>
          </cell>
          <cell r="N364">
            <v>1276000</v>
          </cell>
          <cell r="Y364" t="str">
            <v>STEEL</v>
          </cell>
          <cell r="Z364">
            <v>0.28259999999999996</v>
          </cell>
          <cell r="AA364" t="str">
            <v>400x300x500</v>
          </cell>
          <cell r="AB364" t="str">
            <v>87-1</v>
          </cell>
          <cell r="AG364" t="str">
            <v>새한산업</v>
          </cell>
          <cell r="AI364" t="str">
            <v>대륭강업</v>
          </cell>
        </row>
        <row r="365">
          <cell r="A365">
            <v>335</v>
          </cell>
          <cell r="E365" t="str">
            <v>기아모텍</v>
          </cell>
          <cell r="F365" t="str">
            <v>C1</v>
          </cell>
          <cell r="G365" t="str">
            <v>CONCORD</v>
          </cell>
          <cell r="H365" t="str">
            <v>041102440812</v>
          </cell>
          <cell r="I365" t="str">
            <v>GA97 53 531</v>
          </cell>
          <cell r="J365" t="str">
            <v>BRKT-STEERING A</v>
          </cell>
          <cell r="K365" t="str">
            <v>금형</v>
          </cell>
          <cell r="L365" t="str">
            <v>BE &amp; FL</v>
          </cell>
          <cell r="M365">
            <v>1</v>
          </cell>
          <cell r="N365">
            <v>1636000</v>
          </cell>
          <cell r="Y365" t="str">
            <v>STEEL</v>
          </cell>
          <cell r="Z365">
            <v>0.31792500000000001</v>
          </cell>
          <cell r="AA365" t="str">
            <v>450x250x600</v>
          </cell>
          <cell r="AB365" t="str">
            <v>87-1</v>
          </cell>
          <cell r="AG365" t="str">
            <v>새한산업</v>
          </cell>
          <cell r="AI365" t="str">
            <v>대륭강업</v>
          </cell>
        </row>
        <row r="366">
          <cell r="A366">
            <v>336</v>
          </cell>
          <cell r="E366" t="str">
            <v>기아모텍</v>
          </cell>
          <cell r="F366" t="str">
            <v>C1</v>
          </cell>
          <cell r="G366" t="str">
            <v>CONCORD</v>
          </cell>
          <cell r="H366" t="str">
            <v>041102550731</v>
          </cell>
          <cell r="I366" t="str">
            <v>GA97 53 532</v>
          </cell>
          <cell r="J366" t="str">
            <v>BRKT-STEERING B</v>
          </cell>
          <cell r="K366" t="str">
            <v>금형</v>
          </cell>
          <cell r="L366" t="str">
            <v>BL</v>
          </cell>
          <cell r="M366">
            <v>1</v>
          </cell>
          <cell r="N366">
            <v>1142000</v>
          </cell>
          <cell r="Y366" t="str">
            <v>STEEL</v>
          </cell>
          <cell r="Z366">
            <v>0.25433999999999996</v>
          </cell>
          <cell r="AA366" t="str">
            <v>450x200x600</v>
          </cell>
          <cell r="AB366" t="str">
            <v>87-1</v>
          </cell>
          <cell r="AG366" t="str">
            <v>새한산업</v>
          </cell>
          <cell r="AI366" t="str">
            <v>대륭강업</v>
          </cell>
        </row>
        <row r="367">
          <cell r="A367">
            <v>337</v>
          </cell>
          <cell r="E367" t="str">
            <v>기아모텍</v>
          </cell>
          <cell r="F367" t="str">
            <v>C1</v>
          </cell>
          <cell r="G367" t="str">
            <v>CONCORD</v>
          </cell>
          <cell r="H367" t="str">
            <v>041102550731</v>
          </cell>
          <cell r="I367" t="str">
            <v>GA97 53 532</v>
          </cell>
          <cell r="J367" t="str">
            <v>BRKT-STEERING B</v>
          </cell>
          <cell r="K367" t="str">
            <v>금형</v>
          </cell>
          <cell r="L367" t="str">
            <v>FL</v>
          </cell>
          <cell r="M367">
            <v>1</v>
          </cell>
          <cell r="N367">
            <v>1143000</v>
          </cell>
          <cell r="Y367" t="str">
            <v>STEEL</v>
          </cell>
          <cell r="Z367">
            <v>0.25433999999999996</v>
          </cell>
          <cell r="AA367" t="str">
            <v>450x200x600</v>
          </cell>
          <cell r="AB367" t="str">
            <v>87-1</v>
          </cell>
          <cell r="AG367" t="str">
            <v>새한산업</v>
          </cell>
          <cell r="AI367" t="str">
            <v>대륭강업</v>
          </cell>
        </row>
        <row r="368">
          <cell r="A368">
            <v>338</v>
          </cell>
          <cell r="E368" t="str">
            <v>기아모텍</v>
          </cell>
          <cell r="F368" t="str">
            <v>C1</v>
          </cell>
          <cell r="G368" t="str">
            <v>CONCORD</v>
          </cell>
          <cell r="H368" t="str">
            <v>041102550731</v>
          </cell>
          <cell r="I368" t="str">
            <v>GA97 53 532</v>
          </cell>
          <cell r="J368" t="str">
            <v>BRKT-STEERING B</v>
          </cell>
          <cell r="K368" t="str">
            <v>금형</v>
          </cell>
          <cell r="L368" t="str">
            <v>DR</v>
          </cell>
          <cell r="M368">
            <v>1</v>
          </cell>
          <cell r="N368">
            <v>1349000</v>
          </cell>
          <cell r="Y368" t="str">
            <v>STEEL</v>
          </cell>
          <cell r="Z368">
            <v>0.31792500000000001</v>
          </cell>
          <cell r="AA368" t="str">
            <v>450x250x600</v>
          </cell>
          <cell r="AB368" t="str">
            <v>87-1</v>
          </cell>
          <cell r="AG368" t="str">
            <v>새한산업</v>
          </cell>
          <cell r="AI368" t="str">
            <v>대륭강업</v>
          </cell>
        </row>
        <row r="369">
          <cell r="A369">
            <v>339</v>
          </cell>
          <cell r="E369" t="str">
            <v>기아모텍</v>
          </cell>
          <cell r="F369" t="str">
            <v>C1</v>
          </cell>
          <cell r="G369" t="str">
            <v>CONCORD</v>
          </cell>
          <cell r="H369" t="str">
            <v>041102550731</v>
          </cell>
          <cell r="I369" t="str">
            <v>GA97 53 532</v>
          </cell>
          <cell r="J369" t="str">
            <v>BRKT-STEERING B</v>
          </cell>
          <cell r="K369" t="str">
            <v>금형</v>
          </cell>
          <cell r="L369" t="str">
            <v>PIE</v>
          </cell>
          <cell r="M369">
            <v>1</v>
          </cell>
          <cell r="N369">
            <v>1349000</v>
          </cell>
          <cell r="Y369" t="str">
            <v>STEEL</v>
          </cell>
          <cell r="Z369">
            <v>0.31792500000000001</v>
          </cell>
          <cell r="AA369" t="str">
            <v>450x250x600</v>
          </cell>
          <cell r="AB369" t="str">
            <v>87-1</v>
          </cell>
          <cell r="AG369" t="str">
            <v>새한산업</v>
          </cell>
          <cell r="AI369" t="str">
            <v>대륭강업</v>
          </cell>
        </row>
        <row r="370">
          <cell r="A370">
            <v>340</v>
          </cell>
          <cell r="E370" t="str">
            <v>기아모텍</v>
          </cell>
          <cell r="F370" t="str">
            <v>C1</v>
          </cell>
          <cell r="G370" t="str">
            <v>CONCORD</v>
          </cell>
          <cell r="H370" t="str">
            <v>041102550731</v>
          </cell>
          <cell r="I370" t="str">
            <v>GA97 53 532</v>
          </cell>
          <cell r="J370" t="str">
            <v>BRKT-STEERING B</v>
          </cell>
          <cell r="K370" t="str">
            <v>금형</v>
          </cell>
          <cell r="L370" t="str">
            <v>TR</v>
          </cell>
          <cell r="M370">
            <v>1</v>
          </cell>
          <cell r="N370">
            <v>1349000</v>
          </cell>
          <cell r="Y370" t="str">
            <v>STEEL</v>
          </cell>
          <cell r="Z370">
            <v>0.31792500000000001</v>
          </cell>
          <cell r="AA370" t="str">
            <v>450x250x600</v>
          </cell>
          <cell r="AB370" t="str">
            <v>87-1</v>
          </cell>
          <cell r="AG370" t="str">
            <v>새한산업</v>
          </cell>
          <cell r="AI370" t="str">
            <v>대륭강업</v>
          </cell>
        </row>
        <row r="371">
          <cell r="A371">
            <v>341</v>
          </cell>
          <cell r="E371" t="str">
            <v>기아모텍</v>
          </cell>
          <cell r="F371" t="str">
            <v>C1</v>
          </cell>
          <cell r="G371" t="str">
            <v>CONCORD</v>
          </cell>
          <cell r="H371" t="str">
            <v>041102330833</v>
          </cell>
          <cell r="I371" t="str">
            <v>GA97 53 533</v>
          </cell>
          <cell r="J371" t="str">
            <v>BRKT-STEERING C</v>
          </cell>
          <cell r="K371" t="str">
            <v>금형</v>
          </cell>
          <cell r="L371" t="str">
            <v>BL</v>
          </cell>
          <cell r="M371">
            <v>1</v>
          </cell>
          <cell r="N371">
            <v>934000</v>
          </cell>
          <cell r="Y371" t="str">
            <v>STEEL</v>
          </cell>
          <cell r="Z371">
            <v>0.25433999999999996</v>
          </cell>
          <cell r="AA371" t="str">
            <v>450x200x600</v>
          </cell>
          <cell r="AB371" t="str">
            <v>87-1</v>
          </cell>
          <cell r="AG371" t="str">
            <v>새한산업</v>
          </cell>
          <cell r="AI371" t="str">
            <v>대륭강업</v>
          </cell>
        </row>
        <row r="372">
          <cell r="A372">
            <v>342</v>
          </cell>
          <cell r="E372" t="str">
            <v>기아모텍</v>
          </cell>
          <cell r="F372" t="str">
            <v>C1</v>
          </cell>
          <cell r="G372" t="str">
            <v>CONCORD</v>
          </cell>
          <cell r="H372" t="str">
            <v>041102330833</v>
          </cell>
          <cell r="I372" t="str">
            <v>GA97 53 533</v>
          </cell>
          <cell r="J372" t="str">
            <v>BRKT-STEERING C</v>
          </cell>
          <cell r="K372" t="str">
            <v>금형</v>
          </cell>
          <cell r="L372" t="str">
            <v>DR</v>
          </cell>
          <cell r="M372">
            <v>1</v>
          </cell>
          <cell r="N372">
            <v>934000</v>
          </cell>
          <cell r="Y372" t="str">
            <v>STEEL</v>
          </cell>
          <cell r="Z372">
            <v>0.25433999999999996</v>
          </cell>
          <cell r="AA372" t="str">
            <v>450x200x600</v>
          </cell>
          <cell r="AB372" t="str">
            <v>87-1</v>
          </cell>
          <cell r="AG372" t="str">
            <v>새한산업</v>
          </cell>
          <cell r="AI372" t="str">
            <v>대륭강업</v>
          </cell>
        </row>
        <row r="373">
          <cell r="A373">
            <v>343</v>
          </cell>
          <cell r="E373" t="str">
            <v>기아모텍</v>
          </cell>
          <cell r="F373" t="str">
            <v>C1</v>
          </cell>
          <cell r="G373" t="str">
            <v>CONCORD</v>
          </cell>
          <cell r="H373" t="str">
            <v>041102330833</v>
          </cell>
          <cell r="I373" t="str">
            <v>GA97 53 533</v>
          </cell>
          <cell r="J373" t="str">
            <v>BRKT-STEERING C</v>
          </cell>
          <cell r="K373" t="str">
            <v>금형</v>
          </cell>
          <cell r="L373" t="str">
            <v>PIE</v>
          </cell>
          <cell r="M373">
            <v>1</v>
          </cell>
          <cell r="N373">
            <v>1038000</v>
          </cell>
          <cell r="Y373" t="str">
            <v>STEEL</v>
          </cell>
          <cell r="Z373">
            <v>0.25433999999999996</v>
          </cell>
          <cell r="AA373" t="str">
            <v>450x200x600</v>
          </cell>
          <cell r="AB373" t="str">
            <v>87-1</v>
          </cell>
          <cell r="AG373" t="str">
            <v>새한산업</v>
          </cell>
          <cell r="AI373" t="str">
            <v>대륭강업</v>
          </cell>
        </row>
        <row r="374">
          <cell r="A374">
            <v>344</v>
          </cell>
          <cell r="E374" t="str">
            <v>기아모텍</v>
          </cell>
          <cell r="F374" t="str">
            <v>C1</v>
          </cell>
          <cell r="G374" t="str">
            <v>CONCORD</v>
          </cell>
          <cell r="H374" t="str">
            <v>044101010626</v>
          </cell>
          <cell r="I374" t="str">
            <v>GA97 53/54 541</v>
          </cell>
          <cell r="J374" t="str">
            <v>BRKT COOLER R/L</v>
          </cell>
          <cell r="K374" t="str">
            <v>검사구</v>
          </cell>
          <cell r="L374" t="str">
            <v>C/F</v>
          </cell>
          <cell r="M374">
            <v>1</v>
          </cell>
          <cell r="N374">
            <v>540000</v>
          </cell>
          <cell r="Y374" t="str">
            <v>수지</v>
          </cell>
          <cell r="Z374">
            <v>0</v>
          </cell>
          <cell r="AA374" t="str">
            <v>xx</v>
          </cell>
          <cell r="AB374" t="str">
            <v>87-12-30</v>
          </cell>
          <cell r="AG374" t="str">
            <v>학림모델</v>
          </cell>
          <cell r="AI374" t="str">
            <v>대륭강업</v>
          </cell>
        </row>
        <row r="375">
          <cell r="A375">
            <v>345</v>
          </cell>
          <cell r="E375" t="str">
            <v>기아모텍</v>
          </cell>
          <cell r="F375" t="str">
            <v>C1</v>
          </cell>
          <cell r="G375" t="str">
            <v>CONCORD</v>
          </cell>
          <cell r="H375" t="str">
            <v>041102440822</v>
          </cell>
          <cell r="I375" t="str">
            <v>GA97 54 531</v>
          </cell>
          <cell r="J375" t="str">
            <v>MEMBER-DASH UP B</v>
          </cell>
          <cell r="K375" t="str">
            <v>금형</v>
          </cell>
          <cell r="L375" t="str">
            <v>RE &amp; FL</v>
          </cell>
          <cell r="M375">
            <v>1</v>
          </cell>
          <cell r="N375">
            <v>15953000</v>
          </cell>
          <cell r="Y375" t="str">
            <v>주물</v>
          </cell>
          <cell r="Z375">
            <v>5.154624000000001</v>
          </cell>
          <cell r="AA375" t="str">
            <v>1900x800x720</v>
          </cell>
          <cell r="AB375" t="str">
            <v>87-1</v>
          </cell>
          <cell r="AG375" t="str">
            <v>서해공업㈜ 반　</v>
          </cell>
          <cell r="AI375" t="str">
            <v>대륭강업</v>
          </cell>
        </row>
        <row r="376">
          <cell r="A376">
            <v>346</v>
          </cell>
          <cell r="E376" t="str">
            <v>기아모텍</v>
          </cell>
          <cell r="F376" t="str">
            <v>C1</v>
          </cell>
          <cell r="G376" t="str">
            <v>CONCORD</v>
          </cell>
          <cell r="H376" t="str">
            <v>041102440822</v>
          </cell>
          <cell r="I376" t="str">
            <v>GA97 54 531</v>
          </cell>
          <cell r="J376" t="str">
            <v>MEMBER-DASH UP B</v>
          </cell>
          <cell r="K376" t="str">
            <v>금형</v>
          </cell>
          <cell r="L376" t="str">
            <v>TR &amp; PIE#</v>
          </cell>
          <cell r="M376">
            <v>1</v>
          </cell>
          <cell r="N376">
            <v>16958000</v>
          </cell>
          <cell r="Y376" t="str">
            <v>주물</v>
          </cell>
          <cell r="Z376">
            <v>5.4259199999999996</v>
          </cell>
          <cell r="AA376" t="str">
            <v>2000x800x720</v>
          </cell>
          <cell r="AB376" t="str">
            <v>87-1</v>
          </cell>
          <cell r="AG376" t="str">
            <v>서해공업㈜ 반　</v>
          </cell>
          <cell r="AI376" t="str">
            <v>대륭강업</v>
          </cell>
        </row>
        <row r="377">
          <cell r="A377">
            <v>347</v>
          </cell>
          <cell r="E377" t="str">
            <v>기아모텍</v>
          </cell>
          <cell r="F377" t="str">
            <v>C1</v>
          </cell>
          <cell r="G377" t="str">
            <v>CONCORD</v>
          </cell>
          <cell r="H377" t="str">
            <v>041102440822</v>
          </cell>
          <cell r="I377" t="str">
            <v>GA97 54 531</v>
          </cell>
          <cell r="J377" t="str">
            <v>MEMBER-DASH UP B</v>
          </cell>
          <cell r="K377" t="str">
            <v>금형</v>
          </cell>
          <cell r="L377" t="str">
            <v>DR</v>
          </cell>
          <cell r="M377">
            <v>1</v>
          </cell>
          <cell r="N377">
            <v>17964000</v>
          </cell>
          <cell r="Y377" t="str">
            <v>주물</v>
          </cell>
          <cell r="Z377">
            <v>5.6972160000000001</v>
          </cell>
          <cell r="AA377" t="str">
            <v>2100x800x720</v>
          </cell>
          <cell r="AB377" t="str">
            <v>87-1</v>
          </cell>
          <cell r="AG377" t="str">
            <v>서해공업㈜ 반　</v>
          </cell>
          <cell r="AI377" t="str">
            <v>대륭강업</v>
          </cell>
        </row>
        <row r="378">
          <cell r="A378">
            <v>348</v>
          </cell>
          <cell r="E378" t="str">
            <v>기아모텍</v>
          </cell>
          <cell r="F378" t="str">
            <v>C3</v>
          </cell>
          <cell r="G378" t="str">
            <v>CONCORD</v>
          </cell>
          <cell r="H378" t="str">
            <v>041106110801</v>
          </cell>
          <cell r="I378" t="str">
            <v>GA97 58 192</v>
          </cell>
          <cell r="J378" t="str">
            <v>INTACT NO.1</v>
          </cell>
          <cell r="K378" t="str">
            <v>금형</v>
          </cell>
          <cell r="M378">
            <v>2</v>
          </cell>
          <cell r="N378">
            <v>5600000</v>
          </cell>
          <cell r="AA378" t="str">
            <v>xx</v>
          </cell>
          <cell r="AB378" t="str">
            <v>87-5</v>
          </cell>
          <cell r="AI378" t="str">
            <v>일석산업</v>
          </cell>
        </row>
        <row r="379">
          <cell r="A379">
            <v>349</v>
          </cell>
          <cell r="E379" t="str">
            <v>기아모텍</v>
          </cell>
          <cell r="F379" t="str">
            <v>C3</v>
          </cell>
          <cell r="G379" t="str">
            <v>CONCORD</v>
          </cell>
          <cell r="H379" t="str">
            <v>041106110811</v>
          </cell>
          <cell r="I379" t="str">
            <v>GA97 58 194</v>
          </cell>
          <cell r="J379" t="str">
            <v>JUNCTION</v>
          </cell>
          <cell r="K379" t="str">
            <v>금형</v>
          </cell>
          <cell r="M379">
            <v>6</v>
          </cell>
          <cell r="N379">
            <v>10400000</v>
          </cell>
          <cell r="AA379" t="str">
            <v>xx</v>
          </cell>
          <cell r="AB379" t="str">
            <v>87-5</v>
          </cell>
          <cell r="AI379" t="str">
            <v>일석산업</v>
          </cell>
        </row>
        <row r="380">
          <cell r="A380">
            <v>350</v>
          </cell>
          <cell r="E380" t="str">
            <v>기아모텍</v>
          </cell>
          <cell r="F380" t="str">
            <v>C3</v>
          </cell>
          <cell r="G380" t="str">
            <v>CONCORD</v>
          </cell>
          <cell r="H380" t="str">
            <v>041106110821</v>
          </cell>
          <cell r="I380" t="str">
            <v>GA97 72 192</v>
          </cell>
          <cell r="J380" t="str">
            <v>INTACT NO.2</v>
          </cell>
          <cell r="K380" t="str">
            <v>금형</v>
          </cell>
          <cell r="M380">
            <v>2</v>
          </cell>
          <cell r="N380">
            <v>7100000</v>
          </cell>
          <cell r="AA380" t="str">
            <v>xx</v>
          </cell>
          <cell r="AB380" t="str">
            <v>87-5</v>
          </cell>
          <cell r="AI380" t="str">
            <v>일석산업</v>
          </cell>
        </row>
        <row r="381">
          <cell r="A381">
            <v>351</v>
          </cell>
          <cell r="E381" t="str">
            <v>기아모텍</v>
          </cell>
          <cell r="F381" t="str">
            <v>C4</v>
          </cell>
          <cell r="G381" t="str">
            <v>CONCORD</v>
          </cell>
          <cell r="H381" t="str">
            <v>044101010636</v>
          </cell>
          <cell r="I381" t="str">
            <v>GB06 52 351</v>
          </cell>
          <cell r="J381" t="str">
            <v>STRIKER REINF</v>
          </cell>
          <cell r="K381" t="str">
            <v>검사구</v>
          </cell>
          <cell r="L381" t="str">
            <v>C/F</v>
          </cell>
          <cell r="M381">
            <v>1</v>
          </cell>
          <cell r="N381">
            <v>370000</v>
          </cell>
          <cell r="Z381">
            <v>0</v>
          </cell>
          <cell r="AA381" t="str">
            <v>xx</v>
          </cell>
          <cell r="AB381" t="str">
            <v>87-12-30</v>
          </cell>
          <cell r="AG381" t="str">
            <v>학림모델</v>
          </cell>
          <cell r="AK381" t="str">
            <v>확인 불가</v>
          </cell>
        </row>
        <row r="382">
          <cell r="A382">
            <v>352</v>
          </cell>
          <cell r="E382" t="str">
            <v>기아모텍</v>
          </cell>
          <cell r="F382" t="str">
            <v>A</v>
          </cell>
          <cell r="G382" t="str">
            <v>CREDOS</v>
          </cell>
          <cell r="H382" t="str">
            <v>042101011872</v>
          </cell>
          <cell r="I382" t="str">
            <v>GCA</v>
          </cell>
          <cell r="J382" t="str">
            <v>I/P조립BED</v>
          </cell>
          <cell r="K382" t="str">
            <v>치구</v>
          </cell>
          <cell r="M382">
            <v>2</v>
          </cell>
          <cell r="N382">
            <v>5400000</v>
          </cell>
          <cell r="AA382" t="str">
            <v>xx</v>
          </cell>
          <cell r="AK382" t="str">
            <v>당사품이 아님</v>
          </cell>
        </row>
        <row r="383">
          <cell r="A383">
            <v>353</v>
          </cell>
          <cell r="E383" t="str">
            <v>기아모텍</v>
          </cell>
          <cell r="F383" t="str">
            <v>C4</v>
          </cell>
          <cell r="G383" t="str">
            <v>CONCORD</v>
          </cell>
          <cell r="H383" t="str">
            <v>044101010466</v>
          </cell>
          <cell r="I383" t="str">
            <v>GF98 52 961</v>
          </cell>
          <cell r="J383" t="str">
            <v>GRILLE UNDER</v>
          </cell>
          <cell r="K383" t="str">
            <v>검사구</v>
          </cell>
          <cell r="M383">
            <v>1</v>
          </cell>
          <cell r="N383">
            <v>1650000</v>
          </cell>
          <cell r="Z383">
            <v>0</v>
          </cell>
          <cell r="AA383" t="str">
            <v>xx</v>
          </cell>
          <cell r="AB383" t="str">
            <v>86-12-24</v>
          </cell>
          <cell r="AG383" t="str">
            <v>선진모델</v>
          </cell>
          <cell r="AK383" t="str">
            <v>확인 불가</v>
          </cell>
        </row>
        <row r="384">
          <cell r="A384">
            <v>354</v>
          </cell>
          <cell r="E384" t="str">
            <v>기아모텍</v>
          </cell>
          <cell r="F384" t="str">
            <v>C4</v>
          </cell>
          <cell r="G384" t="str">
            <v>ENG</v>
          </cell>
          <cell r="H384" t="str">
            <v>041101112313</v>
          </cell>
          <cell r="I384" t="str">
            <v>JS</v>
          </cell>
          <cell r="J384" t="str">
            <v>JS CYL' HEAD CB3,4</v>
          </cell>
          <cell r="K384" t="str">
            <v>금형</v>
          </cell>
          <cell r="M384">
            <v>1</v>
          </cell>
          <cell r="N384">
            <v>25000000</v>
          </cell>
          <cell r="Z384">
            <v>0</v>
          </cell>
          <cell r="AA384" t="str">
            <v>xx</v>
          </cell>
          <cell r="AK384" t="str">
            <v>확인 불가</v>
          </cell>
        </row>
        <row r="385">
          <cell r="A385">
            <v>355</v>
          </cell>
          <cell r="E385" t="str">
            <v>기아모텍</v>
          </cell>
          <cell r="F385" t="str">
            <v>A</v>
          </cell>
          <cell r="G385" t="str">
            <v>SPORTAGE RHD</v>
          </cell>
          <cell r="H385" t="str">
            <v>041101123903</v>
          </cell>
          <cell r="I385" t="str">
            <v>K012 68 711</v>
          </cell>
          <cell r="J385" t="str">
            <v>SCUFF PLATE</v>
          </cell>
          <cell r="K385" t="str">
            <v>금형</v>
          </cell>
          <cell r="L385" t="str">
            <v>INJ</v>
          </cell>
          <cell r="M385">
            <v>1</v>
          </cell>
          <cell r="N385">
            <v>35070000</v>
          </cell>
          <cell r="Y385" t="str">
            <v>주물</v>
          </cell>
          <cell r="Z385">
            <v>1.9435814999999999</v>
          </cell>
          <cell r="AA385" t="str">
            <v>1310x700x450</v>
          </cell>
          <cell r="AB385" t="str">
            <v>94-2</v>
          </cell>
          <cell r="AG385" t="str">
            <v>서해공업㈜ 반　</v>
          </cell>
          <cell r="AI385" t="str">
            <v>㈜태진</v>
          </cell>
        </row>
        <row r="386">
          <cell r="A386">
            <v>356</v>
          </cell>
          <cell r="E386" t="str">
            <v>기아모텍</v>
          </cell>
          <cell r="F386" t="str">
            <v>A</v>
          </cell>
          <cell r="G386" t="str">
            <v>SPORTAGE RHD</v>
          </cell>
          <cell r="I386" t="str">
            <v>K013 60 350</v>
          </cell>
          <cell r="J386" t="str">
            <v>INPNL(진공금형)</v>
          </cell>
          <cell r="K386" t="str">
            <v>금형</v>
          </cell>
          <cell r="L386" t="str">
            <v>성형</v>
          </cell>
          <cell r="M386">
            <v>2</v>
          </cell>
          <cell r="N386">
            <v>55508000</v>
          </cell>
          <cell r="Y386" t="str">
            <v>주물</v>
          </cell>
          <cell r="Z386">
            <v>1.6338801599999999</v>
          </cell>
          <cell r="AA386" t="str">
            <v>1460x540x440</v>
          </cell>
          <cell r="AB386" t="str">
            <v>94-2</v>
          </cell>
          <cell r="AG386" t="str">
            <v>덕진모델</v>
          </cell>
          <cell r="AI386" t="str">
            <v>㈜태진</v>
          </cell>
        </row>
        <row r="387">
          <cell r="A387">
            <v>357</v>
          </cell>
          <cell r="E387" t="str">
            <v>기아모텍</v>
          </cell>
          <cell r="F387" t="str">
            <v>A</v>
          </cell>
          <cell r="G387" t="str">
            <v>SPORTAGE RHD</v>
          </cell>
          <cell r="I387" t="str">
            <v>K013 60 350</v>
          </cell>
          <cell r="J387" t="str">
            <v>INPNL(발포금형)</v>
          </cell>
          <cell r="K387" t="str">
            <v>금형</v>
          </cell>
          <cell r="L387" t="str">
            <v>성형</v>
          </cell>
          <cell r="M387">
            <v>1</v>
          </cell>
          <cell r="N387">
            <v>174553000</v>
          </cell>
          <cell r="Y387" t="str">
            <v>주물</v>
          </cell>
          <cell r="Z387">
            <v>2.0423502</v>
          </cell>
          <cell r="AA387" t="str">
            <v>1460x540x550</v>
          </cell>
          <cell r="AB387" t="str">
            <v>94-2</v>
          </cell>
          <cell r="AG387" t="str">
            <v>덕진모델</v>
          </cell>
          <cell r="AI387" t="str">
            <v>KMO 광주공장</v>
          </cell>
        </row>
        <row r="388">
          <cell r="A388">
            <v>358</v>
          </cell>
          <cell r="E388" t="str">
            <v>기아모텍</v>
          </cell>
          <cell r="F388" t="str">
            <v>A</v>
          </cell>
          <cell r="G388" t="str">
            <v>SPORTAGE RHD</v>
          </cell>
          <cell r="H388" t="str">
            <v>041101123923</v>
          </cell>
          <cell r="I388" t="str">
            <v>K013 60 401</v>
          </cell>
          <cell r="J388" t="str">
            <v>INPNL(CORE)</v>
          </cell>
          <cell r="K388" t="str">
            <v>금형</v>
          </cell>
          <cell r="L388" t="str">
            <v>INJ</v>
          </cell>
          <cell r="M388">
            <v>1</v>
          </cell>
          <cell r="N388">
            <v>159255000</v>
          </cell>
          <cell r="Y388" t="str">
            <v>주물</v>
          </cell>
          <cell r="Z388">
            <v>9.6649200000000004</v>
          </cell>
          <cell r="AA388" t="str">
            <v>1200x900x1900</v>
          </cell>
          <cell r="AB388" t="str">
            <v>94-2</v>
          </cell>
          <cell r="AG388" t="str">
            <v>서해공업㈜ 반　</v>
          </cell>
          <cell r="AI388" t="str">
            <v>KMO 광주공장</v>
          </cell>
        </row>
        <row r="389">
          <cell r="A389">
            <v>359</v>
          </cell>
          <cell r="E389" t="str">
            <v>기아모텍</v>
          </cell>
          <cell r="F389" t="str">
            <v>A</v>
          </cell>
          <cell r="G389" t="str">
            <v>SPORTAGE RHD</v>
          </cell>
          <cell r="I389" t="str">
            <v>K013 60 520</v>
          </cell>
          <cell r="J389" t="str">
            <v>KNEE(진공금형)</v>
          </cell>
          <cell r="K389" t="str">
            <v>금형</v>
          </cell>
          <cell r="L389" t="str">
            <v>SKIN</v>
          </cell>
          <cell r="M389">
            <v>1</v>
          </cell>
          <cell r="N389">
            <v>12154000</v>
          </cell>
          <cell r="Y389" t="str">
            <v>주물</v>
          </cell>
          <cell r="Z389">
            <v>0.44763839999999999</v>
          </cell>
          <cell r="AA389" t="str">
            <v>440x720x300</v>
          </cell>
          <cell r="AB389" t="str">
            <v>94-2</v>
          </cell>
          <cell r="AG389" t="str">
            <v>서해공업㈜ 반　</v>
          </cell>
          <cell r="AI389" t="str">
            <v>㈜태진</v>
          </cell>
        </row>
        <row r="390">
          <cell r="A390">
            <v>360</v>
          </cell>
          <cell r="E390" t="str">
            <v>기아모텍</v>
          </cell>
          <cell r="F390" t="str">
            <v>A</v>
          </cell>
          <cell r="G390" t="str">
            <v>SPORTAGE RHD</v>
          </cell>
          <cell r="I390" t="str">
            <v>K013 60 520</v>
          </cell>
          <cell r="J390" t="str">
            <v>KNEE(발포금형)</v>
          </cell>
          <cell r="K390" t="str">
            <v>금형</v>
          </cell>
          <cell r="L390" t="str">
            <v>PAD</v>
          </cell>
          <cell r="M390">
            <v>1</v>
          </cell>
          <cell r="N390">
            <v>42953000</v>
          </cell>
          <cell r="Y390" t="str">
            <v>주물</v>
          </cell>
          <cell r="Z390">
            <v>0.72416250000000004</v>
          </cell>
          <cell r="AA390" t="str">
            <v>750x500x410</v>
          </cell>
          <cell r="AB390" t="str">
            <v>94-2</v>
          </cell>
          <cell r="AG390" t="str">
            <v>서해공업㈜ 반　</v>
          </cell>
          <cell r="AI390" t="str">
            <v>㈜태진</v>
          </cell>
        </row>
        <row r="391">
          <cell r="A391">
            <v>361</v>
          </cell>
          <cell r="E391" t="str">
            <v>기아모텍</v>
          </cell>
          <cell r="F391" t="str">
            <v>A</v>
          </cell>
          <cell r="G391" t="str">
            <v>SPORTAGE</v>
          </cell>
          <cell r="H391" t="str">
            <v>044101018216</v>
          </cell>
          <cell r="I391" t="str">
            <v>K018 35/54 130</v>
          </cell>
          <cell r="J391" t="str">
            <v>SHROUD PNL SIDE R/L</v>
          </cell>
          <cell r="K391" t="str">
            <v>검사구</v>
          </cell>
          <cell r="M391">
            <v>1</v>
          </cell>
          <cell r="N391">
            <v>3600000</v>
          </cell>
          <cell r="Y391" t="str">
            <v>수지</v>
          </cell>
          <cell r="Z391">
            <v>0</v>
          </cell>
          <cell r="AA391" t="str">
            <v>xx</v>
          </cell>
          <cell r="AB391" t="str">
            <v>92-08-14</v>
          </cell>
          <cell r="AG391" t="str">
            <v>동아</v>
          </cell>
          <cell r="AI391" t="str">
            <v>창흥정밀</v>
          </cell>
        </row>
        <row r="392">
          <cell r="A392">
            <v>362</v>
          </cell>
          <cell r="E392" t="str">
            <v>기아모텍</v>
          </cell>
          <cell r="F392" t="str">
            <v>A</v>
          </cell>
          <cell r="G392" t="str">
            <v>SPORTAGE</v>
          </cell>
          <cell r="H392" t="str">
            <v>044101016836</v>
          </cell>
          <cell r="I392" t="str">
            <v>K018 50 031</v>
          </cell>
          <cell r="J392" t="str">
            <v>FRT BUMPER FASCIA</v>
          </cell>
          <cell r="K392" t="str">
            <v>치구</v>
          </cell>
          <cell r="M392">
            <v>1</v>
          </cell>
          <cell r="N392">
            <v>19077359</v>
          </cell>
          <cell r="AA392" t="str">
            <v>xx</v>
          </cell>
          <cell r="AI392" t="str">
            <v>창흥정밀</v>
          </cell>
        </row>
        <row r="393">
          <cell r="A393">
            <v>363</v>
          </cell>
          <cell r="E393" t="str">
            <v>기아모텍</v>
          </cell>
          <cell r="F393" t="str">
            <v>A</v>
          </cell>
          <cell r="G393" t="str">
            <v>SPORTAGE</v>
          </cell>
          <cell r="H393" t="str">
            <v>044101017376</v>
          </cell>
          <cell r="I393" t="str">
            <v>K018 52 130</v>
          </cell>
          <cell r="J393" t="str">
            <v>SHROUD PNL NO.2</v>
          </cell>
          <cell r="K393" t="str">
            <v>검사구</v>
          </cell>
          <cell r="M393">
            <v>1</v>
          </cell>
          <cell r="N393">
            <v>5500000</v>
          </cell>
          <cell r="Y393" t="str">
            <v>수지</v>
          </cell>
          <cell r="Z393">
            <v>0</v>
          </cell>
          <cell r="AA393" t="str">
            <v>xx</v>
          </cell>
          <cell r="AB393" t="str">
            <v>92-07-21</v>
          </cell>
          <cell r="AG393" t="str">
            <v>학림</v>
          </cell>
          <cell r="AI393" t="str">
            <v>창흥정밀</v>
          </cell>
        </row>
        <row r="394">
          <cell r="A394">
            <v>364</v>
          </cell>
          <cell r="E394" t="str">
            <v>기아모텍</v>
          </cell>
          <cell r="F394" t="str">
            <v>A</v>
          </cell>
          <cell r="G394" t="str">
            <v>SPORTAGE</v>
          </cell>
          <cell r="H394" t="str">
            <v>044101017916</v>
          </cell>
          <cell r="I394" t="str">
            <v>K018 52 140</v>
          </cell>
          <cell r="J394" t="str">
            <v>SHROUD CTR STEY</v>
          </cell>
          <cell r="K394" t="str">
            <v>검사구</v>
          </cell>
          <cell r="M394">
            <v>1</v>
          </cell>
          <cell r="N394">
            <v>3200000</v>
          </cell>
          <cell r="Y394" t="str">
            <v>수지</v>
          </cell>
          <cell r="Z394">
            <v>0</v>
          </cell>
          <cell r="AA394" t="str">
            <v>xx</v>
          </cell>
          <cell r="AB394" t="str">
            <v>92-08-22</v>
          </cell>
          <cell r="AG394" t="str">
            <v>학림</v>
          </cell>
          <cell r="AI394" t="str">
            <v>창흥정밀</v>
          </cell>
        </row>
        <row r="395">
          <cell r="A395">
            <v>365</v>
          </cell>
          <cell r="E395" t="str">
            <v>기아모텍</v>
          </cell>
          <cell r="F395" t="str">
            <v>A</v>
          </cell>
          <cell r="G395" t="str">
            <v>SPORTAGE</v>
          </cell>
          <cell r="H395" t="str">
            <v>044101018176</v>
          </cell>
          <cell r="I395" t="str">
            <v>K018 53 750</v>
          </cell>
          <cell r="J395" t="str">
            <v>SEAT SUPPORT CROSS M/B</v>
          </cell>
          <cell r="K395" t="str">
            <v>검사구</v>
          </cell>
          <cell r="M395">
            <v>1</v>
          </cell>
          <cell r="N395">
            <v>7800000</v>
          </cell>
          <cell r="Y395" t="str">
            <v>수지</v>
          </cell>
          <cell r="Z395">
            <v>0</v>
          </cell>
          <cell r="AA395" t="str">
            <v>xx</v>
          </cell>
          <cell r="AB395" t="str">
            <v>92-08-20</v>
          </cell>
          <cell r="AG395" t="str">
            <v>동아</v>
          </cell>
          <cell r="AI395" t="str">
            <v>창흥정밀</v>
          </cell>
        </row>
        <row r="396">
          <cell r="A396">
            <v>366</v>
          </cell>
          <cell r="E396" t="str">
            <v>기아모텍</v>
          </cell>
          <cell r="F396" t="str">
            <v>A</v>
          </cell>
          <cell r="G396" t="str">
            <v>SPORTAGE</v>
          </cell>
          <cell r="I396" t="str">
            <v>K019 68 711A/721</v>
          </cell>
          <cell r="J396" t="str">
            <v>SCUFF PLATE FRT R/L</v>
          </cell>
          <cell r="K396" t="str">
            <v>금형</v>
          </cell>
          <cell r="M396">
            <v>1</v>
          </cell>
          <cell r="N396">
            <v>29000000</v>
          </cell>
          <cell r="Y396" t="str">
            <v>주물</v>
          </cell>
          <cell r="Z396">
            <v>8.3932199999999995</v>
          </cell>
          <cell r="AA396" t="str">
            <v>1500x1100x720</v>
          </cell>
          <cell r="AB396" t="str">
            <v>92-06-30</v>
          </cell>
          <cell r="AG396" t="str">
            <v>대성P/L</v>
          </cell>
          <cell r="AI396" t="str">
            <v>태광공업</v>
          </cell>
        </row>
        <row r="397">
          <cell r="A397">
            <v>367</v>
          </cell>
          <cell r="E397" t="str">
            <v>기아모텍</v>
          </cell>
          <cell r="F397" t="str">
            <v>A</v>
          </cell>
          <cell r="G397" t="str">
            <v>SPORTAGE</v>
          </cell>
          <cell r="H397" t="str">
            <v>041103114061</v>
          </cell>
          <cell r="I397" t="str">
            <v>K019 68 731/741</v>
          </cell>
          <cell r="J397" t="str">
            <v>RR SCUFF PLATE</v>
          </cell>
          <cell r="K397" t="str">
            <v>금형</v>
          </cell>
          <cell r="L397" t="str">
            <v>INJ</v>
          </cell>
          <cell r="M397">
            <v>1</v>
          </cell>
          <cell r="N397">
            <v>70000000</v>
          </cell>
          <cell r="Y397" t="str">
            <v>주물</v>
          </cell>
          <cell r="Z397">
            <v>6.9237000000000002</v>
          </cell>
          <cell r="AA397" t="str">
            <v>1400x1000x700</v>
          </cell>
          <cell r="AB397" t="str">
            <v>93-3</v>
          </cell>
          <cell r="AG397" t="str">
            <v>서해공업㈜ 반　</v>
          </cell>
          <cell r="AI397" t="str">
            <v>태광공업</v>
          </cell>
        </row>
        <row r="398">
          <cell r="A398">
            <v>368</v>
          </cell>
          <cell r="E398" t="str">
            <v>기아모텍</v>
          </cell>
          <cell r="F398" t="str">
            <v>A</v>
          </cell>
          <cell r="G398" t="str">
            <v>SPORTAGE</v>
          </cell>
          <cell r="I398" t="str">
            <v>K019 68 731/741</v>
          </cell>
          <cell r="J398" t="str">
            <v>SCUFF PLATE RR R/L</v>
          </cell>
          <cell r="K398" t="str">
            <v>금형</v>
          </cell>
          <cell r="M398">
            <v>1</v>
          </cell>
          <cell r="N398">
            <v>29000000</v>
          </cell>
          <cell r="Z398">
            <v>6.9237000000000002</v>
          </cell>
          <cell r="AA398" t="str">
            <v>1400x1000x700</v>
          </cell>
          <cell r="AB398" t="str">
            <v>92-06-30</v>
          </cell>
          <cell r="AG398" t="str">
            <v>대성P/L</v>
          </cell>
          <cell r="AI398" t="str">
            <v>태광공업</v>
          </cell>
          <cell r="AK398" t="str">
            <v>#367과 동일</v>
          </cell>
        </row>
        <row r="399">
          <cell r="A399">
            <v>369</v>
          </cell>
          <cell r="E399" t="str">
            <v>기아모텍</v>
          </cell>
          <cell r="F399" t="str">
            <v>A</v>
          </cell>
          <cell r="G399" t="str">
            <v>SPORTAGE</v>
          </cell>
          <cell r="H399" t="str">
            <v>041401015291</v>
          </cell>
          <cell r="I399" t="str">
            <v>K024 50 221</v>
          </cell>
          <cell r="J399" t="str">
            <v>E.C형 REAR BUMPER K-2 금형</v>
          </cell>
          <cell r="K399" t="str">
            <v>금형</v>
          </cell>
          <cell r="M399">
            <v>1</v>
          </cell>
          <cell r="N399">
            <v>147689935</v>
          </cell>
          <cell r="Y399" t="str">
            <v>주물</v>
          </cell>
          <cell r="Z399">
            <v>0</v>
          </cell>
          <cell r="AA399" t="str">
            <v>xx</v>
          </cell>
          <cell r="AI399" t="str">
            <v>대경화성</v>
          </cell>
          <cell r="AK399" t="str">
            <v>KMC 이관</v>
          </cell>
        </row>
        <row r="400">
          <cell r="A400">
            <v>370</v>
          </cell>
          <cell r="E400" t="str">
            <v>기아모텍</v>
          </cell>
          <cell r="F400" t="str">
            <v>C3</v>
          </cell>
          <cell r="G400" t="str">
            <v>PRIDE FOA</v>
          </cell>
          <cell r="H400" t="str">
            <v>041102023971</v>
          </cell>
          <cell r="I400" t="str">
            <v>K105 58/59 192</v>
          </cell>
          <cell r="J400" t="str">
            <v>BAR IMPACT No.2</v>
          </cell>
          <cell r="K400" t="str">
            <v>금형</v>
          </cell>
          <cell r="M400">
            <v>3</v>
          </cell>
          <cell r="N400">
            <v>1166400</v>
          </cell>
          <cell r="AA400" t="str">
            <v>xx</v>
          </cell>
          <cell r="AB400" t="str">
            <v>93-11-08</v>
          </cell>
          <cell r="AI400" t="str">
            <v>일석산업</v>
          </cell>
        </row>
        <row r="401">
          <cell r="A401">
            <v>371</v>
          </cell>
          <cell r="E401" t="str">
            <v>기아모텍</v>
          </cell>
          <cell r="F401" t="str">
            <v>C3</v>
          </cell>
          <cell r="G401" t="str">
            <v>PRIDE FOA</v>
          </cell>
          <cell r="H401" t="str">
            <v>041102023981</v>
          </cell>
          <cell r="I401" t="str">
            <v>K105 72/73 190</v>
          </cell>
          <cell r="J401" t="str">
            <v>BAR IMPACT No.1</v>
          </cell>
          <cell r="K401" t="str">
            <v>금형</v>
          </cell>
          <cell r="M401">
            <v>4</v>
          </cell>
          <cell r="N401">
            <v>930200</v>
          </cell>
          <cell r="AA401" t="str">
            <v>xx</v>
          </cell>
          <cell r="AB401" t="str">
            <v>93-11-08</v>
          </cell>
          <cell r="AI401" t="str">
            <v>일석산업</v>
          </cell>
        </row>
        <row r="402">
          <cell r="A402">
            <v>372</v>
          </cell>
          <cell r="E402" t="str">
            <v>기아모텍</v>
          </cell>
          <cell r="F402" t="str">
            <v>A</v>
          </cell>
          <cell r="G402" t="str">
            <v>PRIDE N/B</v>
          </cell>
          <cell r="H402" t="str">
            <v>041102011498</v>
          </cell>
          <cell r="I402" t="str">
            <v>K135 52 631/641</v>
          </cell>
          <cell r="J402" t="str">
            <v>REINF ASSY HINGE R/L</v>
          </cell>
          <cell r="K402" t="str">
            <v>금형</v>
          </cell>
          <cell r="L402" t="str">
            <v>PIE</v>
          </cell>
          <cell r="M402">
            <v>1</v>
          </cell>
          <cell r="N402">
            <v>559000</v>
          </cell>
          <cell r="Y402" t="str">
            <v>STEEL</v>
          </cell>
          <cell r="Z402">
            <v>6.8989725000000002E-2</v>
          </cell>
          <cell r="AA402" t="str">
            <v>350x155x270</v>
          </cell>
          <cell r="AB402" t="str">
            <v>90-1</v>
          </cell>
          <cell r="AI402" t="str">
            <v>풍원산업</v>
          </cell>
        </row>
        <row r="403">
          <cell r="A403">
            <v>373</v>
          </cell>
          <cell r="E403" t="str">
            <v>기아모텍</v>
          </cell>
          <cell r="F403" t="str">
            <v>A</v>
          </cell>
          <cell r="G403" t="str">
            <v>PRIDE N/B</v>
          </cell>
          <cell r="H403" t="str">
            <v>041102011498</v>
          </cell>
          <cell r="I403" t="str">
            <v>K135 52 631/641</v>
          </cell>
          <cell r="J403" t="str">
            <v>REINF ASSY HINGE R/L</v>
          </cell>
          <cell r="K403" t="str">
            <v>금형</v>
          </cell>
          <cell r="L403" t="str">
            <v>TR</v>
          </cell>
          <cell r="M403">
            <v>1</v>
          </cell>
          <cell r="N403">
            <v>2407000</v>
          </cell>
          <cell r="Y403" t="str">
            <v>STEEL</v>
          </cell>
          <cell r="Z403">
            <v>0.11212155</v>
          </cell>
          <cell r="AA403" t="str">
            <v>450x230x230</v>
          </cell>
          <cell r="AB403" t="str">
            <v>90-1</v>
          </cell>
          <cell r="AI403" t="str">
            <v>풍원산업</v>
          </cell>
        </row>
        <row r="404">
          <cell r="A404">
            <v>374</v>
          </cell>
          <cell r="E404" t="str">
            <v>기아모텍</v>
          </cell>
          <cell r="F404" t="str">
            <v>A</v>
          </cell>
          <cell r="G404" t="str">
            <v>PRIDE N/B</v>
          </cell>
          <cell r="H404" t="str">
            <v>041102011498</v>
          </cell>
          <cell r="I404" t="str">
            <v>K135 52 631/641</v>
          </cell>
          <cell r="J404" t="str">
            <v>REINF ASSY HINGE R/L</v>
          </cell>
          <cell r="K404" t="str">
            <v>금형</v>
          </cell>
          <cell r="L404" t="str">
            <v>DR</v>
          </cell>
          <cell r="M404">
            <v>1</v>
          </cell>
          <cell r="N404">
            <v>6965000</v>
          </cell>
          <cell r="Y404" t="str">
            <v>STEEL</v>
          </cell>
          <cell r="Z404">
            <v>0.66740700000000008</v>
          </cell>
          <cell r="AA404" t="str">
            <v>650x400x545</v>
          </cell>
          <cell r="AB404" t="str">
            <v>90-1</v>
          </cell>
          <cell r="AI404" t="str">
            <v>풍원산업</v>
          </cell>
        </row>
        <row r="405">
          <cell r="A405">
            <v>375</v>
          </cell>
          <cell r="E405" t="str">
            <v>기아모텍</v>
          </cell>
          <cell r="F405" t="str">
            <v>A</v>
          </cell>
          <cell r="G405" t="str">
            <v>PRIDE P037</v>
          </cell>
          <cell r="H405" t="str">
            <v>041401010029</v>
          </cell>
          <cell r="I405" t="str">
            <v>K150 60 401</v>
          </cell>
          <cell r="J405" t="str">
            <v>INSTRUMENT PANEL</v>
          </cell>
          <cell r="K405" t="str">
            <v>금형</v>
          </cell>
          <cell r="M405">
            <v>1</v>
          </cell>
          <cell r="N405">
            <v>385003321</v>
          </cell>
          <cell r="Y405" t="str">
            <v>주물</v>
          </cell>
          <cell r="Z405">
            <v>8.5097924999999996</v>
          </cell>
          <cell r="AA405" t="str">
            <v>1500x1650x730</v>
          </cell>
          <cell r="AB405" t="str">
            <v>87-01-04</v>
          </cell>
          <cell r="AG405" t="str">
            <v>GIFU</v>
          </cell>
          <cell r="AI405" t="str">
            <v>KMO 광주공장</v>
          </cell>
        </row>
        <row r="406">
          <cell r="A406">
            <v>376</v>
          </cell>
          <cell r="E406" t="str">
            <v>기아모텍</v>
          </cell>
          <cell r="F406" t="str">
            <v>A</v>
          </cell>
          <cell r="G406" t="str">
            <v>PRIDE P037</v>
          </cell>
          <cell r="I406" t="str">
            <v>K150 60 401</v>
          </cell>
          <cell r="J406" t="str">
            <v>INST PAN</v>
          </cell>
          <cell r="K406" t="str">
            <v>검사구</v>
          </cell>
          <cell r="M406">
            <v>1</v>
          </cell>
          <cell r="N406">
            <v>10694000</v>
          </cell>
          <cell r="Y406" t="str">
            <v>수지</v>
          </cell>
          <cell r="Z406">
            <v>2.225475E-2</v>
          </cell>
          <cell r="AA406" t="str">
            <v>1250x450x420</v>
          </cell>
          <cell r="AB406" t="str">
            <v>87-01-30</v>
          </cell>
          <cell r="AI406" t="str">
            <v>KMO 광주공장</v>
          </cell>
        </row>
        <row r="407">
          <cell r="A407">
            <v>377</v>
          </cell>
          <cell r="E407" t="str">
            <v>기아모텍</v>
          </cell>
          <cell r="F407" t="str">
            <v>A</v>
          </cell>
          <cell r="G407" t="str">
            <v>PRIDE P047</v>
          </cell>
          <cell r="H407" t="str">
            <v>041301010023</v>
          </cell>
          <cell r="I407" t="str">
            <v>K150 68 861/871</v>
          </cell>
          <cell r="J407" t="str">
            <v>TRUNK SIDE TRIM</v>
          </cell>
          <cell r="K407" t="str">
            <v>금형</v>
          </cell>
          <cell r="M407">
            <v>1</v>
          </cell>
          <cell r="N407">
            <v>138179756</v>
          </cell>
          <cell r="Y407" t="str">
            <v>주물</v>
          </cell>
          <cell r="Z407">
            <v>0</v>
          </cell>
          <cell r="AA407" t="str">
            <v>xx</v>
          </cell>
          <cell r="AB407" t="str">
            <v>88-09-30</v>
          </cell>
          <cell r="AG407" t="str">
            <v>KIA</v>
          </cell>
          <cell r="AI407" t="str">
            <v>광주 제일산업</v>
          </cell>
          <cell r="AK407" t="str">
            <v>92.외주조치</v>
          </cell>
        </row>
        <row r="408">
          <cell r="A408">
            <v>378</v>
          </cell>
          <cell r="E408" t="str">
            <v>기아모텍</v>
          </cell>
          <cell r="F408" t="str">
            <v>A</v>
          </cell>
          <cell r="G408" t="str">
            <v>PRIDE P048</v>
          </cell>
          <cell r="H408" t="str">
            <v>041401013889</v>
          </cell>
          <cell r="I408" t="str">
            <v>K150 68 861/871</v>
          </cell>
          <cell r="J408" t="str">
            <v>TRUNK SIDE TRIM R/L</v>
          </cell>
          <cell r="K408" t="str">
            <v>금형</v>
          </cell>
          <cell r="M408">
            <v>1</v>
          </cell>
          <cell r="N408">
            <v>95328311</v>
          </cell>
          <cell r="Y408" t="str">
            <v>주물</v>
          </cell>
          <cell r="Z408">
            <v>0</v>
          </cell>
          <cell r="AA408" t="str">
            <v>xx</v>
          </cell>
          <cell r="AB408" t="str">
            <v>89-06-30</v>
          </cell>
          <cell r="AG408" t="str">
            <v>한국금형</v>
          </cell>
          <cell r="AI408" t="str">
            <v>광주 제일산업</v>
          </cell>
          <cell r="AK408" t="str">
            <v>92.외주조치</v>
          </cell>
        </row>
        <row r="409">
          <cell r="A409">
            <v>379</v>
          </cell>
          <cell r="E409" t="str">
            <v>기아모텍</v>
          </cell>
          <cell r="F409" t="str">
            <v>C4</v>
          </cell>
          <cell r="G409" t="str">
            <v>PRIDE</v>
          </cell>
          <cell r="H409" t="str">
            <v>041102031232</v>
          </cell>
          <cell r="I409" t="str">
            <v>K153 53 /54 951</v>
          </cell>
          <cell r="J409" t="str">
            <v>SILL SIDE IN FRT R/L</v>
          </cell>
          <cell r="K409" t="str">
            <v>금형</v>
          </cell>
          <cell r="L409" t="str">
            <v>DR,TR/P,P/CP</v>
          </cell>
          <cell r="M409">
            <v>3</v>
          </cell>
          <cell r="N409">
            <v>58394685</v>
          </cell>
          <cell r="Z409">
            <v>0</v>
          </cell>
          <cell r="AA409" t="str">
            <v>xx</v>
          </cell>
          <cell r="AB409" t="str">
            <v>88-04-30</v>
          </cell>
          <cell r="AG409" t="str">
            <v>서해공업㈜ 반　</v>
          </cell>
          <cell r="AJ409" t="str">
            <v>금성공업</v>
          </cell>
          <cell r="AK409" t="str">
            <v>금성공업에서 타업체로 이관</v>
          </cell>
        </row>
        <row r="410">
          <cell r="A410">
            <v>380</v>
          </cell>
          <cell r="E410" t="str">
            <v>기아모텍</v>
          </cell>
          <cell r="F410" t="str">
            <v>A</v>
          </cell>
          <cell r="G410" t="str">
            <v>PRIDE 3DOOR</v>
          </cell>
          <cell r="H410" t="str">
            <v>041102140352</v>
          </cell>
          <cell r="I410" t="str">
            <v>K153 58 031A</v>
          </cell>
          <cell r="J410" t="str">
            <v>FRT. DOOR OUT RH</v>
          </cell>
          <cell r="K410" t="str">
            <v>금형</v>
          </cell>
          <cell r="L410" t="str">
            <v>1/4 DR</v>
          </cell>
          <cell r="M410">
            <v>1</v>
          </cell>
          <cell r="N410">
            <v>74283114</v>
          </cell>
          <cell r="Y410" t="str">
            <v>주물</v>
          </cell>
          <cell r="AA410" t="str">
            <v>xx</v>
          </cell>
          <cell r="AG410" t="str">
            <v>MAZDA</v>
          </cell>
          <cell r="AI410" t="str">
            <v>KMO 안산2공장</v>
          </cell>
        </row>
        <row r="411">
          <cell r="A411">
            <v>381</v>
          </cell>
          <cell r="E411" t="str">
            <v>기아모텍</v>
          </cell>
          <cell r="F411" t="str">
            <v>A</v>
          </cell>
          <cell r="G411" t="str">
            <v>PRIDE 3DOOR</v>
          </cell>
          <cell r="H411" t="str">
            <v>041102240339</v>
          </cell>
          <cell r="I411" t="str">
            <v>K153 58 031A</v>
          </cell>
          <cell r="J411" t="str">
            <v>FRT. DOOR OUT RH</v>
          </cell>
          <cell r="K411" t="str">
            <v>금형</v>
          </cell>
          <cell r="L411" t="str">
            <v>2/4 TR&amp;PLER</v>
          </cell>
          <cell r="M411">
            <v>1</v>
          </cell>
          <cell r="N411">
            <v>70146704</v>
          </cell>
          <cell r="Y411" t="str">
            <v>주물</v>
          </cell>
          <cell r="AA411" t="str">
            <v>xx</v>
          </cell>
          <cell r="AG411" t="str">
            <v>MAZDA</v>
          </cell>
          <cell r="AI411" t="str">
            <v>KMO 안산2공장</v>
          </cell>
        </row>
        <row r="412">
          <cell r="A412">
            <v>382</v>
          </cell>
          <cell r="E412" t="str">
            <v>기아모텍</v>
          </cell>
          <cell r="F412" t="str">
            <v>A</v>
          </cell>
          <cell r="G412" t="str">
            <v>PRIDE 3DOOR</v>
          </cell>
          <cell r="H412" t="str">
            <v>041102340286</v>
          </cell>
          <cell r="I412" t="str">
            <v>K153 58 031A</v>
          </cell>
          <cell r="J412" t="str">
            <v>FRT. DOOR OUT RH</v>
          </cell>
          <cell r="K412" t="str">
            <v>금형</v>
          </cell>
          <cell r="L412" t="str">
            <v>3/4 FL&amp;PLER</v>
          </cell>
          <cell r="M412">
            <v>1</v>
          </cell>
          <cell r="N412">
            <v>66635834</v>
          </cell>
          <cell r="Y412" t="str">
            <v>주물</v>
          </cell>
          <cell r="AA412" t="str">
            <v>xx</v>
          </cell>
          <cell r="AG412" t="str">
            <v>MAZDA</v>
          </cell>
          <cell r="AI412" t="str">
            <v>KMO 안산2공장</v>
          </cell>
        </row>
        <row r="413">
          <cell r="A413">
            <v>383</v>
          </cell>
          <cell r="E413" t="str">
            <v>기아모텍</v>
          </cell>
          <cell r="F413" t="str">
            <v>A</v>
          </cell>
          <cell r="G413" t="str">
            <v>PRIDE 3DOOR</v>
          </cell>
          <cell r="H413" t="str">
            <v>041102440362</v>
          </cell>
          <cell r="I413" t="str">
            <v>K153 58 031A</v>
          </cell>
          <cell r="J413" t="str">
            <v>FRT. DOOR OUT RH</v>
          </cell>
          <cell r="K413" t="str">
            <v>금형</v>
          </cell>
          <cell r="L413" t="str">
            <v>4/4 BEND</v>
          </cell>
          <cell r="M413">
            <v>1</v>
          </cell>
          <cell r="N413">
            <v>66635834</v>
          </cell>
          <cell r="Y413" t="str">
            <v>주물</v>
          </cell>
          <cell r="AA413" t="str">
            <v>xx</v>
          </cell>
          <cell r="AG413" t="str">
            <v>MAZDA</v>
          </cell>
          <cell r="AI413" t="str">
            <v>KMO 안산2공장</v>
          </cell>
        </row>
        <row r="414">
          <cell r="A414">
            <v>384</v>
          </cell>
          <cell r="E414" t="str">
            <v>기아모텍</v>
          </cell>
          <cell r="F414" t="str">
            <v>A</v>
          </cell>
          <cell r="G414" t="str">
            <v>PRIDE 3DOOR</v>
          </cell>
          <cell r="H414" t="str">
            <v>044101011656</v>
          </cell>
          <cell r="I414" t="str">
            <v>K153 58 031A</v>
          </cell>
          <cell r="J414" t="str">
            <v>FRT. DOOR OUT R CHECKING</v>
          </cell>
          <cell r="K414" t="str">
            <v>검사구</v>
          </cell>
          <cell r="M414">
            <v>1</v>
          </cell>
          <cell r="N414">
            <v>8981173</v>
          </cell>
          <cell r="Y414" t="str">
            <v>수지</v>
          </cell>
          <cell r="AA414" t="str">
            <v>xx</v>
          </cell>
          <cell r="AG414" t="str">
            <v>MAZDA</v>
          </cell>
          <cell r="AI414" t="str">
            <v>KMO 안산2공장</v>
          </cell>
        </row>
        <row r="415">
          <cell r="A415">
            <v>385</v>
          </cell>
          <cell r="E415" t="str">
            <v>기아모텍</v>
          </cell>
          <cell r="F415" t="str">
            <v>A</v>
          </cell>
          <cell r="G415" t="str">
            <v>PRIDE 3DOOR</v>
          </cell>
          <cell r="H415" t="str">
            <v>044101011656</v>
          </cell>
          <cell r="I415" t="str">
            <v>K153 58 031A</v>
          </cell>
          <cell r="J415" t="str">
            <v>FRT. DOOR OUT R CHECKING</v>
          </cell>
          <cell r="K415" t="str">
            <v>검사구</v>
          </cell>
          <cell r="M415">
            <v>1</v>
          </cell>
          <cell r="N415">
            <v>8981173</v>
          </cell>
          <cell r="Y415" t="str">
            <v>수지</v>
          </cell>
          <cell r="AA415" t="str">
            <v>xx</v>
          </cell>
          <cell r="AG415" t="str">
            <v>MAZDA</v>
          </cell>
          <cell r="AI415" t="str">
            <v>KMO 안산2공장</v>
          </cell>
        </row>
        <row r="416">
          <cell r="A416">
            <v>386</v>
          </cell>
          <cell r="E416" t="str">
            <v>기아모텍</v>
          </cell>
          <cell r="F416" t="str">
            <v>A</v>
          </cell>
          <cell r="G416" t="str">
            <v>PRIDE 5DOOR</v>
          </cell>
          <cell r="H416" t="str">
            <v>041102140752</v>
          </cell>
          <cell r="I416" t="str">
            <v>K153 58/59 020</v>
          </cell>
          <cell r="J416" t="str">
            <v>FRT DOOR HEM</v>
          </cell>
          <cell r="K416" t="str">
            <v>금형</v>
          </cell>
          <cell r="L416" t="str">
            <v>HEM</v>
          </cell>
          <cell r="M416">
            <v>2</v>
          </cell>
          <cell r="N416">
            <v>43665757</v>
          </cell>
          <cell r="Y416" t="str">
            <v>주물</v>
          </cell>
          <cell r="AA416" t="str">
            <v>xx</v>
          </cell>
          <cell r="AB416" t="str">
            <v>88-05-31</v>
          </cell>
          <cell r="AG416" t="str">
            <v>KIA</v>
          </cell>
          <cell r="AI416" t="str">
            <v>KMO 안산2공장</v>
          </cell>
        </row>
        <row r="417">
          <cell r="A417">
            <v>387</v>
          </cell>
          <cell r="E417" t="str">
            <v>기아모텍</v>
          </cell>
          <cell r="F417" t="str">
            <v>A</v>
          </cell>
          <cell r="G417" t="str">
            <v>PRIDE 5DOOR</v>
          </cell>
          <cell r="H417" t="str">
            <v>041102140672</v>
          </cell>
          <cell r="I417" t="str">
            <v>K153 58/59 031</v>
          </cell>
          <cell r="J417" t="str">
            <v>FRT. DOOR OUT R/L</v>
          </cell>
          <cell r="K417" t="str">
            <v>금형</v>
          </cell>
          <cell r="L417" t="str">
            <v>1/4 DR</v>
          </cell>
          <cell r="M417">
            <v>1</v>
          </cell>
          <cell r="N417">
            <v>65778388</v>
          </cell>
          <cell r="Y417" t="str">
            <v>주물</v>
          </cell>
          <cell r="AA417" t="str">
            <v>xx</v>
          </cell>
          <cell r="AG417" t="str">
            <v>KIA</v>
          </cell>
          <cell r="AI417" t="str">
            <v>KMO 안산2공장</v>
          </cell>
        </row>
        <row r="418">
          <cell r="A418">
            <v>388</v>
          </cell>
          <cell r="E418" t="str">
            <v>기아모텍</v>
          </cell>
          <cell r="F418" t="str">
            <v>A</v>
          </cell>
          <cell r="G418" t="str">
            <v>PRIDE 5DOOR</v>
          </cell>
          <cell r="H418" t="str">
            <v>041102240629</v>
          </cell>
          <cell r="I418" t="str">
            <v>K153 58/59 031</v>
          </cell>
          <cell r="J418" t="str">
            <v>FRT. DOOR OUT R/L</v>
          </cell>
          <cell r="K418" t="str">
            <v>금형</v>
          </cell>
          <cell r="L418" t="str">
            <v>2/4 TR/PIE</v>
          </cell>
          <cell r="M418">
            <v>1</v>
          </cell>
          <cell r="N418">
            <v>41010453</v>
          </cell>
          <cell r="Y418" t="str">
            <v>주물</v>
          </cell>
          <cell r="AA418" t="str">
            <v>xx</v>
          </cell>
          <cell r="AG418" t="str">
            <v>KIA</v>
          </cell>
          <cell r="AI418" t="str">
            <v>KMO 안산2공장</v>
          </cell>
        </row>
        <row r="419">
          <cell r="A419">
            <v>389</v>
          </cell>
          <cell r="E419" t="str">
            <v>기아모텍</v>
          </cell>
          <cell r="F419" t="str">
            <v>A</v>
          </cell>
          <cell r="G419" t="str">
            <v>PRIDE 5DOOR</v>
          </cell>
          <cell r="H419" t="str">
            <v>041102340576</v>
          </cell>
          <cell r="I419" t="str">
            <v>K153 58/59 031</v>
          </cell>
          <cell r="J419" t="str">
            <v>FRT. DOOR OUT R/L</v>
          </cell>
          <cell r="K419" t="str">
            <v>금형</v>
          </cell>
          <cell r="L419" t="str">
            <v>3/4 FL/CAMPI</v>
          </cell>
          <cell r="M419">
            <v>1</v>
          </cell>
          <cell r="N419">
            <v>55362372</v>
          </cell>
          <cell r="Y419" t="str">
            <v>주물</v>
          </cell>
          <cell r="AA419" t="str">
            <v>xx</v>
          </cell>
          <cell r="AG419" t="str">
            <v>KIA</v>
          </cell>
          <cell r="AI419" t="str">
            <v>KMO 안산2공장</v>
          </cell>
        </row>
        <row r="420">
          <cell r="A420">
            <v>390</v>
          </cell>
          <cell r="E420" t="str">
            <v>기아모텍</v>
          </cell>
          <cell r="F420" t="str">
            <v>A</v>
          </cell>
          <cell r="G420" t="str">
            <v>PRIDE 5DOOR</v>
          </cell>
          <cell r="H420" t="str">
            <v>041102440612</v>
          </cell>
          <cell r="I420" t="str">
            <v>K153 58/59 031</v>
          </cell>
          <cell r="J420" t="str">
            <v>FRT. DOOR OUT R/L</v>
          </cell>
          <cell r="K420" t="str">
            <v>금형</v>
          </cell>
          <cell r="L420" t="str">
            <v>4/4 CAM/BEND</v>
          </cell>
          <cell r="M420">
            <v>1</v>
          </cell>
          <cell r="N420">
            <v>47326573</v>
          </cell>
          <cell r="Y420" t="str">
            <v>주물</v>
          </cell>
          <cell r="AA420" t="str">
            <v>xx</v>
          </cell>
          <cell r="AG420" t="str">
            <v>KIA</v>
          </cell>
          <cell r="AI420" t="str">
            <v>KMO 안산2공장</v>
          </cell>
        </row>
        <row r="421">
          <cell r="A421">
            <v>391</v>
          </cell>
          <cell r="E421" t="str">
            <v>기아모텍</v>
          </cell>
          <cell r="F421" t="str">
            <v>C1</v>
          </cell>
          <cell r="G421" t="str">
            <v>PRIDE 5DOOR</v>
          </cell>
          <cell r="H421" t="str">
            <v>044102011225</v>
          </cell>
          <cell r="I421" t="str">
            <v>K153 58/59 031</v>
          </cell>
          <cell r="J421" t="str">
            <v>FRT. DOOR OUT R/L</v>
          </cell>
          <cell r="K421" t="str">
            <v>검사구</v>
          </cell>
          <cell r="M421">
            <v>1</v>
          </cell>
          <cell r="N421">
            <v>6400000</v>
          </cell>
          <cell r="Y421" t="str">
            <v>수지</v>
          </cell>
          <cell r="AA421" t="str">
            <v>xx</v>
          </cell>
          <cell r="AG421" t="str">
            <v>학림모델</v>
          </cell>
          <cell r="AI421" t="str">
            <v>KMO 안산2공장</v>
          </cell>
        </row>
        <row r="422">
          <cell r="A422">
            <v>392</v>
          </cell>
          <cell r="E422" t="str">
            <v>기아모텍</v>
          </cell>
          <cell r="F422" t="str">
            <v>A</v>
          </cell>
          <cell r="G422" t="str">
            <v>PRIDE 5DOOR</v>
          </cell>
          <cell r="H422" t="str">
            <v>041102140682</v>
          </cell>
          <cell r="I422" t="str">
            <v>K153 58/59 071C</v>
          </cell>
          <cell r="J422" t="str">
            <v>FRT. DOOR IN R/L</v>
          </cell>
          <cell r="K422" t="str">
            <v>금형</v>
          </cell>
          <cell r="L422" t="str">
            <v>1/5 DR</v>
          </cell>
          <cell r="M422">
            <v>1</v>
          </cell>
          <cell r="N422">
            <v>75702766</v>
          </cell>
          <cell r="Y422" t="str">
            <v>주물</v>
          </cell>
          <cell r="AA422" t="str">
            <v>xx</v>
          </cell>
          <cell r="AG422" t="str">
            <v>KIA</v>
          </cell>
          <cell r="AI422" t="str">
            <v>KMO 안산2공장</v>
          </cell>
        </row>
        <row r="423">
          <cell r="A423">
            <v>393</v>
          </cell>
          <cell r="E423" t="str">
            <v>기아모텍</v>
          </cell>
          <cell r="F423" t="str">
            <v>A</v>
          </cell>
          <cell r="G423" t="str">
            <v>PRIDE 5DOOR</v>
          </cell>
          <cell r="H423" t="str">
            <v>041102140772</v>
          </cell>
          <cell r="I423" t="str">
            <v>K153 58/59 071C</v>
          </cell>
          <cell r="J423" t="str">
            <v>FRT. DOOR IN R/L</v>
          </cell>
          <cell r="K423" t="str">
            <v>금형</v>
          </cell>
          <cell r="L423" t="str">
            <v>3/5 TR/PIE</v>
          </cell>
          <cell r="M423">
            <v>1</v>
          </cell>
          <cell r="N423">
            <v>44673989</v>
          </cell>
          <cell r="Y423" t="str">
            <v>주물</v>
          </cell>
          <cell r="AA423" t="str">
            <v>xx</v>
          </cell>
          <cell r="AG423" t="str">
            <v>KIA</v>
          </cell>
          <cell r="AI423" t="str">
            <v>KMO 안산2공장</v>
          </cell>
        </row>
        <row r="424">
          <cell r="A424">
            <v>394</v>
          </cell>
          <cell r="E424" t="str">
            <v>기아모텍</v>
          </cell>
          <cell r="F424" t="str">
            <v>A</v>
          </cell>
          <cell r="G424" t="str">
            <v>PRIDE 5DOOR</v>
          </cell>
          <cell r="H424" t="str">
            <v>041102240639</v>
          </cell>
          <cell r="I424" t="str">
            <v>K153 58/59 071C</v>
          </cell>
          <cell r="J424" t="str">
            <v>FRT. DOOR IN R/L</v>
          </cell>
          <cell r="K424" t="str">
            <v>금형</v>
          </cell>
          <cell r="L424" t="str">
            <v>2/5 FORM</v>
          </cell>
          <cell r="M424">
            <v>1</v>
          </cell>
          <cell r="N424">
            <v>59906975</v>
          </cell>
          <cell r="Y424" t="str">
            <v>주물</v>
          </cell>
          <cell r="AA424" t="str">
            <v>xx</v>
          </cell>
          <cell r="AG424" t="str">
            <v>KIA</v>
          </cell>
          <cell r="AI424" t="str">
            <v>KMO 안산2공장</v>
          </cell>
        </row>
        <row r="425">
          <cell r="A425">
            <v>395</v>
          </cell>
          <cell r="E425" t="str">
            <v>기아모텍</v>
          </cell>
          <cell r="F425" t="str">
            <v>A</v>
          </cell>
          <cell r="G425" t="str">
            <v>PRIDE 5DOOR</v>
          </cell>
          <cell r="H425" t="str">
            <v>041102340586</v>
          </cell>
          <cell r="I425" t="str">
            <v>K153 58/59 071C</v>
          </cell>
          <cell r="J425" t="str">
            <v>FRT. DOOR IN R/L</v>
          </cell>
          <cell r="K425" t="str">
            <v>금형</v>
          </cell>
          <cell r="L425" t="str">
            <v>5/5 RE/CAMFL</v>
          </cell>
          <cell r="M425">
            <v>1</v>
          </cell>
          <cell r="N425">
            <v>50251262</v>
          </cell>
          <cell r="Y425" t="str">
            <v>주물</v>
          </cell>
          <cell r="AA425" t="str">
            <v>xx</v>
          </cell>
          <cell r="AG425" t="str">
            <v>KIA</v>
          </cell>
          <cell r="AI425" t="str">
            <v>KMO 안산2공장</v>
          </cell>
        </row>
        <row r="426">
          <cell r="A426">
            <v>396</v>
          </cell>
          <cell r="E426" t="str">
            <v>기아모텍</v>
          </cell>
          <cell r="F426" t="str">
            <v>A</v>
          </cell>
          <cell r="G426" t="str">
            <v>PRIDE 5DOOR</v>
          </cell>
          <cell r="H426" t="str">
            <v>1C2-04-11-01-001</v>
          </cell>
          <cell r="I426" t="str">
            <v>K153 58/59 071C</v>
          </cell>
          <cell r="J426" t="str">
            <v>FRT. DOOR IN R/L</v>
          </cell>
          <cell r="K426" t="str">
            <v>금형</v>
          </cell>
          <cell r="M426">
            <v>1</v>
          </cell>
          <cell r="N426">
            <v>30000000</v>
          </cell>
          <cell r="Y426" t="str">
            <v>주물</v>
          </cell>
          <cell r="AA426" t="str">
            <v>xx</v>
          </cell>
          <cell r="AI426" t="str">
            <v>KMO 안산2공장</v>
          </cell>
          <cell r="AJ426" t="str">
            <v>신작NO</v>
          </cell>
        </row>
        <row r="427">
          <cell r="A427">
            <v>397</v>
          </cell>
          <cell r="E427" t="str">
            <v>기아모텍</v>
          </cell>
          <cell r="F427" t="str">
            <v>A</v>
          </cell>
          <cell r="G427" t="str">
            <v>PRIDE 3DOOR</v>
          </cell>
          <cell r="H427" t="str">
            <v>041102140362</v>
          </cell>
          <cell r="I427" t="str">
            <v>K153 59 031A</v>
          </cell>
          <cell r="J427" t="str">
            <v>FRT. DOOR OUT LH</v>
          </cell>
          <cell r="K427" t="str">
            <v>금형</v>
          </cell>
          <cell r="L427" t="str">
            <v>1/4 DR</v>
          </cell>
          <cell r="M427">
            <v>1</v>
          </cell>
          <cell r="N427">
            <v>74283114</v>
          </cell>
          <cell r="Y427" t="str">
            <v>주물</v>
          </cell>
          <cell r="AA427" t="str">
            <v>xx</v>
          </cell>
          <cell r="AG427" t="str">
            <v>MAZDA</v>
          </cell>
          <cell r="AI427" t="str">
            <v>KMO 안산2공장</v>
          </cell>
        </row>
        <row r="428">
          <cell r="A428">
            <v>398</v>
          </cell>
          <cell r="E428" t="str">
            <v>기아모텍</v>
          </cell>
          <cell r="F428" t="str">
            <v>A</v>
          </cell>
          <cell r="G428" t="str">
            <v>PRIDE 3DOOR</v>
          </cell>
          <cell r="H428" t="str">
            <v>041102240329</v>
          </cell>
          <cell r="I428" t="str">
            <v>K153 59 031A</v>
          </cell>
          <cell r="J428" t="str">
            <v>FRT. DOOR OUT LH</v>
          </cell>
          <cell r="K428" t="str">
            <v>금형</v>
          </cell>
          <cell r="L428" t="str">
            <v>2/4 TR&amp;PLER</v>
          </cell>
          <cell r="M428">
            <v>1</v>
          </cell>
          <cell r="N428">
            <v>70146704</v>
          </cell>
          <cell r="Y428" t="str">
            <v>주물</v>
          </cell>
          <cell r="AA428" t="str">
            <v>xx</v>
          </cell>
          <cell r="AG428" t="str">
            <v>MAZDA</v>
          </cell>
          <cell r="AI428" t="str">
            <v>KMO 안산2공장</v>
          </cell>
        </row>
        <row r="429">
          <cell r="A429">
            <v>399</v>
          </cell>
          <cell r="E429" t="str">
            <v>기아모텍</v>
          </cell>
          <cell r="F429" t="str">
            <v>A</v>
          </cell>
          <cell r="G429" t="str">
            <v>PRIDE 3DOOR</v>
          </cell>
          <cell r="H429" t="str">
            <v>041102340296</v>
          </cell>
          <cell r="I429" t="str">
            <v>K153 59 031A</v>
          </cell>
          <cell r="J429" t="str">
            <v>FRT. DOOR OUT LH</v>
          </cell>
          <cell r="K429" t="str">
            <v>금형</v>
          </cell>
          <cell r="L429" t="str">
            <v>3/4 FL&amp;PLER</v>
          </cell>
          <cell r="M429">
            <v>1</v>
          </cell>
          <cell r="N429">
            <v>66635834</v>
          </cell>
          <cell r="Y429" t="str">
            <v>주물</v>
          </cell>
          <cell r="AA429" t="str">
            <v>xx</v>
          </cell>
          <cell r="AG429" t="str">
            <v>MAZDA</v>
          </cell>
          <cell r="AI429" t="str">
            <v>KMO 안산2공장</v>
          </cell>
        </row>
        <row r="430">
          <cell r="A430">
            <v>400</v>
          </cell>
          <cell r="E430" t="str">
            <v>기아모텍</v>
          </cell>
          <cell r="F430" t="str">
            <v>A</v>
          </cell>
          <cell r="G430" t="str">
            <v>PRIDE 3DOOR</v>
          </cell>
          <cell r="H430" t="str">
            <v>041102440352</v>
          </cell>
          <cell r="I430" t="str">
            <v>K153 59 031A</v>
          </cell>
          <cell r="J430" t="str">
            <v>FRT. DOOR OUT LH</v>
          </cell>
          <cell r="K430" t="str">
            <v>금형</v>
          </cell>
          <cell r="L430" t="str">
            <v>4/4 BEND</v>
          </cell>
          <cell r="M430">
            <v>1</v>
          </cell>
          <cell r="N430">
            <v>66635834</v>
          </cell>
          <cell r="Y430" t="str">
            <v>주물</v>
          </cell>
          <cell r="AA430" t="str">
            <v>xx</v>
          </cell>
          <cell r="AG430" t="str">
            <v>MAZDA</v>
          </cell>
          <cell r="AI430" t="str">
            <v>KMO 안산2공장</v>
          </cell>
        </row>
        <row r="431">
          <cell r="A431">
            <v>401</v>
          </cell>
          <cell r="E431" t="str">
            <v>기아모텍</v>
          </cell>
          <cell r="F431" t="str">
            <v>C1</v>
          </cell>
          <cell r="G431" t="str">
            <v>PRIDE 3DOOR</v>
          </cell>
          <cell r="H431" t="str">
            <v>044101011666</v>
          </cell>
          <cell r="I431" t="str">
            <v>K153 59 031A</v>
          </cell>
          <cell r="J431" t="str">
            <v>FRT. DOOR OUT L CHECKING</v>
          </cell>
          <cell r="K431" t="str">
            <v>검사구</v>
          </cell>
          <cell r="M431">
            <v>1</v>
          </cell>
          <cell r="N431">
            <v>8981173</v>
          </cell>
          <cell r="Y431" t="str">
            <v>수지</v>
          </cell>
          <cell r="AA431" t="str">
            <v>xx</v>
          </cell>
          <cell r="AG431" t="str">
            <v>MAZDA</v>
          </cell>
          <cell r="AI431" t="str">
            <v>KMO 안산2공장</v>
          </cell>
        </row>
        <row r="432">
          <cell r="A432">
            <v>402</v>
          </cell>
          <cell r="E432" t="str">
            <v>기아모텍</v>
          </cell>
          <cell r="F432" t="str">
            <v>C1</v>
          </cell>
          <cell r="G432" t="str">
            <v>PRIDE 3DOOR</v>
          </cell>
          <cell r="H432" t="str">
            <v>044101011666</v>
          </cell>
          <cell r="I432" t="str">
            <v>K153 59 031A</v>
          </cell>
          <cell r="J432" t="str">
            <v>FRT. DOOR OUT L CHECKING</v>
          </cell>
          <cell r="K432" t="str">
            <v>검사구</v>
          </cell>
          <cell r="M432">
            <v>1</v>
          </cell>
          <cell r="N432">
            <v>8981173</v>
          </cell>
          <cell r="Y432" t="str">
            <v>수지</v>
          </cell>
          <cell r="AA432" t="str">
            <v>xx</v>
          </cell>
          <cell r="AG432" t="str">
            <v>MAZDA</v>
          </cell>
          <cell r="AI432" t="str">
            <v>KMO 안산2공장</v>
          </cell>
        </row>
        <row r="433">
          <cell r="A433">
            <v>403</v>
          </cell>
          <cell r="E433" t="str">
            <v>기아모텍</v>
          </cell>
          <cell r="F433" t="str">
            <v>A</v>
          </cell>
          <cell r="G433" t="str">
            <v>PRIDE 5DOOR</v>
          </cell>
          <cell r="H433" t="str">
            <v>041102030972</v>
          </cell>
          <cell r="I433" t="str">
            <v>K153 72/73 010</v>
          </cell>
          <cell r="J433" t="str">
            <v>RR DOOR HEM R/L</v>
          </cell>
          <cell r="K433" t="str">
            <v>금형</v>
          </cell>
          <cell r="L433" t="str">
            <v>HEM</v>
          </cell>
          <cell r="M433">
            <v>1</v>
          </cell>
          <cell r="N433">
            <v>178950342</v>
          </cell>
          <cell r="Y433" t="str">
            <v>주물</v>
          </cell>
          <cell r="AA433" t="str">
            <v>xx</v>
          </cell>
          <cell r="AB433" t="str">
            <v>88-03-31</v>
          </cell>
          <cell r="AG433" t="str">
            <v>FUJI</v>
          </cell>
          <cell r="AI433" t="str">
            <v>KMO 안산2공장</v>
          </cell>
        </row>
        <row r="434">
          <cell r="A434">
            <v>404</v>
          </cell>
          <cell r="E434" t="str">
            <v>기아모텍</v>
          </cell>
          <cell r="F434" t="str">
            <v>A</v>
          </cell>
          <cell r="G434" t="str">
            <v>PRIDE 5DOOR</v>
          </cell>
          <cell r="H434" t="str">
            <v>041102031072</v>
          </cell>
          <cell r="I434" t="str">
            <v>K153 72/73 071</v>
          </cell>
          <cell r="J434" t="str">
            <v>RR DOOR IN R/L</v>
          </cell>
          <cell r="K434" t="str">
            <v>금형</v>
          </cell>
          <cell r="L434" t="str">
            <v>1/5RE-DR</v>
          </cell>
          <cell r="M434">
            <v>1</v>
          </cell>
          <cell r="N434">
            <v>123655814</v>
          </cell>
          <cell r="Y434" t="str">
            <v>주물</v>
          </cell>
          <cell r="AA434" t="str">
            <v>xx</v>
          </cell>
          <cell r="AB434" t="str">
            <v>88-03-31</v>
          </cell>
          <cell r="AG434" t="str">
            <v>FUJI</v>
          </cell>
          <cell r="AI434" t="str">
            <v>KMO 안산2공장</v>
          </cell>
        </row>
        <row r="435">
          <cell r="A435">
            <v>405</v>
          </cell>
          <cell r="E435" t="str">
            <v>기아모텍</v>
          </cell>
          <cell r="F435" t="str">
            <v>A</v>
          </cell>
          <cell r="G435" t="str">
            <v>PRIDE 5DOOR</v>
          </cell>
          <cell r="H435" t="str">
            <v>041102031082</v>
          </cell>
          <cell r="I435" t="str">
            <v>K153 72/73 071</v>
          </cell>
          <cell r="J435" t="str">
            <v>RR DOOR IN R/L</v>
          </cell>
          <cell r="K435" t="str">
            <v>금형</v>
          </cell>
          <cell r="L435" t="str">
            <v>2/5C/PI C/CU</v>
          </cell>
          <cell r="M435">
            <v>1</v>
          </cell>
          <cell r="N435">
            <v>79162089</v>
          </cell>
          <cell r="Y435" t="str">
            <v>주물</v>
          </cell>
          <cell r="AA435" t="str">
            <v>xx</v>
          </cell>
          <cell r="AB435" t="str">
            <v>88-03-31</v>
          </cell>
          <cell r="AG435" t="str">
            <v>FUJI</v>
          </cell>
          <cell r="AI435" t="str">
            <v>KMO 안산2공장</v>
          </cell>
        </row>
        <row r="436">
          <cell r="A436">
            <v>406</v>
          </cell>
          <cell r="E436" t="str">
            <v>기아모텍</v>
          </cell>
          <cell r="F436" t="str">
            <v>A</v>
          </cell>
          <cell r="G436" t="str">
            <v>PRIDE 5DOOR</v>
          </cell>
          <cell r="H436" t="str">
            <v>041102031092</v>
          </cell>
          <cell r="I436" t="str">
            <v>K153 72/73 071</v>
          </cell>
          <cell r="J436" t="str">
            <v>RR DOOR IN R/L</v>
          </cell>
          <cell r="K436" t="str">
            <v>금형</v>
          </cell>
          <cell r="L436" t="str">
            <v>3/5C/FL C/PI</v>
          </cell>
          <cell r="M436">
            <v>1</v>
          </cell>
          <cell r="N436">
            <v>93251325</v>
          </cell>
          <cell r="Y436" t="str">
            <v>주물</v>
          </cell>
          <cell r="AA436" t="str">
            <v>xx</v>
          </cell>
          <cell r="AB436" t="str">
            <v>88-03-31</v>
          </cell>
          <cell r="AG436" t="str">
            <v>FUJI</v>
          </cell>
          <cell r="AI436" t="str">
            <v>KMO 안산2공장</v>
          </cell>
        </row>
        <row r="437">
          <cell r="A437">
            <v>407</v>
          </cell>
          <cell r="E437" t="str">
            <v>기아모텍</v>
          </cell>
          <cell r="F437" t="str">
            <v>A</v>
          </cell>
          <cell r="G437" t="str">
            <v>PRIDE 5DOOR</v>
          </cell>
          <cell r="H437" t="str">
            <v>041102031102</v>
          </cell>
          <cell r="I437" t="str">
            <v>K153 72/73 071</v>
          </cell>
          <cell r="J437" t="str">
            <v>RR DOOR IN R/L</v>
          </cell>
          <cell r="K437" t="str">
            <v>금형</v>
          </cell>
          <cell r="L437" t="str">
            <v>4/5CUT/DR</v>
          </cell>
          <cell r="M437">
            <v>1</v>
          </cell>
          <cell r="N437">
            <v>83453340</v>
          </cell>
          <cell r="Y437" t="str">
            <v>주물</v>
          </cell>
          <cell r="AA437" t="str">
            <v>xx</v>
          </cell>
          <cell r="AB437" t="str">
            <v>88-03-31</v>
          </cell>
          <cell r="AG437" t="str">
            <v>FUJI</v>
          </cell>
          <cell r="AI437" t="str">
            <v>KMO 안산2공장</v>
          </cell>
        </row>
        <row r="438">
          <cell r="A438">
            <v>408</v>
          </cell>
          <cell r="E438" t="str">
            <v>기아모텍</v>
          </cell>
          <cell r="F438" t="str">
            <v>A</v>
          </cell>
          <cell r="G438" t="str">
            <v>PRIDE 5DOOR</v>
          </cell>
          <cell r="H438" t="str">
            <v>041102031112</v>
          </cell>
          <cell r="I438" t="str">
            <v>K153 72/73 071</v>
          </cell>
          <cell r="J438" t="str">
            <v>RR DOOR IN R/L</v>
          </cell>
          <cell r="K438" t="str">
            <v>금형</v>
          </cell>
          <cell r="L438" t="str">
            <v>5/5T/SEP</v>
          </cell>
          <cell r="M438">
            <v>1</v>
          </cell>
          <cell r="N438">
            <v>71898832</v>
          </cell>
          <cell r="Y438" t="str">
            <v>주물</v>
          </cell>
          <cell r="AA438" t="str">
            <v>xx</v>
          </cell>
          <cell r="AB438" t="str">
            <v>88-03-31</v>
          </cell>
          <cell r="AG438" t="str">
            <v>FUJI</v>
          </cell>
          <cell r="AI438" t="str">
            <v>KMO 안산2공장</v>
          </cell>
        </row>
        <row r="439">
          <cell r="A439">
            <v>409</v>
          </cell>
          <cell r="E439" t="str">
            <v>기아모텍</v>
          </cell>
          <cell r="F439" t="str">
            <v>B</v>
          </cell>
          <cell r="G439" t="str">
            <v>PRIDE 5DOOR</v>
          </cell>
          <cell r="H439" t="str">
            <v>044102011215</v>
          </cell>
          <cell r="I439" t="str">
            <v>K153 72/73 071</v>
          </cell>
          <cell r="J439" t="str">
            <v>RR DOOR IN ASSY</v>
          </cell>
          <cell r="K439" t="str">
            <v>검사구</v>
          </cell>
          <cell r="M439">
            <v>2</v>
          </cell>
          <cell r="N439">
            <v>54000000</v>
          </cell>
          <cell r="Y439" t="str">
            <v>수지</v>
          </cell>
          <cell r="Z439">
            <v>0</v>
          </cell>
          <cell r="AA439" t="str">
            <v>xx</v>
          </cell>
          <cell r="AB439" t="str">
            <v>87-09-30</v>
          </cell>
          <cell r="AG439" t="str">
            <v>효진</v>
          </cell>
          <cell r="AI439" t="str">
            <v>KMO 안산2공장</v>
          </cell>
        </row>
        <row r="440">
          <cell r="A440">
            <v>409.10000610351563</v>
          </cell>
          <cell r="E440" t="str">
            <v>기아모텍</v>
          </cell>
          <cell r="F440" t="str">
            <v>C1</v>
          </cell>
          <cell r="G440" t="str">
            <v>PRIDE 5DOOR</v>
          </cell>
          <cell r="H440" t="str">
            <v>044102011215</v>
          </cell>
          <cell r="I440" t="str">
            <v>K153 72/73 071</v>
          </cell>
          <cell r="J440" t="str">
            <v>RR DOOR IN ASSY</v>
          </cell>
          <cell r="K440" t="str">
            <v>검사구</v>
          </cell>
          <cell r="M440">
            <v>1</v>
          </cell>
          <cell r="Y440" t="str">
            <v>수지</v>
          </cell>
          <cell r="Z440">
            <v>0</v>
          </cell>
          <cell r="AA440" t="str">
            <v>xx</v>
          </cell>
          <cell r="AB440" t="str">
            <v>87-09-30</v>
          </cell>
          <cell r="AG440" t="str">
            <v>효진</v>
          </cell>
          <cell r="AI440" t="str">
            <v>KMO 안산2공장</v>
          </cell>
        </row>
        <row r="441">
          <cell r="A441">
            <v>409.20001220703125</v>
          </cell>
          <cell r="E441" t="str">
            <v>기아모텍</v>
          </cell>
          <cell r="F441" t="str">
            <v>C1</v>
          </cell>
          <cell r="G441" t="str">
            <v>PRIDE 5DOOR</v>
          </cell>
          <cell r="H441" t="str">
            <v>044102011215</v>
          </cell>
          <cell r="I441" t="str">
            <v>K153 72/73 071</v>
          </cell>
          <cell r="J441" t="str">
            <v>RR DOOR IN ASSY</v>
          </cell>
          <cell r="K441" t="str">
            <v>검사구</v>
          </cell>
          <cell r="M441">
            <v>1</v>
          </cell>
          <cell r="Y441" t="str">
            <v>수지</v>
          </cell>
          <cell r="Z441">
            <v>0</v>
          </cell>
          <cell r="AA441" t="str">
            <v>xx</v>
          </cell>
          <cell r="AB441" t="str">
            <v>87-09-30</v>
          </cell>
          <cell r="AG441" t="str">
            <v>효진</v>
          </cell>
          <cell r="AI441" t="str">
            <v>KMO 안산2공장</v>
          </cell>
        </row>
        <row r="442">
          <cell r="A442">
            <v>410</v>
          </cell>
          <cell r="E442" t="str">
            <v>기아모텍</v>
          </cell>
          <cell r="F442" t="str">
            <v>A</v>
          </cell>
          <cell r="G442" t="str">
            <v>PRIDE P-CAR</v>
          </cell>
          <cell r="H442" t="str">
            <v>044101015806</v>
          </cell>
          <cell r="I442" t="str">
            <v>K198 50 031</v>
          </cell>
          <cell r="J442" t="str">
            <v>FRT.BUMPER FACE(총합)</v>
          </cell>
          <cell r="K442" t="str">
            <v>검사구</v>
          </cell>
          <cell r="M442">
            <v>1</v>
          </cell>
          <cell r="N442">
            <v>5500000</v>
          </cell>
          <cell r="Y442" t="str">
            <v>수지</v>
          </cell>
          <cell r="Z442">
            <v>2.225475E-2</v>
          </cell>
          <cell r="AA442" t="str">
            <v>1250x450x420</v>
          </cell>
          <cell r="AB442" t="str">
            <v>90-12-31</v>
          </cell>
          <cell r="AG442" t="str">
            <v>효진기기</v>
          </cell>
          <cell r="AI442" t="str">
            <v>KMO 광주공장</v>
          </cell>
        </row>
        <row r="443">
          <cell r="A443">
            <v>411</v>
          </cell>
          <cell r="E443" t="str">
            <v>기아모텍</v>
          </cell>
          <cell r="F443" t="str">
            <v>A</v>
          </cell>
          <cell r="G443" t="str">
            <v>PRIDE P-CAR</v>
          </cell>
          <cell r="H443" t="str">
            <v>044101015816</v>
          </cell>
          <cell r="I443" t="str">
            <v>K198 50 221</v>
          </cell>
          <cell r="J443" t="str">
            <v>Rr.BUMPER FACE(총합)</v>
          </cell>
          <cell r="K443" t="str">
            <v>검사구</v>
          </cell>
          <cell r="M443">
            <v>1</v>
          </cell>
          <cell r="N443">
            <v>4000000</v>
          </cell>
          <cell r="Y443" t="str">
            <v>수지</v>
          </cell>
          <cell r="Z443">
            <v>2.225475E-2</v>
          </cell>
          <cell r="AA443" t="str">
            <v>1250x450x420</v>
          </cell>
          <cell r="AB443" t="str">
            <v>90-12-31</v>
          </cell>
          <cell r="AG443" t="str">
            <v>효진기기</v>
          </cell>
          <cell r="AI443" t="str">
            <v>KMO 광주공장</v>
          </cell>
        </row>
        <row r="444">
          <cell r="A444">
            <v>412</v>
          </cell>
          <cell r="E444" t="str">
            <v>기아모텍</v>
          </cell>
          <cell r="F444" t="str">
            <v>A</v>
          </cell>
          <cell r="G444" t="str">
            <v>SEPHIA</v>
          </cell>
          <cell r="H444" t="str">
            <v>044101018334</v>
          </cell>
          <cell r="I444" t="str">
            <v>K2A1 55 100</v>
          </cell>
          <cell r="J444" t="str">
            <v>S-2 IN PANEL검사구</v>
          </cell>
          <cell r="K444" t="str">
            <v>검사구</v>
          </cell>
          <cell r="M444">
            <v>1</v>
          </cell>
          <cell r="N444">
            <v>30300000</v>
          </cell>
          <cell r="AA444" t="str">
            <v>xx</v>
          </cell>
          <cell r="AG444" t="str">
            <v>영광정밀기계</v>
          </cell>
          <cell r="AJ444" t="str">
            <v>KMC 조립 ITEM</v>
          </cell>
          <cell r="AK444" t="str">
            <v>당사품이 아님</v>
          </cell>
        </row>
        <row r="445">
          <cell r="A445">
            <v>413</v>
          </cell>
          <cell r="E445" t="str">
            <v>기아모텍</v>
          </cell>
          <cell r="F445" t="str">
            <v>A</v>
          </cell>
          <cell r="G445" t="str">
            <v>B-3</v>
          </cell>
          <cell r="H445" t="str">
            <v>041110015395</v>
          </cell>
          <cell r="I445" t="str">
            <v>K30A 53 81Z</v>
          </cell>
          <cell r="J445" t="str">
            <v>B/K HOSE</v>
          </cell>
          <cell r="K445" t="str">
            <v>금형</v>
          </cell>
          <cell r="L445" t="str">
            <v>BL/PI</v>
          </cell>
          <cell r="M445">
            <v>1</v>
          </cell>
          <cell r="N445">
            <v>1162000</v>
          </cell>
          <cell r="Y445" t="str">
            <v>STEEL</v>
          </cell>
          <cell r="Z445">
            <v>2.1194999999999999E-2</v>
          </cell>
          <cell r="AA445" t="str">
            <v>200x150x150</v>
          </cell>
          <cell r="AB445" t="str">
            <v>98-3</v>
          </cell>
          <cell r="AG445" t="str">
            <v>기아모텍</v>
          </cell>
          <cell r="AI445" t="str">
            <v>풍원산업</v>
          </cell>
        </row>
        <row r="446">
          <cell r="A446">
            <v>414</v>
          </cell>
          <cell r="E446" t="str">
            <v>기아모텍</v>
          </cell>
          <cell r="F446" t="str">
            <v>A</v>
          </cell>
          <cell r="G446" t="str">
            <v>B-3</v>
          </cell>
          <cell r="H446" t="str">
            <v>041110015395</v>
          </cell>
          <cell r="I446" t="str">
            <v>K30A 53 81Z</v>
          </cell>
          <cell r="J446" t="str">
            <v>B/K HOSE</v>
          </cell>
          <cell r="K446" t="str">
            <v>금형</v>
          </cell>
          <cell r="L446" t="str">
            <v>PG</v>
          </cell>
          <cell r="M446">
            <v>1</v>
          </cell>
          <cell r="N446">
            <v>1542000</v>
          </cell>
          <cell r="Y446" t="str">
            <v>STEEL</v>
          </cell>
          <cell r="Z446">
            <v>2.1194999999999999E-2</v>
          </cell>
          <cell r="AA446" t="str">
            <v>200x150x150</v>
          </cell>
          <cell r="AB446" t="str">
            <v>98-3</v>
          </cell>
          <cell r="AG446" t="str">
            <v>기아모텍</v>
          </cell>
          <cell r="AI446" t="str">
            <v>풍원산업</v>
          </cell>
        </row>
        <row r="447">
          <cell r="A447">
            <v>415</v>
          </cell>
          <cell r="E447" t="str">
            <v>기아모텍</v>
          </cell>
          <cell r="F447" t="str">
            <v>A</v>
          </cell>
          <cell r="G447" t="str">
            <v>B-3</v>
          </cell>
          <cell r="H447" t="str">
            <v>041110011725</v>
          </cell>
          <cell r="I447" t="str">
            <v>K30A 53/54 811</v>
          </cell>
          <cell r="J447" t="str">
            <v>RR SIDE FRAME R/L</v>
          </cell>
          <cell r="K447" t="str">
            <v>금형</v>
          </cell>
          <cell r="L447" t="str">
            <v>TR/PI</v>
          </cell>
          <cell r="M447">
            <v>2</v>
          </cell>
          <cell r="N447">
            <v>96105000</v>
          </cell>
          <cell r="Y447" t="str">
            <v>주물</v>
          </cell>
          <cell r="Z447">
            <v>8.2896000000000001</v>
          </cell>
          <cell r="AA447" t="str">
            <v>2000x1000x880</v>
          </cell>
          <cell r="AB447" t="str">
            <v>98-2</v>
          </cell>
          <cell r="AG447" t="str">
            <v>기아모텍</v>
          </cell>
          <cell r="AI447" t="str">
            <v>대부정공</v>
          </cell>
        </row>
        <row r="448">
          <cell r="A448">
            <v>415.10000610351563</v>
          </cell>
          <cell r="E448" t="str">
            <v>기아모텍</v>
          </cell>
          <cell r="F448" t="str">
            <v>A</v>
          </cell>
          <cell r="G448" t="str">
            <v>B-3</v>
          </cell>
          <cell r="H448" t="str">
            <v>041110011725</v>
          </cell>
          <cell r="I448" t="str">
            <v>K30A 53 811</v>
          </cell>
          <cell r="J448" t="str">
            <v>RR SIDE FRAME RH</v>
          </cell>
          <cell r="K448" t="str">
            <v>금형</v>
          </cell>
          <cell r="L448" t="str">
            <v>TR/PI</v>
          </cell>
          <cell r="M448">
            <v>1</v>
          </cell>
          <cell r="Y448" t="str">
            <v>주물</v>
          </cell>
          <cell r="Z448">
            <v>8.2896000000000001</v>
          </cell>
          <cell r="AA448" t="str">
            <v>2000x1000x880</v>
          </cell>
          <cell r="AB448" t="str">
            <v>98-2</v>
          </cell>
          <cell r="AG448" t="str">
            <v>기아모텍</v>
          </cell>
          <cell r="AI448" t="str">
            <v>대부정공</v>
          </cell>
        </row>
        <row r="449">
          <cell r="A449">
            <v>415.20001220703125</v>
          </cell>
          <cell r="E449" t="str">
            <v>기아모텍</v>
          </cell>
          <cell r="F449" t="str">
            <v>A</v>
          </cell>
          <cell r="G449" t="str">
            <v>B-3</v>
          </cell>
          <cell r="H449" t="str">
            <v>041110011725</v>
          </cell>
          <cell r="I449" t="str">
            <v>K30A 54 811</v>
          </cell>
          <cell r="J449" t="str">
            <v>RR SIDE FRAME LH</v>
          </cell>
          <cell r="K449" t="str">
            <v>금형</v>
          </cell>
          <cell r="L449" t="str">
            <v>TR/PI</v>
          </cell>
          <cell r="M449">
            <v>1</v>
          </cell>
          <cell r="Y449" t="str">
            <v>주물</v>
          </cell>
          <cell r="Z449">
            <v>8.2896000000000001</v>
          </cell>
          <cell r="AA449" t="str">
            <v>2000x1000x880</v>
          </cell>
          <cell r="AB449" t="str">
            <v>98-2</v>
          </cell>
          <cell r="AG449" t="str">
            <v>기아모텍</v>
          </cell>
          <cell r="AI449" t="str">
            <v>대부정공</v>
          </cell>
        </row>
        <row r="450">
          <cell r="A450">
            <v>416</v>
          </cell>
          <cell r="E450" t="str">
            <v>기아모텍</v>
          </cell>
          <cell r="F450" t="str">
            <v>A</v>
          </cell>
          <cell r="G450" t="str">
            <v>B-3</v>
          </cell>
          <cell r="H450" t="str">
            <v>041110011725</v>
          </cell>
          <cell r="I450" t="str">
            <v>K30A 53/54 811</v>
          </cell>
          <cell r="J450" t="str">
            <v>RR SIDE FRAME R/L</v>
          </cell>
          <cell r="K450" t="str">
            <v>금형</v>
          </cell>
          <cell r="L450" t="str">
            <v>C/CT,C/</v>
          </cell>
          <cell r="M450">
            <v>2</v>
          </cell>
          <cell r="N450">
            <v>97500000</v>
          </cell>
          <cell r="Y450" t="str">
            <v>주물</v>
          </cell>
          <cell r="Z450">
            <v>9.1185599999999987</v>
          </cell>
          <cell r="AA450" t="str">
            <v>2000x1100x880</v>
          </cell>
          <cell r="AB450" t="str">
            <v>98-2</v>
          </cell>
          <cell r="AG450" t="str">
            <v>기아모텍</v>
          </cell>
          <cell r="AI450" t="str">
            <v>대부정공</v>
          </cell>
        </row>
        <row r="451">
          <cell r="A451">
            <v>416.10000610351563</v>
          </cell>
          <cell r="E451" t="str">
            <v>기아모텍</v>
          </cell>
          <cell r="F451" t="str">
            <v>A</v>
          </cell>
          <cell r="G451" t="str">
            <v>B-3</v>
          </cell>
          <cell r="H451" t="str">
            <v>041110011725</v>
          </cell>
          <cell r="I451" t="str">
            <v>K30A 53 811</v>
          </cell>
          <cell r="J451" t="str">
            <v>RR SIDE FRAME RH</v>
          </cell>
          <cell r="K451" t="str">
            <v>금형</v>
          </cell>
          <cell r="L451" t="str">
            <v>C/CT,C/</v>
          </cell>
          <cell r="M451">
            <v>1</v>
          </cell>
          <cell r="Y451" t="str">
            <v>주물</v>
          </cell>
          <cell r="Z451">
            <v>8.2896000000000001</v>
          </cell>
          <cell r="AA451" t="str">
            <v>2000x1000x880</v>
          </cell>
          <cell r="AB451" t="str">
            <v>98-2</v>
          </cell>
          <cell r="AG451" t="str">
            <v>기아모텍</v>
          </cell>
          <cell r="AI451" t="str">
            <v>대부정공</v>
          </cell>
        </row>
        <row r="452">
          <cell r="A452">
            <v>416.20001220703125</v>
          </cell>
          <cell r="E452" t="str">
            <v>기아모텍</v>
          </cell>
          <cell r="F452" t="str">
            <v>A</v>
          </cell>
          <cell r="G452" t="str">
            <v>B-3</v>
          </cell>
          <cell r="H452" t="str">
            <v>041110011725</v>
          </cell>
          <cell r="I452" t="str">
            <v>K30A 54 811</v>
          </cell>
          <cell r="J452" t="str">
            <v>RR SIDE FRAME LH</v>
          </cell>
          <cell r="K452" t="str">
            <v>금형</v>
          </cell>
          <cell r="L452" t="str">
            <v>C/CT,C/</v>
          </cell>
          <cell r="M452">
            <v>1</v>
          </cell>
          <cell r="Y452" t="str">
            <v>주물</v>
          </cell>
          <cell r="Z452">
            <v>8.2896000000000001</v>
          </cell>
          <cell r="AA452" t="str">
            <v>2000x1000x880</v>
          </cell>
          <cell r="AB452" t="str">
            <v>98-2</v>
          </cell>
          <cell r="AG452" t="str">
            <v>기아모텍</v>
          </cell>
          <cell r="AI452" t="str">
            <v>대부정공</v>
          </cell>
        </row>
        <row r="453">
          <cell r="A453">
            <v>417</v>
          </cell>
          <cell r="E453" t="str">
            <v>기아모텍</v>
          </cell>
          <cell r="F453" t="str">
            <v>A</v>
          </cell>
          <cell r="G453" t="str">
            <v>B-3</v>
          </cell>
          <cell r="H453" t="str">
            <v>041110011725</v>
          </cell>
          <cell r="I453" t="str">
            <v>K30A 53/54 811</v>
          </cell>
          <cell r="J453" t="str">
            <v>RR SIDE FRAME R/L</v>
          </cell>
          <cell r="K453" t="str">
            <v>금형</v>
          </cell>
          <cell r="L453" t="str">
            <v>C/FL,C/</v>
          </cell>
          <cell r="M453">
            <v>2</v>
          </cell>
          <cell r="N453">
            <v>98000000</v>
          </cell>
          <cell r="Y453" t="str">
            <v>주물</v>
          </cell>
          <cell r="Z453">
            <v>9.9475200000000008</v>
          </cell>
          <cell r="AA453" t="str">
            <v>2000x1200x880</v>
          </cell>
          <cell r="AB453" t="str">
            <v>98-2</v>
          </cell>
          <cell r="AG453" t="str">
            <v>기아모텍</v>
          </cell>
          <cell r="AI453" t="str">
            <v>대부정공</v>
          </cell>
        </row>
        <row r="454">
          <cell r="A454">
            <v>417.10000610351563</v>
          </cell>
          <cell r="E454" t="str">
            <v>기아모텍</v>
          </cell>
          <cell r="F454" t="str">
            <v>A</v>
          </cell>
          <cell r="G454" t="str">
            <v>B-3</v>
          </cell>
          <cell r="H454" t="str">
            <v>041110011725</v>
          </cell>
          <cell r="I454" t="str">
            <v>K30A 53 811</v>
          </cell>
          <cell r="J454" t="str">
            <v>RR SIDE FRAME RH</v>
          </cell>
          <cell r="K454" t="str">
            <v>금형</v>
          </cell>
          <cell r="L454" t="str">
            <v>C/FL,C/</v>
          </cell>
          <cell r="M454">
            <v>1</v>
          </cell>
          <cell r="Y454" t="str">
            <v>주물</v>
          </cell>
          <cell r="Z454">
            <v>8.2896000000000001</v>
          </cell>
          <cell r="AA454" t="str">
            <v>2000x1000x880</v>
          </cell>
          <cell r="AB454" t="str">
            <v>98-2</v>
          </cell>
          <cell r="AG454" t="str">
            <v>기아모텍</v>
          </cell>
          <cell r="AI454" t="str">
            <v>대부정공</v>
          </cell>
        </row>
        <row r="455">
          <cell r="A455">
            <v>417.20001220703125</v>
          </cell>
          <cell r="E455" t="str">
            <v>기아모텍</v>
          </cell>
          <cell r="F455" t="str">
            <v>A</v>
          </cell>
          <cell r="G455" t="str">
            <v>B-3</v>
          </cell>
          <cell r="H455" t="str">
            <v>041110011725</v>
          </cell>
          <cell r="I455" t="str">
            <v>K30A 54 811</v>
          </cell>
          <cell r="J455" t="str">
            <v>RR SIDE FRAME LH</v>
          </cell>
          <cell r="K455" t="str">
            <v>금형</v>
          </cell>
          <cell r="L455" t="str">
            <v>C/FL,C/</v>
          </cell>
          <cell r="M455">
            <v>1</v>
          </cell>
          <cell r="Y455" t="str">
            <v>주물</v>
          </cell>
          <cell r="Z455">
            <v>8.2896000000000001</v>
          </cell>
          <cell r="AA455" t="str">
            <v>2000x1000x880</v>
          </cell>
          <cell r="AB455" t="str">
            <v>98-2</v>
          </cell>
          <cell r="AG455" t="str">
            <v>기아모텍</v>
          </cell>
          <cell r="AI455" t="str">
            <v>대부정공</v>
          </cell>
        </row>
        <row r="456">
          <cell r="A456">
            <v>418</v>
          </cell>
          <cell r="E456" t="str">
            <v>기아모텍</v>
          </cell>
          <cell r="F456" t="str">
            <v>A</v>
          </cell>
          <cell r="G456" t="str">
            <v>B-3</v>
          </cell>
          <cell r="H456" t="str">
            <v>041110011725</v>
          </cell>
          <cell r="I456" t="str">
            <v>K30A 53/54 811</v>
          </cell>
          <cell r="J456" t="str">
            <v>RR SIDE FRAME R/L</v>
          </cell>
          <cell r="K456" t="str">
            <v>금형</v>
          </cell>
          <cell r="L456" t="str">
            <v>FL</v>
          </cell>
          <cell r="M456">
            <v>2</v>
          </cell>
          <cell r="N456">
            <v>98500000</v>
          </cell>
          <cell r="Y456" t="str">
            <v>주물</v>
          </cell>
          <cell r="Z456">
            <v>7.4606399999999997</v>
          </cell>
          <cell r="AA456" t="str">
            <v>1800x1000x880</v>
          </cell>
          <cell r="AB456" t="str">
            <v>98-2</v>
          </cell>
          <cell r="AG456" t="str">
            <v>기아모텍</v>
          </cell>
          <cell r="AI456" t="str">
            <v>대부정공</v>
          </cell>
        </row>
        <row r="457">
          <cell r="A457">
            <v>418.10000610351563</v>
          </cell>
          <cell r="E457" t="str">
            <v>기아모텍</v>
          </cell>
          <cell r="F457" t="str">
            <v>A</v>
          </cell>
          <cell r="G457" t="str">
            <v>B-3</v>
          </cell>
          <cell r="H457" t="str">
            <v>041110011725</v>
          </cell>
          <cell r="I457" t="str">
            <v>K30A 53 811</v>
          </cell>
          <cell r="J457" t="str">
            <v>RR SIDE FRAME RH</v>
          </cell>
          <cell r="K457" t="str">
            <v>금형</v>
          </cell>
          <cell r="L457" t="str">
            <v>FL</v>
          </cell>
          <cell r="M457">
            <v>1</v>
          </cell>
          <cell r="Y457" t="str">
            <v>주물</v>
          </cell>
          <cell r="Z457">
            <v>8.2896000000000001</v>
          </cell>
          <cell r="AA457" t="str">
            <v>2000x1000x880</v>
          </cell>
          <cell r="AB457" t="str">
            <v>98-2</v>
          </cell>
          <cell r="AG457" t="str">
            <v>기아모텍</v>
          </cell>
          <cell r="AI457" t="str">
            <v>대부정공</v>
          </cell>
        </row>
        <row r="458">
          <cell r="A458">
            <v>418.20001220703125</v>
          </cell>
          <cell r="E458" t="str">
            <v>기아모텍</v>
          </cell>
          <cell r="F458" t="str">
            <v>A</v>
          </cell>
          <cell r="G458" t="str">
            <v>B-3</v>
          </cell>
          <cell r="H458" t="str">
            <v>041110011725</v>
          </cell>
          <cell r="I458" t="str">
            <v>K30A 54 811</v>
          </cell>
          <cell r="J458" t="str">
            <v>RR SIDE FRAME LH</v>
          </cell>
          <cell r="K458" t="str">
            <v>금형</v>
          </cell>
          <cell r="L458" t="str">
            <v>FL</v>
          </cell>
          <cell r="M458">
            <v>1</v>
          </cell>
          <cell r="Y458" t="str">
            <v>주물</v>
          </cell>
          <cell r="Z458">
            <v>8.2896000000000001</v>
          </cell>
          <cell r="AA458" t="str">
            <v>2000x1000x880</v>
          </cell>
          <cell r="AB458" t="str">
            <v>98-2</v>
          </cell>
          <cell r="AG458" t="str">
            <v>기아모텍</v>
          </cell>
          <cell r="AI458" t="str">
            <v>대부정공</v>
          </cell>
        </row>
        <row r="459">
          <cell r="A459">
            <v>419</v>
          </cell>
          <cell r="E459" t="str">
            <v>기아모텍</v>
          </cell>
          <cell r="F459" t="str">
            <v>A</v>
          </cell>
          <cell r="G459" t="str">
            <v>B-3</v>
          </cell>
          <cell r="H459" t="str">
            <v>041110011725</v>
          </cell>
          <cell r="I459" t="str">
            <v>K30A 53/54 811</v>
          </cell>
          <cell r="J459" t="str">
            <v>RR SIDE FRAME R/L</v>
          </cell>
          <cell r="K459" t="str">
            <v>금형</v>
          </cell>
          <cell r="L459" t="str">
            <v>DR</v>
          </cell>
          <cell r="M459">
            <v>2</v>
          </cell>
          <cell r="N459">
            <v>145000000</v>
          </cell>
          <cell r="Y459" t="str">
            <v>주물</v>
          </cell>
          <cell r="Z459">
            <v>9.1185599999999987</v>
          </cell>
          <cell r="AA459" t="str">
            <v>2000x1100x880</v>
          </cell>
          <cell r="AB459" t="str">
            <v>98-2</v>
          </cell>
          <cell r="AG459" t="str">
            <v>기아모텍</v>
          </cell>
          <cell r="AI459" t="str">
            <v>대부정공</v>
          </cell>
        </row>
        <row r="460">
          <cell r="A460">
            <v>419.10000610351563</v>
          </cell>
          <cell r="E460" t="str">
            <v>기아모텍</v>
          </cell>
          <cell r="F460" t="str">
            <v>A</v>
          </cell>
          <cell r="G460" t="str">
            <v>B-3</v>
          </cell>
          <cell r="H460" t="str">
            <v>041110011725</v>
          </cell>
          <cell r="I460" t="str">
            <v>K30A 53 811</v>
          </cell>
          <cell r="J460" t="str">
            <v>RR SIDE FRAME RH</v>
          </cell>
          <cell r="K460" t="str">
            <v>금형</v>
          </cell>
          <cell r="L460" t="str">
            <v>DR</v>
          </cell>
          <cell r="M460">
            <v>1</v>
          </cell>
          <cell r="Y460" t="str">
            <v>주물</v>
          </cell>
          <cell r="Z460">
            <v>8.2896000000000001</v>
          </cell>
          <cell r="AA460" t="str">
            <v>2000x1000x880</v>
          </cell>
          <cell r="AB460" t="str">
            <v>98-2</v>
          </cell>
          <cell r="AG460" t="str">
            <v>기아모텍</v>
          </cell>
          <cell r="AI460" t="str">
            <v>대부정공</v>
          </cell>
        </row>
        <row r="461">
          <cell r="A461">
            <v>419.29998779296875</v>
          </cell>
          <cell r="E461" t="str">
            <v>기아모텍</v>
          </cell>
          <cell r="F461" t="str">
            <v>A</v>
          </cell>
          <cell r="G461" t="str">
            <v>B-3</v>
          </cell>
          <cell r="H461" t="str">
            <v>041110011725</v>
          </cell>
          <cell r="I461" t="str">
            <v>K30A 54 811</v>
          </cell>
          <cell r="J461" t="str">
            <v>RR SIDE FRAME LH</v>
          </cell>
          <cell r="K461" t="str">
            <v>금형</v>
          </cell>
          <cell r="L461" t="str">
            <v>DR</v>
          </cell>
          <cell r="M461">
            <v>1</v>
          </cell>
          <cell r="Y461" t="str">
            <v>주물</v>
          </cell>
          <cell r="Z461">
            <v>8.2896000000000001</v>
          </cell>
          <cell r="AA461" t="str">
            <v>2000x1000x880</v>
          </cell>
          <cell r="AB461" t="str">
            <v>98-2</v>
          </cell>
          <cell r="AG461" t="str">
            <v>기아모텍</v>
          </cell>
          <cell r="AI461" t="str">
            <v>대부정공</v>
          </cell>
        </row>
        <row r="462">
          <cell r="A462">
            <v>420</v>
          </cell>
          <cell r="E462" t="str">
            <v>기아모텍</v>
          </cell>
          <cell r="F462" t="str">
            <v>A</v>
          </cell>
          <cell r="G462" t="str">
            <v>B-3</v>
          </cell>
          <cell r="H462" t="str">
            <v>041110015405</v>
          </cell>
          <cell r="I462" t="str">
            <v>K30A 53/54 812</v>
          </cell>
          <cell r="J462" t="str">
            <v>S/SIDE IN RR R/L</v>
          </cell>
          <cell r="K462" t="str">
            <v>금형</v>
          </cell>
          <cell r="L462" t="str">
            <v>BL</v>
          </cell>
          <cell r="M462">
            <v>1</v>
          </cell>
          <cell r="N462">
            <v>24757000</v>
          </cell>
          <cell r="Y462" t="str">
            <v>주물</v>
          </cell>
          <cell r="Z462">
            <v>7.2910799999999991</v>
          </cell>
          <cell r="AA462" t="str">
            <v>2150x1000x720</v>
          </cell>
          <cell r="AB462" t="str">
            <v>98-3</v>
          </cell>
          <cell r="AG462" t="str">
            <v>기아모텍</v>
          </cell>
          <cell r="AI462" t="str">
            <v>대륭강업</v>
          </cell>
        </row>
        <row r="463">
          <cell r="A463">
            <v>421</v>
          </cell>
          <cell r="E463" t="str">
            <v>기아모텍</v>
          </cell>
          <cell r="F463" t="str">
            <v>A</v>
          </cell>
          <cell r="G463" t="str">
            <v>B-3</v>
          </cell>
          <cell r="H463" t="str">
            <v>041110015405</v>
          </cell>
          <cell r="I463" t="str">
            <v>K30A 53/54 812</v>
          </cell>
          <cell r="J463" t="str">
            <v>S/SIDE IN RR R/L</v>
          </cell>
          <cell r="K463" t="str">
            <v>금형</v>
          </cell>
          <cell r="L463" t="str">
            <v>RE/C-PI</v>
          </cell>
          <cell r="M463">
            <v>1</v>
          </cell>
          <cell r="N463">
            <v>24852000</v>
          </cell>
          <cell r="Y463" t="str">
            <v>주물</v>
          </cell>
          <cell r="Z463">
            <v>4.8019391999999996</v>
          </cell>
          <cell r="AA463" t="str">
            <v>1770x800x720</v>
          </cell>
          <cell r="AB463" t="str">
            <v>98-3</v>
          </cell>
          <cell r="AG463" t="str">
            <v>기아모텍</v>
          </cell>
          <cell r="AI463" t="str">
            <v>대륭강업</v>
          </cell>
        </row>
        <row r="464">
          <cell r="A464">
            <v>422</v>
          </cell>
          <cell r="E464" t="str">
            <v>기아모텍</v>
          </cell>
          <cell r="F464" t="str">
            <v>A</v>
          </cell>
          <cell r="G464" t="str">
            <v>B-3</v>
          </cell>
          <cell r="H464" t="str">
            <v>041110015405</v>
          </cell>
          <cell r="I464" t="str">
            <v>K30A 53/54 812</v>
          </cell>
          <cell r="J464" t="str">
            <v>S/SIDE IN RR R/L</v>
          </cell>
          <cell r="K464" t="str">
            <v>금형</v>
          </cell>
          <cell r="L464" t="str">
            <v>SEP/C-CUT</v>
          </cell>
          <cell r="M464">
            <v>1</v>
          </cell>
          <cell r="N464">
            <v>25290000</v>
          </cell>
          <cell r="Y464" t="str">
            <v>주물</v>
          </cell>
          <cell r="Z464">
            <v>5.6741558400000001</v>
          </cell>
          <cell r="AA464" t="str">
            <v>1780x940x720</v>
          </cell>
          <cell r="AB464" t="str">
            <v>98-3</v>
          </cell>
          <cell r="AG464" t="str">
            <v>기아모텍</v>
          </cell>
          <cell r="AI464" t="str">
            <v>대륭강업</v>
          </cell>
        </row>
        <row r="465">
          <cell r="A465">
            <v>423</v>
          </cell>
          <cell r="E465" t="str">
            <v>기아모텍</v>
          </cell>
          <cell r="F465" t="str">
            <v>A</v>
          </cell>
          <cell r="G465" t="str">
            <v>B-3</v>
          </cell>
          <cell r="H465" t="str">
            <v>041110015405</v>
          </cell>
          <cell r="I465" t="str">
            <v>K30A 53/54 812</v>
          </cell>
          <cell r="J465" t="str">
            <v>S/SIDE IN RR R/L</v>
          </cell>
          <cell r="K465" t="str">
            <v>금형</v>
          </cell>
          <cell r="L465" t="str">
            <v>TR/PI</v>
          </cell>
          <cell r="M465">
            <v>1</v>
          </cell>
          <cell r="N465">
            <v>26278000</v>
          </cell>
          <cell r="Y465" t="str">
            <v>주물</v>
          </cell>
          <cell r="Z465">
            <v>5.8036996799999994</v>
          </cell>
          <cell r="AA465" t="str">
            <v>1990x860x720</v>
          </cell>
          <cell r="AB465" t="str">
            <v>98-3</v>
          </cell>
          <cell r="AG465" t="str">
            <v>기아모텍</v>
          </cell>
          <cell r="AI465" t="str">
            <v>대륭강업</v>
          </cell>
        </row>
        <row r="466">
          <cell r="A466">
            <v>424</v>
          </cell>
          <cell r="E466" t="str">
            <v>기아모텍</v>
          </cell>
          <cell r="F466" t="str">
            <v>A</v>
          </cell>
          <cell r="G466" t="str">
            <v>B-3</v>
          </cell>
          <cell r="H466" t="str">
            <v>041110015405</v>
          </cell>
          <cell r="I466" t="str">
            <v>K30A 53/54 812</v>
          </cell>
          <cell r="J466" t="str">
            <v>S/SIDE IN RR R/L</v>
          </cell>
          <cell r="K466" t="str">
            <v>금형</v>
          </cell>
          <cell r="L466" t="str">
            <v>DR</v>
          </cell>
          <cell r="M466">
            <v>1</v>
          </cell>
          <cell r="N466">
            <v>48932000</v>
          </cell>
          <cell r="Y466" t="str">
            <v>주물</v>
          </cell>
          <cell r="Z466">
            <v>5.9891983199999999</v>
          </cell>
          <cell r="AA466" t="str">
            <v>2030x870x720</v>
          </cell>
          <cell r="AB466" t="str">
            <v>98-3</v>
          </cell>
          <cell r="AG466" t="str">
            <v>기아모텍</v>
          </cell>
          <cell r="AI466" t="str">
            <v>대륭강업</v>
          </cell>
        </row>
        <row r="467">
          <cell r="A467">
            <v>425</v>
          </cell>
          <cell r="E467" t="str">
            <v>기아모텍</v>
          </cell>
          <cell r="F467" t="str">
            <v>A</v>
          </cell>
          <cell r="G467" t="str">
            <v>B-3</v>
          </cell>
          <cell r="H467" t="str">
            <v>041110015415</v>
          </cell>
          <cell r="I467" t="str">
            <v>K30A 53/54 841</v>
          </cell>
          <cell r="J467" t="str">
            <v>R/F RR S/FRAME R/L</v>
          </cell>
          <cell r="K467" t="str">
            <v>금형</v>
          </cell>
          <cell r="L467" t="str">
            <v>TR/PI-C</v>
          </cell>
          <cell r="M467">
            <v>2</v>
          </cell>
          <cell r="N467">
            <v>67369000</v>
          </cell>
          <cell r="Y467" t="str">
            <v>주물</v>
          </cell>
          <cell r="Z467">
            <v>8.4995341199999999</v>
          </cell>
          <cell r="AA467" t="str">
            <v>1980x930x980</v>
          </cell>
          <cell r="AB467" t="str">
            <v>98-3</v>
          </cell>
          <cell r="AG467" t="str">
            <v>기아모텍</v>
          </cell>
          <cell r="AI467" t="str">
            <v>대부정공</v>
          </cell>
        </row>
        <row r="468">
          <cell r="A468">
            <v>425.10000610351563</v>
          </cell>
          <cell r="E468" t="str">
            <v>기아모텍</v>
          </cell>
          <cell r="F468" t="str">
            <v>A</v>
          </cell>
          <cell r="G468" t="str">
            <v>B-3</v>
          </cell>
          <cell r="H468" t="str">
            <v>041110015415</v>
          </cell>
          <cell r="I468" t="str">
            <v>K30A 53 841</v>
          </cell>
          <cell r="J468" t="str">
            <v>R/F RR S/FRAME RH</v>
          </cell>
          <cell r="K468" t="str">
            <v>금형</v>
          </cell>
          <cell r="L468" t="str">
            <v>TR/PI-C</v>
          </cell>
          <cell r="M468">
            <v>1</v>
          </cell>
          <cell r="Y468" t="str">
            <v>주물</v>
          </cell>
          <cell r="Z468">
            <v>8.4995341199999999</v>
          </cell>
          <cell r="AA468" t="str">
            <v>1980x930x980</v>
          </cell>
          <cell r="AB468" t="str">
            <v>98-3</v>
          </cell>
          <cell r="AG468" t="str">
            <v>기아모텍</v>
          </cell>
          <cell r="AI468" t="str">
            <v>대부정공</v>
          </cell>
        </row>
        <row r="469">
          <cell r="A469">
            <v>425.29998779296875</v>
          </cell>
          <cell r="E469" t="str">
            <v>기아모텍</v>
          </cell>
          <cell r="F469" t="str">
            <v>A</v>
          </cell>
          <cell r="G469" t="str">
            <v>B-3</v>
          </cell>
          <cell r="H469" t="str">
            <v>041110015415</v>
          </cell>
          <cell r="I469" t="str">
            <v>K30A 54 841</v>
          </cell>
          <cell r="J469" t="str">
            <v>R/F RR S/FRAME LH</v>
          </cell>
          <cell r="K469" t="str">
            <v>금형</v>
          </cell>
          <cell r="L469" t="str">
            <v>TR/PI-C</v>
          </cell>
          <cell r="M469">
            <v>1</v>
          </cell>
          <cell r="Y469" t="str">
            <v>주물</v>
          </cell>
          <cell r="Z469">
            <v>8.4995341199999999</v>
          </cell>
          <cell r="AA469" t="str">
            <v>1980x930x980</v>
          </cell>
          <cell r="AB469" t="str">
            <v>98-3</v>
          </cell>
          <cell r="AG469" t="str">
            <v>기아모텍</v>
          </cell>
          <cell r="AI469" t="str">
            <v>대부정공</v>
          </cell>
        </row>
        <row r="470">
          <cell r="A470">
            <v>426</v>
          </cell>
          <cell r="E470" t="str">
            <v>기아모텍</v>
          </cell>
          <cell r="F470" t="str">
            <v>A</v>
          </cell>
          <cell r="G470" t="str">
            <v>B-3</v>
          </cell>
          <cell r="H470" t="str">
            <v>041110015415</v>
          </cell>
          <cell r="I470" t="str">
            <v>K30A 53/54 841</v>
          </cell>
          <cell r="J470" t="str">
            <v>R/F RR S/FRAME R/L</v>
          </cell>
          <cell r="K470" t="str">
            <v>금형</v>
          </cell>
          <cell r="L470" t="str">
            <v>PI/C-PI</v>
          </cell>
          <cell r="M470">
            <v>2</v>
          </cell>
          <cell r="N470">
            <v>70865000</v>
          </cell>
          <cell r="Y470" t="str">
            <v>주물</v>
          </cell>
          <cell r="Z470">
            <v>7.8533221199999987</v>
          </cell>
          <cell r="AA470" t="str">
            <v>1810x940x980</v>
          </cell>
          <cell r="AB470" t="str">
            <v>98-3</v>
          </cell>
          <cell r="AG470" t="str">
            <v>기아모텍</v>
          </cell>
          <cell r="AI470" t="str">
            <v>대부정공</v>
          </cell>
        </row>
        <row r="471">
          <cell r="A471">
            <v>426.10000610351563</v>
          </cell>
          <cell r="E471" t="str">
            <v>기아모텍</v>
          </cell>
          <cell r="F471" t="str">
            <v>A</v>
          </cell>
          <cell r="G471" t="str">
            <v>B-3</v>
          </cell>
          <cell r="H471" t="str">
            <v>041110015415</v>
          </cell>
          <cell r="I471" t="str">
            <v>K30A 53 841</v>
          </cell>
          <cell r="J471" t="str">
            <v>R/F RR S/FRAME RH</v>
          </cell>
          <cell r="K471" t="str">
            <v>금형</v>
          </cell>
          <cell r="L471" t="str">
            <v>PI/C-PI</v>
          </cell>
          <cell r="M471">
            <v>1</v>
          </cell>
          <cell r="Y471" t="str">
            <v>주물</v>
          </cell>
          <cell r="Z471">
            <v>8.4995341199999999</v>
          </cell>
          <cell r="AA471" t="str">
            <v>1980x930x980</v>
          </cell>
          <cell r="AB471" t="str">
            <v>98-3</v>
          </cell>
          <cell r="AG471" t="str">
            <v>기아모텍</v>
          </cell>
          <cell r="AI471" t="str">
            <v>대부정공</v>
          </cell>
        </row>
        <row r="472">
          <cell r="A472">
            <v>426.20001220703125</v>
          </cell>
          <cell r="E472" t="str">
            <v>기아모텍</v>
          </cell>
          <cell r="F472" t="str">
            <v>A</v>
          </cell>
          <cell r="G472" t="str">
            <v>B-3</v>
          </cell>
          <cell r="H472" t="str">
            <v>041110015415</v>
          </cell>
          <cell r="I472" t="str">
            <v>K30A 54 841</v>
          </cell>
          <cell r="J472" t="str">
            <v>R/F RR S/FRAME LH</v>
          </cell>
          <cell r="K472" t="str">
            <v>금형</v>
          </cell>
          <cell r="L472" t="str">
            <v>PI/C-PI</v>
          </cell>
          <cell r="M472">
            <v>1</v>
          </cell>
          <cell r="Y472" t="str">
            <v>주물</v>
          </cell>
          <cell r="Z472">
            <v>8.4995341199999999</v>
          </cell>
          <cell r="AA472" t="str">
            <v>1980x930x980</v>
          </cell>
          <cell r="AB472" t="str">
            <v>98-3</v>
          </cell>
          <cell r="AG472" t="str">
            <v>기아모텍</v>
          </cell>
          <cell r="AI472" t="str">
            <v>대부정공</v>
          </cell>
        </row>
        <row r="473">
          <cell r="A473">
            <v>427</v>
          </cell>
          <cell r="E473" t="str">
            <v>기아모텍</v>
          </cell>
          <cell r="F473" t="str">
            <v>A</v>
          </cell>
          <cell r="G473" t="str">
            <v>B-3</v>
          </cell>
          <cell r="H473" t="str">
            <v>041110015415</v>
          </cell>
          <cell r="I473" t="str">
            <v>K30A 53/54 841</v>
          </cell>
          <cell r="J473" t="str">
            <v>R/F RR S/FRAME R/L</v>
          </cell>
          <cell r="K473" t="str">
            <v>금형</v>
          </cell>
          <cell r="L473" t="str">
            <v>C-CUT/PI</v>
          </cell>
          <cell r="M473">
            <v>2</v>
          </cell>
          <cell r="N473">
            <v>77969000</v>
          </cell>
          <cell r="Y473" t="str">
            <v>주물</v>
          </cell>
          <cell r="Z473">
            <v>9.5242417199999991</v>
          </cell>
          <cell r="AA473" t="str">
            <v>1810x1140x980</v>
          </cell>
          <cell r="AB473" t="str">
            <v>98-3</v>
          </cell>
          <cell r="AG473" t="str">
            <v>기아모텍</v>
          </cell>
          <cell r="AI473" t="str">
            <v>대부정공</v>
          </cell>
        </row>
        <row r="474">
          <cell r="A474">
            <v>427.10000610351563</v>
          </cell>
          <cell r="E474" t="str">
            <v>기아모텍</v>
          </cell>
          <cell r="F474" t="str">
            <v>A</v>
          </cell>
          <cell r="G474" t="str">
            <v>B-3</v>
          </cell>
          <cell r="H474" t="str">
            <v>041110015415</v>
          </cell>
          <cell r="I474" t="str">
            <v>K30A 53 841</v>
          </cell>
          <cell r="J474" t="str">
            <v>R/F RR S/FRAME RH</v>
          </cell>
          <cell r="K474" t="str">
            <v>금형</v>
          </cell>
          <cell r="L474" t="str">
            <v>C-CUT/PI</v>
          </cell>
          <cell r="M474">
            <v>1</v>
          </cell>
          <cell r="Y474" t="str">
            <v>주물</v>
          </cell>
          <cell r="Z474">
            <v>8.4995341199999999</v>
          </cell>
          <cell r="AA474" t="str">
            <v>1980x930x980</v>
          </cell>
          <cell r="AB474" t="str">
            <v>98-3</v>
          </cell>
          <cell r="AG474" t="str">
            <v>기아모텍</v>
          </cell>
          <cell r="AI474" t="str">
            <v>대부정공</v>
          </cell>
        </row>
        <row r="475">
          <cell r="A475">
            <v>427.20001220703125</v>
          </cell>
          <cell r="E475" t="str">
            <v>기아모텍</v>
          </cell>
          <cell r="F475" t="str">
            <v>A</v>
          </cell>
          <cell r="G475" t="str">
            <v>B-3</v>
          </cell>
          <cell r="H475" t="str">
            <v>041110015415</v>
          </cell>
          <cell r="I475" t="str">
            <v>K30A 54 841</v>
          </cell>
          <cell r="J475" t="str">
            <v>R/F RR S/FRAME LH</v>
          </cell>
          <cell r="K475" t="str">
            <v>금형</v>
          </cell>
          <cell r="L475" t="str">
            <v>C-CUT/PI</v>
          </cell>
          <cell r="M475">
            <v>1</v>
          </cell>
          <cell r="Y475" t="str">
            <v>주물</v>
          </cell>
          <cell r="Z475">
            <v>8.4995341199999999</v>
          </cell>
          <cell r="AA475" t="str">
            <v>1980x930x980</v>
          </cell>
          <cell r="AB475" t="str">
            <v>98-3</v>
          </cell>
          <cell r="AG475" t="str">
            <v>기아모텍</v>
          </cell>
          <cell r="AI475" t="str">
            <v>대부정공</v>
          </cell>
        </row>
        <row r="476">
          <cell r="A476">
            <v>428</v>
          </cell>
          <cell r="E476" t="str">
            <v>기아모텍</v>
          </cell>
          <cell r="F476" t="str">
            <v>A</v>
          </cell>
          <cell r="G476" t="str">
            <v>B-3</v>
          </cell>
          <cell r="H476" t="str">
            <v>041110015415</v>
          </cell>
          <cell r="I476" t="str">
            <v>K30A 53/54 841</v>
          </cell>
          <cell r="J476" t="str">
            <v>R/F RR S/FRAME R/L</v>
          </cell>
          <cell r="K476" t="str">
            <v>금형</v>
          </cell>
          <cell r="L476" t="str">
            <v>DR</v>
          </cell>
          <cell r="M476">
            <v>2</v>
          </cell>
          <cell r="N476">
            <v>84348000</v>
          </cell>
          <cell r="Y476" t="str">
            <v>주물</v>
          </cell>
          <cell r="Z476">
            <v>6.6005940000000001</v>
          </cell>
          <cell r="AA476" t="str">
            <v>1750x910x880</v>
          </cell>
          <cell r="AB476" t="str">
            <v>98-3</v>
          </cell>
          <cell r="AG476" t="str">
            <v>기아모텍</v>
          </cell>
          <cell r="AI476" t="str">
            <v>대부정공</v>
          </cell>
        </row>
        <row r="477">
          <cell r="A477">
            <v>428.10000610351563</v>
          </cell>
          <cell r="E477" t="str">
            <v>기아모텍</v>
          </cell>
          <cell r="F477" t="str">
            <v>A</v>
          </cell>
          <cell r="G477" t="str">
            <v>B-3</v>
          </cell>
          <cell r="H477" t="str">
            <v>041110015415</v>
          </cell>
          <cell r="I477" t="str">
            <v>K30A 53 841</v>
          </cell>
          <cell r="J477" t="str">
            <v>R/F RR S/FRAME RH</v>
          </cell>
          <cell r="K477" t="str">
            <v>금형</v>
          </cell>
          <cell r="L477" t="str">
            <v>DR</v>
          </cell>
          <cell r="M477">
            <v>1</v>
          </cell>
          <cell r="Y477" t="str">
            <v>주물</v>
          </cell>
          <cell r="Z477">
            <v>8.4995341199999999</v>
          </cell>
          <cell r="AA477" t="str">
            <v>1980x930x980</v>
          </cell>
          <cell r="AB477" t="str">
            <v>98-3</v>
          </cell>
          <cell r="AG477" t="str">
            <v>기아모텍</v>
          </cell>
          <cell r="AI477" t="str">
            <v>대부정공</v>
          </cell>
        </row>
        <row r="478">
          <cell r="A478">
            <v>428.20001220703125</v>
          </cell>
          <cell r="E478" t="str">
            <v>기아모텍</v>
          </cell>
          <cell r="F478" t="str">
            <v>A</v>
          </cell>
          <cell r="G478" t="str">
            <v>B-3</v>
          </cell>
          <cell r="H478" t="str">
            <v>041110015415</v>
          </cell>
          <cell r="I478" t="str">
            <v>K30A 54 841</v>
          </cell>
          <cell r="J478" t="str">
            <v>R/F RR S/FRAME LH</v>
          </cell>
          <cell r="K478" t="str">
            <v>금형</v>
          </cell>
          <cell r="L478" t="str">
            <v>DR</v>
          </cell>
          <cell r="M478">
            <v>1</v>
          </cell>
          <cell r="Y478" t="str">
            <v>주물</v>
          </cell>
          <cell r="Z478">
            <v>8.4995341199999999</v>
          </cell>
          <cell r="AA478" t="str">
            <v>1980x930x980</v>
          </cell>
          <cell r="AB478" t="str">
            <v>98-3</v>
          </cell>
          <cell r="AG478" t="str">
            <v>기아모텍</v>
          </cell>
          <cell r="AI478" t="str">
            <v>대부정공</v>
          </cell>
        </row>
        <row r="479">
          <cell r="A479">
            <v>429</v>
          </cell>
          <cell r="E479" t="str">
            <v>기아모텍</v>
          </cell>
          <cell r="F479" t="str">
            <v>A</v>
          </cell>
          <cell r="G479" t="str">
            <v>B-3</v>
          </cell>
          <cell r="H479" t="str">
            <v>041110015425</v>
          </cell>
          <cell r="I479" t="str">
            <v>K30A 53/54 851</v>
          </cell>
          <cell r="J479" t="str">
            <v>FRAME B RR SIDE</v>
          </cell>
          <cell r="K479" t="str">
            <v>금형</v>
          </cell>
          <cell r="L479" t="str">
            <v>BE</v>
          </cell>
          <cell r="M479">
            <v>1</v>
          </cell>
          <cell r="N479">
            <v>3882000</v>
          </cell>
          <cell r="Y479" t="str">
            <v>STEEL</v>
          </cell>
          <cell r="Z479">
            <v>0.54259199999999996</v>
          </cell>
          <cell r="AA479" t="str">
            <v>600x400x480</v>
          </cell>
          <cell r="AB479" t="str">
            <v>98-3</v>
          </cell>
          <cell r="AG479" t="str">
            <v>기아모텍</v>
          </cell>
          <cell r="AI479" t="str">
            <v>경성공업</v>
          </cell>
        </row>
        <row r="480">
          <cell r="A480">
            <v>430</v>
          </cell>
          <cell r="E480" t="str">
            <v>기아모텍</v>
          </cell>
          <cell r="F480" t="str">
            <v>A</v>
          </cell>
          <cell r="G480" t="str">
            <v>B-3</v>
          </cell>
          <cell r="H480" t="str">
            <v>041110015425</v>
          </cell>
          <cell r="I480" t="str">
            <v>K30A 53/54 851</v>
          </cell>
          <cell r="J480" t="str">
            <v>FRAME B RR SIDE</v>
          </cell>
          <cell r="K480" t="str">
            <v>금형</v>
          </cell>
          <cell r="L480" t="str">
            <v>PI</v>
          </cell>
          <cell r="M480">
            <v>1</v>
          </cell>
          <cell r="N480">
            <v>3894000</v>
          </cell>
          <cell r="Y480" t="str">
            <v>STEEL</v>
          </cell>
          <cell r="Z480">
            <v>0.53128799999999998</v>
          </cell>
          <cell r="AA480" t="str">
            <v>500x470x480</v>
          </cell>
          <cell r="AB480" t="str">
            <v>98-3</v>
          </cell>
          <cell r="AG480" t="str">
            <v>기아모텍</v>
          </cell>
          <cell r="AI480" t="str">
            <v>경성공업</v>
          </cell>
        </row>
        <row r="481">
          <cell r="A481">
            <v>431</v>
          </cell>
          <cell r="E481" t="str">
            <v>기아모텍</v>
          </cell>
          <cell r="F481" t="str">
            <v>A</v>
          </cell>
          <cell r="G481" t="str">
            <v>B-3</v>
          </cell>
          <cell r="H481" t="str">
            <v>041110015425</v>
          </cell>
          <cell r="I481" t="str">
            <v>K30A 53/54 851</v>
          </cell>
          <cell r="J481" t="str">
            <v>FRAME B RR SIDE</v>
          </cell>
          <cell r="K481" t="str">
            <v>금형</v>
          </cell>
          <cell r="L481" t="str">
            <v>RE</v>
          </cell>
          <cell r="M481">
            <v>1</v>
          </cell>
          <cell r="N481">
            <v>4186000</v>
          </cell>
          <cell r="Y481" t="str">
            <v>STEEL</v>
          </cell>
          <cell r="Z481">
            <v>0.56519999999999992</v>
          </cell>
          <cell r="AA481" t="str">
            <v>500x500x480</v>
          </cell>
          <cell r="AB481" t="str">
            <v>98-3</v>
          </cell>
          <cell r="AG481" t="str">
            <v>기아모텍</v>
          </cell>
          <cell r="AI481" t="str">
            <v>경성공업</v>
          </cell>
        </row>
        <row r="482">
          <cell r="A482">
            <v>432</v>
          </cell>
          <cell r="E482" t="str">
            <v>기아모텍</v>
          </cell>
          <cell r="F482" t="str">
            <v>A</v>
          </cell>
          <cell r="G482" t="str">
            <v>B-3</v>
          </cell>
          <cell r="H482" t="str">
            <v>041110015425</v>
          </cell>
          <cell r="I482" t="str">
            <v>K30A 53/54 851</v>
          </cell>
          <cell r="J482" t="str">
            <v>FRAME B RR SIDE</v>
          </cell>
          <cell r="K482" t="str">
            <v>금형</v>
          </cell>
          <cell r="L482" t="str">
            <v>BE</v>
          </cell>
          <cell r="M482">
            <v>1</v>
          </cell>
          <cell r="N482">
            <v>4713000</v>
          </cell>
          <cell r="Y482" t="str">
            <v>STEEL</v>
          </cell>
          <cell r="Z482">
            <v>0.6918048</v>
          </cell>
          <cell r="AA482" t="str">
            <v>680x450x480</v>
          </cell>
          <cell r="AB482" t="str">
            <v>98-3</v>
          </cell>
          <cell r="AG482" t="str">
            <v>기아모텍</v>
          </cell>
          <cell r="AI482" t="str">
            <v>경성공업</v>
          </cell>
        </row>
        <row r="483">
          <cell r="A483">
            <v>433</v>
          </cell>
          <cell r="E483" t="str">
            <v>기아모텍</v>
          </cell>
          <cell r="F483" t="str">
            <v>A</v>
          </cell>
          <cell r="G483" t="str">
            <v>B-3</v>
          </cell>
          <cell r="H483" t="str">
            <v>041110015425</v>
          </cell>
          <cell r="I483" t="str">
            <v>K30A 53/54 851</v>
          </cell>
          <cell r="J483" t="str">
            <v>FRAME B RR SIDE</v>
          </cell>
          <cell r="K483" t="str">
            <v>금형</v>
          </cell>
          <cell r="L483" t="str">
            <v>BL</v>
          </cell>
          <cell r="M483">
            <v>1</v>
          </cell>
          <cell r="N483">
            <v>5555000</v>
          </cell>
          <cell r="Y483" t="str">
            <v>STEEL</v>
          </cell>
          <cell r="Z483">
            <v>0.61719840000000004</v>
          </cell>
          <cell r="AA483" t="str">
            <v>650x420x480</v>
          </cell>
          <cell r="AB483" t="str">
            <v>98-3</v>
          </cell>
          <cell r="AG483" t="str">
            <v>기아모텍</v>
          </cell>
          <cell r="AI483" t="str">
            <v>경성공업</v>
          </cell>
        </row>
        <row r="484">
          <cell r="A484">
            <v>434.10000610351563</v>
          </cell>
          <cell r="E484" t="str">
            <v>기아모텍</v>
          </cell>
          <cell r="F484" t="str">
            <v>A</v>
          </cell>
          <cell r="G484" t="str">
            <v>B-3</v>
          </cell>
          <cell r="H484" t="str">
            <v>041110015435</v>
          </cell>
          <cell r="I484" t="str">
            <v>K30A 53/54 861</v>
          </cell>
          <cell r="J484" t="str">
            <v>R/F SEAT BELT ANCH R/L</v>
          </cell>
          <cell r="K484" t="str">
            <v>금형</v>
          </cell>
          <cell r="L484" t="str">
            <v>RE</v>
          </cell>
          <cell r="M484">
            <v>1</v>
          </cell>
          <cell r="N484">
            <v>1112000</v>
          </cell>
          <cell r="Y484" t="str">
            <v>STEEL</v>
          </cell>
          <cell r="Z484">
            <v>1.7511779999999998E-2</v>
          </cell>
          <cell r="AA484" t="str">
            <v>130x130x220</v>
          </cell>
          <cell r="AB484" t="str">
            <v>98-3</v>
          </cell>
          <cell r="AG484" t="str">
            <v>기아모텍</v>
          </cell>
          <cell r="AI484" t="str">
            <v>풍원산업</v>
          </cell>
        </row>
        <row r="485">
          <cell r="A485">
            <v>434.20001220703125</v>
          </cell>
          <cell r="E485" t="str">
            <v>기아모텍</v>
          </cell>
          <cell r="F485" t="str">
            <v>A</v>
          </cell>
          <cell r="G485" t="str">
            <v>B-3</v>
          </cell>
          <cell r="H485" t="str">
            <v>041110015435</v>
          </cell>
          <cell r="I485" t="str">
            <v>K30A 53/54 861</v>
          </cell>
          <cell r="J485" t="str">
            <v>R/F SEAT BELT ANCH R/L</v>
          </cell>
          <cell r="K485" t="str">
            <v>금형</v>
          </cell>
          <cell r="L485" t="str">
            <v>RE</v>
          </cell>
          <cell r="M485">
            <v>1</v>
          </cell>
          <cell r="Y485" t="str">
            <v>STEEL</v>
          </cell>
          <cell r="Z485">
            <v>1.7511779999999998E-2</v>
          </cell>
          <cell r="AA485" t="str">
            <v>130x130x220</v>
          </cell>
          <cell r="AB485" t="str">
            <v>98-3</v>
          </cell>
          <cell r="AG485" t="str">
            <v>기아모텍</v>
          </cell>
          <cell r="AI485" t="str">
            <v>풍원산업</v>
          </cell>
        </row>
        <row r="486">
          <cell r="A486">
            <v>435</v>
          </cell>
          <cell r="E486" t="str">
            <v>기아모텍</v>
          </cell>
          <cell r="F486" t="str">
            <v>A</v>
          </cell>
          <cell r="G486" t="str">
            <v>B-3</v>
          </cell>
          <cell r="H486" t="str">
            <v>041110015435</v>
          </cell>
          <cell r="I486" t="str">
            <v>K30A 53/54 861</v>
          </cell>
          <cell r="J486" t="str">
            <v>R/F SEAT BELT ANCH R/L</v>
          </cell>
          <cell r="K486" t="str">
            <v>금형</v>
          </cell>
          <cell r="L486" t="str">
            <v>BL/PI</v>
          </cell>
          <cell r="M486">
            <v>1</v>
          </cell>
          <cell r="N486">
            <v>3057000</v>
          </cell>
          <cell r="Y486" t="str">
            <v>STEEL</v>
          </cell>
          <cell r="Z486">
            <v>0.12057599999999999</v>
          </cell>
          <cell r="AA486" t="str">
            <v>320x320x250</v>
          </cell>
          <cell r="AB486" t="str">
            <v>98-3</v>
          </cell>
          <cell r="AG486" t="str">
            <v>기아모텍</v>
          </cell>
          <cell r="AI486" t="str">
            <v>풍원산업</v>
          </cell>
        </row>
        <row r="487">
          <cell r="A487">
            <v>436</v>
          </cell>
          <cell r="E487" t="str">
            <v>기아모텍</v>
          </cell>
          <cell r="F487" t="str">
            <v>A</v>
          </cell>
          <cell r="G487" t="str">
            <v>B-3</v>
          </cell>
          <cell r="H487" t="str">
            <v>041110015435</v>
          </cell>
          <cell r="I487" t="str">
            <v>K30A 53/54 861</v>
          </cell>
          <cell r="J487" t="str">
            <v>R/F SEAT BELT ANCH R/L</v>
          </cell>
          <cell r="K487" t="str">
            <v>금형</v>
          </cell>
          <cell r="L487" t="str">
            <v>BE</v>
          </cell>
          <cell r="M487">
            <v>2</v>
          </cell>
          <cell r="N487">
            <v>4295000</v>
          </cell>
          <cell r="Y487" t="str">
            <v>STEEL</v>
          </cell>
          <cell r="Z487">
            <v>0.15896250000000001</v>
          </cell>
          <cell r="AA487" t="str">
            <v>450x300x250</v>
          </cell>
          <cell r="AB487" t="str">
            <v>98-3</v>
          </cell>
          <cell r="AG487" t="str">
            <v>기아모텍</v>
          </cell>
          <cell r="AI487" t="str">
            <v>풍원산업</v>
          </cell>
        </row>
        <row r="488">
          <cell r="A488">
            <v>436.10000610351563</v>
          </cell>
          <cell r="E488" t="str">
            <v>기아모텍</v>
          </cell>
          <cell r="F488" t="str">
            <v>A</v>
          </cell>
          <cell r="G488" t="str">
            <v>B-3</v>
          </cell>
          <cell r="H488" t="str">
            <v>041110015435</v>
          </cell>
          <cell r="I488" t="str">
            <v>K30A 53/54 861</v>
          </cell>
          <cell r="J488" t="str">
            <v>R/F SEAT BELT ANCH R/L</v>
          </cell>
          <cell r="K488" t="str">
            <v>금형</v>
          </cell>
          <cell r="L488" t="str">
            <v>BE</v>
          </cell>
          <cell r="Y488" t="str">
            <v>STEEL</v>
          </cell>
          <cell r="Z488">
            <v>0.15896250000000001</v>
          </cell>
          <cell r="AA488" t="str">
            <v>450x300x250</v>
          </cell>
          <cell r="AB488" t="str">
            <v>98-3</v>
          </cell>
          <cell r="AG488" t="str">
            <v>기아모텍</v>
          </cell>
          <cell r="AI488" t="str">
            <v>풍원산업</v>
          </cell>
        </row>
        <row r="489">
          <cell r="A489">
            <v>436.20001220703125</v>
          </cell>
          <cell r="E489" t="str">
            <v>기아모텍</v>
          </cell>
          <cell r="F489" t="str">
            <v>A</v>
          </cell>
          <cell r="G489" t="str">
            <v>B-3</v>
          </cell>
          <cell r="H489" t="str">
            <v>041110015435</v>
          </cell>
          <cell r="I489" t="str">
            <v>K30A 53/54 861</v>
          </cell>
          <cell r="J489" t="str">
            <v>R/F SEAT BELT ANCH R/L</v>
          </cell>
          <cell r="K489" t="str">
            <v>금형</v>
          </cell>
          <cell r="L489" t="str">
            <v>BE</v>
          </cell>
          <cell r="Y489" t="str">
            <v>STEEL</v>
          </cell>
          <cell r="Z489">
            <v>0.15896250000000001</v>
          </cell>
          <cell r="AA489" t="str">
            <v>450x300x250</v>
          </cell>
          <cell r="AB489" t="str">
            <v>98-3</v>
          </cell>
          <cell r="AG489" t="str">
            <v>기아모텍</v>
          </cell>
          <cell r="AI489" t="str">
            <v>풍원산업</v>
          </cell>
        </row>
        <row r="490">
          <cell r="A490">
            <v>437</v>
          </cell>
          <cell r="E490" t="str">
            <v>기아모텍</v>
          </cell>
          <cell r="F490" t="str">
            <v>A</v>
          </cell>
          <cell r="G490" t="str">
            <v>B-3</v>
          </cell>
          <cell r="H490" t="str">
            <v>041110015435</v>
          </cell>
          <cell r="I490" t="str">
            <v>K30A 53/54 861</v>
          </cell>
          <cell r="J490" t="str">
            <v>R/F SEAT BELT ANCH R/L</v>
          </cell>
          <cell r="K490" t="str">
            <v>금형</v>
          </cell>
          <cell r="L490" t="str">
            <v>BE</v>
          </cell>
          <cell r="M490">
            <v>2</v>
          </cell>
          <cell r="N490">
            <v>4301000</v>
          </cell>
          <cell r="Y490" t="str">
            <v>STEEL</v>
          </cell>
          <cell r="Z490">
            <v>0.15896250000000001</v>
          </cell>
          <cell r="AA490" t="str">
            <v>450x300x250</v>
          </cell>
          <cell r="AB490" t="str">
            <v>98-3</v>
          </cell>
          <cell r="AG490" t="str">
            <v>기아모텍</v>
          </cell>
          <cell r="AI490" t="str">
            <v>풍원산업</v>
          </cell>
        </row>
        <row r="491">
          <cell r="A491">
            <v>437.10000610351563</v>
          </cell>
          <cell r="E491" t="str">
            <v>기아모텍</v>
          </cell>
          <cell r="F491" t="str">
            <v>A</v>
          </cell>
          <cell r="G491" t="str">
            <v>B-3</v>
          </cell>
          <cell r="H491" t="str">
            <v>041110015435</v>
          </cell>
          <cell r="I491" t="str">
            <v>K30A 53/54 861</v>
          </cell>
          <cell r="J491" t="str">
            <v>R/F SEAT BELT ANCH R/L</v>
          </cell>
          <cell r="K491" t="str">
            <v>금형</v>
          </cell>
          <cell r="L491" t="str">
            <v>BE</v>
          </cell>
          <cell r="Y491" t="str">
            <v>STEEL</v>
          </cell>
          <cell r="Z491">
            <v>0.15896250000000001</v>
          </cell>
          <cell r="AA491" t="str">
            <v>450x300x250</v>
          </cell>
          <cell r="AB491" t="str">
            <v>98-3</v>
          </cell>
          <cell r="AG491" t="str">
            <v>기아모텍</v>
          </cell>
          <cell r="AI491" t="str">
            <v>풍원산업</v>
          </cell>
        </row>
        <row r="492">
          <cell r="A492">
            <v>437.20001220703125</v>
          </cell>
          <cell r="E492" t="str">
            <v>기아모텍</v>
          </cell>
          <cell r="F492" t="str">
            <v>A</v>
          </cell>
          <cell r="G492" t="str">
            <v>B-3</v>
          </cell>
          <cell r="H492" t="str">
            <v>041110015435</v>
          </cell>
          <cell r="I492" t="str">
            <v>K30A 53/54 861</v>
          </cell>
          <cell r="J492" t="str">
            <v>R/F SEAT BELT ANCH R/L</v>
          </cell>
          <cell r="K492" t="str">
            <v>금형</v>
          </cell>
          <cell r="L492" t="str">
            <v>BE</v>
          </cell>
          <cell r="Y492" t="str">
            <v>STEEL</v>
          </cell>
          <cell r="Z492">
            <v>0.15896250000000001</v>
          </cell>
          <cell r="AA492" t="str">
            <v>450x300x250</v>
          </cell>
          <cell r="AB492" t="str">
            <v>98-3</v>
          </cell>
          <cell r="AG492" t="str">
            <v>기아모텍</v>
          </cell>
          <cell r="AI492" t="str">
            <v>풍원산업</v>
          </cell>
        </row>
        <row r="493">
          <cell r="A493">
            <v>438</v>
          </cell>
          <cell r="E493" t="str">
            <v>기아모텍</v>
          </cell>
          <cell r="F493" t="str">
            <v>A</v>
          </cell>
          <cell r="G493" t="str">
            <v>B-3</v>
          </cell>
          <cell r="H493" t="str">
            <v>041110015345</v>
          </cell>
          <cell r="I493" t="str">
            <v>K30A 53/54 881</v>
          </cell>
          <cell r="J493" t="str">
            <v>C/M JUNCTION NO.4</v>
          </cell>
          <cell r="K493" t="str">
            <v>금형</v>
          </cell>
          <cell r="L493" t="str">
            <v>BE</v>
          </cell>
          <cell r="M493">
            <v>1</v>
          </cell>
          <cell r="N493">
            <v>1505000</v>
          </cell>
          <cell r="Y493" t="str">
            <v>STEEL</v>
          </cell>
          <cell r="Z493">
            <v>4.5639900000000004E-2</v>
          </cell>
          <cell r="AA493" t="str">
            <v>300x170x190</v>
          </cell>
          <cell r="AB493" t="str">
            <v>98-3</v>
          </cell>
          <cell r="AG493" t="str">
            <v>기아모텍</v>
          </cell>
          <cell r="AI493" t="str">
            <v>수민정밀</v>
          </cell>
        </row>
        <row r="494">
          <cell r="A494">
            <v>439</v>
          </cell>
          <cell r="E494" t="str">
            <v>기아모텍</v>
          </cell>
          <cell r="F494" t="str">
            <v>A</v>
          </cell>
          <cell r="G494" t="str">
            <v>B-3</v>
          </cell>
          <cell r="H494" t="str">
            <v>041110015345</v>
          </cell>
          <cell r="I494" t="str">
            <v>K30A 53/54 881</v>
          </cell>
          <cell r="J494" t="str">
            <v>C/M JUNCTION NO.4</v>
          </cell>
          <cell r="K494" t="str">
            <v>금형</v>
          </cell>
          <cell r="L494" t="str">
            <v>PI</v>
          </cell>
          <cell r="M494">
            <v>1</v>
          </cell>
          <cell r="N494">
            <v>2000000</v>
          </cell>
          <cell r="Y494" t="str">
            <v>STEEL</v>
          </cell>
          <cell r="Z494">
            <v>8.8237139999999992E-2</v>
          </cell>
          <cell r="AA494" t="str">
            <v>340x290x190</v>
          </cell>
          <cell r="AB494" t="str">
            <v>98-3</v>
          </cell>
          <cell r="AG494" t="str">
            <v>기아모텍</v>
          </cell>
          <cell r="AI494" t="str">
            <v>수민정밀</v>
          </cell>
        </row>
        <row r="495">
          <cell r="A495">
            <v>440</v>
          </cell>
          <cell r="E495" t="str">
            <v>기아모텍</v>
          </cell>
          <cell r="F495" t="str">
            <v>A</v>
          </cell>
          <cell r="G495" t="str">
            <v>B-3</v>
          </cell>
          <cell r="H495" t="str">
            <v>041110015345</v>
          </cell>
          <cell r="I495" t="str">
            <v>K30A 53/54 881</v>
          </cell>
          <cell r="J495" t="str">
            <v>C/M JUNCTION NO.4</v>
          </cell>
          <cell r="K495" t="str">
            <v>금형</v>
          </cell>
          <cell r="L495" t="str">
            <v>BL</v>
          </cell>
          <cell r="M495">
            <v>1</v>
          </cell>
          <cell r="N495">
            <v>2724000</v>
          </cell>
          <cell r="Y495" t="str">
            <v>STEEL</v>
          </cell>
          <cell r="Z495">
            <v>0.16616879999999998</v>
          </cell>
          <cell r="AA495" t="str">
            <v>480x420x175</v>
          </cell>
          <cell r="AB495" t="str">
            <v>98-3</v>
          </cell>
          <cell r="AG495" t="str">
            <v>기아모텍</v>
          </cell>
          <cell r="AI495" t="str">
            <v>수민정밀</v>
          </cell>
        </row>
        <row r="496">
          <cell r="A496">
            <v>441</v>
          </cell>
          <cell r="E496" t="str">
            <v>기아모텍</v>
          </cell>
          <cell r="F496" t="str">
            <v>A</v>
          </cell>
          <cell r="G496" t="str">
            <v>B-3</v>
          </cell>
          <cell r="H496" t="str">
            <v>041110015345</v>
          </cell>
          <cell r="I496" t="str">
            <v>K30A 53/54 881</v>
          </cell>
          <cell r="J496" t="str">
            <v>C/M JUNCTION NO.4</v>
          </cell>
          <cell r="K496" t="str">
            <v>금형</v>
          </cell>
          <cell r="L496" t="str">
            <v>DR</v>
          </cell>
          <cell r="M496">
            <v>1</v>
          </cell>
          <cell r="N496">
            <v>5413000</v>
          </cell>
          <cell r="Y496" t="str">
            <v>STEEL</v>
          </cell>
          <cell r="Z496">
            <v>0.32453783999999997</v>
          </cell>
          <cell r="AA496" t="str">
            <v>660x360x290</v>
          </cell>
          <cell r="AB496" t="str">
            <v>98-3</v>
          </cell>
          <cell r="AG496" t="str">
            <v>기아모텍</v>
          </cell>
          <cell r="AI496" t="str">
            <v>수민정밀</v>
          </cell>
        </row>
        <row r="497">
          <cell r="A497">
            <v>442</v>
          </cell>
          <cell r="E497" t="str">
            <v>기아모텍</v>
          </cell>
          <cell r="F497" t="str">
            <v>A</v>
          </cell>
          <cell r="G497" t="str">
            <v>B-3</v>
          </cell>
          <cell r="H497" t="str">
            <v>041110015355</v>
          </cell>
          <cell r="I497" t="str">
            <v>K30A 53/54 895</v>
          </cell>
          <cell r="J497" t="str">
            <v>B/K B/P STAY</v>
          </cell>
          <cell r="K497" t="str">
            <v>금형</v>
          </cell>
          <cell r="L497" t="str">
            <v>PI</v>
          </cell>
          <cell r="M497">
            <v>1</v>
          </cell>
          <cell r="N497">
            <v>2026000</v>
          </cell>
          <cell r="Y497" t="str">
            <v>STEEL</v>
          </cell>
          <cell r="Z497">
            <v>0.18792899999999998</v>
          </cell>
          <cell r="AA497" t="str">
            <v>300x350x380</v>
          </cell>
          <cell r="AB497" t="str">
            <v>98-3</v>
          </cell>
          <cell r="AG497" t="str">
            <v>기아모텍</v>
          </cell>
          <cell r="AI497" t="str">
            <v>경성공업</v>
          </cell>
        </row>
        <row r="498">
          <cell r="A498">
            <v>443</v>
          </cell>
          <cell r="E498" t="str">
            <v>기아모텍</v>
          </cell>
          <cell r="F498" t="str">
            <v>A</v>
          </cell>
          <cell r="G498" t="str">
            <v>B-3</v>
          </cell>
          <cell r="H498" t="str">
            <v>041110015355</v>
          </cell>
          <cell r="I498" t="str">
            <v>K30A 53/54 895</v>
          </cell>
          <cell r="J498" t="str">
            <v>B/K B/P STAY</v>
          </cell>
          <cell r="K498" t="str">
            <v>금형</v>
          </cell>
          <cell r="L498" t="str">
            <v>BE</v>
          </cell>
          <cell r="M498">
            <v>1</v>
          </cell>
          <cell r="N498">
            <v>2910000</v>
          </cell>
          <cell r="Y498" t="str">
            <v>STEEL</v>
          </cell>
          <cell r="Z498">
            <v>0.27694799999999997</v>
          </cell>
          <cell r="AA498" t="str">
            <v>350x350x480</v>
          </cell>
          <cell r="AB498" t="str">
            <v>98-3</v>
          </cell>
          <cell r="AG498" t="str">
            <v>기아모텍</v>
          </cell>
          <cell r="AI498" t="str">
            <v>경성공업</v>
          </cell>
        </row>
        <row r="499">
          <cell r="A499">
            <v>444</v>
          </cell>
          <cell r="E499" t="str">
            <v>기아모텍</v>
          </cell>
          <cell r="F499" t="str">
            <v>A</v>
          </cell>
          <cell r="G499" t="str">
            <v>B-3</v>
          </cell>
          <cell r="H499" t="str">
            <v>041110015355</v>
          </cell>
          <cell r="I499" t="str">
            <v>K30A 53/54 895</v>
          </cell>
          <cell r="J499" t="str">
            <v>B/K B/P STAY</v>
          </cell>
          <cell r="K499" t="str">
            <v>금형</v>
          </cell>
          <cell r="L499" t="str">
            <v>BE</v>
          </cell>
          <cell r="M499">
            <v>1</v>
          </cell>
          <cell r="N499">
            <v>2945000</v>
          </cell>
          <cell r="Y499" t="str">
            <v>STEEL</v>
          </cell>
          <cell r="Z499">
            <v>0.27694799999999997</v>
          </cell>
          <cell r="AA499" t="str">
            <v>350x350x480</v>
          </cell>
          <cell r="AB499" t="str">
            <v>98-3</v>
          </cell>
          <cell r="AG499" t="str">
            <v>기아모텍</v>
          </cell>
          <cell r="AI499" t="str">
            <v>경성공업</v>
          </cell>
        </row>
        <row r="500">
          <cell r="A500">
            <v>445</v>
          </cell>
          <cell r="E500" t="str">
            <v>기아모텍</v>
          </cell>
          <cell r="F500" t="str">
            <v>A</v>
          </cell>
          <cell r="G500" t="str">
            <v>B-3</v>
          </cell>
          <cell r="H500" t="str">
            <v>041110015355</v>
          </cell>
          <cell r="I500" t="str">
            <v>K30A 53/54 895</v>
          </cell>
          <cell r="J500" t="str">
            <v>B/K B/P STAY</v>
          </cell>
          <cell r="K500" t="str">
            <v>금형</v>
          </cell>
          <cell r="L500" t="str">
            <v>BL</v>
          </cell>
          <cell r="M500">
            <v>1</v>
          </cell>
          <cell r="N500">
            <v>3542000</v>
          </cell>
          <cell r="Y500" t="str">
            <v>STEEL</v>
          </cell>
          <cell r="Z500">
            <v>0.26903519999999997</v>
          </cell>
          <cell r="AA500" t="str">
            <v>350x340x480</v>
          </cell>
          <cell r="AB500" t="str">
            <v>98-3</v>
          </cell>
          <cell r="AG500" t="str">
            <v>기아모텍</v>
          </cell>
          <cell r="AI500" t="str">
            <v>경성공업</v>
          </cell>
        </row>
        <row r="501">
          <cell r="A501">
            <v>446</v>
          </cell>
          <cell r="E501" t="str">
            <v>기아모텍</v>
          </cell>
          <cell r="F501" t="str">
            <v>A</v>
          </cell>
          <cell r="G501" t="str">
            <v>PRIDE VAN</v>
          </cell>
          <cell r="H501" t="str">
            <v>041101115141</v>
          </cell>
          <cell r="I501" t="str">
            <v>K344 68 860/870</v>
          </cell>
          <cell r="J501" t="str">
            <v>T/SIDE TRIM R/L</v>
          </cell>
          <cell r="K501" t="str">
            <v>금형</v>
          </cell>
          <cell r="L501" t="str">
            <v>INJ</v>
          </cell>
          <cell r="M501">
            <v>1</v>
          </cell>
          <cell r="N501">
            <v>143000000</v>
          </cell>
          <cell r="Y501" t="str">
            <v>주물</v>
          </cell>
          <cell r="Z501">
            <v>8.9640719999999998</v>
          </cell>
          <cell r="AA501" t="str">
            <v>1560x1220x1000</v>
          </cell>
          <cell r="AB501" t="str">
            <v>93-1</v>
          </cell>
          <cell r="AG501" t="str">
            <v>서해공업㈜ 반　</v>
          </cell>
          <cell r="AI501" t="str">
            <v>KMO 광주공장</v>
          </cell>
        </row>
        <row r="502">
          <cell r="A502">
            <v>447</v>
          </cell>
          <cell r="E502" t="str">
            <v>기아모텍</v>
          </cell>
          <cell r="F502" t="str">
            <v>A</v>
          </cell>
          <cell r="G502" t="str">
            <v>AVELLA</v>
          </cell>
          <cell r="H502" t="str">
            <v>041101123893</v>
          </cell>
          <cell r="I502" t="str">
            <v>K376 56 131</v>
          </cell>
          <cell r="J502" t="str">
            <v>MUD GUARD R/L</v>
          </cell>
          <cell r="K502" t="str">
            <v>금형</v>
          </cell>
          <cell r="L502" t="str">
            <v>INJ</v>
          </cell>
          <cell r="M502">
            <v>1</v>
          </cell>
          <cell r="N502">
            <v>106867000</v>
          </cell>
          <cell r="Y502" t="str">
            <v>주물</v>
          </cell>
          <cell r="Z502">
            <v>8.5364416799999994</v>
          </cell>
          <cell r="AA502" t="str">
            <v>1570x1110x1040</v>
          </cell>
          <cell r="AB502" t="str">
            <v>94-2</v>
          </cell>
          <cell r="AG502" t="str">
            <v>서해공업㈜ 반　</v>
          </cell>
          <cell r="AI502" t="str">
            <v>㈜태진</v>
          </cell>
        </row>
        <row r="503">
          <cell r="A503">
            <v>448</v>
          </cell>
          <cell r="E503" t="str">
            <v>기아모텍</v>
          </cell>
          <cell r="F503" t="str">
            <v>A</v>
          </cell>
          <cell r="G503" t="str">
            <v>AVELLA</v>
          </cell>
          <cell r="H503" t="str">
            <v>041101123873</v>
          </cell>
          <cell r="I503" t="str">
            <v>K376 56 132</v>
          </cell>
          <cell r="J503" t="str">
            <v>MUD GUARD R/L</v>
          </cell>
          <cell r="K503" t="str">
            <v>금형</v>
          </cell>
          <cell r="L503" t="str">
            <v>INJ</v>
          </cell>
          <cell r="M503">
            <v>1</v>
          </cell>
          <cell r="N503">
            <v>69337000</v>
          </cell>
          <cell r="Y503" t="str">
            <v>주물</v>
          </cell>
          <cell r="Z503">
            <v>4.7547591299999992</v>
          </cell>
          <cell r="AA503" t="str">
            <v>1210x1030x810</v>
          </cell>
          <cell r="AB503" t="str">
            <v>94-2</v>
          </cell>
          <cell r="AG503" t="str">
            <v>서해공업㈜ 반　</v>
          </cell>
          <cell r="AI503" t="str">
            <v>㈜태진</v>
          </cell>
        </row>
        <row r="504">
          <cell r="A504">
            <v>449</v>
          </cell>
          <cell r="E504" t="str">
            <v>기아모텍</v>
          </cell>
          <cell r="F504" t="str">
            <v>A</v>
          </cell>
          <cell r="G504" t="str">
            <v>AVELLA</v>
          </cell>
          <cell r="H504" t="str">
            <v>041101123883</v>
          </cell>
          <cell r="I504" t="str">
            <v>K386 56 132</v>
          </cell>
          <cell r="J504" t="str">
            <v>MUD GUARD R/L</v>
          </cell>
          <cell r="K504" t="str">
            <v>금형</v>
          </cell>
          <cell r="L504" t="str">
            <v>INJ</v>
          </cell>
          <cell r="M504">
            <v>1</v>
          </cell>
          <cell r="N504">
            <v>69337000</v>
          </cell>
          <cell r="Y504" t="str">
            <v>주물</v>
          </cell>
          <cell r="Z504">
            <v>4.7547591299999992</v>
          </cell>
          <cell r="AA504" t="str">
            <v>1210x1030x810</v>
          </cell>
          <cell r="AB504" t="str">
            <v>94-2</v>
          </cell>
          <cell r="AG504" t="str">
            <v>서해공업㈜ 반　</v>
          </cell>
          <cell r="AI504" t="str">
            <v>㈜태진</v>
          </cell>
        </row>
        <row r="505">
          <cell r="A505">
            <v>450</v>
          </cell>
          <cell r="E505" t="str">
            <v>기아모텍</v>
          </cell>
          <cell r="F505" t="str">
            <v>C4</v>
          </cell>
          <cell r="G505" t="str">
            <v>TITAN</v>
          </cell>
          <cell r="H505" t="str">
            <v>044201020085</v>
          </cell>
          <cell r="I505" t="str">
            <v>K410 50 020</v>
          </cell>
          <cell r="J505" t="str">
            <v>FRT BUMPER ASSY</v>
          </cell>
          <cell r="K505" t="str">
            <v>검사구</v>
          </cell>
          <cell r="M505">
            <v>1</v>
          </cell>
          <cell r="N505">
            <v>5700000</v>
          </cell>
          <cell r="AA505" t="str">
            <v>xx</v>
          </cell>
          <cell r="AB505" t="str">
            <v>87-07-25</v>
          </cell>
          <cell r="AG505" t="str">
            <v>영광정밀</v>
          </cell>
          <cell r="AI505" t="str">
            <v>광주 ㈜호원</v>
          </cell>
          <cell r="AK505" t="str">
            <v>분실</v>
          </cell>
        </row>
        <row r="506">
          <cell r="A506">
            <v>451</v>
          </cell>
          <cell r="E506" t="str">
            <v>기아모텍</v>
          </cell>
          <cell r="F506" t="str">
            <v>B</v>
          </cell>
          <cell r="G506" t="str">
            <v>TITAN</v>
          </cell>
          <cell r="H506" t="str">
            <v>041102010108</v>
          </cell>
          <cell r="I506" t="str">
            <v>K410 59 071</v>
          </cell>
          <cell r="J506" t="str">
            <v>PANNEL IN OUT ASSY L HEM</v>
          </cell>
          <cell r="K506" t="str">
            <v>금형</v>
          </cell>
          <cell r="M506">
            <v>1</v>
          </cell>
          <cell r="N506">
            <v>69357763</v>
          </cell>
          <cell r="AA506" t="str">
            <v>xx</v>
          </cell>
          <cell r="AB506" t="str">
            <v>91-09-27</v>
          </cell>
          <cell r="AG506" t="str">
            <v>FUJI</v>
          </cell>
          <cell r="AI506" t="str">
            <v>광주 ㈜대성</v>
          </cell>
          <cell r="AK506" t="str">
            <v>분실</v>
          </cell>
        </row>
        <row r="507">
          <cell r="A507">
            <v>452</v>
          </cell>
          <cell r="E507" t="str">
            <v>기아모텍</v>
          </cell>
          <cell r="F507" t="str">
            <v>C4</v>
          </cell>
          <cell r="G507" t="str">
            <v>TITAN</v>
          </cell>
          <cell r="H507" t="str">
            <v>044101013266</v>
          </cell>
          <cell r="I507" t="str">
            <v>K411 50 020</v>
          </cell>
          <cell r="J507" t="str">
            <v>FRT BUMPER ASSY</v>
          </cell>
          <cell r="K507" t="str">
            <v>검사구</v>
          </cell>
          <cell r="M507">
            <v>1</v>
          </cell>
          <cell r="N507">
            <v>4800000</v>
          </cell>
          <cell r="AA507" t="str">
            <v>xx</v>
          </cell>
          <cell r="AB507" t="str">
            <v>88-03-31</v>
          </cell>
          <cell r="AG507" t="str">
            <v>영광정밀</v>
          </cell>
          <cell r="AI507" t="str">
            <v>광주 ㈜호원</v>
          </cell>
          <cell r="AK507" t="str">
            <v>분실</v>
          </cell>
        </row>
        <row r="508">
          <cell r="A508">
            <v>453</v>
          </cell>
          <cell r="E508" t="str">
            <v>기아모텍</v>
          </cell>
          <cell r="F508" t="str">
            <v>C4</v>
          </cell>
          <cell r="G508" t="str">
            <v>TITAN</v>
          </cell>
          <cell r="I508" t="str">
            <v>K421 50 020</v>
          </cell>
          <cell r="J508" t="str">
            <v>BUMPER ASSY-FRT</v>
          </cell>
          <cell r="K508" t="str">
            <v>검사구</v>
          </cell>
          <cell r="M508">
            <v>1</v>
          </cell>
          <cell r="N508">
            <v>5600000</v>
          </cell>
          <cell r="AA508" t="str">
            <v>xx</v>
          </cell>
          <cell r="AB508" t="str">
            <v>87-01-15</v>
          </cell>
          <cell r="AG508" t="str">
            <v>효진기기</v>
          </cell>
          <cell r="AI508" t="str">
            <v>광주 ㈜호원</v>
          </cell>
          <cell r="AK508" t="str">
            <v>분실</v>
          </cell>
        </row>
        <row r="509">
          <cell r="A509">
            <v>454</v>
          </cell>
          <cell r="E509" t="str">
            <v>기아모텍</v>
          </cell>
          <cell r="F509" t="str">
            <v>B</v>
          </cell>
          <cell r="G509" t="str">
            <v>TITAN</v>
          </cell>
          <cell r="H509" t="str">
            <v>041102060369</v>
          </cell>
          <cell r="I509" t="str">
            <v>K421 50 031</v>
          </cell>
          <cell r="J509" t="str">
            <v>FRT. BUMPER FACE</v>
          </cell>
          <cell r="K509" t="str">
            <v>금형</v>
          </cell>
          <cell r="L509" t="str">
            <v>BUR</v>
          </cell>
          <cell r="M509">
            <v>1</v>
          </cell>
          <cell r="N509">
            <v>12400000</v>
          </cell>
          <cell r="Y509" t="str">
            <v>주물</v>
          </cell>
          <cell r="Z509">
            <v>3.58366944</v>
          </cell>
          <cell r="AA509" t="str">
            <v>2360x520x620</v>
          </cell>
          <cell r="AB509" t="str">
            <v>87-5</v>
          </cell>
          <cell r="AG509" t="str">
            <v>서해공업㈜ 반　</v>
          </cell>
          <cell r="AI509" t="str">
            <v>광주 ㈜호원</v>
          </cell>
        </row>
        <row r="510">
          <cell r="A510">
            <v>455</v>
          </cell>
          <cell r="E510" t="str">
            <v>기아모텍</v>
          </cell>
          <cell r="F510" t="str">
            <v>B</v>
          </cell>
          <cell r="G510" t="str">
            <v>TITAN</v>
          </cell>
          <cell r="H510" t="str">
            <v>041102060369</v>
          </cell>
          <cell r="I510" t="str">
            <v>K421 50 031</v>
          </cell>
          <cell r="J510" t="str">
            <v>FRT. BUMPER FACE</v>
          </cell>
          <cell r="K510" t="str">
            <v>금형</v>
          </cell>
          <cell r="L510" t="str">
            <v>PIE</v>
          </cell>
          <cell r="M510">
            <v>1</v>
          </cell>
          <cell r="N510">
            <v>12800000</v>
          </cell>
          <cell r="Y510" t="str">
            <v>주물</v>
          </cell>
          <cell r="Z510">
            <v>3.58366944</v>
          </cell>
          <cell r="AA510" t="str">
            <v>2360x520x620</v>
          </cell>
          <cell r="AB510" t="str">
            <v>87-5</v>
          </cell>
          <cell r="AG510" t="str">
            <v>서해공업㈜ 반　</v>
          </cell>
          <cell r="AI510" t="str">
            <v>광주 ㈜호원</v>
          </cell>
        </row>
        <row r="511">
          <cell r="A511">
            <v>456</v>
          </cell>
          <cell r="E511" t="str">
            <v>기아모텍</v>
          </cell>
          <cell r="F511" t="str">
            <v>B</v>
          </cell>
          <cell r="G511" t="str">
            <v>TITAN</v>
          </cell>
          <cell r="H511" t="str">
            <v>041102060369</v>
          </cell>
          <cell r="I511" t="str">
            <v>K421 50 031</v>
          </cell>
          <cell r="J511" t="str">
            <v>FRT. BUMPER FACE</v>
          </cell>
          <cell r="K511" t="str">
            <v>금형</v>
          </cell>
          <cell r="L511" t="str">
            <v>TR</v>
          </cell>
          <cell r="M511">
            <v>1</v>
          </cell>
          <cell r="N511">
            <v>16200000</v>
          </cell>
          <cell r="Y511" t="str">
            <v>주물</v>
          </cell>
          <cell r="Z511">
            <v>4.9138487999999994</v>
          </cell>
          <cell r="AA511" t="str">
            <v>2070x700x720</v>
          </cell>
          <cell r="AB511" t="str">
            <v>87-5</v>
          </cell>
          <cell r="AG511" t="str">
            <v>서해공업㈜ 반　</v>
          </cell>
          <cell r="AI511" t="str">
            <v>광주 ㈜호원</v>
          </cell>
        </row>
        <row r="512">
          <cell r="A512">
            <v>457</v>
          </cell>
          <cell r="E512" t="str">
            <v>기아모텍</v>
          </cell>
          <cell r="F512" t="str">
            <v>B</v>
          </cell>
          <cell r="G512" t="str">
            <v>TITAN</v>
          </cell>
          <cell r="H512" t="str">
            <v>041102060369</v>
          </cell>
          <cell r="I512" t="str">
            <v>K421 50 031</v>
          </cell>
          <cell r="J512" t="str">
            <v>FRT. BUMPER FACE</v>
          </cell>
          <cell r="K512" t="str">
            <v>금형</v>
          </cell>
          <cell r="L512" t="str">
            <v>C/PIE</v>
          </cell>
          <cell r="M512">
            <v>1</v>
          </cell>
          <cell r="N512">
            <v>16500000</v>
          </cell>
          <cell r="Y512" t="str">
            <v>주물</v>
          </cell>
          <cell r="Z512">
            <v>5.1478416000000005</v>
          </cell>
          <cell r="AA512" t="str">
            <v>2300x660x720</v>
          </cell>
          <cell r="AB512" t="str">
            <v>87-5</v>
          </cell>
          <cell r="AG512" t="str">
            <v>서해공업㈜ 반　</v>
          </cell>
          <cell r="AI512" t="str">
            <v>광주 ㈜호원</v>
          </cell>
        </row>
        <row r="513">
          <cell r="A513">
            <v>458</v>
          </cell>
          <cell r="E513" t="str">
            <v>기아모텍</v>
          </cell>
          <cell r="F513" t="str">
            <v>B</v>
          </cell>
          <cell r="G513" t="str">
            <v>TITAN</v>
          </cell>
          <cell r="H513" t="str">
            <v>041102060369</v>
          </cell>
          <cell r="I513" t="str">
            <v>K421 50 031</v>
          </cell>
          <cell r="J513" t="str">
            <v>FRT. BUMPER FACE</v>
          </cell>
          <cell r="K513" t="str">
            <v>금형</v>
          </cell>
          <cell r="L513" t="str">
            <v>RE</v>
          </cell>
          <cell r="M513">
            <v>1</v>
          </cell>
          <cell r="N513">
            <v>21100000</v>
          </cell>
          <cell r="Y513" t="str">
            <v>주물</v>
          </cell>
          <cell r="Z513">
            <v>5.5954799999999993</v>
          </cell>
          <cell r="AA513" t="str">
            <v>2200x750x720</v>
          </cell>
          <cell r="AB513" t="str">
            <v>87-5</v>
          </cell>
          <cell r="AG513" t="str">
            <v>서해공업㈜ 반　</v>
          </cell>
          <cell r="AI513" t="str">
            <v>광주 ㈜호원</v>
          </cell>
        </row>
        <row r="514">
          <cell r="A514">
            <v>459</v>
          </cell>
          <cell r="E514" t="str">
            <v>기아모텍</v>
          </cell>
          <cell r="F514" t="str">
            <v>B</v>
          </cell>
          <cell r="G514" t="str">
            <v>TITAN</v>
          </cell>
          <cell r="H514" t="str">
            <v>041102060369</v>
          </cell>
          <cell r="I514" t="str">
            <v>K421 50 031</v>
          </cell>
          <cell r="J514" t="str">
            <v>FRT. BUMPER FACE</v>
          </cell>
          <cell r="K514" t="str">
            <v>금형</v>
          </cell>
          <cell r="L514" t="str">
            <v>CUT</v>
          </cell>
          <cell r="M514">
            <v>1</v>
          </cell>
          <cell r="N514">
            <v>22300000</v>
          </cell>
          <cell r="Y514" t="str">
            <v>주물</v>
          </cell>
          <cell r="Z514">
            <v>5.3608089599999991</v>
          </cell>
          <cell r="AA514" t="str">
            <v>2080x760x720</v>
          </cell>
          <cell r="AB514" t="str">
            <v>87-5</v>
          </cell>
          <cell r="AG514" t="str">
            <v>서해공업㈜ 반　</v>
          </cell>
          <cell r="AI514" t="str">
            <v>광주 ㈜호원</v>
          </cell>
        </row>
        <row r="515">
          <cell r="A515">
            <v>460</v>
          </cell>
          <cell r="E515" t="str">
            <v>기아모텍</v>
          </cell>
          <cell r="F515" t="str">
            <v>B</v>
          </cell>
          <cell r="G515" t="str">
            <v>TITAN</v>
          </cell>
          <cell r="H515" t="str">
            <v>041102060369</v>
          </cell>
          <cell r="I515" t="str">
            <v>K421 50 031</v>
          </cell>
          <cell r="J515" t="str">
            <v>FRT. BUMPER FACE</v>
          </cell>
          <cell r="K515" t="str">
            <v>금형</v>
          </cell>
          <cell r="L515" t="str">
            <v>DR</v>
          </cell>
          <cell r="M515">
            <v>1</v>
          </cell>
          <cell r="N515">
            <v>22500000</v>
          </cell>
          <cell r="Y515" t="str">
            <v>주물</v>
          </cell>
          <cell r="Z515">
            <v>7.0197839999999996</v>
          </cell>
          <cell r="AA515" t="str">
            <v>2300x900x720</v>
          </cell>
          <cell r="AB515" t="str">
            <v>87-5</v>
          </cell>
          <cell r="AG515" t="str">
            <v>서해공업㈜ 반　</v>
          </cell>
          <cell r="AI515" t="str">
            <v>광주 ㈜호원</v>
          </cell>
        </row>
        <row r="516">
          <cell r="A516">
            <v>461</v>
          </cell>
          <cell r="E516" t="str">
            <v>기아모텍</v>
          </cell>
          <cell r="F516" t="str">
            <v>B</v>
          </cell>
          <cell r="G516" t="str">
            <v>TITAN</v>
          </cell>
          <cell r="H516" t="str">
            <v>041403010017</v>
          </cell>
          <cell r="I516" t="str">
            <v>K421 50 050/060</v>
          </cell>
          <cell r="J516" t="str">
            <v>PROTECTOR-BUMPER</v>
          </cell>
          <cell r="K516" t="str">
            <v>금형</v>
          </cell>
          <cell r="L516" t="str">
            <v>INJ</v>
          </cell>
          <cell r="M516">
            <v>1</v>
          </cell>
          <cell r="N516">
            <v>7889000</v>
          </cell>
          <cell r="Y516" t="str">
            <v>주물</v>
          </cell>
          <cell r="Z516">
            <v>1.2430867500000002</v>
          </cell>
          <cell r="AA516" t="str">
            <v>510x900x575</v>
          </cell>
          <cell r="AB516" t="str">
            <v>87-1</v>
          </cell>
          <cell r="AG516" t="str">
            <v>명성</v>
          </cell>
          <cell r="AI516" t="str">
            <v>KMO 광주공장</v>
          </cell>
        </row>
        <row r="517">
          <cell r="A517">
            <v>462</v>
          </cell>
          <cell r="E517" t="str">
            <v>기아모텍</v>
          </cell>
          <cell r="F517" t="str">
            <v>C4</v>
          </cell>
          <cell r="G517" t="str">
            <v>TITAN</v>
          </cell>
          <cell r="H517" t="str">
            <v>041102550711</v>
          </cell>
          <cell r="I517" t="str">
            <v>K421 50 071A/081A</v>
          </cell>
          <cell r="J517" t="str">
            <v>STAY-FRT.BUMPER RH</v>
          </cell>
          <cell r="K517" t="str">
            <v>금형</v>
          </cell>
          <cell r="L517" t="str">
            <v>BE</v>
          </cell>
          <cell r="M517">
            <v>1</v>
          </cell>
          <cell r="N517">
            <v>2619000</v>
          </cell>
          <cell r="Z517">
            <v>0.39234299999999994</v>
          </cell>
          <cell r="AA517" t="str">
            <v>350x340x700</v>
          </cell>
          <cell r="AB517" t="str">
            <v>87-1</v>
          </cell>
          <cell r="AG517" t="str">
            <v>대원정밀</v>
          </cell>
          <cell r="AI517" t="str">
            <v>광주 ㈜호원</v>
          </cell>
          <cell r="AK517" t="str">
            <v>분실</v>
          </cell>
        </row>
        <row r="518">
          <cell r="A518">
            <v>463</v>
          </cell>
          <cell r="E518" t="str">
            <v>기아모텍</v>
          </cell>
          <cell r="F518" t="str">
            <v>C4</v>
          </cell>
          <cell r="G518" t="str">
            <v>TITAN</v>
          </cell>
          <cell r="H518" t="str">
            <v>041102550711</v>
          </cell>
          <cell r="I518" t="str">
            <v>K421 50 071A/081A</v>
          </cell>
          <cell r="J518" t="str">
            <v>STAY-FRT.BUMPER RH</v>
          </cell>
          <cell r="K518" t="str">
            <v>금형</v>
          </cell>
          <cell r="L518" t="str">
            <v>BE</v>
          </cell>
          <cell r="M518">
            <v>1</v>
          </cell>
          <cell r="N518">
            <v>2620000</v>
          </cell>
          <cell r="Z518">
            <v>0.39234299999999994</v>
          </cell>
          <cell r="AA518" t="str">
            <v>350x340x700</v>
          </cell>
          <cell r="AB518" t="str">
            <v>87-1</v>
          </cell>
          <cell r="AG518" t="str">
            <v>대원정밀</v>
          </cell>
          <cell r="AI518" t="str">
            <v>광주 ㈜호원</v>
          </cell>
          <cell r="AK518" t="str">
            <v>분실</v>
          </cell>
        </row>
        <row r="519">
          <cell r="A519">
            <v>464</v>
          </cell>
          <cell r="E519" t="str">
            <v>기아모텍</v>
          </cell>
          <cell r="F519" t="str">
            <v>C4</v>
          </cell>
          <cell r="G519" t="str">
            <v>TITAN</v>
          </cell>
          <cell r="H519" t="str">
            <v>041102550711</v>
          </cell>
          <cell r="I519" t="str">
            <v>K421 50 071A/081A</v>
          </cell>
          <cell r="J519" t="str">
            <v>STAY-FRT.BUMPER RH</v>
          </cell>
          <cell r="K519" t="str">
            <v>금형</v>
          </cell>
          <cell r="L519" t="str">
            <v>FL &amp; EM</v>
          </cell>
          <cell r="M519">
            <v>1</v>
          </cell>
          <cell r="N519">
            <v>3014000</v>
          </cell>
          <cell r="Z519">
            <v>0.69670320000000008</v>
          </cell>
          <cell r="AA519" t="str">
            <v>400x430x860</v>
          </cell>
          <cell r="AB519" t="str">
            <v>87-1</v>
          </cell>
          <cell r="AG519" t="str">
            <v>대원정밀</v>
          </cell>
          <cell r="AI519" t="str">
            <v>광주 ㈜호원</v>
          </cell>
          <cell r="AK519" t="str">
            <v>분실</v>
          </cell>
        </row>
        <row r="520">
          <cell r="A520">
            <v>465</v>
          </cell>
          <cell r="E520" t="str">
            <v>기아모텍</v>
          </cell>
          <cell r="F520" t="str">
            <v>C4</v>
          </cell>
          <cell r="G520" t="str">
            <v>TITAN</v>
          </cell>
          <cell r="H520" t="str">
            <v>041102550711</v>
          </cell>
          <cell r="I520" t="str">
            <v>K421 50 071A/081A</v>
          </cell>
          <cell r="J520" t="str">
            <v>STAY-FRT.BUMPER R/L</v>
          </cell>
          <cell r="K520" t="str">
            <v>금형</v>
          </cell>
          <cell r="L520" t="str">
            <v>BL &amp; PIE</v>
          </cell>
          <cell r="M520">
            <v>1</v>
          </cell>
          <cell r="N520">
            <v>3653000</v>
          </cell>
          <cell r="Z520">
            <v>0.95837195999999991</v>
          </cell>
          <cell r="AA520" t="str">
            <v>520x430x910</v>
          </cell>
          <cell r="AB520" t="str">
            <v>87-1</v>
          </cell>
          <cell r="AG520" t="str">
            <v>대원정밀</v>
          </cell>
          <cell r="AI520" t="str">
            <v>광주 ㈜호원</v>
          </cell>
          <cell r="AK520" t="str">
            <v>분실</v>
          </cell>
        </row>
        <row r="521">
          <cell r="A521">
            <v>466</v>
          </cell>
          <cell r="E521" t="str">
            <v>기아모텍</v>
          </cell>
          <cell r="F521" t="str">
            <v>C4</v>
          </cell>
          <cell r="G521" t="str">
            <v>TITAN</v>
          </cell>
          <cell r="H521" t="str">
            <v>041102550711</v>
          </cell>
          <cell r="I521" t="str">
            <v>K421 50 071A/081A</v>
          </cell>
          <cell r="J521" t="str">
            <v>STAY-FRT.BUMPER LH</v>
          </cell>
          <cell r="K521" t="str">
            <v>금형</v>
          </cell>
          <cell r="L521" t="str">
            <v>FL &amp; EM</v>
          </cell>
          <cell r="M521">
            <v>1</v>
          </cell>
          <cell r="N521">
            <v>3872000</v>
          </cell>
          <cell r="Z521">
            <v>0.69670320000000008</v>
          </cell>
          <cell r="AA521" t="str">
            <v>400x430x860</v>
          </cell>
          <cell r="AB521" t="str">
            <v>87-1</v>
          </cell>
          <cell r="AG521" t="str">
            <v>대원정밀</v>
          </cell>
          <cell r="AI521" t="str">
            <v>광주 ㈜호원</v>
          </cell>
          <cell r="AK521" t="str">
            <v>분실</v>
          </cell>
        </row>
        <row r="522">
          <cell r="A522">
            <v>467</v>
          </cell>
          <cell r="E522" t="str">
            <v>기아모텍</v>
          </cell>
          <cell r="F522" t="str">
            <v>B</v>
          </cell>
          <cell r="G522" t="str">
            <v>TITAN</v>
          </cell>
          <cell r="H522" t="str">
            <v>041102017251</v>
          </cell>
          <cell r="I522" t="str">
            <v>K421 53 111</v>
          </cell>
          <cell r="J522" t="str">
            <v>FRT. PANEL</v>
          </cell>
          <cell r="K522" t="str">
            <v>금형</v>
          </cell>
          <cell r="L522" t="str">
            <v>PI&amp;C/P&amp;CU</v>
          </cell>
          <cell r="M522">
            <v>1</v>
          </cell>
          <cell r="N522">
            <v>5083500</v>
          </cell>
          <cell r="AA522" t="str">
            <v>xx</v>
          </cell>
          <cell r="AB522" t="str">
            <v>93-12-16</v>
          </cell>
          <cell r="AG522" t="str">
            <v>화천금형</v>
          </cell>
          <cell r="AI522" t="str">
            <v>광주 ㈜호원</v>
          </cell>
          <cell r="AK522" t="str">
            <v>분실</v>
          </cell>
        </row>
        <row r="523">
          <cell r="A523">
            <v>468</v>
          </cell>
          <cell r="E523" t="str">
            <v>기아모텍</v>
          </cell>
          <cell r="F523" t="str">
            <v>B</v>
          </cell>
          <cell r="G523" t="str">
            <v>TITAN</v>
          </cell>
          <cell r="H523" t="str">
            <v>041102150314</v>
          </cell>
          <cell r="I523" t="str">
            <v>K421 53 111</v>
          </cell>
          <cell r="J523" t="str">
            <v>FRT. PANEL</v>
          </cell>
          <cell r="K523" t="str">
            <v>금형</v>
          </cell>
          <cell r="L523" t="str">
            <v>DRAW 1/5</v>
          </cell>
          <cell r="M523">
            <v>1</v>
          </cell>
          <cell r="N523">
            <v>80107608</v>
          </cell>
          <cell r="AA523" t="str">
            <v>xx</v>
          </cell>
          <cell r="AB523" t="str">
            <v>88-02-29</v>
          </cell>
          <cell r="AG523" t="str">
            <v>FUJI TOOL</v>
          </cell>
          <cell r="AI523" t="str">
            <v>광주 ㈜호원</v>
          </cell>
          <cell r="AK523" t="str">
            <v>분실</v>
          </cell>
        </row>
        <row r="524">
          <cell r="A524">
            <v>469</v>
          </cell>
          <cell r="E524" t="str">
            <v>기아모텍</v>
          </cell>
          <cell r="F524" t="str">
            <v>B</v>
          </cell>
          <cell r="G524" t="str">
            <v>TITAN</v>
          </cell>
          <cell r="H524" t="str">
            <v>041102250301</v>
          </cell>
          <cell r="I524" t="str">
            <v>K421 53 111</v>
          </cell>
          <cell r="J524" t="str">
            <v>FRT. PANEL</v>
          </cell>
          <cell r="K524" t="str">
            <v>금형</v>
          </cell>
          <cell r="L524" t="str">
            <v>TR PIE 2/5</v>
          </cell>
          <cell r="M524">
            <v>1</v>
          </cell>
          <cell r="N524">
            <v>71578531</v>
          </cell>
          <cell r="AA524" t="str">
            <v>xx</v>
          </cell>
          <cell r="AB524" t="str">
            <v>88-02-29</v>
          </cell>
          <cell r="AG524" t="str">
            <v>FUJI TOOL</v>
          </cell>
          <cell r="AI524" t="str">
            <v>광주 ㈜호원</v>
          </cell>
          <cell r="AK524" t="str">
            <v>분실</v>
          </cell>
        </row>
        <row r="525">
          <cell r="A525">
            <v>470</v>
          </cell>
          <cell r="E525" t="str">
            <v>기아모텍</v>
          </cell>
          <cell r="F525" t="str">
            <v>B</v>
          </cell>
          <cell r="G525" t="str">
            <v>TITAN</v>
          </cell>
          <cell r="H525" t="str">
            <v>041102350328</v>
          </cell>
          <cell r="I525" t="str">
            <v>K421 53 111</v>
          </cell>
          <cell r="J525" t="str">
            <v>FRT. PANEL</v>
          </cell>
          <cell r="K525" t="str">
            <v>금형</v>
          </cell>
          <cell r="L525" t="str">
            <v>RE C FO 3/5</v>
          </cell>
          <cell r="M525">
            <v>1</v>
          </cell>
          <cell r="N525">
            <v>73073802</v>
          </cell>
          <cell r="AA525" t="str">
            <v>xx</v>
          </cell>
          <cell r="AB525" t="str">
            <v>88-02-29</v>
          </cell>
          <cell r="AG525" t="str">
            <v>FUJI TOOL</v>
          </cell>
          <cell r="AI525" t="str">
            <v>광주 ㈜호원</v>
          </cell>
          <cell r="AK525" t="str">
            <v>분실</v>
          </cell>
        </row>
        <row r="526">
          <cell r="A526">
            <v>471</v>
          </cell>
          <cell r="E526" t="str">
            <v>기아모텍</v>
          </cell>
          <cell r="F526" t="str">
            <v>B</v>
          </cell>
          <cell r="G526" t="str">
            <v>TITAN</v>
          </cell>
          <cell r="H526" t="str">
            <v>041102550311</v>
          </cell>
          <cell r="I526" t="str">
            <v>K421 53 111</v>
          </cell>
          <cell r="J526" t="str">
            <v>FRT. PANEL</v>
          </cell>
          <cell r="K526" t="str">
            <v>금형</v>
          </cell>
          <cell r="L526" t="str">
            <v>C FL 5/5</v>
          </cell>
          <cell r="M526">
            <v>1</v>
          </cell>
          <cell r="N526">
            <v>70539219</v>
          </cell>
          <cell r="AA526" t="str">
            <v>xx</v>
          </cell>
          <cell r="AB526" t="str">
            <v>88-02-29</v>
          </cell>
          <cell r="AG526" t="str">
            <v>FUJI TOOL</v>
          </cell>
          <cell r="AI526" t="str">
            <v>광주 ㈜호원</v>
          </cell>
          <cell r="AK526" t="str">
            <v>분실</v>
          </cell>
        </row>
        <row r="527">
          <cell r="A527">
            <v>472</v>
          </cell>
          <cell r="E527" t="str">
            <v>기아모텍</v>
          </cell>
          <cell r="F527" t="str">
            <v>B</v>
          </cell>
          <cell r="G527" t="str">
            <v>TITAN</v>
          </cell>
          <cell r="H527" t="str">
            <v>044101011086</v>
          </cell>
          <cell r="I527" t="str">
            <v>K421 53 111</v>
          </cell>
          <cell r="J527" t="str">
            <v>FRT. PANEL</v>
          </cell>
          <cell r="K527" t="str">
            <v>검사구</v>
          </cell>
          <cell r="M527">
            <v>1</v>
          </cell>
          <cell r="N527">
            <v>19525684</v>
          </cell>
          <cell r="AA527" t="str">
            <v>xx</v>
          </cell>
          <cell r="AB527" t="str">
            <v>88-02-29</v>
          </cell>
          <cell r="AG527" t="str">
            <v>FUJI TOOL</v>
          </cell>
          <cell r="AI527" t="str">
            <v>광주 ㈜호원</v>
          </cell>
          <cell r="AK527" t="str">
            <v>분실</v>
          </cell>
        </row>
        <row r="528">
          <cell r="A528">
            <v>473</v>
          </cell>
          <cell r="E528" t="str">
            <v>기아모텍</v>
          </cell>
          <cell r="F528" t="str">
            <v>B</v>
          </cell>
          <cell r="G528" t="str">
            <v>TITAN</v>
          </cell>
          <cell r="H528" t="str">
            <v>041102550881</v>
          </cell>
          <cell r="I528" t="str">
            <v>K421 53 151</v>
          </cell>
          <cell r="J528" t="str">
            <v>COVER-DUST HOLE RH</v>
          </cell>
          <cell r="K528" t="str">
            <v>금형</v>
          </cell>
          <cell r="L528" t="str">
            <v>NO</v>
          </cell>
          <cell r="M528">
            <v>1</v>
          </cell>
          <cell r="N528">
            <v>1050000</v>
          </cell>
          <cell r="Z528">
            <v>0.29465760000000002</v>
          </cell>
          <cell r="AA528" t="str">
            <v>460x340x400</v>
          </cell>
          <cell r="AB528" t="str">
            <v>87-3</v>
          </cell>
          <cell r="AG528" t="str">
            <v>삼부정공</v>
          </cell>
          <cell r="AI528" t="str">
            <v>광주 ㈜호원</v>
          </cell>
          <cell r="AJ528" t="str">
            <v>동양기공</v>
          </cell>
          <cell r="AK528" t="str">
            <v>분실</v>
          </cell>
        </row>
        <row r="529">
          <cell r="A529">
            <v>474</v>
          </cell>
          <cell r="E529" t="str">
            <v>기아모텍</v>
          </cell>
          <cell r="F529" t="str">
            <v>B</v>
          </cell>
          <cell r="G529" t="str">
            <v>TITAN</v>
          </cell>
          <cell r="H529" t="str">
            <v>041102550881</v>
          </cell>
          <cell r="I529" t="str">
            <v>K421 53 151</v>
          </cell>
          <cell r="J529" t="str">
            <v>COVER-DUST HOLE RH</v>
          </cell>
          <cell r="K529" t="str">
            <v>금형</v>
          </cell>
          <cell r="L529" t="str">
            <v>CU</v>
          </cell>
          <cell r="M529">
            <v>1</v>
          </cell>
          <cell r="N529">
            <v>1365000</v>
          </cell>
          <cell r="Z529">
            <v>0.38433599999999996</v>
          </cell>
          <cell r="AA529" t="str">
            <v>600x340x400</v>
          </cell>
          <cell r="AB529" t="str">
            <v>87-3</v>
          </cell>
          <cell r="AG529" t="str">
            <v>삼부정공</v>
          </cell>
          <cell r="AI529" t="str">
            <v>광주 ㈜호원</v>
          </cell>
          <cell r="AJ529" t="str">
            <v>동양기공</v>
          </cell>
          <cell r="AK529" t="str">
            <v>분실</v>
          </cell>
        </row>
        <row r="530">
          <cell r="A530">
            <v>475</v>
          </cell>
          <cell r="E530" t="str">
            <v>기아모텍</v>
          </cell>
          <cell r="F530" t="str">
            <v>B</v>
          </cell>
          <cell r="G530" t="str">
            <v>TITAN</v>
          </cell>
          <cell r="H530" t="str">
            <v>041102550881</v>
          </cell>
          <cell r="I530" t="str">
            <v>K421 53 151</v>
          </cell>
          <cell r="J530" t="str">
            <v>COVER-DUST HOLE RH</v>
          </cell>
          <cell r="K530" t="str">
            <v>금형</v>
          </cell>
          <cell r="L530" t="str">
            <v>TR</v>
          </cell>
          <cell r="M530">
            <v>1</v>
          </cell>
          <cell r="N530">
            <v>1365000</v>
          </cell>
          <cell r="Z530">
            <v>0.422016</v>
          </cell>
          <cell r="AA530" t="str">
            <v>560x400x400</v>
          </cell>
          <cell r="AB530" t="str">
            <v>87-3</v>
          </cell>
          <cell r="AG530" t="str">
            <v>삼부정공</v>
          </cell>
          <cell r="AI530" t="str">
            <v>광주 ㈜호원</v>
          </cell>
          <cell r="AJ530" t="str">
            <v>동양기공</v>
          </cell>
          <cell r="AK530" t="str">
            <v>분실</v>
          </cell>
        </row>
        <row r="531">
          <cell r="A531">
            <v>476</v>
          </cell>
          <cell r="E531" t="str">
            <v>기아모텍</v>
          </cell>
          <cell r="F531" t="str">
            <v>B</v>
          </cell>
          <cell r="G531" t="str">
            <v>TITAN</v>
          </cell>
          <cell r="H531" t="str">
            <v>041102550881</v>
          </cell>
          <cell r="I531" t="str">
            <v>K421 53 151</v>
          </cell>
          <cell r="J531" t="str">
            <v>COVER-DUST HOLE RH</v>
          </cell>
          <cell r="K531" t="str">
            <v>금형</v>
          </cell>
          <cell r="L531" t="str">
            <v>DR</v>
          </cell>
          <cell r="M531">
            <v>1</v>
          </cell>
          <cell r="N531">
            <v>1470000</v>
          </cell>
          <cell r="Z531">
            <v>0.43934880000000004</v>
          </cell>
          <cell r="AA531" t="str">
            <v>530x440x400</v>
          </cell>
          <cell r="AB531" t="str">
            <v>87-3</v>
          </cell>
          <cell r="AG531" t="str">
            <v>삼부정공</v>
          </cell>
          <cell r="AI531" t="str">
            <v>광주 ㈜호원</v>
          </cell>
          <cell r="AJ531" t="str">
            <v>동양기공</v>
          </cell>
          <cell r="AK531" t="str">
            <v>분실</v>
          </cell>
        </row>
        <row r="532">
          <cell r="A532">
            <v>477</v>
          </cell>
          <cell r="E532" t="str">
            <v>기아모텍</v>
          </cell>
          <cell r="F532" t="str">
            <v>B</v>
          </cell>
          <cell r="G532" t="str">
            <v>TITAN</v>
          </cell>
          <cell r="H532" t="str">
            <v>041102550881</v>
          </cell>
          <cell r="I532" t="str">
            <v>K421 53 151</v>
          </cell>
          <cell r="J532" t="str">
            <v>COVER-DUST HOLE RH</v>
          </cell>
          <cell r="K532" t="str">
            <v>금형</v>
          </cell>
          <cell r="L532" t="str">
            <v>FL</v>
          </cell>
          <cell r="M532">
            <v>1</v>
          </cell>
          <cell r="N532">
            <v>1575000</v>
          </cell>
          <cell r="Z532">
            <v>0.45216000000000001</v>
          </cell>
          <cell r="AA532" t="str">
            <v>600x400x400</v>
          </cell>
          <cell r="AB532" t="str">
            <v>87-3</v>
          </cell>
          <cell r="AG532" t="str">
            <v>삼부정공</v>
          </cell>
          <cell r="AI532" t="str">
            <v>광주 ㈜호원</v>
          </cell>
          <cell r="AJ532" t="str">
            <v>동양기공</v>
          </cell>
          <cell r="AK532" t="str">
            <v>분실</v>
          </cell>
        </row>
        <row r="533">
          <cell r="A533">
            <v>478</v>
          </cell>
          <cell r="E533" t="str">
            <v>기아모텍</v>
          </cell>
          <cell r="F533" t="str">
            <v>B</v>
          </cell>
          <cell r="G533" t="str">
            <v>TITAN</v>
          </cell>
          <cell r="H533" t="str">
            <v>041102441072</v>
          </cell>
          <cell r="I533" t="str">
            <v>K421 53 631</v>
          </cell>
          <cell r="J533" t="str">
            <v>JUNCTION-PILLAR,IN.RH</v>
          </cell>
          <cell r="K533" t="str">
            <v>금형</v>
          </cell>
          <cell r="L533" t="str">
            <v>TR</v>
          </cell>
          <cell r="M533">
            <v>1</v>
          </cell>
          <cell r="N533">
            <v>1990000</v>
          </cell>
          <cell r="Z533">
            <v>0.57763439999999999</v>
          </cell>
          <cell r="AA533" t="str">
            <v>730x420x400</v>
          </cell>
          <cell r="AB533" t="str">
            <v>87-3</v>
          </cell>
          <cell r="AG533" t="str">
            <v>삼부정공</v>
          </cell>
          <cell r="AI533" t="str">
            <v>광주 ㈜호원</v>
          </cell>
          <cell r="AJ533" t="str">
            <v>동양기공</v>
          </cell>
          <cell r="AK533" t="str">
            <v>분실</v>
          </cell>
        </row>
        <row r="534">
          <cell r="A534">
            <v>479</v>
          </cell>
          <cell r="E534" t="str">
            <v>기아모텍</v>
          </cell>
          <cell r="F534" t="str">
            <v>B</v>
          </cell>
          <cell r="G534" t="str">
            <v>TITAN</v>
          </cell>
          <cell r="H534" t="str">
            <v>041102441072</v>
          </cell>
          <cell r="I534" t="str">
            <v>K421 53 631</v>
          </cell>
          <cell r="J534" t="str">
            <v>JUNCTION-PILLAR,IN.RH</v>
          </cell>
          <cell r="K534" t="str">
            <v>금형</v>
          </cell>
          <cell r="L534" t="str">
            <v>PAT&amp; PIE</v>
          </cell>
          <cell r="M534">
            <v>1</v>
          </cell>
          <cell r="N534">
            <v>2940000</v>
          </cell>
          <cell r="Z534">
            <v>0.65939999999999999</v>
          </cell>
          <cell r="AA534" t="str">
            <v>700x500x400</v>
          </cell>
          <cell r="AB534" t="str">
            <v>87-3</v>
          </cell>
          <cell r="AG534" t="str">
            <v>삼부정공</v>
          </cell>
          <cell r="AI534" t="str">
            <v>광주 ㈜호원</v>
          </cell>
          <cell r="AJ534" t="str">
            <v>동양기공</v>
          </cell>
          <cell r="AK534" t="str">
            <v>분실</v>
          </cell>
        </row>
        <row r="535">
          <cell r="A535">
            <v>480</v>
          </cell>
          <cell r="E535" t="str">
            <v>기아모텍</v>
          </cell>
          <cell r="F535" t="str">
            <v>B</v>
          </cell>
          <cell r="G535" t="str">
            <v>TITAN</v>
          </cell>
          <cell r="H535" t="str">
            <v>041102441072</v>
          </cell>
          <cell r="I535" t="str">
            <v>K421 53 631</v>
          </cell>
          <cell r="J535" t="str">
            <v>JUNCTION-PILLAR,IN.RH</v>
          </cell>
          <cell r="K535" t="str">
            <v>금형</v>
          </cell>
          <cell r="L535" t="str">
            <v>RE &amp; FL</v>
          </cell>
          <cell r="M535">
            <v>1</v>
          </cell>
          <cell r="N535">
            <v>2940000</v>
          </cell>
          <cell r="Z535">
            <v>0.78751199999999999</v>
          </cell>
          <cell r="AA535" t="str">
            <v>760x550x400</v>
          </cell>
          <cell r="AB535" t="str">
            <v>87-3</v>
          </cell>
          <cell r="AG535" t="str">
            <v>삼부정공</v>
          </cell>
          <cell r="AI535" t="str">
            <v>광주 ㈜호원</v>
          </cell>
          <cell r="AJ535" t="str">
            <v>동양기공</v>
          </cell>
          <cell r="AK535" t="str">
            <v>분실</v>
          </cell>
        </row>
        <row r="536">
          <cell r="A536">
            <v>481</v>
          </cell>
          <cell r="E536" t="str">
            <v>기아모텍</v>
          </cell>
          <cell r="F536" t="str">
            <v>B</v>
          </cell>
          <cell r="G536" t="str">
            <v>TITAN</v>
          </cell>
          <cell r="H536" t="str">
            <v>041102441072</v>
          </cell>
          <cell r="I536" t="str">
            <v>K421 53 631</v>
          </cell>
          <cell r="J536" t="str">
            <v>JUNCTION-PILLAR,IN.RH</v>
          </cell>
          <cell r="K536" t="str">
            <v>금형</v>
          </cell>
          <cell r="L536" t="str">
            <v>DR(+TR)</v>
          </cell>
          <cell r="M536">
            <v>1</v>
          </cell>
          <cell r="N536">
            <v>4730000</v>
          </cell>
          <cell r="Z536">
            <v>1.44126</v>
          </cell>
          <cell r="AA536" t="str">
            <v>900x680x500</v>
          </cell>
          <cell r="AB536" t="str">
            <v>87-3</v>
          </cell>
          <cell r="AG536" t="str">
            <v>삼부정공</v>
          </cell>
          <cell r="AI536" t="str">
            <v>광주 ㈜호원</v>
          </cell>
          <cell r="AJ536" t="str">
            <v>동양기공</v>
          </cell>
          <cell r="AK536" t="str">
            <v>분실</v>
          </cell>
        </row>
        <row r="537">
          <cell r="A537">
            <v>482</v>
          </cell>
          <cell r="E537" t="str">
            <v>기아모텍</v>
          </cell>
          <cell r="F537" t="str">
            <v>A</v>
          </cell>
          <cell r="G537" t="str">
            <v>TITAN</v>
          </cell>
          <cell r="H537" t="str">
            <v>041102020370</v>
          </cell>
          <cell r="I537" t="str">
            <v>K421 53 716</v>
          </cell>
          <cell r="J537" t="str">
            <v>STIFFENER B. PANEL</v>
          </cell>
          <cell r="K537" t="str">
            <v>금형</v>
          </cell>
          <cell r="L537" t="str">
            <v>NO</v>
          </cell>
          <cell r="M537">
            <v>1</v>
          </cell>
          <cell r="N537">
            <v>3360000</v>
          </cell>
          <cell r="Z537">
            <v>1.1377476</v>
          </cell>
          <cell r="AA537" t="str">
            <v>1830x400x330</v>
          </cell>
          <cell r="AB537" t="str">
            <v>87-5</v>
          </cell>
          <cell r="AG537" t="str">
            <v>새서울</v>
          </cell>
          <cell r="AI537" t="str">
            <v>광주 ㈜호원</v>
          </cell>
          <cell r="AK537" t="str">
            <v>분실</v>
          </cell>
        </row>
        <row r="538">
          <cell r="A538">
            <v>483</v>
          </cell>
          <cell r="E538" t="str">
            <v>기아모텍</v>
          </cell>
          <cell r="F538" t="str">
            <v>A</v>
          </cell>
          <cell r="G538" t="str">
            <v>TITAN</v>
          </cell>
          <cell r="H538" t="str">
            <v>041102020370</v>
          </cell>
          <cell r="I538" t="str">
            <v>K421 53 716</v>
          </cell>
          <cell r="J538" t="str">
            <v>STIFFENER B. PANEL</v>
          </cell>
          <cell r="K538" t="str">
            <v>금형</v>
          </cell>
          <cell r="L538" t="str">
            <v>TR &amp; PIE</v>
          </cell>
          <cell r="M538">
            <v>1</v>
          </cell>
          <cell r="N538">
            <v>7350000</v>
          </cell>
          <cell r="Z538">
            <v>1.6458623999999997</v>
          </cell>
          <cell r="AA538" t="str">
            <v>1920x520x350</v>
          </cell>
          <cell r="AB538" t="str">
            <v>87-5</v>
          </cell>
          <cell r="AG538" t="str">
            <v>새서울</v>
          </cell>
          <cell r="AI538" t="str">
            <v>광주 ㈜호원</v>
          </cell>
          <cell r="AK538" t="str">
            <v>분실</v>
          </cell>
        </row>
        <row r="539">
          <cell r="A539">
            <v>484</v>
          </cell>
          <cell r="E539" t="str">
            <v>기아모텍</v>
          </cell>
          <cell r="F539" t="str">
            <v>A</v>
          </cell>
          <cell r="G539" t="str">
            <v>TITAN</v>
          </cell>
          <cell r="H539" t="str">
            <v>041102020370</v>
          </cell>
          <cell r="I539" t="str">
            <v>K421 53 716</v>
          </cell>
          <cell r="J539" t="str">
            <v>STIFFENER B. PANEL</v>
          </cell>
          <cell r="K539" t="str">
            <v>금형</v>
          </cell>
          <cell r="L539" t="str">
            <v>DR</v>
          </cell>
          <cell r="M539">
            <v>1</v>
          </cell>
          <cell r="N539">
            <v>9450000</v>
          </cell>
          <cell r="Z539">
            <v>1.16619129</v>
          </cell>
          <cell r="AA539" t="str">
            <v>1830x410x330</v>
          </cell>
          <cell r="AB539" t="str">
            <v>87-5</v>
          </cell>
          <cell r="AG539" t="str">
            <v>새서울</v>
          </cell>
          <cell r="AI539" t="str">
            <v>광주 ㈜호원</v>
          </cell>
          <cell r="AK539" t="str">
            <v>분실</v>
          </cell>
        </row>
        <row r="540">
          <cell r="A540">
            <v>485</v>
          </cell>
          <cell r="E540" t="str">
            <v>기아모텍</v>
          </cell>
          <cell r="F540" t="str">
            <v>B</v>
          </cell>
          <cell r="G540" t="str">
            <v>TITAN</v>
          </cell>
          <cell r="H540" t="str">
            <v>041102031892</v>
          </cell>
          <cell r="I540" t="str">
            <v>K421 53 740</v>
          </cell>
          <cell r="J540" t="str">
            <v>CROSS M/B- BACK PANEL</v>
          </cell>
          <cell r="K540" t="str">
            <v>금형</v>
          </cell>
          <cell r="L540" t="str">
            <v>NO</v>
          </cell>
          <cell r="M540">
            <v>1</v>
          </cell>
          <cell r="N540">
            <v>278000</v>
          </cell>
          <cell r="Z540">
            <v>0.10761407999999999</v>
          </cell>
          <cell r="AA540" t="str">
            <v>280x340x240</v>
          </cell>
          <cell r="AB540" t="str">
            <v>87-5</v>
          </cell>
          <cell r="AG540" t="str">
            <v>새서울</v>
          </cell>
          <cell r="AI540" t="str">
            <v>광주 ㈜호원</v>
          </cell>
          <cell r="AJ540" t="str">
            <v>대륭산업</v>
          </cell>
          <cell r="AK540" t="str">
            <v>분실</v>
          </cell>
        </row>
        <row r="541">
          <cell r="A541">
            <v>486</v>
          </cell>
          <cell r="E541" t="str">
            <v>기아모텍</v>
          </cell>
          <cell r="F541" t="str">
            <v>B</v>
          </cell>
          <cell r="G541" t="str">
            <v>TITAN</v>
          </cell>
          <cell r="H541" t="str">
            <v>041102031892</v>
          </cell>
          <cell r="I541" t="str">
            <v>K421 53 740</v>
          </cell>
          <cell r="J541" t="str">
            <v>CROSS M/B- BACK PANEL</v>
          </cell>
          <cell r="K541" t="str">
            <v>금형</v>
          </cell>
          <cell r="L541" t="str">
            <v>PIE</v>
          </cell>
          <cell r="M541">
            <v>1</v>
          </cell>
          <cell r="N541">
            <v>367000</v>
          </cell>
          <cell r="Z541">
            <v>6.8671800000000005E-2</v>
          </cell>
          <cell r="AA541" t="str">
            <v>270x270x200</v>
          </cell>
          <cell r="AB541" t="str">
            <v>87-5</v>
          </cell>
          <cell r="AG541" t="str">
            <v>새서울</v>
          </cell>
          <cell r="AI541" t="str">
            <v>광주 ㈜호원</v>
          </cell>
          <cell r="AJ541" t="str">
            <v>대륭산업</v>
          </cell>
          <cell r="AK541" t="str">
            <v>분실</v>
          </cell>
        </row>
        <row r="542">
          <cell r="A542">
            <v>487</v>
          </cell>
          <cell r="E542" t="str">
            <v>기아모텍</v>
          </cell>
          <cell r="F542" t="str">
            <v>B</v>
          </cell>
          <cell r="G542" t="str">
            <v>TITAN</v>
          </cell>
          <cell r="H542" t="str">
            <v>041102031892</v>
          </cell>
          <cell r="I542" t="str">
            <v>K421 53 740</v>
          </cell>
          <cell r="J542" t="str">
            <v>CROSS M/B- BACK PANEL</v>
          </cell>
          <cell r="K542" t="str">
            <v>금형</v>
          </cell>
          <cell r="L542" t="str">
            <v>PIE &amp; NO</v>
          </cell>
          <cell r="M542">
            <v>1</v>
          </cell>
          <cell r="N542">
            <v>945000</v>
          </cell>
          <cell r="Z542">
            <v>0.31792500000000001</v>
          </cell>
          <cell r="AA542" t="str">
            <v>450x500x300</v>
          </cell>
          <cell r="AB542" t="str">
            <v>87-5</v>
          </cell>
          <cell r="AG542" t="str">
            <v>새서울</v>
          </cell>
          <cell r="AI542" t="str">
            <v>광주 ㈜호원</v>
          </cell>
          <cell r="AJ542" t="str">
            <v>대륭산업</v>
          </cell>
          <cell r="AK542" t="str">
            <v>분실</v>
          </cell>
        </row>
        <row r="543">
          <cell r="A543">
            <v>488</v>
          </cell>
          <cell r="E543" t="str">
            <v>기아모텍</v>
          </cell>
          <cell r="F543" t="str">
            <v>B</v>
          </cell>
          <cell r="G543" t="str">
            <v>TITAN</v>
          </cell>
          <cell r="H543" t="str">
            <v>041102031892</v>
          </cell>
          <cell r="I543" t="str">
            <v>K421 53 740</v>
          </cell>
          <cell r="J543" t="str">
            <v>CROSS M/B- BACK PANEL</v>
          </cell>
          <cell r="K543" t="str">
            <v>금형</v>
          </cell>
          <cell r="L543" t="str">
            <v>DR</v>
          </cell>
          <cell r="M543">
            <v>1</v>
          </cell>
          <cell r="N543">
            <v>4935000</v>
          </cell>
          <cell r="Z543">
            <v>0.68181959999999997</v>
          </cell>
          <cell r="AA543" t="str">
            <v>1880x350x220</v>
          </cell>
          <cell r="AB543" t="str">
            <v>87-5</v>
          </cell>
          <cell r="AG543" t="str">
            <v>새서울</v>
          </cell>
          <cell r="AI543" t="str">
            <v>광주 ㈜호원</v>
          </cell>
          <cell r="AJ543" t="str">
            <v>대륭산업</v>
          </cell>
          <cell r="AK543" t="str">
            <v>분실</v>
          </cell>
        </row>
        <row r="544">
          <cell r="A544">
            <v>489</v>
          </cell>
          <cell r="E544" t="str">
            <v>기아모텍</v>
          </cell>
          <cell r="F544" t="str">
            <v>B</v>
          </cell>
          <cell r="G544" t="str">
            <v>TITAN</v>
          </cell>
          <cell r="H544" t="str">
            <v>041102150304</v>
          </cell>
          <cell r="I544" t="str">
            <v>K421 53 811</v>
          </cell>
          <cell r="J544" t="str">
            <v>ROOF PANEL</v>
          </cell>
          <cell r="K544" t="str">
            <v>금형</v>
          </cell>
          <cell r="L544" t="str">
            <v>DRAW 1/5</v>
          </cell>
          <cell r="M544">
            <v>1</v>
          </cell>
          <cell r="N544">
            <v>81046053</v>
          </cell>
          <cell r="Y544" t="str">
            <v>주물</v>
          </cell>
          <cell r="Z544">
            <v>23.66612976</v>
          </cell>
          <cell r="AA544" t="str">
            <v>2320x2210x980</v>
          </cell>
          <cell r="AB544" t="str">
            <v>88-02-29</v>
          </cell>
          <cell r="AG544" t="str">
            <v>FUJI TOOL</v>
          </cell>
          <cell r="AI544" t="str">
            <v>광주 ㈜대성</v>
          </cell>
        </row>
        <row r="545">
          <cell r="A545">
            <v>490</v>
          </cell>
          <cell r="E545" t="str">
            <v>기아모텍</v>
          </cell>
          <cell r="F545" t="str">
            <v>B</v>
          </cell>
          <cell r="G545" t="str">
            <v>TITAN</v>
          </cell>
          <cell r="H545" t="str">
            <v>041102250291</v>
          </cell>
          <cell r="I545" t="str">
            <v>K421 53 811</v>
          </cell>
          <cell r="J545" t="str">
            <v>ROOF PANEL</v>
          </cell>
          <cell r="K545" t="str">
            <v>금형</v>
          </cell>
          <cell r="L545" t="str">
            <v>TRIM 2/5</v>
          </cell>
          <cell r="M545">
            <v>1</v>
          </cell>
          <cell r="N545">
            <v>72925996</v>
          </cell>
          <cell r="Y545" t="str">
            <v>주물</v>
          </cell>
          <cell r="Z545">
            <v>23.66612976</v>
          </cell>
          <cell r="AA545" t="str">
            <v>2320x2210x980</v>
          </cell>
          <cell r="AB545" t="str">
            <v>88-02-29</v>
          </cell>
          <cell r="AG545" t="str">
            <v>FUJI TOOL</v>
          </cell>
          <cell r="AI545" t="str">
            <v>광주 ㈜대성</v>
          </cell>
        </row>
        <row r="546">
          <cell r="A546">
            <v>491</v>
          </cell>
          <cell r="E546" t="str">
            <v>기아모텍</v>
          </cell>
          <cell r="F546" t="str">
            <v>B</v>
          </cell>
          <cell r="G546" t="str">
            <v>TITAN</v>
          </cell>
          <cell r="H546" t="str">
            <v>041102350318</v>
          </cell>
          <cell r="I546" t="str">
            <v>K421 53 811</v>
          </cell>
          <cell r="J546" t="str">
            <v>ROOF PANEL</v>
          </cell>
          <cell r="K546" t="str">
            <v>금형</v>
          </cell>
          <cell r="L546" t="str">
            <v>CAM/RE 3/5</v>
          </cell>
          <cell r="M546">
            <v>1</v>
          </cell>
          <cell r="N546">
            <v>82568114</v>
          </cell>
          <cell r="Y546" t="str">
            <v>주물</v>
          </cell>
          <cell r="Z546">
            <v>23.66612976</v>
          </cell>
          <cell r="AA546" t="str">
            <v>2320x2210x980</v>
          </cell>
          <cell r="AB546" t="str">
            <v>88-02-29</v>
          </cell>
          <cell r="AG546" t="str">
            <v>FUJI TOOL</v>
          </cell>
          <cell r="AI546" t="str">
            <v>광주 ㈜대성</v>
          </cell>
        </row>
        <row r="547">
          <cell r="A547">
            <v>492</v>
          </cell>
          <cell r="E547" t="str">
            <v>기아모텍</v>
          </cell>
          <cell r="F547" t="str">
            <v>B</v>
          </cell>
          <cell r="G547" t="str">
            <v>TITAN</v>
          </cell>
          <cell r="H547" t="str">
            <v>041102450294</v>
          </cell>
          <cell r="I547" t="str">
            <v>K421 53 811</v>
          </cell>
          <cell r="J547" t="str">
            <v>ROOF PANEL</v>
          </cell>
          <cell r="K547" t="str">
            <v>금형</v>
          </cell>
          <cell r="L547" t="str">
            <v>RE C/TR 4/5</v>
          </cell>
          <cell r="M547">
            <v>1</v>
          </cell>
          <cell r="N547">
            <v>68246022</v>
          </cell>
          <cell r="Y547" t="str">
            <v>주물</v>
          </cell>
          <cell r="Z547">
            <v>23.66612976</v>
          </cell>
          <cell r="AA547" t="str">
            <v>2320x2210x980</v>
          </cell>
          <cell r="AB547" t="str">
            <v>88-02-29</v>
          </cell>
          <cell r="AG547" t="str">
            <v>FUJI TOOL</v>
          </cell>
          <cell r="AI547" t="str">
            <v>광주 ㈜대성</v>
          </cell>
        </row>
        <row r="548">
          <cell r="A548">
            <v>493</v>
          </cell>
          <cell r="E548" t="str">
            <v>기아모텍</v>
          </cell>
          <cell r="F548" t="str">
            <v>B</v>
          </cell>
          <cell r="G548" t="str">
            <v>TITAN</v>
          </cell>
          <cell r="H548" t="str">
            <v>041102550301</v>
          </cell>
          <cell r="I548" t="str">
            <v>K421 53 811</v>
          </cell>
          <cell r="J548" t="str">
            <v>ROOF PANEL</v>
          </cell>
          <cell r="K548" t="str">
            <v>금형</v>
          </cell>
          <cell r="L548" t="str">
            <v>CUT 5/5</v>
          </cell>
          <cell r="M548">
            <v>1</v>
          </cell>
          <cell r="N548">
            <v>38313792</v>
          </cell>
          <cell r="Y548" t="str">
            <v>주물</v>
          </cell>
          <cell r="Z548">
            <v>23.66612976</v>
          </cell>
          <cell r="AA548" t="str">
            <v>2320x2210x980</v>
          </cell>
          <cell r="AB548" t="str">
            <v>88-02-29</v>
          </cell>
          <cell r="AG548" t="str">
            <v>FUJI TOOL</v>
          </cell>
          <cell r="AI548" t="str">
            <v>광주 ㈜대성</v>
          </cell>
        </row>
        <row r="549">
          <cell r="A549">
            <v>494</v>
          </cell>
          <cell r="E549" t="str">
            <v>기아모텍</v>
          </cell>
          <cell r="F549" t="str">
            <v>B</v>
          </cell>
          <cell r="G549" t="str">
            <v>TITAN</v>
          </cell>
          <cell r="H549" t="str">
            <v>044101011096</v>
          </cell>
          <cell r="I549" t="str">
            <v>K421 53 811</v>
          </cell>
          <cell r="J549" t="str">
            <v>ROOF PANEL</v>
          </cell>
          <cell r="K549" t="str">
            <v>검사구</v>
          </cell>
          <cell r="M549">
            <v>1</v>
          </cell>
          <cell r="N549">
            <v>19183716</v>
          </cell>
          <cell r="AA549" t="str">
            <v>xx</v>
          </cell>
          <cell r="AB549" t="str">
            <v>88-02-29</v>
          </cell>
          <cell r="AG549" t="str">
            <v>FUJI TOOL</v>
          </cell>
          <cell r="AI549" t="str">
            <v>광주 ㈜대성</v>
          </cell>
          <cell r="AK549" t="str">
            <v>분실</v>
          </cell>
        </row>
        <row r="550">
          <cell r="A550">
            <v>495</v>
          </cell>
          <cell r="E550" t="str">
            <v>기아모텍</v>
          </cell>
          <cell r="F550" t="str">
            <v>B</v>
          </cell>
          <cell r="G550" t="str">
            <v>TITAN</v>
          </cell>
          <cell r="H550" t="str">
            <v>044101020138</v>
          </cell>
          <cell r="I550" t="str">
            <v>K421 53 820</v>
          </cell>
          <cell r="J550" t="str">
            <v>HEADER ASSY -F IN</v>
          </cell>
          <cell r="K550" t="str">
            <v>검사구</v>
          </cell>
          <cell r="M550">
            <v>1</v>
          </cell>
          <cell r="N550">
            <v>1250000</v>
          </cell>
          <cell r="AA550" t="str">
            <v>xx</v>
          </cell>
          <cell r="AB550" t="str">
            <v>86-12-31</v>
          </cell>
          <cell r="AG550" t="str">
            <v>효진기기</v>
          </cell>
          <cell r="AI550" t="str">
            <v>광주 ㈜대성</v>
          </cell>
          <cell r="AJ550" t="str">
            <v>대륭강업</v>
          </cell>
          <cell r="AK550" t="str">
            <v>분실</v>
          </cell>
        </row>
        <row r="551">
          <cell r="A551">
            <v>496</v>
          </cell>
          <cell r="E551" t="str">
            <v>기아모텍</v>
          </cell>
          <cell r="F551" t="str">
            <v>B</v>
          </cell>
          <cell r="G551" t="str">
            <v>TITAN</v>
          </cell>
          <cell r="H551" t="str">
            <v>041102041465</v>
          </cell>
          <cell r="I551" t="str">
            <v>K421 53 821</v>
          </cell>
          <cell r="J551" t="str">
            <v>FRT. HEADER</v>
          </cell>
          <cell r="K551" t="str">
            <v>금형</v>
          </cell>
          <cell r="L551" t="str">
            <v>TR &amp; PIE</v>
          </cell>
          <cell r="M551">
            <v>1</v>
          </cell>
          <cell r="N551">
            <v>12200000</v>
          </cell>
          <cell r="Z551">
            <v>3.4925591999999996</v>
          </cell>
          <cell r="AA551" t="str">
            <v>1840x650x620</v>
          </cell>
          <cell r="AB551" t="str">
            <v>87-5</v>
          </cell>
          <cell r="AG551" t="str">
            <v>서해공업㈜ 반　</v>
          </cell>
          <cell r="AI551" t="str">
            <v>광주 ㈜호원</v>
          </cell>
          <cell r="AK551" t="str">
            <v>분실</v>
          </cell>
        </row>
        <row r="552">
          <cell r="A552">
            <v>497</v>
          </cell>
          <cell r="E552" t="str">
            <v>기아모텍</v>
          </cell>
          <cell r="F552" t="str">
            <v>B</v>
          </cell>
          <cell r="G552" t="str">
            <v>TITAN</v>
          </cell>
          <cell r="H552" t="str">
            <v>041102041465</v>
          </cell>
          <cell r="I552" t="str">
            <v>K421 53 821</v>
          </cell>
          <cell r="J552" t="str">
            <v>FRT. HEADER</v>
          </cell>
          <cell r="K552" t="str">
            <v>금형</v>
          </cell>
          <cell r="L552" t="str">
            <v>RE</v>
          </cell>
          <cell r="M552">
            <v>1</v>
          </cell>
          <cell r="N552">
            <v>12900000</v>
          </cell>
          <cell r="Z552">
            <v>3.3346799999999996</v>
          </cell>
          <cell r="AA552" t="str">
            <v>2000x590x600</v>
          </cell>
          <cell r="AB552" t="str">
            <v>87-5</v>
          </cell>
          <cell r="AG552" t="str">
            <v>서해공업㈜ 반　</v>
          </cell>
          <cell r="AI552" t="str">
            <v>광주 ㈜호원</v>
          </cell>
          <cell r="AK552" t="str">
            <v>분실</v>
          </cell>
        </row>
        <row r="553">
          <cell r="A553">
            <v>498</v>
          </cell>
          <cell r="E553" t="str">
            <v>기아모텍</v>
          </cell>
          <cell r="F553" t="str">
            <v>B</v>
          </cell>
          <cell r="G553" t="str">
            <v>TITAN</v>
          </cell>
          <cell r="H553" t="str">
            <v>041102041465</v>
          </cell>
          <cell r="I553" t="str">
            <v>K421 53 821</v>
          </cell>
          <cell r="J553" t="str">
            <v>FRT. HEADER</v>
          </cell>
          <cell r="K553" t="str">
            <v>금형</v>
          </cell>
          <cell r="L553" t="str">
            <v>DR</v>
          </cell>
          <cell r="M553">
            <v>1</v>
          </cell>
          <cell r="N553">
            <v>14900000</v>
          </cell>
          <cell r="Z553">
            <v>3.8021003999999996</v>
          </cell>
          <cell r="AA553" t="str">
            <v>1860x700x620</v>
          </cell>
          <cell r="AB553" t="str">
            <v>87-5</v>
          </cell>
          <cell r="AG553" t="str">
            <v>서해공업㈜ 반　</v>
          </cell>
          <cell r="AI553" t="str">
            <v>광주 ㈜호원</v>
          </cell>
          <cell r="AK553" t="str">
            <v>분실</v>
          </cell>
        </row>
        <row r="554">
          <cell r="A554">
            <v>499</v>
          </cell>
          <cell r="E554" t="str">
            <v>기아모텍</v>
          </cell>
          <cell r="F554" t="str">
            <v>B</v>
          </cell>
          <cell r="G554" t="str">
            <v>TITAN</v>
          </cell>
          <cell r="H554" t="str">
            <v>041101250022</v>
          </cell>
          <cell r="I554" t="str">
            <v>K421 53/54 420A</v>
          </cell>
          <cell r="J554" t="str">
            <v>FRT PILLAR OUT R/L</v>
          </cell>
          <cell r="K554" t="str">
            <v>금형</v>
          </cell>
          <cell r="L554" t="str">
            <v>2/5</v>
          </cell>
          <cell r="M554">
            <v>1</v>
          </cell>
          <cell r="N554">
            <v>30105000</v>
          </cell>
          <cell r="Y554" t="str">
            <v>주물</v>
          </cell>
          <cell r="Z554">
            <v>19.34870355</v>
          </cell>
          <cell r="AA554" t="str">
            <v>2150x1930x990</v>
          </cell>
          <cell r="AB554" t="str">
            <v>88-03-25</v>
          </cell>
          <cell r="AG554" t="str">
            <v>서해공업㈜ 반　</v>
          </cell>
          <cell r="AI554" t="str">
            <v>광주 ㈜호원</v>
          </cell>
        </row>
        <row r="555">
          <cell r="A555">
            <v>499.10000610351563</v>
          </cell>
          <cell r="E555" t="str">
            <v>기아모텍</v>
          </cell>
          <cell r="F555" t="str">
            <v>B</v>
          </cell>
          <cell r="G555" t="str">
            <v>TITAN</v>
          </cell>
          <cell r="H555" t="str">
            <v>041101250022</v>
          </cell>
          <cell r="I555" t="str">
            <v>K421 53/54 420A</v>
          </cell>
          <cell r="J555" t="str">
            <v>FRT PILLAR OUT R/L</v>
          </cell>
          <cell r="K555" t="str">
            <v>금형</v>
          </cell>
          <cell r="L555" t="str">
            <v>2/5</v>
          </cell>
          <cell r="M555">
            <v>1</v>
          </cell>
          <cell r="N555">
            <v>30105000</v>
          </cell>
          <cell r="Y555" t="str">
            <v>주물</v>
          </cell>
          <cell r="Z555">
            <v>19.34870355</v>
          </cell>
          <cell r="AA555" t="str">
            <v>2150x1930x990</v>
          </cell>
          <cell r="AB555" t="str">
            <v>88-03-25</v>
          </cell>
          <cell r="AG555" t="str">
            <v>서해공업㈜ 반　</v>
          </cell>
          <cell r="AI555" t="str">
            <v>광주 ㈜호원</v>
          </cell>
        </row>
        <row r="556">
          <cell r="A556">
            <v>499.20001220703125</v>
          </cell>
          <cell r="E556" t="str">
            <v>기아모텍</v>
          </cell>
          <cell r="F556" t="str">
            <v>B</v>
          </cell>
          <cell r="G556" t="str">
            <v>TITAN</v>
          </cell>
          <cell r="H556" t="str">
            <v>041101250022</v>
          </cell>
          <cell r="I556" t="str">
            <v>K421 53/54 420A</v>
          </cell>
          <cell r="J556" t="str">
            <v>FRT PILLAR OUT R/L</v>
          </cell>
          <cell r="K556" t="str">
            <v>금형</v>
          </cell>
          <cell r="L556" t="str">
            <v>2/5</v>
          </cell>
          <cell r="M556">
            <v>1</v>
          </cell>
          <cell r="N556">
            <v>30105000</v>
          </cell>
          <cell r="Y556" t="str">
            <v>주물</v>
          </cell>
          <cell r="Z556">
            <v>19.34870355</v>
          </cell>
          <cell r="AA556" t="str">
            <v>2150x1930x990</v>
          </cell>
          <cell r="AB556" t="str">
            <v>88-03-25</v>
          </cell>
          <cell r="AG556" t="str">
            <v>서해공업㈜ 반　</v>
          </cell>
          <cell r="AI556" t="str">
            <v>광주 ㈜호원</v>
          </cell>
        </row>
        <row r="557">
          <cell r="A557">
            <v>500</v>
          </cell>
          <cell r="E557" t="str">
            <v>기아모텍</v>
          </cell>
          <cell r="F557" t="str">
            <v>B</v>
          </cell>
          <cell r="G557" t="str">
            <v>TITAN</v>
          </cell>
          <cell r="H557" t="str">
            <v>041101350019</v>
          </cell>
          <cell r="I557" t="str">
            <v>K421 53/54 420A</v>
          </cell>
          <cell r="J557" t="str">
            <v>FRT PILLAR OUT R/L</v>
          </cell>
          <cell r="K557" t="str">
            <v>금형</v>
          </cell>
          <cell r="L557" t="str">
            <v>3/5</v>
          </cell>
          <cell r="M557">
            <v>1</v>
          </cell>
          <cell r="N557">
            <v>24914000</v>
          </cell>
          <cell r="Y557" t="str">
            <v>주물</v>
          </cell>
          <cell r="Z557">
            <v>19.34870355</v>
          </cell>
          <cell r="AA557" t="str">
            <v>2150x1930x990</v>
          </cell>
          <cell r="AB557" t="str">
            <v>88-03-25</v>
          </cell>
          <cell r="AG557" t="str">
            <v>서해공업㈜ 반　</v>
          </cell>
          <cell r="AI557" t="str">
            <v>광주 ㈜호원</v>
          </cell>
        </row>
        <row r="558">
          <cell r="A558">
            <v>500.10000610351563</v>
          </cell>
          <cell r="E558" t="str">
            <v>기아모텍</v>
          </cell>
          <cell r="F558" t="str">
            <v>B</v>
          </cell>
          <cell r="G558" t="str">
            <v>TITAN</v>
          </cell>
          <cell r="H558" t="str">
            <v>041101350019</v>
          </cell>
          <cell r="I558" t="str">
            <v>K421 53/54 420A</v>
          </cell>
          <cell r="J558" t="str">
            <v>FRT PILLAR OUT R/L</v>
          </cell>
          <cell r="K558" t="str">
            <v>금형</v>
          </cell>
          <cell r="L558" t="str">
            <v>3/5</v>
          </cell>
          <cell r="M558">
            <v>1</v>
          </cell>
          <cell r="N558">
            <v>24914000</v>
          </cell>
          <cell r="Y558" t="str">
            <v>주물</v>
          </cell>
          <cell r="Z558">
            <v>19.34870355</v>
          </cell>
          <cell r="AA558" t="str">
            <v>2150x1930x990</v>
          </cell>
          <cell r="AB558" t="str">
            <v>88-03-25</v>
          </cell>
          <cell r="AG558" t="str">
            <v>서해공업㈜ 반　</v>
          </cell>
          <cell r="AI558" t="str">
            <v>광주 ㈜호원</v>
          </cell>
        </row>
        <row r="559">
          <cell r="A559">
            <v>500.20001220703125</v>
          </cell>
          <cell r="E559" t="str">
            <v>기아모텍</v>
          </cell>
          <cell r="F559" t="str">
            <v>B</v>
          </cell>
          <cell r="G559" t="str">
            <v>TITAN</v>
          </cell>
          <cell r="H559" t="str">
            <v>041101350019</v>
          </cell>
          <cell r="I559" t="str">
            <v>K421 53/54 420A</v>
          </cell>
          <cell r="J559" t="str">
            <v>FRT PILLAR OUT R/L</v>
          </cell>
          <cell r="K559" t="str">
            <v>금형</v>
          </cell>
          <cell r="L559" t="str">
            <v>3/5</v>
          </cell>
          <cell r="M559">
            <v>1</v>
          </cell>
          <cell r="N559">
            <v>24914000</v>
          </cell>
          <cell r="Y559" t="str">
            <v>주물</v>
          </cell>
          <cell r="Z559">
            <v>19.34870355</v>
          </cell>
          <cell r="AA559" t="str">
            <v>2150x1930x990</v>
          </cell>
          <cell r="AB559" t="str">
            <v>88-03-25</v>
          </cell>
          <cell r="AG559" t="str">
            <v>서해공업㈜ 반　</v>
          </cell>
          <cell r="AI559" t="str">
            <v>광주 ㈜호원</v>
          </cell>
        </row>
        <row r="560">
          <cell r="A560">
            <v>501</v>
          </cell>
          <cell r="E560" t="str">
            <v>기아모텍</v>
          </cell>
          <cell r="F560" t="str">
            <v>B</v>
          </cell>
          <cell r="G560" t="str">
            <v>TITAN</v>
          </cell>
          <cell r="H560" t="str">
            <v>041101450015</v>
          </cell>
          <cell r="I560" t="str">
            <v>K421 53/54 420A</v>
          </cell>
          <cell r="J560" t="str">
            <v>FRT PILLAR OUT R/L</v>
          </cell>
          <cell r="K560" t="str">
            <v>금형</v>
          </cell>
          <cell r="L560" t="str">
            <v>4/5</v>
          </cell>
          <cell r="M560">
            <v>1</v>
          </cell>
          <cell r="N560">
            <v>21800000</v>
          </cell>
          <cell r="Y560" t="str">
            <v>주물</v>
          </cell>
          <cell r="Z560">
            <v>19.34870355</v>
          </cell>
          <cell r="AA560" t="str">
            <v>2150x1930x990</v>
          </cell>
          <cell r="AB560" t="str">
            <v>88-03-25</v>
          </cell>
          <cell r="AG560" t="str">
            <v>서해공업㈜ 반　</v>
          </cell>
          <cell r="AI560" t="str">
            <v>광주 ㈜호원</v>
          </cell>
        </row>
        <row r="561">
          <cell r="A561">
            <v>501.10000610351563</v>
          </cell>
          <cell r="E561" t="str">
            <v>기아모텍</v>
          </cell>
          <cell r="F561" t="str">
            <v>B</v>
          </cell>
          <cell r="G561" t="str">
            <v>TITAN</v>
          </cell>
          <cell r="H561" t="str">
            <v>041101450015</v>
          </cell>
          <cell r="I561" t="str">
            <v>K421 53/54 420A</v>
          </cell>
          <cell r="J561" t="str">
            <v>FRT PILLAR OUT R/L</v>
          </cell>
          <cell r="K561" t="str">
            <v>금형</v>
          </cell>
          <cell r="L561" t="str">
            <v>4/5</v>
          </cell>
          <cell r="M561">
            <v>1</v>
          </cell>
          <cell r="N561">
            <v>21800000</v>
          </cell>
          <cell r="Y561" t="str">
            <v>주물</v>
          </cell>
          <cell r="Z561">
            <v>19.34870355</v>
          </cell>
          <cell r="AA561" t="str">
            <v>2150x1930x990</v>
          </cell>
          <cell r="AB561" t="str">
            <v>88-03-25</v>
          </cell>
          <cell r="AG561" t="str">
            <v>서해공업㈜ 반　</v>
          </cell>
          <cell r="AI561" t="str">
            <v>광주 ㈜호원</v>
          </cell>
        </row>
        <row r="562">
          <cell r="A562">
            <v>501.20001220703125</v>
          </cell>
          <cell r="E562" t="str">
            <v>기아모텍</v>
          </cell>
          <cell r="F562" t="str">
            <v>B</v>
          </cell>
          <cell r="G562" t="str">
            <v>TITAN</v>
          </cell>
          <cell r="H562" t="str">
            <v>041101450015</v>
          </cell>
          <cell r="I562" t="str">
            <v>K421 53/54 420A</v>
          </cell>
          <cell r="J562" t="str">
            <v>FRT PILLAR OUT R/L</v>
          </cell>
          <cell r="K562" t="str">
            <v>금형</v>
          </cell>
          <cell r="L562" t="str">
            <v>4/5</v>
          </cell>
          <cell r="M562">
            <v>1</v>
          </cell>
          <cell r="N562">
            <v>21800000</v>
          </cell>
          <cell r="Y562" t="str">
            <v>주물</v>
          </cell>
          <cell r="Z562">
            <v>19.34870355</v>
          </cell>
          <cell r="AA562" t="str">
            <v>2150x1930x990</v>
          </cell>
          <cell r="AB562" t="str">
            <v>88-03-25</v>
          </cell>
          <cell r="AG562" t="str">
            <v>서해공업㈜ 반　</v>
          </cell>
          <cell r="AI562" t="str">
            <v>광주 ㈜호원</v>
          </cell>
        </row>
        <row r="563">
          <cell r="A563">
            <v>502</v>
          </cell>
          <cell r="E563" t="str">
            <v>기아모텍</v>
          </cell>
          <cell r="F563" t="str">
            <v>B</v>
          </cell>
          <cell r="G563" t="str">
            <v>TITAN</v>
          </cell>
          <cell r="H563" t="str">
            <v>041101550022</v>
          </cell>
          <cell r="I563" t="str">
            <v>K421 53/54 420A</v>
          </cell>
          <cell r="J563" t="str">
            <v>FRT PILLAR OUT R/L</v>
          </cell>
          <cell r="K563" t="str">
            <v>금형</v>
          </cell>
          <cell r="L563" t="str">
            <v>5/5</v>
          </cell>
          <cell r="M563">
            <v>1</v>
          </cell>
          <cell r="N563">
            <v>32181000</v>
          </cell>
          <cell r="Y563" t="str">
            <v>주물</v>
          </cell>
          <cell r="Z563">
            <v>19.34870355</v>
          </cell>
          <cell r="AA563" t="str">
            <v>2150x1930x990</v>
          </cell>
          <cell r="AB563" t="str">
            <v>88-03-25</v>
          </cell>
          <cell r="AG563" t="str">
            <v>서해공업㈜ 반　</v>
          </cell>
          <cell r="AI563" t="str">
            <v>광주 ㈜호원</v>
          </cell>
        </row>
        <row r="564">
          <cell r="A564">
            <v>502.10000610351563</v>
          </cell>
          <cell r="E564" t="str">
            <v>기아모텍</v>
          </cell>
          <cell r="F564" t="str">
            <v>B</v>
          </cell>
          <cell r="G564" t="str">
            <v>TITAN</v>
          </cell>
          <cell r="H564" t="str">
            <v>041101550022</v>
          </cell>
          <cell r="I564" t="str">
            <v>K421 53/54 420A</v>
          </cell>
          <cell r="J564" t="str">
            <v>FRT PILLAR OUT R/L</v>
          </cell>
          <cell r="K564" t="str">
            <v>금형</v>
          </cell>
          <cell r="L564" t="str">
            <v>5/5</v>
          </cell>
          <cell r="M564">
            <v>1</v>
          </cell>
          <cell r="N564">
            <v>32181000</v>
          </cell>
          <cell r="Y564" t="str">
            <v>주물</v>
          </cell>
          <cell r="Z564">
            <v>19.34870355</v>
          </cell>
          <cell r="AA564" t="str">
            <v>2150x1930x990</v>
          </cell>
          <cell r="AB564" t="str">
            <v>88-03-25</v>
          </cell>
          <cell r="AG564" t="str">
            <v>서해공업㈜ 반　</v>
          </cell>
          <cell r="AI564" t="str">
            <v>광주 ㈜호원</v>
          </cell>
        </row>
        <row r="565">
          <cell r="A565">
            <v>502.20001220703125</v>
          </cell>
          <cell r="E565" t="str">
            <v>기아모텍</v>
          </cell>
          <cell r="F565" t="str">
            <v>B</v>
          </cell>
          <cell r="G565" t="str">
            <v>TITAN</v>
          </cell>
          <cell r="H565" t="str">
            <v>041101550022</v>
          </cell>
          <cell r="I565" t="str">
            <v>K421 53/54 420A</v>
          </cell>
          <cell r="J565" t="str">
            <v>FRT PILLAR OUT R/L</v>
          </cell>
          <cell r="K565" t="str">
            <v>금형</v>
          </cell>
          <cell r="L565" t="str">
            <v>5/5</v>
          </cell>
          <cell r="M565">
            <v>1</v>
          </cell>
          <cell r="N565">
            <v>32181000</v>
          </cell>
          <cell r="Y565" t="str">
            <v>주물</v>
          </cell>
          <cell r="Z565">
            <v>19.34870355</v>
          </cell>
          <cell r="AA565" t="str">
            <v>2150x1930x990</v>
          </cell>
          <cell r="AB565" t="str">
            <v>88-03-25</v>
          </cell>
          <cell r="AG565" t="str">
            <v>서해공업㈜ 반　</v>
          </cell>
          <cell r="AI565" t="str">
            <v>광주 ㈜호원</v>
          </cell>
        </row>
        <row r="566">
          <cell r="A566">
            <v>503</v>
          </cell>
          <cell r="E566" t="str">
            <v>기아모텍</v>
          </cell>
          <cell r="F566" t="str">
            <v>B</v>
          </cell>
          <cell r="G566" t="str">
            <v>TITAN</v>
          </cell>
          <cell r="I566" t="str">
            <v>K421 53/54 421</v>
          </cell>
          <cell r="J566" t="str">
            <v>FRT PILLAR OUT</v>
          </cell>
          <cell r="K566" t="str">
            <v>금형</v>
          </cell>
          <cell r="L566" t="str">
            <v>BL,FO,TR,RE,</v>
          </cell>
          <cell r="M566">
            <v>9</v>
          </cell>
          <cell r="N566">
            <v>73500000</v>
          </cell>
          <cell r="Y566" t="str">
            <v>주물</v>
          </cell>
          <cell r="Z566">
            <v>19.34870355</v>
          </cell>
          <cell r="AA566" t="str">
            <v>2150x1930x990</v>
          </cell>
          <cell r="AB566" t="str">
            <v>87-07-01</v>
          </cell>
          <cell r="AI566" t="str">
            <v>광주 ㈜호원</v>
          </cell>
          <cell r="AJ566" t="str">
            <v>(주)대아</v>
          </cell>
        </row>
        <row r="567">
          <cell r="A567">
            <v>503.10000610351563</v>
          </cell>
          <cell r="E567" t="str">
            <v>기아모텍</v>
          </cell>
          <cell r="F567" t="str">
            <v>B</v>
          </cell>
          <cell r="G567" t="str">
            <v>TITAN</v>
          </cell>
          <cell r="I567" t="str">
            <v>K421 53/54 421</v>
          </cell>
          <cell r="J567" t="str">
            <v>FRT PILLAR OUT</v>
          </cell>
          <cell r="K567" t="str">
            <v>금형</v>
          </cell>
          <cell r="L567" t="str">
            <v>BL,FO,TR,RE,</v>
          </cell>
          <cell r="M567">
            <v>9</v>
          </cell>
          <cell r="N567">
            <v>73500000</v>
          </cell>
          <cell r="Y567" t="str">
            <v>주물</v>
          </cell>
          <cell r="Z567">
            <v>19.34870355</v>
          </cell>
          <cell r="AA567" t="str">
            <v>2150x1930x990</v>
          </cell>
          <cell r="AB567" t="str">
            <v>87-07-01</v>
          </cell>
          <cell r="AI567" t="str">
            <v>광주 ㈜호원</v>
          </cell>
          <cell r="AJ567" t="str">
            <v>(주)대아</v>
          </cell>
        </row>
        <row r="568">
          <cell r="A568">
            <v>503.20001220703125</v>
          </cell>
          <cell r="E568" t="str">
            <v>기아모텍</v>
          </cell>
          <cell r="F568" t="str">
            <v>B</v>
          </cell>
          <cell r="G568" t="str">
            <v>TITAN</v>
          </cell>
          <cell r="I568" t="str">
            <v>K421 53/54 421</v>
          </cell>
          <cell r="J568" t="str">
            <v>FRT PILLAR OUT</v>
          </cell>
          <cell r="K568" t="str">
            <v>금형</v>
          </cell>
          <cell r="L568" t="str">
            <v>BL,FO,TR,RE,</v>
          </cell>
          <cell r="M568">
            <v>9</v>
          </cell>
          <cell r="N568">
            <v>73500000</v>
          </cell>
          <cell r="Y568" t="str">
            <v>주물</v>
          </cell>
          <cell r="Z568">
            <v>19.34870355</v>
          </cell>
          <cell r="AA568" t="str">
            <v>2150x1930x990</v>
          </cell>
          <cell r="AB568" t="str">
            <v>87-07-01</v>
          </cell>
          <cell r="AI568" t="str">
            <v>광주 ㈜호원</v>
          </cell>
          <cell r="AJ568" t="str">
            <v>(주)대아</v>
          </cell>
        </row>
        <row r="569">
          <cell r="A569">
            <v>504</v>
          </cell>
          <cell r="E569" t="str">
            <v>기아모텍</v>
          </cell>
          <cell r="F569" t="str">
            <v>C4</v>
          </cell>
          <cell r="G569" t="str">
            <v>TITAN</v>
          </cell>
          <cell r="I569" t="str">
            <v>K421 53/54 422A</v>
          </cell>
          <cell r="J569" t="str">
            <v>JUNCTION F PILLAR R/L</v>
          </cell>
          <cell r="K569" t="str">
            <v>금형</v>
          </cell>
          <cell r="M569">
            <v>4</v>
          </cell>
          <cell r="N569">
            <v>43000000</v>
          </cell>
          <cell r="Z569">
            <v>19.34870355</v>
          </cell>
          <cell r="AA569" t="str">
            <v>2150x1930x990</v>
          </cell>
          <cell r="AB569" t="str">
            <v>87-12-30</v>
          </cell>
          <cell r="AI569" t="str">
            <v>광주 ㈜호원</v>
          </cell>
          <cell r="AJ569" t="str">
            <v>대아정밀</v>
          </cell>
          <cell r="AK569" t="str">
            <v>분실</v>
          </cell>
        </row>
        <row r="570">
          <cell r="A570">
            <v>505</v>
          </cell>
          <cell r="E570" t="str">
            <v>기아모텍</v>
          </cell>
          <cell r="F570" t="str">
            <v>B</v>
          </cell>
          <cell r="G570" t="str">
            <v>TITAN</v>
          </cell>
          <cell r="H570" t="str">
            <v>041102111425</v>
          </cell>
          <cell r="I570" t="str">
            <v>K421 53/54 522</v>
          </cell>
          <cell r="J570" t="str">
            <v>SIDE- SILL OUT R/L</v>
          </cell>
          <cell r="K570" t="str">
            <v>금형</v>
          </cell>
          <cell r="L570" t="str">
            <v>BL</v>
          </cell>
          <cell r="M570">
            <v>1</v>
          </cell>
          <cell r="N570">
            <v>8600000</v>
          </cell>
          <cell r="Y570" t="str">
            <v>주물</v>
          </cell>
          <cell r="Z570">
            <v>1.1303058000000001</v>
          </cell>
          <cell r="AA570" t="str">
            <v>710x650x520</v>
          </cell>
          <cell r="AB570" t="str">
            <v>87-5</v>
          </cell>
          <cell r="AG570" t="str">
            <v>서해공업㈜ 반　</v>
          </cell>
          <cell r="AI570" t="str">
            <v>광주 ㈜호원</v>
          </cell>
        </row>
        <row r="571">
          <cell r="A571">
            <v>506</v>
          </cell>
          <cell r="E571" t="str">
            <v>기아모텍</v>
          </cell>
          <cell r="F571" t="str">
            <v>B</v>
          </cell>
          <cell r="G571" t="str">
            <v>TITAN</v>
          </cell>
          <cell r="H571" t="str">
            <v>041102111425</v>
          </cell>
          <cell r="I571" t="str">
            <v>K421 53/54 522</v>
          </cell>
          <cell r="J571" t="str">
            <v>SIDE- SILL OUT R/L</v>
          </cell>
          <cell r="K571" t="str">
            <v>금형</v>
          </cell>
          <cell r="L571" t="str">
            <v>TR &amp; PIE</v>
          </cell>
          <cell r="M571">
            <v>2</v>
          </cell>
          <cell r="N571">
            <v>18800000</v>
          </cell>
          <cell r="Y571" t="str">
            <v>주물</v>
          </cell>
          <cell r="Z571">
            <v>1.8222047999999997</v>
          </cell>
          <cell r="AA571" t="str">
            <v>1040x600x620</v>
          </cell>
          <cell r="AB571" t="str">
            <v>87-5</v>
          </cell>
          <cell r="AG571" t="str">
            <v>서해공업㈜ 반　</v>
          </cell>
          <cell r="AI571" t="str">
            <v>광주 ㈜호원</v>
          </cell>
        </row>
        <row r="572">
          <cell r="A572">
            <v>506.10000610351563</v>
          </cell>
          <cell r="E572" t="str">
            <v>기아모텍</v>
          </cell>
          <cell r="F572" t="str">
            <v>B</v>
          </cell>
          <cell r="G572" t="str">
            <v>TITAN</v>
          </cell>
          <cell r="H572" t="str">
            <v>041102111425</v>
          </cell>
          <cell r="I572" t="str">
            <v>K421 53 522</v>
          </cell>
          <cell r="J572" t="str">
            <v>SIDE- SILL OUT RH</v>
          </cell>
          <cell r="K572" t="str">
            <v>금형</v>
          </cell>
          <cell r="L572" t="str">
            <v>TR &amp; PIE</v>
          </cell>
          <cell r="M572">
            <v>1</v>
          </cell>
          <cell r="Y572" t="str">
            <v>주물</v>
          </cell>
          <cell r="Z572">
            <v>1.8222047999999997</v>
          </cell>
          <cell r="AA572" t="str">
            <v>1040x600x620</v>
          </cell>
          <cell r="AB572" t="str">
            <v>87-5</v>
          </cell>
          <cell r="AG572" t="str">
            <v>서해공업㈜ 반　</v>
          </cell>
          <cell r="AI572" t="str">
            <v>광주 ㈜호원</v>
          </cell>
        </row>
        <row r="573">
          <cell r="A573">
            <v>506.20001220703125</v>
          </cell>
          <cell r="E573" t="str">
            <v>기아모텍</v>
          </cell>
          <cell r="F573" t="str">
            <v>B</v>
          </cell>
          <cell r="G573" t="str">
            <v>TITAN</v>
          </cell>
          <cell r="H573" t="str">
            <v>041102111425</v>
          </cell>
          <cell r="I573" t="str">
            <v>K421 54 522</v>
          </cell>
          <cell r="J573" t="str">
            <v>SIDE- SILL OUT LH</v>
          </cell>
          <cell r="K573" t="str">
            <v>금형</v>
          </cell>
          <cell r="L573" t="str">
            <v>TR &amp; PIE</v>
          </cell>
          <cell r="M573">
            <v>1</v>
          </cell>
          <cell r="Y573" t="str">
            <v>주물</v>
          </cell>
          <cell r="Z573">
            <v>1.8222047999999997</v>
          </cell>
          <cell r="AA573" t="str">
            <v>1040x600x620</v>
          </cell>
          <cell r="AB573" t="str">
            <v>87-5</v>
          </cell>
          <cell r="AG573" t="str">
            <v>서해공업㈜ 반　</v>
          </cell>
          <cell r="AI573" t="str">
            <v>광주 ㈜호원</v>
          </cell>
        </row>
        <row r="574">
          <cell r="A574">
            <v>507</v>
          </cell>
          <cell r="E574" t="str">
            <v>기아모텍</v>
          </cell>
          <cell r="F574" t="str">
            <v>B</v>
          </cell>
          <cell r="G574" t="str">
            <v>TITAN</v>
          </cell>
          <cell r="H574" t="str">
            <v>041102111425</v>
          </cell>
          <cell r="I574" t="str">
            <v>K421 53/54 522</v>
          </cell>
          <cell r="J574" t="str">
            <v>SIDE- SILL OUT R/L</v>
          </cell>
          <cell r="K574" t="str">
            <v>금형</v>
          </cell>
          <cell r="L574" t="str">
            <v>CUT&amp;PIE</v>
          </cell>
          <cell r="M574">
            <v>2</v>
          </cell>
          <cell r="N574">
            <v>22400000</v>
          </cell>
          <cell r="Y574" t="str">
            <v>주물</v>
          </cell>
          <cell r="Z574">
            <v>2.4669849599999996</v>
          </cell>
          <cell r="AA574" t="str">
            <v>960x880x620</v>
          </cell>
          <cell r="AB574" t="str">
            <v>87-5</v>
          </cell>
          <cell r="AG574" t="str">
            <v>서해공업㈜ 반　</v>
          </cell>
          <cell r="AI574" t="str">
            <v>광주 ㈜호원</v>
          </cell>
        </row>
        <row r="575">
          <cell r="A575">
            <v>507.10000610351563</v>
          </cell>
          <cell r="E575" t="str">
            <v>기아모텍</v>
          </cell>
          <cell r="F575" t="str">
            <v>B</v>
          </cell>
          <cell r="G575" t="str">
            <v>TITAN</v>
          </cell>
          <cell r="H575" t="str">
            <v>041102111425</v>
          </cell>
          <cell r="I575" t="str">
            <v>K421 53 522</v>
          </cell>
          <cell r="J575" t="str">
            <v>SIDE- SILL OUT RH</v>
          </cell>
          <cell r="K575" t="str">
            <v>금형</v>
          </cell>
          <cell r="L575" t="str">
            <v>CUT&amp;PIE</v>
          </cell>
          <cell r="M575">
            <v>1</v>
          </cell>
          <cell r="Y575" t="str">
            <v>주물</v>
          </cell>
          <cell r="Z575">
            <v>2.4669849599999996</v>
          </cell>
          <cell r="AA575" t="str">
            <v>960x880x620</v>
          </cell>
          <cell r="AB575" t="str">
            <v>87-5</v>
          </cell>
          <cell r="AG575" t="str">
            <v>서해공업㈜ 반　</v>
          </cell>
          <cell r="AI575" t="str">
            <v>광주 ㈜호원</v>
          </cell>
        </row>
        <row r="576">
          <cell r="A576">
            <v>507.20001220703125</v>
          </cell>
          <cell r="E576" t="str">
            <v>기아모텍</v>
          </cell>
          <cell r="F576" t="str">
            <v>B</v>
          </cell>
          <cell r="G576" t="str">
            <v>TITAN</v>
          </cell>
          <cell r="H576" t="str">
            <v>041102111425</v>
          </cell>
          <cell r="I576" t="str">
            <v>K421 54 522</v>
          </cell>
          <cell r="J576" t="str">
            <v>SIDE- SILL OUT LH</v>
          </cell>
          <cell r="K576" t="str">
            <v>금형</v>
          </cell>
          <cell r="L576" t="str">
            <v>CUT&amp;PIE</v>
          </cell>
          <cell r="M576">
            <v>1</v>
          </cell>
          <cell r="Y576" t="str">
            <v>주물</v>
          </cell>
          <cell r="Z576">
            <v>2.4669849599999996</v>
          </cell>
          <cell r="AA576" t="str">
            <v>960x880x620</v>
          </cell>
          <cell r="AB576" t="str">
            <v>87-5</v>
          </cell>
          <cell r="AG576" t="str">
            <v>서해공업㈜ 반　</v>
          </cell>
          <cell r="AI576" t="str">
            <v>광주 ㈜호원</v>
          </cell>
        </row>
        <row r="577">
          <cell r="A577">
            <v>508</v>
          </cell>
          <cell r="E577" t="str">
            <v>기아모텍</v>
          </cell>
          <cell r="F577" t="str">
            <v>B</v>
          </cell>
          <cell r="G577" t="str">
            <v>TITAN</v>
          </cell>
          <cell r="H577" t="str">
            <v>041102111425</v>
          </cell>
          <cell r="I577" t="str">
            <v>K421 53/54 522</v>
          </cell>
          <cell r="J577" t="str">
            <v>SIDE- SILL OUT R/L</v>
          </cell>
          <cell r="K577" t="str">
            <v>금형</v>
          </cell>
          <cell r="L577" t="str">
            <v>PIE</v>
          </cell>
          <cell r="M577">
            <v>2</v>
          </cell>
          <cell r="N577">
            <v>23600000</v>
          </cell>
          <cell r="Y577" t="str">
            <v>주물</v>
          </cell>
          <cell r="Z577">
            <v>2.6909642999999996</v>
          </cell>
          <cell r="AA577" t="str">
            <v>970x950x620</v>
          </cell>
          <cell r="AB577" t="str">
            <v>87-5</v>
          </cell>
          <cell r="AG577" t="str">
            <v>서해공업㈜ 반　</v>
          </cell>
          <cell r="AI577" t="str">
            <v>광주 ㈜호원</v>
          </cell>
        </row>
        <row r="578">
          <cell r="A578">
            <v>508.10000610351563</v>
          </cell>
          <cell r="E578" t="str">
            <v>기아모텍</v>
          </cell>
          <cell r="F578" t="str">
            <v>B</v>
          </cell>
          <cell r="G578" t="str">
            <v>TITAN</v>
          </cell>
          <cell r="H578" t="str">
            <v>041102111425</v>
          </cell>
          <cell r="I578" t="str">
            <v>K421 53 522</v>
          </cell>
          <cell r="J578" t="str">
            <v>SIDE- SILL OUT RH</v>
          </cell>
          <cell r="K578" t="str">
            <v>금형</v>
          </cell>
          <cell r="L578" t="str">
            <v>PIE</v>
          </cell>
          <cell r="M578">
            <v>1</v>
          </cell>
          <cell r="Y578" t="str">
            <v>주물</v>
          </cell>
          <cell r="Z578">
            <v>2.6909642999999996</v>
          </cell>
          <cell r="AA578" t="str">
            <v>970x950x620</v>
          </cell>
          <cell r="AB578" t="str">
            <v>87-5</v>
          </cell>
          <cell r="AG578" t="str">
            <v>서해공업㈜ 반　</v>
          </cell>
          <cell r="AI578" t="str">
            <v>광주 ㈜호원</v>
          </cell>
        </row>
        <row r="579">
          <cell r="A579">
            <v>508.20001220703125</v>
          </cell>
          <cell r="E579" t="str">
            <v>기아모텍</v>
          </cell>
          <cell r="F579" t="str">
            <v>B</v>
          </cell>
          <cell r="G579" t="str">
            <v>TITAN</v>
          </cell>
          <cell r="H579" t="str">
            <v>041102111425</v>
          </cell>
          <cell r="I579" t="str">
            <v>K421 54 522</v>
          </cell>
          <cell r="J579" t="str">
            <v>SIDE- SILL OUT LH</v>
          </cell>
          <cell r="K579" t="str">
            <v>금형</v>
          </cell>
          <cell r="L579" t="str">
            <v>PIE</v>
          </cell>
          <cell r="M579">
            <v>1</v>
          </cell>
          <cell r="Y579" t="str">
            <v>주물</v>
          </cell>
          <cell r="Z579">
            <v>2.6909642999999996</v>
          </cell>
          <cell r="AA579" t="str">
            <v>970x950x620</v>
          </cell>
          <cell r="AB579" t="str">
            <v>87-5</v>
          </cell>
          <cell r="AG579" t="str">
            <v>서해공업㈜ 반　</v>
          </cell>
          <cell r="AI579" t="str">
            <v>광주 ㈜호원</v>
          </cell>
        </row>
        <row r="580">
          <cell r="A580">
            <v>509</v>
          </cell>
          <cell r="E580" t="str">
            <v>기아모텍</v>
          </cell>
          <cell r="F580" t="str">
            <v>B</v>
          </cell>
          <cell r="G580" t="str">
            <v>TITAN</v>
          </cell>
          <cell r="H580" t="str">
            <v>041102111425</v>
          </cell>
          <cell r="I580" t="str">
            <v>K421 53/54 522</v>
          </cell>
          <cell r="J580" t="str">
            <v>SIDE- SILL OUT R/L</v>
          </cell>
          <cell r="K580" t="str">
            <v>금형</v>
          </cell>
          <cell r="L580" t="str">
            <v>RE</v>
          </cell>
          <cell r="M580">
            <v>2</v>
          </cell>
          <cell r="N580">
            <v>24200000</v>
          </cell>
          <cell r="Y580" t="str">
            <v>주물</v>
          </cell>
          <cell r="Z580">
            <v>2.0254507200000003</v>
          </cell>
          <cell r="AA580" t="str">
            <v>1020x680x620</v>
          </cell>
          <cell r="AB580" t="str">
            <v>87-5</v>
          </cell>
          <cell r="AG580" t="str">
            <v>서해공업㈜ 반　</v>
          </cell>
          <cell r="AI580" t="str">
            <v>광주 ㈜호원</v>
          </cell>
        </row>
        <row r="581">
          <cell r="A581">
            <v>509.10000610351563</v>
          </cell>
          <cell r="E581" t="str">
            <v>기아모텍</v>
          </cell>
          <cell r="F581" t="str">
            <v>B</v>
          </cell>
          <cell r="G581" t="str">
            <v>TITAN</v>
          </cell>
          <cell r="H581" t="str">
            <v>041102111425</v>
          </cell>
          <cell r="I581" t="str">
            <v>K421 53 522</v>
          </cell>
          <cell r="J581" t="str">
            <v>SIDE- SILL OUT RH</v>
          </cell>
          <cell r="K581" t="str">
            <v>금형</v>
          </cell>
          <cell r="L581" t="str">
            <v>RE</v>
          </cell>
          <cell r="M581">
            <v>1</v>
          </cell>
          <cell r="Y581" t="str">
            <v>주물</v>
          </cell>
          <cell r="Z581">
            <v>2.0254507200000003</v>
          </cell>
          <cell r="AA581" t="str">
            <v>1020x680x620</v>
          </cell>
          <cell r="AB581" t="str">
            <v>87-5</v>
          </cell>
          <cell r="AG581" t="str">
            <v>서해공업㈜ 반　</v>
          </cell>
          <cell r="AI581" t="str">
            <v>광주 ㈜호원</v>
          </cell>
        </row>
        <row r="582">
          <cell r="A582">
            <v>509.20001220703125</v>
          </cell>
          <cell r="E582" t="str">
            <v>기아모텍</v>
          </cell>
          <cell r="F582" t="str">
            <v>B</v>
          </cell>
          <cell r="G582" t="str">
            <v>TITAN</v>
          </cell>
          <cell r="H582" t="str">
            <v>041102111425</v>
          </cell>
          <cell r="I582" t="str">
            <v>K421 54 522</v>
          </cell>
          <cell r="J582" t="str">
            <v>SIDE- SILL OUT LH</v>
          </cell>
          <cell r="K582" t="str">
            <v>금형</v>
          </cell>
          <cell r="L582" t="str">
            <v>RE</v>
          </cell>
          <cell r="M582">
            <v>1</v>
          </cell>
          <cell r="Y582" t="str">
            <v>주물</v>
          </cell>
          <cell r="Z582">
            <v>2.0254507200000003</v>
          </cell>
          <cell r="AA582" t="str">
            <v>1020x680x620</v>
          </cell>
          <cell r="AB582" t="str">
            <v>87-5</v>
          </cell>
          <cell r="AG582" t="str">
            <v>서해공업㈜ 반　</v>
          </cell>
          <cell r="AI582" t="str">
            <v>광주 ㈜호원</v>
          </cell>
        </row>
        <row r="583">
          <cell r="A583">
            <v>510</v>
          </cell>
          <cell r="E583" t="str">
            <v>기아모텍</v>
          </cell>
          <cell r="F583" t="str">
            <v>B</v>
          </cell>
          <cell r="G583" t="str">
            <v>TITAN</v>
          </cell>
          <cell r="H583" t="str">
            <v>041102111425</v>
          </cell>
          <cell r="I583" t="str">
            <v>K421 53/54 522</v>
          </cell>
          <cell r="J583" t="str">
            <v>SIDE- SILL OUT R/L</v>
          </cell>
          <cell r="K583" t="str">
            <v>금형</v>
          </cell>
          <cell r="L583" t="str">
            <v>DR</v>
          </cell>
          <cell r="M583">
            <v>2</v>
          </cell>
          <cell r="N583">
            <v>25600000</v>
          </cell>
          <cell r="Y583" t="str">
            <v>주물</v>
          </cell>
          <cell r="Z583">
            <v>1.7915897999999999</v>
          </cell>
          <cell r="AA583" t="str">
            <v>1100x665x520</v>
          </cell>
          <cell r="AB583" t="str">
            <v>87-5</v>
          </cell>
          <cell r="AG583" t="str">
            <v>서해공업㈜ 반　</v>
          </cell>
          <cell r="AI583" t="str">
            <v>광주 ㈜호원</v>
          </cell>
        </row>
        <row r="584">
          <cell r="A584">
            <v>510.10000610351563</v>
          </cell>
          <cell r="E584" t="str">
            <v>기아모텍</v>
          </cell>
          <cell r="F584" t="str">
            <v>B</v>
          </cell>
          <cell r="G584" t="str">
            <v>TITAN</v>
          </cell>
          <cell r="H584" t="str">
            <v>041102111425</v>
          </cell>
          <cell r="I584" t="str">
            <v>K421 53 522</v>
          </cell>
          <cell r="J584" t="str">
            <v>SIDE- SILL OUT RH</v>
          </cell>
          <cell r="K584" t="str">
            <v>금형</v>
          </cell>
          <cell r="L584" t="str">
            <v>DR</v>
          </cell>
          <cell r="M584">
            <v>1</v>
          </cell>
          <cell r="Y584" t="str">
            <v>주물</v>
          </cell>
          <cell r="Z584">
            <v>1.7915897999999999</v>
          </cell>
          <cell r="AA584" t="str">
            <v>1100x665x520</v>
          </cell>
          <cell r="AB584" t="str">
            <v>87-5</v>
          </cell>
          <cell r="AG584" t="str">
            <v>서해공업㈜ 반　</v>
          </cell>
          <cell r="AI584" t="str">
            <v>광주 ㈜호원</v>
          </cell>
        </row>
        <row r="585">
          <cell r="A585">
            <v>510.20001220703125</v>
          </cell>
          <cell r="E585" t="str">
            <v>기아모텍</v>
          </cell>
          <cell r="F585" t="str">
            <v>B</v>
          </cell>
          <cell r="G585" t="str">
            <v>TITAN</v>
          </cell>
          <cell r="H585" t="str">
            <v>041102111425</v>
          </cell>
          <cell r="I585" t="str">
            <v>K421 54 522</v>
          </cell>
          <cell r="J585" t="str">
            <v>SIDE- SILL OUT LH</v>
          </cell>
          <cell r="K585" t="str">
            <v>금형</v>
          </cell>
          <cell r="L585" t="str">
            <v>DR</v>
          </cell>
          <cell r="M585">
            <v>1</v>
          </cell>
          <cell r="Y585" t="str">
            <v>주물</v>
          </cell>
          <cell r="Z585">
            <v>1.7915897999999999</v>
          </cell>
          <cell r="AA585" t="str">
            <v>1100x665x520</v>
          </cell>
          <cell r="AB585" t="str">
            <v>87-5</v>
          </cell>
          <cell r="AG585" t="str">
            <v>서해공업㈜ 반　</v>
          </cell>
          <cell r="AI585" t="str">
            <v>광주 ㈜호원</v>
          </cell>
        </row>
        <row r="586">
          <cell r="A586">
            <v>511</v>
          </cell>
          <cell r="E586" t="str">
            <v>기아모텍</v>
          </cell>
          <cell r="F586" t="str">
            <v>B</v>
          </cell>
          <cell r="G586" t="str">
            <v>TITAN</v>
          </cell>
          <cell r="H586" t="str">
            <v>041101160037</v>
          </cell>
          <cell r="I586" t="str">
            <v>K421 53/54 551A</v>
          </cell>
          <cell r="J586" t="str">
            <v>Rr PILLAR OUT R/L</v>
          </cell>
          <cell r="K586" t="str">
            <v>금형</v>
          </cell>
          <cell r="L586" t="str">
            <v>1/6</v>
          </cell>
          <cell r="M586">
            <v>1</v>
          </cell>
          <cell r="N586">
            <v>23355000</v>
          </cell>
          <cell r="Y586" t="str">
            <v>주물</v>
          </cell>
          <cell r="Z586">
            <v>12.1421916</v>
          </cell>
          <cell r="AA586" t="str">
            <v>1980x1400x930</v>
          </cell>
          <cell r="AB586" t="str">
            <v>88-03-25</v>
          </cell>
          <cell r="AG586" t="str">
            <v>서해공업㈜ 반　</v>
          </cell>
          <cell r="AI586" t="str">
            <v>광주 ㈜호원</v>
          </cell>
        </row>
        <row r="587">
          <cell r="A587">
            <v>512</v>
          </cell>
          <cell r="E587" t="str">
            <v>기아모텍</v>
          </cell>
          <cell r="F587" t="str">
            <v>B</v>
          </cell>
          <cell r="G587" t="str">
            <v>TITAN</v>
          </cell>
          <cell r="H587" t="str">
            <v>041101260024</v>
          </cell>
          <cell r="I587" t="str">
            <v>K421 53/54 551A</v>
          </cell>
          <cell r="J587" t="str">
            <v>Rr PILLAR OUT R/L</v>
          </cell>
          <cell r="K587" t="str">
            <v>금형</v>
          </cell>
          <cell r="L587" t="str">
            <v>2/6</v>
          </cell>
          <cell r="M587">
            <v>1</v>
          </cell>
          <cell r="N587">
            <v>19203000</v>
          </cell>
          <cell r="Y587" t="str">
            <v>주물</v>
          </cell>
          <cell r="Z587">
            <v>12.1421916</v>
          </cell>
          <cell r="AA587" t="str">
            <v>1980x1400x930</v>
          </cell>
          <cell r="AB587" t="str">
            <v>88-03-25</v>
          </cell>
          <cell r="AG587" t="str">
            <v>서해공업㈜ 반　</v>
          </cell>
          <cell r="AI587" t="str">
            <v>광주 ㈜호원</v>
          </cell>
        </row>
        <row r="588">
          <cell r="A588">
            <v>513</v>
          </cell>
          <cell r="E588" t="str">
            <v>기아모텍</v>
          </cell>
          <cell r="F588" t="str">
            <v>B</v>
          </cell>
          <cell r="G588" t="str">
            <v>TITAN</v>
          </cell>
          <cell r="H588" t="str">
            <v>041101360031</v>
          </cell>
          <cell r="I588" t="str">
            <v>K421 53/54 551A</v>
          </cell>
          <cell r="J588" t="str">
            <v>Rr PILLAR OUT R/L</v>
          </cell>
          <cell r="K588" t="str">
            <v>금형</v>
          </cell>
          <cell r="L588" t="str">
            <v>3/6</v>
          </cell>
          <cell r="M588">
            <v>1</v>
          </cell>
          <cell r="N588">
            <v>15051000</v>
          </cell>
          <cell r="Y588" t="str">
            <v>주물</v>
          </cell>
          <cell r="Z588">
            <v>12.1421916</v>
          </cell>
          <cell r="AA588" t="str">
            <v>1980x1400x930</v>
          </cell>
          <cell r="AB588" t="str">
            <v>88-03-25</v>
          </cell>
          <cell r="AG588" t="str">
            <v>서해공업㈜ 반　</v>
          </cell>
          <cell r="AI588" t="str">
            <v>광주 ㈜호원</v>
          </cell>
        </row>
        <row r="589">
          <cell r="A589">
            <v>514</v>
          </cell>
          <cell r="E589" t="str">
            <v>기아모텍</v>
          </cell>
          <cell r="F589" t="str">
            <v>B</v>
          </cell>
          <cell r="G589" t="str">
            <v>TITAN</v>
          </cell>
          <cell r="H589" t="str">
            <v>041101460017</v>
          </cell>
          <cell r="I589" t="str">
            <v>K421 53/54 551A</v>
          </cell>
          <cell r="J589" t="str">
            <v>Rr PILLAR OUT R/L</v>
          </cell>
          <cell r="K589" t="str">
            <v>금형</v>
          </cell>
          <cell r="L589" t="str">
            <v>4/6</v>
          </cell>
          <cell r="M589">
            <v>1</v>
          </cell>
          <cell r="N589">
            <v>24912000</v>
          </cell>
          <cell r="Y589" t="str">
            <v>주물</v>
          </cell>
          <cell r="Z589">
            <v>12.1421916</v>
          </cell>
          <cell r="AA589" t="str">
            <v>1980x1400x930</v>
          </cell>
          <cell r="AB589" t="str">
            <v>88-03-25</v>
          </cell>
          <cell r="AG589" t="str">
            <v>서해공업㈜ 반　</v>
          </cell>
          <cell r="AI589" t="str">
            <v>광주 ㈜호원</v>
          </cell>
        </row>
        <row r="590">
          <cell r="A590">
            <v>515</v>
          </cell>
          <cell r="E590" t="str">
            <v>기아모텍</v>
          </cell>
          <cell r="F590" t="str">
            <v>B</v>
          </cell>
          <cell r="G590" t="str">
            <v>TITAN</v>
          </cell>
          <cell r="H590" t="str">
            <v>041101560044</v>
          </cell>
          <cell r="I590" t="str">
            <v>K421 53/54 551A</v>
          </cell>
          <cell r="J590" t="str">
            <v>Rr PILLAR OUT R/L</v>
          </cell>
          <cell r="K590" t="str">
            <v>금형</v>
          </cell>
          <cell r="L590" t="str">
            <v>5/6</v>
          </cell>
          <cell r="M590">
            <v>1</v>
          </cell>
          <cell r="N590">
            <v>16608000</v>
          </cell>
          <cell r="Y590" t="str">
            <v>주물</v>
          </cell>
          <cell r="Z590">
            <v>12.1421916</v>
          </cell>
          <cell r="AA590" t="str">
            <v>1980x1400x930</v>
          </cell>
          <cell r="AB590" t="str">
            <v>88-03-25</v>
          </cell>
          <cell r="AG590" t="str">
            <v>서해공업㈜ 반　</v>
          </cell>
          <cell r="AI590" t="str">
            <v>광주 ㈜호원</v>
          </cell>
        </row>
        <row r="591">
          <cell r="A591">
            <v>516</v>
          </cell>
          <cell r="E591" t="str">
            <v>기아모텍</v>
          </cell>
          <cell r="F591" t="str">
            <v>B</v>
          </cell>
          <cell r="G591" t="str">
            <v>TITAN</v>
          </cell>
          <cell r="H591" t="str">
            <v>041101660021</v>
          </cell>
          <cell r="I591" t="str">
            <v>K421 53/54 551A</v>
          </cell>
          <cell r="J591" t="str">
            <v>Rr PILLAR OUT R/L</v>
          </cell>
          <cell r="K591" t="str">
            <v>금형</v>
          </cell>
          <cell r="L591" t="str">
            <v>6/6</v>
          </cell>
          <cell r="M591">
            <v>1</v>
          </cell>
          <cell r="N591">
            <v>14871000</v>
          </cell>
          <cell r="Y591" t="str">
            <v>주물</v>
          </cell>
          <cell r="Z591">
            <v>12.1421916</v>
          </cell>
          <cell r="AA591" t="str">
            <v>1980x1400x930</v>
          </cell>
          <cell r="AB591" t="str">
            <v>88-03-25</v>
          </cell>
          <cell r="AG591" t="str">
            <v>서해공업㈜ 반　</v>
          </cell>
          <cell r="AI591" t="str">
            <v>광주 ㈜호원</v>
          </cell>
        </row>
        <row r="592">
          <cell r="A592">
            <v>517</v>
          </cell>
          <cell r="E592" t="str">
            <v>기아모텍</v>
          </cell>
          <cell r="F592" t="str">
            <v>B</v>
          </cell>
          <cell r="G592" t="str">
            <v>TITAN</v>
          </cell>
          <cell r="I592" t="str">
            <v>K421 53/54 620</v>
          </cell>
          <cell r="J592" t="str">
            <v>FRT PILLAR IN LOWER</v>
          </cell>
          <cell r="K592" t="str">
            <v>금형</v>
          </cell>
          <cell r="L592" t="str">
            <v>FO,TR,PIE</v>
          </cell>
          <cell r="M592">
            <v>3</v>
          </cell>
          <cell r="N592">
            <v>25000000</v>
          </cell>
          <cell r="Y592" t="str">
            <v>주물</v>
          </cell>
          <cell r="AA592" t="str">
            <v>xx</v>
          </cell>
          <cell r="AB592" t="str">
            <v>87-07-30</v>
          </cell>
          <cell r="AI592" t="str">
            <v>광주 ㈜호원</v>
          </cell>
          <cell r="AJ592" t="str">
            <v>(주)대아</v>
          </cell>
        </row>
        <row r="593">
          <cell r="A593">
            <v>517.0999755859375</v>
          </cell>
          <cell r="E593" t="str">
            <v>기아모텍</v>
          </cell>
          <cell r="F593" t="str">
            <v>B</v>
          </cell>
          <cell r="G593" t="str">
            <v>TITAN</v>
          </cell>
          <cell r="I593" t="str">
            <v>K421 53/54 620</v>
          </cell>
          <cell r="J593" t="str">
            <v>FRT PILLAR IN LOWER</v>
          </cell>
          <cell r="K593" t="str">
            <v>금형</v>
          </cell>
          <cell r="L593" t="str">
            <v>FO</v>
          </cell>
          <cell r="M593">
            <v>1</v>
          </cell>
          <cell r="Y593" t="str">
            <v>주물</v>
          </cell>
          <cell r="Z593">
            <v>10.812332519999998</v>
          </cell>
          <cell r="AA593" t="str">
            <v>1870x1320x930</v>
          </cell>
          <cell r="AB593" t="str">
            <v>87-07-30</v>
          </cell>
          <cell r="AI593" t="str">
            <v>광주 ㈜호원</v>
          </cell>
          <cell r="AJ593" t="str">
            <v>(주)대아</v>
          </cell>
        </row>
        <row r="594">
          <cell r="A594">
            <v>517.20001220703125</v>
          </cell>
          <cell r="E594" t="str">
            <v>기아모텍</v>
          </cell>
          <cell r="F594" t="str">
            <v>B</v>
          </cell>
          <cell r="G594" t="str">
            <v>TITAN</v>
          </cell>
          <cell r="I594" t="str">
            <v>K421 53/54 620</v>
          </cell>
          <cell r="J594" t="str">
            <v>FRT PILLAR IN LOWER</v>
          </cell>
          <cell r="K594" t="str">
            <v>금형</v>
          </cell>
          <cell r="L594" t="str">
            <v>TR</v>
          </cell>
          <cell r="M594">
            <v>1</v>
          </cell>
          <cell r="Y594" t="str">
            <v>주물</v>
          </cell>
          <cell r="Z594">
            <v>10.812332519999998</v>
          </cell>
          <cell r="AA594" t="str">
            <v>1870x1320x930</v>
          </cell>
          <cell r="AB594" t="str">
            <v>87-07-30</v>
          </cell>
          <cell r="AI594" t="str">
            <v>광주 ㈜호원</v>
          </cell>
          <cell r="AJ594" t="str">
            <v>(주)대아</v>
          </cell>
        </row>
        <row r="595">
          <cell r="A595">
            <v>517.29998779296875</v>
          </cell>
          <cell r="E595" t="str">
            <v>기아모텍</v>
          </cell>
          <cell r="F595" t="str">
            <v>B</v>
          </cell>
          <cell r="G595" t="str">
            <v>TITAN</v>
          </cell>
          <cell r="I595" t="str">
            <v>K421 53/54 620</v>
          </cell>
          <cell r="J595" t="str">
            <v>FRT PILLAR IN LOWER</v>
          </cell>
          <cell r="K595" t="str">
            <v>금형</v>
          </cell>
          <cell r="L595" t="str">
            <v>PIE</v>
          </cell>
          <cell r="M595">
            <v>1</v>
          </cell>
          <cell r="Y595" t="str">
            <v>주물</v>
          </cell>
          <cell r="Z595">
            <v>10.812332519999998</v>
          </cell>
          <cell r="AA595" t="str">
            <v>1870x1320x930</v>
          </cell>
          <cell r="AB595" t="str">
            <v>87-07-30</v>
          </cell>
          <cell r="AI595" t="str">
            <v>광주 ㈜호원</v>
          </cell>
          <cell r="AJ595" t="str">
            <v>(주)대아</v>
          </cell>
        </row>
        <row r="596">
          <cell r="A596">
            <v>518</v>
          </cell>
          <cell r="E596" t="str">
            <v>기아모텍</v>
          </cell>
          <cell r="F596" t="str">
            <v>B</v>
          </cell>
          <cell r="G596" t="str">
            <v>TITAN</v>
          </cell>
          <cell r="H596" t="str">
            <v>041106110091</v>
          </cell>
          <cell r="I596" t="str">
            <v>K421 53/54 641B</v>
          </cell>
          <cell r="J596" t="str">
            <v>RAIL ROOF IN RH/LH</v>
          </cell>
          <cell r="K596" t="str">
            <v>금형</v>
          </cell>
          <cell r="L596" t="str">
            <v>PIE</v>
          </cell>
          <cell r="M596">
            <v>1</v>
          </cell>
          <cell r="N596">
            <v>3900000</v>
          </cell>
          <cell r="Y596" t="str">
            <v>주물</v>
          </cell>
          <cell r="Z596">
            <v>1.05975</v>
          </cell>
          <cell r="AA596" t="str">
            <v>1000x450x500</v>
          </cell>
          <cell r="AB596" t="str">
            <v>87-2</v>
          </cell>
          <cell r="AG596" t="str">
            <v>화천</v>
          </cell>
          <cell r="AI596" t="str">
            <v>광주 ㈜호원</v>
          </cell>
          <cell r="AJ596" t="str">
            <v>대아정밀</v>
          </cell>
        </row>
        <row r="597">
          <cell r="A597">
            <v>519</v>
          </cell>
          <cell r="E597" t="str">
            <v>기아모텍</v>
          </cell>
          <cell r="F597" t="str">
            <v>B</v>
          </cell>
          <cell r="G597" t="str">
            <v>TITAN</v>
          </cell>
          <cell r="H597" t="str">
            <v>041106110091</v>
          </cell>
          <cell r="I597" t="str">
            <v>K421 53/54 641B</v>
          </cell>
          <cell r="J597" t="str">
            <v>RAIL ROOF IN RH/LH</v>
          </cell>
          <cell r="K597" t="str">
            <v>금형</v>
          </cell>
          <cell r="L597" t="str">
            <v>TR &amp; PIE</v>
          </cell>
          <cell r="M597">
            <v>1</v>
          </cell>
          <cell r="N597">
            <v>5370000</v>
          </cell>
          <cell r="Y597" t="str">
            <v>주물</v>
          </cell>
          <cell r="Z597">
            <v>1.4902439999999999</v>
          </cell>
          <cell r="AA597" t="str">
            <v>1130x500x560</v>
          </cell>
          <cell r="AB597" t="str">
            <v>87-2</v>
          </cell>
          <cell r="AG597" t="str">
            <v>화천</v>
          </cell>
          <cell r="AI597" t="str">
            <v>광주 ㈜호원</v>
          </cell>
          <cell r="AJ597" t="str">
            <v>대아정밀</v>
          </cell>
        </row>
        <row r="598">
          <cell r="A598">
            <v>520</v>
          </cell>
          <cell r="E598" t="str">
            <v>기아모텍</v>
          </cell>
          <cell r="F598" t="str">
            <v>B</v>
          </cell>
          <cell r="G598" t="str">
            <v>TITAN</v>
          </cell>
          <cell r="H598" t="str">
            <v>041106110091</v>
          </cell>
          <cell r="I598" t="str">
            <v>K421 53/54 641B</v>
          </cell>
          <cell r="J598" t="str">
            <v>RAIL ROOF IN RH/LH</v>
          </cell>
          <cell r="K598" t="str">
            <v>금형</v>
          </cell>
          <cell r="L598" t="str">
            <v>BE</v>
          </cell>
          <cell r="M598">
            <v>1</v>
          </cell>
          <cell r="N598">
            <v>6830000</v>
          </cell>
          <cell r="Y598" t="str">
            <v>주물</v>
          </cell>
          <cell r="Z598">
            <v>1.8858839999999999</v>
          </cell>
          <cell r="AA598" t="str">
            <v>1100x650x560</v>
          </cell>
          <cell r="AB598" t="str">
            <v>87-2</v>
          </cell>
          <cell r="AG598" t="str">
            <v>화천</v>
          </cell>
          <cell r="AI598" t="str">
            <v>광주 ㈜호원</v>
          </cell>
          <cell r="AJ598" t="str">
            <v>대아정밀</v>
          </cell>
        </row>
        <row r="599">
          <cell r="A599">
            <v>521</v>
          </cell>
          <cell r="E599" t="str">
            <v>기아모텍</v>
          </cell>
          <cell r="F599" t="str">
            <v>B</v>
          </cell>
          <cell r="G599" t="str">
            <v>TITAN</v>
          </cell>
          <cell r="H599" t="str">
            <v>041106110091</v>
          </cell>
          <cell r="I599" t="str">
            <v>K421 53/54 641B</v>
          </cell>
          <cell r="J599" t="str">
            <v>RAIL ROOF IN RH/LH</v>
          </cell>
          <cell r="K599" t="str">
            <v>금형</v>
          </cell>
          <cell r="L599" t="str">
            <v>FO</v>
          </cell>
          <cell r="M599">
            <v>1</v>
          </cell>
          <cell r="N599">
            <v>6830000</v>
          </cell>
          <cell r="Y599" t="str">
            <v>주물</v>
          </cell>
          <cell r="Z599">
            <v>1.8858839999999999</v>
          </cell>
          <cell r="AA599" t="str">
            <v>1100x650x560</v>
          </cell>
          <cell r="AB599" t="str">
            <v>87-2</v>
          </cell>
          <cell r="AG599" t="str">
            <v>화천</v>
          </cell>
          <cell r="AI599" t="str">
            <v>광주 ㈜호원</v>
          </cell>
          <cell r="AJ599" t="str">
            <v>대아정밀</v>
          </cell>
        </row>
        <row r="600">
          <cell r="A600">
            <v>522</v>
          </cell>
          <cell r="E600" t="str">
            <v>기아모텍</v>
          </cell>
          <cell r="F600" t="str">
            <v>C4</v>
          </cell>
          <cell r="G600" t="str">
            <v>TITAN</v>
          </cell>
          <cell r="H600" t="str">
            <v>041102160466</v>
          </cell>
          <cell r="I600" t="str">
            <v>K421 56 731/741</v>
          </cell>
          <cell r="J600" t="str">
            <v>WHEEL APRON R/L</v>
          </cell>
          <cell r="K600" t="str">
            <v>금형</v>
          </cell>
          <cell r="L600" t="str">
            <v>PIE 5/5</v>
          </cell>
          <cell r="M600">
            <v>1</v>
          </cell>
          <cell r="N600">
            <v>16510918</v>
          </cell>
          <cell r="AA600" t="str">
            <v>xx</v>
          </cell>
          <cell r="AB600" t="str">
            <v>88-03-02</v>
          </cell>
          <cell r="AG600" t="str">
            <v>KIA</v>
          </cell>
          <cell r="AI600" t="str">
            <v>광주 ㈜호원</v>
          </cell>
          <cell r="AJ600" t="str">
            <v>서진산업</v>
          </cell>
          <cell r="AK600" t="str">
            <v>분실</v>
          </cell>
        </row>
        <row r="601">
          <cell r="A601">
            <v>523</v>
          </cell>
          <cell r="E601" t="str">
            <v>기아모텍</v>
          </cell>
          <cell r="F601" t="str">
            <v>C4</v>
          </cell>
          <cell r="G601" t="str">
            <v>TITAN</v>
          </cell>
          <cell r="I601" t="str">
            <v>K421 58/59 010</v>
          </cell>
          <cell r="J601" t="str">
            <v>DOOR ASSY FRT R/L</v>
          </cell>
          <cell r="K601" t="str">
            <v>금형</v>
          </cell>
          <cell r="M601">
            <v>2</v>
          </cell>
          <cell r="N601">
            <v>34000000</v>
          </cell>
          <cell r="AA601" t="str">
            <v>xx</v>
          </cell>
          <cell r="AB601" t="str">
            <v>88-05-07</v>
          </cell>
          <cell r="AI601" t="str">
            <v>광주 ㈜대성</v>
          </cell>
          <cell r="AK601" t="str">
            <v>분실</v>
          </cell>
        </row>
        <row r="602">
          <cell r="A602">
            <v>524</v>
          </cell>
          <cell r="E602" t="str">
            <v>기아모텍</v>
          </cell>
          <cell r="F602" t="str">
            <v>B</v>
          </cell>
          <cell r="G602" t="str">
            <v>TITAN</v>
          </cell>
          <cell r="I602" t="str">
            <v>K421 58/59 031</v>
          </cell>
          <cell r="J602" t="str">
            <v>FRT DOOR IN/OUT R/L</v>
          </cell>
          <cell r="K602" t="str">
            <v>금형</v>
          </cell>
          <cell r="M602">
            <v>20</v>
          </cell>
          <cell r="N602">
            <v>150000000</v>
          </cell>
          <cell r="Y602" t="str">
            <v>주물</v>
          </cell>
          <cell r="AA602" t="str">
            <v>xx</v>
          </cell>
          <cell r="AB602" t="str">
            <v>88-06-07</v>
          </cell>
          <cell r="AI602" t="str">
            <v>광주 ㈜대성</v>
          </cell>
        </row>
        <row r="603">
          <cell r="A603">
            <v>524.010009765625</v>
          </cell>
          <cell r="E603" t="str">
            <v>기아모텍</v>
          </cell>
          <cell r="F603" t="str">
            <v>B</v>
          </cell>
          <cell r="G603" t="str">
            <v>TITAN</v>
          </cell>
          <cell r="I603" t="str">
            <v>K421 58/59 031</v>
          </cell>
          <cell r="J603" t="str">
            <v>FRT DOOR IN/OUT R/L</v>
          </cell>
          <cell r="K603" t="str">
            <v>금형</v>
          </cell>
          <cell r="Y603" t="str">
            <v>주물</v>
          </cell>
          <cell r="AA603" t="str">
            <v>xx</v>
          </cell>
          <cell r="AB603" t="str">
            <v>88-06-07</v>
          </cell>
          <cell r="AI603" t="str">
            <v>광주 ㈜대성</v>
          </cell>
        </row>
        <row r="604">
          <cell r="A604">
            <v>524.02001953125</v>
          </cell>
          <cell r="E604" t="str">
            <v>기아모텍</v>
          </cell>
          <cell r="F604" t="str">
            <v>B</v>
          </cell>
          <cell r="G604" t="str">
            <v>TITAN</v>
          </cell>
          <cell r="I604" t="str">
            <v>K421 58/59 031</v>
          </cell>
          <cell r="J604" t="str">
            <v>FRT DOOR IN/OUT R/L</v>
          </cell>
          <cell r="K604" t="str">
            <v>금형</v>
          </cell>
          <cell r="Y604" t="str">
            <v>주물</v>
          </cell>
          <cell r="AA604" t="str">
            <v>xx</v>
          </cell>
          <cell r="AB604" t="str">
            <v>88-06-07</v>
          </cell>
          <cell r="AI604" t="str">
            <v>광주 ㈜대성</v>
          </cell>
        </row>
        <row r="605">
          <cell r="A605">
            <v>524.030029296875</v>
          </cell>
          <cell r="E605" t="str">
            <v>기아모텍</v>
          </cell>
          <cell r="F605" t="str">
            <v>B</v>
          </cell>
          <cell r="G605" t="str">
            <v>TITAN</v>
          </cell>
          <cell r="I605" t="str">
            <v>K421 58/59 031</v>
          </cell>
          <cell r="J605" t="str">
            <v>FRT DOOR IN/OUT R/L</v>
          </cell>
          <cell r="K605" t="str">
            <v>금형</v>
          </cell>
          <cell r="Y605" t="str">
            <v>주물</v>
          </cell>
          <cell r="AA605" t="str">
            <v>xx</v>
          </cell>
          <cell r="AB605" t="str">
            <v>88-06-07</v>
          </cell>
          <cell r="AI605" t="str">
            <v>광주 ㈜대성</v>
          </cell>
        </row>
        <row r="606">
          <cell r="A606">
            <v>524.03997802734375</v>
          </cell>
          <cell r="E606" t="str">
            <v>기아모텍</v>
          </cell>
          <cell r="F606" t="str">
            <v>B</v>
          </cell>
          <cell r="G606" t="str">
            <v>TITAN</v>
          </cell>
          <cell r="I606" t="str">
            <v>K421 58/59 031</v>
          </cell>
          <cell r="J606" t="str">
            <v>FRT DOOR IN/OUT R/L</v>
          </cell>
          <cell r="K606" t="str">
            <v>금형</v>
          </cell>
          <cell r="Y606" t="str">
            <v>주물</v>
          </cell>
          <cell r="AA606" t="str">
            <v>xx</v>
          </cell>
          <cell r="AB606" t="str">
            <v>88-06-07</v>
          </cell>
          <cell r="AI606" t="str">
            <v>광주 ㈜대성</v>
          </cell>
        </row>
        <row r="607">
          <cell r="A607">
            <v>524.04998779296875</v>
          </cell>
          <cell r="E607" t="str">
            <v>기아모텍</v>
          </cell>
          <cell r="F607" t="str">
            <v>B</v>
          </cell>
          <cell r="G607" t="str">
            <v>TITAN</v>
          </cell>
          <cell r="I607" t="str">
            <v>K421 58/59 031</v>
          </cell>
          <cell r="J607" t="str">
            <v>FRT DOOR IN/OUT R/L</v>
          </cell>
          <cell r="K607" t="str">
            <v>금형</v>
          </cell>
          <cell r="Y607" t="str">
            <v>주물</v>
          </cell>
          <cell r="AA607" t="str">
            <v>xx</v>
          </cell>
          <cell r="AB607" t="str">
            <v>88-06-07</v>
          </cell>
          <cell r="AI607" t="str">
            <v>광주 ㈜대성</v>
          </cell>
        </row>
        <row r="608">
          <cell r="A608">
            <v>524.05999755859375</v>
          </cell>
          <cell r="E608" t="str">
            <v>기아모텍</v>
          </cell>
          <cell r="F608" t="str">
            <v>B</v>
          </cell>
          <cell r="G608" t="str">
            <v>TITAN</v>
          </cell>
          <cell r="I608" t="str">
            <v>K421 58/59 031</v>
          </cell>
          <cell r="J608" t="str">
            <v>FRT DOOR IN/OUT R/L</v>
          </cell>
          <cell r="K608" t="str">
            <v>금형</v>
          </cell>
          <cell r="Y608" t="str">
            <v>주물</v>
          </cell>
          <cell r="AA608" t="str">
            <v>xx</v>
          </cell>
          <cell r="AB608" t="str">
            <v>88-06-07</v>
          </cell>
          <cell r="AI608" t="str">
            <v>광주 ㈜대성</v>
          </cell>
        </row>
        <row r="609">
          <cell r="A609">
            <v>524.07000732421875</v>
          </cell>
          <cell r="E609" t="str">
            <v>기아모텍</v>
          </cell>
          <cell r="F609" t="str">
            <v>B</v>
          </cell>
          <cell r="G609" t="str">
            <v>TITAN</v>
          </cell>
          <cell r="I609" t="str">
            <v>K421 58/59 031</v>
          </cell>
          <cell r="J609" t="str">
            <v>FRT DOOR IN/OUT R/L</v>
          </cell>
          <cell r="K609" t="str">
            <v>금형</v>
          </cell>
          <cell r="Y609" t="str">
            <v>주물</v>
          </cell>
          <cell r="AA609" t="str">
            <v>xx</v>
          </cell>
          <cell r="AB609" t="str">
            <v>88-06-07</v>
          </cell>
          <cell r="AI609" t="str">
            <v>광주 ㈜대성</v>
          </cell>
        </row>
        <row r="610">
          <cell r="A610">
            <v>524.08001708984375</v>
          </cell>
          <cell r="E610" t="str">
            <v>기아모텍</v>
          </cell>
          <cell r="F610" t="str">
            <v>B</v>
          </cell>
          <cell r="G610" t="str">
            <v>TITAN</v>
          </cell>
          <cell r="I610" t="str">
            <v>K421 58/59 031</v>
          </cell>
          <cell r="J610" t="str">
            <v>FRT DOOR IN/OUT R/L</v>
          </cell>
          <cell r="K610" t="str">
            <v>금형</v>
          </cell>
          <cell r="Y610" t="str">
            <v>주물</v>
          </cell>
          <cell r="AA610" t="str">
            <v>xx</v>
          </cell>
          <cell r="AB610" t="str">
            <v>88-06-07</v>
          </cell>
          <cell r="AI610" t="str">
            <v>광주 ㈜대성</v>
          </cell>
        </row>
        <row r="611">
          <cell r="A611">
            <v>524.09002685546875</v>
          </cell>
          <cell r="E611" t="str">
            <v>기아모텍</v>
          </cell>
          <cell r="F611" t="str">
            <v>B</v>
          </cell>
          <cell r="G611" t="str">
            <v>TITAN</v>
          </cell>
          <cell r="I611" t="str">
            <v>K421 58/59 031</v>
          </cell>
          <cell r="J611" t="str">
            <v>FRT DOOR IN/OUT R/L</v>
          </cell>
          <cell r="K611" t="str">
            <v>금형</v>
          </cell>
          <cell r="Y611" t="str">
            <v>주물</v>
          </cell>
          <cell r="AA611" t="str">
            <v>xx</v>
          </cell>
          <cell r="AB611" t="str">
            <v>88-06-07</v>
          </cell>
          <cell r="AI611" t="str">
            <v>광주 ㈜대성</v>
          </cell>
        </row>
        <row r="612">
          <cell r="A612">
            <v>524.0999755859375</v>
          </cell>
          <cell r="E612" t="str">
            <v>기아모텍</v>
          </cell>
          <cell r="F612" t="str">
            <v>B</v>
          </cell>
          <cell r="G612" t="str">
            <v>TITAN</v>
          </cell>
          <cell r="I612" t="str">
            <v>K421 58/59 031</v>
          </cell>
          <cell r="J612" t="str">
            <v>FRT DOOR IN/OUT R/L</v>
          </cell>
          <cell r="K612" t="str">
            <v>금형</v>
          </cell>
          <cell r="Y612" t="str">
            <v>주물</v>
          </cell>
          <cell r="AA612" t="str">
            <v>xx</v>
          </cell>
          <cell r="AB612" t="str">
            <v>88-06-07</v>
          </cell>
          <cell r="AI612" t="str">
            <v>광주 ㈜대성</v>
          </cell>
        </row>
        <row r="613">
          <cell r="A613">
            <v>524.1099853515625</v>
          </cell>
          <cell r="E613" t="str">
            <v>기아모텍</v>
          </cell>
          <cell r="F613" t="str">
            <v>C4</v>
          </cell>
          <cell r="G613" t="str">
            <v>TITAN</v>
          </cell>
          <cell r="I613" t="str">
            <v>K421 58/59 031</v>
          </cell>
          <cell r="J613" t="str">
            <v>FRT DOOR IN/OUT R/L</v>
          </cell>
          <cell r="K613" t="str">
            <v>금형</v>
          </cell>
          <cell r="AA613" t="str">
            <v>xx</v>
          </cell>
          <cell r="AB613" t="str">
            <v>88-06-07</v>
          </cell>
          <cell r="AI613" t="str">
            <v>광주 ㈜대성</v>
          </cell>
          <cell r="AK613" t="str">
            <v>분실</v>
          </cell>
        </row>
        <row r="614">
          <cell r="A614">
            <v>524.1199951171875</v>
          </cell>
          <cell r="E614" t="str">
            <v>기아모텍</v>
          </cell>
          <cell r="F614" t="str">
            <v>B</v>
          </cell>
          <cell r="G614" t="str">
            <v>TITAN</v>
          </cell>
          <cell r="I614" t="str">
            <v>K421 58/59 031</v>
          </cell>
          <cell r="J614" t="str">
            <v>FRT DOOR IN/OUT R/L</v>
          </cell>
          <cell r="K614" t="str">
            <v>금형</v>
          </cell>
          <cell r="Y614" t="str">
            <v>주물</v>
          </cell>
          <cell r="AA614" t="str">
            <v>xx</v>
          </cell>
          <cell r="AB614" t="str">
            <v>88-06-07</v>
          </cell>
          <cell r="AI614" t="str">
            <v>광주 ㈜대성</v>
          </cell>
        </row>
        <row r="615">
          <cell r="A615">
            <v>524.1300048828125</v>
          </cell>
          <cell r="E615" t="str">
            <v>기아모텍</v>
          </cell>
          <cell r="F615" t="str">
            <v>B</v>
          </cell>
          <cell r="G615" t="str">
            <v>TITAN</v>
          </cell>
          <cell r="I615" t="str">
            <v>K421 58/59 031</v>
          </cell>
          <cell r="J615" t="str">
            <v>FRT DOOR IN/OUT R/L</v>
          </cell>
          <cell r="K615" t="str">
            <v>금형</v>
          </cell>
          <cell r="Y615" t="str">
            <v>주물</v>
          </cell>
          <cell r="AA615" t="str">
            <v>xx</v>
          </cell>
          <cell r="AB615" t="str">
            <v>88-06-07</v>
          </cell>
          <cell r="AI615" t="str">
            <v>광주 ㈜대성</v>
          </cell>
        </row>
        <row r="616">
          <cell r="A616">
            <v>524.1400146484375</v>
          </cell>
          <cell r="E616" t="str">
            <v>기아모텍</v>
          </cell>
          <cell r="F616" t="str">
            <v>C4</v>
          </cell>
          <cell r="G616" t="str">
            <v>TITAN</v>
          </cell>
          <cell r="I616" t="str">
            <v>K421 58/59 031</v>
          </cell>
          <cell r="J616" t="str">
            <v>FRT DOOR IN/OUT R/L</v>
          </cell>
          <cell r="K616" t="str">
            <v>금형</v>
          </cell>
          <cell r="AA616" t="str">
            <v>xx</v>
          </cell>
          <cell r="AB616" t="str">
            <v>88-06-07</v>
          </cell>
          <cell r="AI616" t="str">
            <v>광주 ㈜대성</v>
          </cell>
          <cell r="AK616" t="str">
            <v>분실</v>
          </cell>
        </row>
        <row r="617">
          <cell r="A617">
            <v>524.1500244140625</v>
          </cell>
          <cell r="E617" t="str">
            <v>기아모텍</v>
          </cell>
          <cell r="F617" t="str">
            <v>B</v>
          </cell>
          <cell r="G617" t="str">
            <v>TITAN</v>
          </cell>
          <cell r="I617" t="str">
            <v>K421 58/59 031</v>
          </cell>
          <cell r="J617" t="str">
            <v>FRT DOOR IN/OUT R/L</v>
          </cell>
          <cell r="K617" t="str">
            <v>금형</v>
          </cell>
          <cell r="Y617" t="str">
            <v>주물</v>
          </cell>
          <cell r="AA617" t="str">
            <v>xx</v>
          </cell>
          <cell r="AB617" t="str">
            <v>88-06-07</v>
          </cell>
          <cell r="AI617" t="str">
            <v>광주 ㈜대성</v>
          </cell>
        </row>
        <row r="618">
          <cell r="A618">
            <v>524.15997314453125</v>
          </cell>
          <cell r="E618" t="str">
            <v>기아모텍</v>
          </cell>
          <cell r="F618" t="str">
            <v>C4</v>
          </cell>
          <cell r="G618" t="str">
            <v>TITAN</v>
          </cell>
          <cell r="I618" t="str">
            <v>K421 58/59 031</v>
          </cell>
          <cell r="J618" t="str">
            <v>FRT DOOR IN/OUT R/L</v>
          </cell>
          <cell r="K618" t="str">
            <v>금형</v>
          </cell>
          <cell r="AA618" t="str">
            <v>xx</v>
          </cell>
          <cell r="AB618" t="str">
            <v>88-06-07</v>
          </cell>
          <cell r="AI618" t="str">
            <v>광주 ㈜대성</v>
          </cell>
          <cell r="AK618" t="str">
            <v>분실</v>
          </cell>
        </row>
        <row r="619">
          <cell r="A619">
            <v>524.16998291015625</v>
          </cell>
          <cell r="E619" t="str">
            <v>기아모텍</v>
          </cell>
          <cell r="F619" t="str">
            <v>B</v>
          </cell>
          <cell r="G619" t="str">
            <v>TITAN</v>
          </cell>
          <cell r="I619" t="str">
            <v>K421 58/59 031</v>
          </cell>
          <cell r="J619" t="str">
            <v>FRT DOOR IN/OUT R/L</v>
          </cell>
          <cell r="K619" t="str">
            <v>금형</v>
          </cell>
          <cell r="Y619" t="str">
            <v>주물</v>
          </cell>
          <cell r="AA619" t="str">
            <v>xx</v>
          </cell>
          <cell r="AB619" t="str">
            <v>88-06-07</v>
          </cell>
          <cell r="AI619" t="str">
            <v>광주 ㈜대성</v>
          </cell>
        </row>
        <row r="620">
          <cell r="A620">
            <v>524.17999267578125</v>
          </cell>
          <cell r="E620" t="str">
            <v>기아모텍</v>
          </cell>
          <cell r="F620" t="str">
            <v>B</v>
          </cell>
          <cell r="G620" t="str">
            <v>TITAN</v>
          </cell>
          <cell r="I620" t="str">
            <v>K421 58/59 031</v>
          </cell>
          <cell r="J620" t="str">
            <v>FRT DOOR IN/OUT R/L</v>
          </cell>
          <cell r="K620" t="str">
            <v>금형</v>
          </cell>
          <cell r="Y620" t="str">
            <v>주물</v>
          </cell>
          <cell r="AA620" t="str">
            <v>xx</v>
          </cell>
          <cell r="AB620" t="str">
            <v>88-06-07</v>
          </cell>
          <cell r="AI620" t="str">
            <v>광주 ㈜대성</v>
          </cell>
        </row>
        <row r="621">
          <cell r="A621">
            <v>524.19000244140625</v>
          </cell>
          <cell r="E621" t="str">
            <v>기아모텍</v>
          </cell>
          <cell r="F621" t="str">
            <v>C4</v>
          </cell>
          <cell r="G621" t="str">
            <v>TITAN</v>
          </cell>
          <cell r="I621" t="str">
            <v>K421 58/59 031</v>
          </cell>
          <cell r="J621" t="str">
            <v>FRT DOOR IN/OUT R/L</v>
          </cell>
          <cell r="K621" t="str">
            <v>금형</v>
          </cell>
          <cell r="AA621" t="str">
            <v>xx</v>
          </cell>
          <cell r="AB621" t="str">
            <v>88-06-07</v>
          </cell>
          <cell r="AI621" t="str">
            <v>광주 ㈜대성</v>
          </cell>
          <cell r="AK621" t="str">
            <v>분실</v>
          </cell>
        </row>
        <row r="622">
          <cell r="A622">
            <v>524.20001220703125</v>
          </cell>
          <cell r="E622" t="str">
            <v>기아모텍</v>
          </cell>
          <cell r="F622" t="str">
            <v>C4</v>
          </cell>
          <cell r="G622" t="str">
            <v>TITAN</v>
          </cell>
          <cell r="I622" t="str">
            <v>K421 58/59 031</v>
          </cell>
          <cell r="J622" t="str">
            <v>FRT DOOR IN/OUT R/L</v>
          </cell>
          <cell r="K622" t="str">
            <v>금형</v>
          </cell>
          <cell r="AA622" t="str">
            <v>xx</v>
          </cell>
          <cell r="AB622" t="str">
            <v>88-06-07</v>
          </cell>
          <cell r="AI622" t="str">
            <v>광주 ㈜대성</v>
          </cell>
          <cell r="AK622" t="str">
            <v>분실</v>
          </cell>
        </row>
        <row r="623">
          <cell r="A623">
            <v>525</v>
          </cell>
          <cell r="E623" t="str">
            <v>기아모텍</v>
          </cell>
          <cell r="F623" t="str">
            <v>C4</v>
          </cell>
          <cell r="G623" t="str">
            <v>TITAN</v>
          </cell>
          <cell r="H623" t="str">
            <v>041102041485</v>
          </cell>
          <cell r="I623" t="str">
            <v>K421 58/59 041</v>
          </cell>
          <cell r="J623" t="str">
            <v>REINF-PANEL OUT</v>
          </cell>
          <cell r="K623" t="str">
            <v>금형</v>
          </cell>
          <cell r="L623" t="str">
            <v>C/PIE</v>
          </cell>
          <cell r="M623">
            <v>1</v>
          </cell>
          <cell r="N623">
            <v>4050000</v>
          </cell>
          <cell r="Z623">
            <v>0.59345999999999999</v>
          </cell>
          <cell r="AA623" t="str">
            <v>700x450x400</v>
          </cell>
          <cell r="AB623" t="str">
            <v>87-5</v>
          </cell>
          <cell r="AG623" t="str">
            <v>구일정공</v>
          </cell>
          <cell r="AI623" t="str">
            <v>광주 ㈜대성</v>
          </cell>
          <cell r="AK623" t="str">
            <v>분실</v>
          </cell>
        </row>
        <row r="624">
          <cell r="A624">
            <v>526</v>
          </cell>
          <cell r="E624" t="str">
            <v>기아모텍</v>
          </cell>
          <cell r="F624" t="str">
            <v>C4</v>
          </cell>
          <cell r="G624" t="str">
            <v>TITAN</v>
          </cell>
          <cell r="H624" t="str">
            <v>041102041485</v>
          </cell>
          <cell r="I624" t="str">
            <v>K421 58/59 041</v>
          </cell>
          <cell r="J624" t="str">
            <v>REINF-PANEL OUT</v>
          </cell>
          <cell r="K624" t="str">
            <v>금형</v>
          </cell>
          <cell r="L624" t="str">
            <v>C/FL</v>
          </cell>
          <cell r="M624">
            <v>1</v>
          </cell>
          <cell r="N624">
            <v>5960000</v>
          </cell>
          <cell r="Z624">
            <v>0.75242249999999988</v>
          </cell>
          <cell r="AA624" t="str">
            <v>500x710x450</v>
          </cell>
          <cell r="AB624" t="str">
            <v>87-5</v>
          </cell>
          <cell r="AG624" t="str">
            <v>구일정공</v>
          </cell>
          <cell r="AI624" t="str">
            <v>광주 ㈜대성</v>
          </cell>
          <cell r="AK624" t="str">
            <v>분실</v>
          </cell>
        </row>
        <row r="625">
          <cell r="A625">
            <v>527</v>
          </cell>
          <cell r="E625" t="str">
            <v>기아모텍</v>
          </cell>
          <cell r="F625" t="str">
            <v>C4</v>
          </cell>
          <cell r="G625" t="str">
            <v>TITAN</v>
          </cell>
          <cell r="H625" t="str">
            <v>041102041485</v>
          </cell>
          <cell r="I625" t="str">
            <v>K421 58/59 041</v>
          </cell>
          <cell r="J625" t="str">
            <v>REINF-PANEL OUT</v>
          </cell>
          <cell r="K625" t="str">
            <v>금형</v>
          </cell>
          <cell r="L625" t="str">
            <v>C/PIE</v>
          </cell>
          <cell r="M625">
            <v>2</v>
          </cell>
          <cell r="N625">
            <v>6600000</v>
          </cell>
          <cell r="Z625">
            <v>0.59345999999999999</v>
          </cell>
          <cell r="AA625" t="str">
            <v>700x400x450</v>
          </cell>
          <cell r="AB625" t="str">
            <v>87-5</v>
          </cell>
          <cell r="AG625" t="str">
            <v>구일정공</v>
          </cell>
          <cell r="AI625" t="str">
            <v>광주 ㈜대성</v>
          </cell>
          <cell r="AK625" t="str">
            <v>분실</v>
          </cell>
        </row>
        <row r="626">
          <cell r="A626">
            <v>528</v>
          </cell>
          <cell r="E626" t="str">
            <v>기아모텍</v>
          </cell>
          <cell r="F626" t="str">
            <v>C4</v>
          </cell>
          <cell r="G626" t="str">
            <v>TITAN</v>
          </cell>
          <cell r="H626" t="str">
            <v>041102041485</v>
          </cell>
          <cell r="I626" t="str">
            <v>K421 58/59 041</v>
          </cell>
          <cell r="J626" t="str">
            <v>REINF-PANEL OUT</v>
          </cell>
          <cell r="K626" t="str">
            <v>금형</v>
          </cell>
          <cell r="L626" t="str">
            <v>RE &amp; FL</v>
          </cell>
          <cell r="M626">
            <v>2</v>
          </cell>
          <cell r="N626">
            <v>13900000</v>
          </cell>
          <cell r="Z626">
            <v>1.5543</v>
          </cell>
          <cell r="AA626" t="str">
            <v>1100x600x500</v>
          </cell>
          <cell r="AB626" t="str">
            <v>87-5</v>
          </cell>
          <cell r="AG626" t="str">
            <v>구일정공</v>
          </cell>
          <cell r="AI626" t="str">
            <v>광주 ㈜대성</v>
          </cell>
          <cell r="AK626" t="str">
            <v>분실</v>
          </cell>
        </row>
        <row r="627">
          <cell r="A627">
            <v>529</v>
          </cell>
          <cell r="E627" t="str">
            <v>기아모텍</v>
          </cell>
          <cell r="F627" t="str">
            <v>C4</v>
          </cell>
          <cell r="G627" t="str">
            <v>TITAN</v>
          </cell>
          <cell r="H627" t="str">
            <v>041102041485</v>
          </cell>
          <cell r="I627" t="str">
            <v>K421 58/59 041</v>
          </cell>
          <cell r="J627" t="str">
            <v>REINF-PANEL OUT</v>
          </cell>
          <cell r="K627" t="str">
            <v>금형</v>
          </cell>
          <cell r="L627" t="str">
            <v>TR</v>
          </cell>
          <cell r="M627">
            <v>2</v>
          </cell>
          <cell r="N627">
            <v>14700000</v>
          </cell>
          <cell r="Z627">
            <v>1.45068</v>
          </cell>
          <cell r="AA627" t="str">
            <v>1100x560x500</v>
          </cell>
          <cell r="AB627" t="str">
            <v>87-5</v>
          </cell>
          <cell r="AG627" t="str">
            <v>구일정공</v>
          </cell>
          <cell r="AI627" t="str">
            <v>광주 ㈜대성</v>
          </cell>
          <cell r="AK627" t="str">
            <v>분실</v>
          </cell>
        </row>
        <row r="628">
          <cell r="A628">
            <v>530</v>
          </cell>
          <cell r="E628" t="str">
            <v>기아모텍</v>
          </cell>
          <cell r="F628" t="str">
            <v>C4</v>
          </cell>
          <cell r="G628" t="str">
            <v>TITAN</v>
          </cell>
          <cell r="H628" t="str">
            <v>041102041485</v>
          </cell>
          <cell r="I628" t="str">
            <v>K421 58/59 041</v>
          </cell>
          <cell r="J628" t="str">
            <v>REINF-PANEL OUT</v>
          </cell>
          <cell r="K628" t="str">
            <v>금형</v>
          </cell>
          <cell r="L628" t="str">
            <v>DR</v>
          </cell>
          <cell r="M628">
            <v>2</v>
          </cell>
          <cell r="N628">
            <v>14900000</v>
          </cell>
          <cell r="Z628">
            <v>1.4247749999999999</v>
          </cell>
          <cell r="AA628" t="str">
            <v>1100x550x500</v>
          </cell>
          <cell r="AB628" t="str">
            <v>87-5</v>
          </cell>
          <cell r="AG628" t="str">
            <v>구일정공</v>
          </cell>
          <cell r="AI628" t="str">
            <v>광주 ㈜대성</v>
          </cell>
          <cell r="AK628" t="str">
            <v>분실</v>
          </cell>
        </row>
        <row r="629">
          <cell r="A629">
            <v>531</v>
          </cell>
          <cell r="E629" t="str">
            <v>기아모텍</v>
          </cell>
          <cell r="F629" t="str">
            <v>C4</v>
          </cell>
          <cell r="G629" t="str">
            <v>TITAN</v>
          </cell>
          <cell r="H629" t="str">
            <v>041102031802</v>
          </cell>
          <cell r="I629" t="str">
            <v>K421 58/59 042</v>
          </cell>
          <cell r="J629" t="str">
            <v>PLATE SET OUT R/L</v>
          </cell>
          <cell r="K629" t="str">
            <v>금형</v>
          </cell>
          <cell r="L629" t="str">
            <v>PIE</v>
          </cell>
          <cell r="M629">
            <v>1</v>
          </cell>
          <cell r="N629">
            <v>4300000</v>
          </cell>
          <cell r="Z629">
            <v>0.72533999999999998</v>
          </cell>
          <cell r="AA629" t="str">
            <v>1100x400x350</v>
          </cell>
          <cell r="AB629" t="str">
            <v>87-5</v>
          </cell>
          <cell r="AG629" t="str">
            <v>새한산업</v>
          </cell>
          <cell r="AI629" t="str">
            <v>광주 ㈜대성</v>
          </cell>
          <cell r="AK629" t="str">
            <v>분실</v>
          </cell>
        </row>
        <row r="630">
          <cell r="A630">
            <v>532</v>
          </cell>
          <cell r="E630" t="str">
            <v>기아모텍</v>
          </cell>
          <cell r="F630" t="str">
            <v>C4</v>
          </cell>
          <cell r="G630" t="str">
            <v>TITAN</v>
          </cell>
          <cell r="H630" t="str">
            <v>041102031802</v>
          </cell>
          <cell r="I630" t="str">
            <v>K421 58/59 042</v>
          </cell>
          <cell r="J630" t="str">
            <v>PLATE SET OUT R/L</v>
          </cell>
          <cell r="K630" t="str">
            <v>금형</v>
          </cell>
          <cell r="L630" t="str">
            <v>PIE</v>
          </cell>
          <cell r="M630">
            <v>1</v>
          </cell>
          <cell r="N630">
            <v>6100000</v>
          </cell>
          <cell r="Z630">
            <v>1.2717000000000001</v>
          </cell>
          <cell r="AA630" t="str">
            <v>1200x450x500</v>
          </cell>
          <cell r="AB630" t="str">
            <v>87-5</v>
          </cell>
          <cell r="AG630" t="str">
            <v>새한산업</v>
          </cell>
          <cell r="AI630" t="str">
            <v>광주 ㈜대성</v>
          </cell>
          <cell r="AK630" t="str">
            <v>분실</v>
          </cell>
        </row>
        <row r="631">
          <cell r="A631">
            <v>533</v>
          </cell>
          <cell r="E631" t="str">
            <v>기아모텍</v>
          </cell>
          <cell r="F631" t="str">
            <v>C4</v>
          </cell>
          <cell r="G631" t="str">
            <v>TITAN</v>
          </cell>
          <cell r="H631" t="str">
            <v>041102031802</v>
          </cell>
          <cell r="I631" t="str">
            <v>K421 58/59 042</v>
          </cell>
          <cell r="J631" t="str">
            <v>PLATE SET OUT R/L</v>
          </cell>
          <cell r="K631" t="str">
            <v>금형</v>
          </cell>
          <cell r="L631" t="str">
            <v>BL</v>
          </cell>
          <cell r="M631">
            <v>1</v>
          </cell>
          <cell r="N631">
            <v>8600000</v>
          </cell>
          <cell r="Z631">
            <v>1.6190625000000001</v>
          </cell>
          <cell r="AA631" t="str">
            <v>1250x550x500</v>
          </cell>
          <cell r="AB631" t="str">
            <v>87-5</v>
          </cell>
          <cell r="AG631" t="str">
            <v>새한산업</v>
          </cell>
          <cell r="AI631" t="str">
            <v>광주 ㈜대성</v>
          </cell>
          <cell r="AK631" t="str">
            <v>분실</v>
          </cell>
        </row>
        <row r="632">
          <cell r="A632">
            <v>534</v>
          </cell>
          <cell r="E632" t="str">
            <v>기아모텍</v>
          </cell>
          <cell r="F632" t="str">
            <v>C4</v>
          </cell>
          <cell r="G632" t="str">
            <v>TITAN</v>
          </cell>
          <cell r="H632" t="str">
            <v>041102031802</v>
          </cell>
          <cell r="I632" t="str">
            <v>K421 58/59 042</v>
          </cell>
          <cell r="J632" t="str">
            <v>PLATE SET OUT R/L</v>
          </cell>
          <cell r="K632" t="str">
            <v>금형</v>
          </cell>
          <cell r="L632" t="str">
            <v>RE</v>
          </cell>
          <cell r="M632">
            <v>1</v>
          </cell>
          <cell r="N632">
            <v>9030000</v>
          </cell>
          <cell r="Z632">
            <v>1.6532099999999998</v>
          </cell>
          <cell r="AA632" t="str">
            <v>1200x450x650</v>
          </cell>
          <cell r="AB632" t="str">
            <v>87-5</v>
          </cell>
          <cell r="AG632" t="str">
            <v>새한산업</v>
          </cell>
          <cell r="AI632" t="str">
            <v>광주 ㈜대성</v>
          </cell>
          <cell r="AK632" t="str">
            <v>분실</v>
          </cell>
        </row>
        <row r="633">
          <cell r="A633">
            <v>535</v>
          </cell>
          <cell r="E633" t="str">
            <v>기아모텍</v>
          </cell>
          <cell r="F633" t="str">
            <v>C4</v>
          </cell>
          <cell r="G633" t="str">
            <v>TITAN</v>
          </cell>
          <cell r="H633" t="str">
            <v>041102031802</v>
          </cell>
          <cell r="I633" t="str">
            <v>K421 58/59 042</v>
          </cell>
          <cell r="J633" t="str">
            <v>PLATE SET OUT R/L</v>
          </cell>
          <cell r="K633" t="str">
            <v>금형</v>
          </cell>
          <cell r="L633" t="str">
            <v>FO</v>
          </cell>
          <cell r="M633">
            <v>1</v>
          </cell>
          <cell r="N633">
            <v>11070000</v>
          </cell>
          <cell r="Z633">
            <v>2.1889724999999998</v>
          </cell>
          <cell r="AA633" t="str">
            <v>1300x550x650</v>
          </cell>
          <cell r="AB633" t="str">
            <v>87-5</v>
          </cell>
          <cell r="AG633" t="str">
            <v>새한산업</v>
          </cell>
          <cell r="AI633" t="str">
            <v>광주 ㈜대성</v>
          </cell>
          <cell r="AK633" t="str">
            <v>분실</v>
          </cell>
        </row>
        <row r="634">
          <cell r="A634">
            <v>536</v>
          </cell>
          <cell r="E634" t="str">
            <v>기아모텍</v>
          </cell>
          <cell r="F634" t="str">
            <v>C4</v>
          </cell>
          <cell r="G634" t="str">
            <v>TITAN</v>
          </cell>
          <cell r="H634" t="str">
            <v>041106110351</v>
          </cell>
          <cell r="I634" t="str">
            <v>K421 58/59 081</v>
          </cell>
          <cell r="J634" t="str">
            <v>PLATE SET IN R/L</v>
          </cell>
          <cell r="K634" t="str">
            <v>금형</v>
          </cell>
          <cell r="L634" t="str">
            <v>PIE</v>
          </cell>
          <cell r="M634">
            <v>1</v>
          </cell>
          <cell r="N634">
            <v>6390000</v>
          </cell>
          <cell r="Z634">
            <v>1.3246875</v>
          </cell>
          <cell r="AA634" t="str">
            <v>1250x450x500</v>
          </cell>
          <cell r="AB634" t="str">
            <v>87-5</v>
          </cell>
          <cell r="AG634" t="str">
            <v>새한산업</v>
          </cell>
          <cell r="AI634" t="str">
            <v>광주 ㈜대성</v>
          </cell>
          <cell r="AK634" t="str">
            <v>분실</v>
          </cell>
        </row>
        <row r="635">
          <cell r="A635">
            <v>537</v>
          </cell>
          <cell r="E635" t="str">
            <v>기아모텍</v>
          </cell>
          <cell r="F635" t="str">
            <v>C4</v>
          </cell>
          <cell r="G635" t="str">
            <v>TITAN</v>
          </cell>
          <cell r="H635" t="str">
            <v>041106110351</v>
          </cell>
          <cell r="I635" t="str">
            <v>K421 58/59 081</v>
          </cell>
          <cell r="J635" t="str">
            <v>PLATE SET IN R/L</v>
          </cell>
          <cell r="K635" t="str">
            <v>금형</v>
          </cell>
          <cell r="L635" t="str">
            <v>RE</v>
          </cell>
          <cell r="M635">
            <v>1</v>
          </cell>
          <cell r="N635">
            <v>8432000</v>
          </cell>
          <cell r="Z635">
            <v>1.6532099999999998</v>
          </cell>
          <cell r="AA635" t="str">
            <v>1200x450x650</v>
          </cell>
          <cell r="AB635" t="str">
            <v>87-5</v>
          </cell>
          <cell r="AG635" t="str">
            <v>새한산업</v>
          </cell>
          <cell r="AI635" t="str">
            <v>광주 ㈜대성</v>
          </cell>
          <cell r="AK635" t="str">
            <v>분실</v>
          </cell>
        </row>
        <row r="636">
          <cell r="A636">
            <v>538</v>
          </cell>
          <cell r="E636" t="str">
            <v>기아모텍</v>
          </cell>
          <cell r="F636" t="str">
            <v>C4</v>
          </cell>
          <cell r="G636" t="str">
            <v>TITAN</v>
          </cell>
          <cell r="H636" t="str">
            <v>041106110351</v>
          </cell>
          <cell r="I636" t="str">
            <v>K421 58/59 081</v>
          </cell>
          <cell r="J636" t="str">
            <v>PLATE SET IN R/L</v>
          </cell>
          <cell r="K636" t="str">
            <v>금형</v>
          </cell>
          <cell r="L636" t="str">
            <v>BL</v>
          </cell>
          <cell r="M636">
            <v>1</v>
          </cell>
          <cell r="N636">
            <v>8480000</v>
          </cell>
          <cell r="Z636">
            <v>1.5307500000000001</v>
          </cell>
          <cell r="AA636" t="str">
            <v>1300x500x500</v>
          </cell>
          <cell r="AB636" t="str">
            <v>87-5</v>
          </cell>
          <cell r="AG636" t="str">
            <v>새한산업</v>
          </cell>
          <cell r="AI636" t="str">
            <v>광주 ㈜대성</v>
          </cell>
          <cell r="AK636" t="str">
            <v>분실</v>
          </cell>
        </row>
        <row r="637">
          <cell r="A637">
            <v>539</v>
          </cell>
          <cell r="E637" t="str">
            <v>기아모텍</v>
          </cell>
          <cell r="F637" t="str">
            <v>C4</v>
          </cell>
          <cell r="G637" t="str">
            <v>TITAN</v>
          </cell>
          <cell r="H637" t="str">
            <v>041106110351</v>
          </cell>
          <cell r="I637" t="str">
            <v>K421 58/59 081</v>
          </cell>
          <cell r="J637" t="str">
            <v>PLATE SET IN R/L</v>
          </cell>
          <cell r="K637" t="str">
            <v>금형</v>
          </cell>
          <cell r="L637" t="str">
            <v>FO</v>
          </cell>
          <cell r="M637">
            <v>1</v>
          </cell>
          <cell r="N637">
            <v>10980000</v>
          </cell>
          <cell r="Z637">
            <v>2.1889724999999998</v>
          </cell>
          <cell r="AA637" t="str">
            <v>1300x550x650</v>
          </cell>
          <cell r="AB637" t="str">
            <v>87-5</v>
          </cell>
          <cell r="AG637" t="str">
            <v>새한산업</v>
          </cell>
          <cell r="AI637" t="str">
            <v>광주 ㈜대성</v>
          </cell>
          <cell r="AK637" t="str">
            <v>분실</v>
          </cell>
        </row>
        <row r="638">
          <cell r="A638">
            <v>540</v>
          </cell>
          <cell r="E638" t="str">
            <v>기아모텍</v>
          </cell>
          <cell r="F638" t="str">
            <v>B</v>
          </cell>
          <cell r="G638" t="str">
            <v>TITAN</v>
          </cell>
          <cell r="H638" t="str">
            <v>041102041475</v>
          </cell>
          <cell r="I638" t="str">
            <v>K421 58/59 101</v>
          </cell>
          <cell r="J638" t="str">
            <v>REINF-HINGE R/L</v>
          </cell>
          <cell r="K638" t="str">
            <v>금형</v>
          </cell>
          <cell r="L638" t="str">
            <v>BL</v>
          </cell>
          <cell r="M638">
            <v>1</v>
          </cell>
          <cell r="N638">
            <v>11820000</v>
          </cell>
          <cell r="Y638" t="str">
            <v>주물</v>
          </cell>
          <cell r="Z638">
            <v>2.2042800000000002</v>
          </cell>
          <cell r="AA638" t="str">
            <v>1200x650x600</v>
          </cell>
          <cell r="AB638" t="str">
            <v>87-5</v>
          </cell>
          <cell r="AG638" t="str">
            <v>구일정공</v>
          </cell>
          <cell r="AI638" t="str">
            <v>일석산업</v>
          </cell>
        </row>
        <row r="639">
          <cell r="A639">
            <v>541</v>
          </cell>
          <cell r="E639" t="str">
            <v>기아모텍</v>
          </cell>
          <cell r="F639" t="str">
            <v>B</v>
          </cell>
          <cell r="G639" t="str">
            <v>TITAN</v>
          </cell>
          <cell r="H639" t="str">
            <v>041102041475</v>
          </cell>
          <cell r="I639" t="str">
            <v>K421 58/59 101</v>
          </cell>
          <cell r="J639" t="str">
            <v>REINF-HINGE R/L</v>
          </cell>
          <cell r="K639" t="str">
            <v>금형</v>
          </cell>
          <cell r="L639" t="str">
            <v>PIE</v>
          </cell>
          <cell r="M639">
            <v>1</v>
          </cell>
          <cell r="N639">
            <v>12100000</v>
          </cell>
          <cell r="Y639" t="str">
            <v>주물</v>
          </cell>
          <cell r="Z639">
            <v>3.0775139999999999</v>
          </cell>
          <cell r="AA639" t="str">
            <v>1210x900x600</v>
          </cell>
          <cell r="AB639" t="str">
            <v>87-5</v>
          </cell>
          <cell r="AG639" t="str">
            <v>구일정공</v>
          </cell>
          <cell r="AI639" t="str">
            <v>일석산업</v>
          </cell>
        </row>
        <row r="640">
          <cell r="A640">
            <v>542</v>
          </cell>
          <cell r="E640" t="str">
            <v>기아모텍</v>
          </cell>
          <cell r="F640" t="str">
            <v>B</v>
          </cell>
          <cell r="G640" t="str">
            <v>TITAN</v>
          </cell>
          <cell r="H640" t="str">
            <v>041102041475</v>
          </cell>
          <cell r="I640" t="str">
            <v>K421 58/59 101</v>
          </cell>
          <cell r="J640" t="str">
            <v>REINF-HINGE R/L</v>
          </cell>
          <cell r="K640" t="str">
            <v>금형</v>
          </cell>
          <cell r="L640" t="str">
            <v>FL &amp; RE</v>
          </cell>
          <cell r="M640">
            <v>1</v>
          </cell>
          <cell r="N640">
            <v>13240000</v>
          </cell>
          <cell r="Y640" t="str">
            <v>주물</v>
          </cell>
          <cell r="Z640">
            <v>3.0775139999999999</v>
          </cell>
          <cell r="AA640" t="str">
            <v>1210x900x600</v>
          </cell>
          <cell r="AB640" t="str">
            <v>87-5</v>
          </cell>
          <cell r="AG640" t="str">
            <v>구일정공</v>
          </cell>
          <cell r="AI640" t="str">
            <v>일석산업</v>
          </cell>
        </row>
        <row r="641">
          <cell r="A641">
            <v>543</v>
          </cell>
          <cell r="E641" t="str">
            <v>기아모텍</v>
          </cell>
          <cell r="F641" t="str">
            <v>B</v>
          </cell>
          <cell r="G641" t="str">
            <v>TITAN</v>
          </cell>
          <cell r="H641" t="str">
            <v>041102041475</v>
          </cell>
          <cell r="I641" t="str">
            <v>K421 58/59 101</v>
          </cell>
          <cell r="J641" t="str">
            <v>REINF-HINGE R/L</v>
          </cell>
          <cell r="K641" t="str">
            <v>금형</v>
          </cell>
          <cell r="L641" t="str">
            <v>BE</v>
          </cell>
          <cell r="M641">
            <v>1</v>
          </cell>
          <cell r="N641">
            <v>14320000</v>
          </cell>
          <cell r="Y641" t="str">
            <v>주물</v>
          </cell>
          <cell r="Z641">
            <v>3.0775139999999999</v>
          </cell>
          <cell r="AA641" t="str">
            <v>1210x900x600</v>
          </cell>
          <cell r="AB641" t="str">
            <v>87-5</v>
          </cell>
          <cell r="AG641" t="str">
            <v>구일정공</v>
          </cell>
          <cell r="AI641" t="str">
            <v>일석산업</v>
          </cell>
        </row>
        <row r="642">
          <cell r="A642">
            <v>544</v>
          </cell>
          <cell r="E642" t="str">
            <v>기아모텍</v>
          </cell>
          <cell r="F642" t="str">
            <v>C4</v>
          </cell>
          <cell r="G642" t="str">
            <v>TITAN</v>
          </cell>
          <cell r="H642" t="str">
            <v>041102220424</v>
          </cell>
          <cell r="I642" t="str">
            <v>K422 56 240</v>
          </cell>
          <cell r="J642" t="str">
            <v>REINF-CTR.FLOOR PANEL</v>
          </cell>
          <cell r="K642" t="str">
            <v>금형</v>
          </cell>
          <cell r="L642" t="str">
            <v>FO</v>
          </cell>
          <cell r="M642">
            <v>1</v>
          </cell>
          <cell r="N642">
            <v>1312000</v>
          </cell>
          <cell r="Z642">
            <v>9.4200000000000006E-2</v>
          </cell>
          <cell r="AA642" t="str">
            <v>400x250x200</v>
          </cell>
          <cell r="AB642" t="str">
            <v>87-5</v>
          </cell>
          <cell r="AG642" t="str">
            <v>기우실업</v>
          </cell>
          <cell r="AI642" t="str">
            <v>광주 ㈜호원</v>
          </cell>
          <cell r="AJ642" t="str">
            <v>(주)기우</v>
          </cell>
          <cell r="AK642" t="str">
            <v>분실</v>
          </cell>
        </row>
        <row r="643">
          <cell r="A643">
            <v>545</v>
          </cell>
          <cell r="E643" t="str">
            <v>기아모텍</v>
          </cell>
          <cell r="F643" t="str">
            <v>C4</v>
          </cell>
          <cell r="G643" t="str">
            <v>TITAN</v>
          </cell>
          <cell r="H643" t="str">
            <v>041102220424</v>
          </cell>
          <cell r="I643" t="str">
            <v>K422 56 240</v>
          </cell>
          <cell r="J643" t="str">
            <v>REINF-CTR.FLOOR PANEL</v>
          </cell>
          <cell r="K643" t="str">
            <v>금형</v>
          </cell>
          <cell r="L643" t="str">
            <v>BL &amp; PIE</v>
          </cell>
          <cell r="M643">
            <v>1</v>
          </cell>
          <cell r="N643">
            <v>1659000</v>
          </cell>
          <cell r="Z643">
            <v>0.105504</v>
          </cell>
          <cell r="AA643" t="str">
            <v>400x350x160</v>
          </cell>
          <cell r="AB643" t="str">
            <v>87-5</v>
          </cell>
          <cell r="AG643" t="str">
            <v>기우실업</v>
          </cell>
          <cell r="AI643" t="str">
            <v>광주 ㈜호원</v>
          </cell>
          <cell r="AJ643" t="str">
            <v>(주)기우</v>
          </cell>
          <cell r="AK643" t="str">
            <v>분실</v>
          </cell>
        </row>
        <row r="644">
          <cell r="A644">
            <v>546</v>
          </cell>
          <cell r="E644" t="str">
            <v>기아모텍</v>
          </cell>
          <cell r="F644" t="str">
            <v>C4</v>
          </cell>
          <cell r="G644" t="str">
            <v>TITAN 2T 12F</v>
          </cell>
          <cell r="H644" t="str">
            <v>041105170021</v>
          </cell>
          <cell r="I644" t="str">
            <v>K450 50 031</v>
          </cell>
          <cell r="J644" t="str">
            <v>FRT. BUMPER FACE</v>
          </cell>
          <cell r="K644" t="str">
            <v>금형</v>
          </cell>
          <cell r="L644" t="str">
            <v>PIE</v>
          </cell>
          <cell r="M644">
            <v>1</v>
          </cell>
          <cell r="N644">
            <v>1113600</v>
          </cell>
          <cell r="Z644">
            <v>0</v>
          </cell>
          <cell r="AA644" t="str">
            <v>xx</v>
          </cell>
          <cell r="AB644" t="str">
            <v>93-06-28</v>
          </cell>
          <cell r="AG644" t="str">
            <v>구일정공</v>
          </cell>
          <cell r="AI644" t="str">
            <v>광주 ㈜호원</v>
          </cell>
          <cell r="AK644" t="str">
            <v>분실</v>
          </cell>
        </row>
        <row r="645">
          <cell r="A645">
            <v>547</v>
          </cell>
          <cell r="E645" t="str">
            <v>기아모텍</v>
          </cell>
          <cell r="F645" t="str">
            <v>C4</v>
          </cell>
          <cell r="G645" t="str">
            <v>TITAN 2T 12F</v>
          </cell>
          <cell r="H645" t="str">
            <v>041105270021</v>
          </cell>
          <cell r="I645" t="str">
            <v>K450 50 031</v>
          </cell>
          <cell r="J645" t="str">
            <v>FRT. BUMPER FACE</v>
          </cell>
          <cell r="K645" t="str">
            <v>금형</v>
          </cell>
          <cell r="L645" t="str">
            <v>BUR</v>
          </cell>
          <cell r="M645">
            <v>1</v>
          </cell>
          <cell r="N645">
            <v>1113600</v>
          </cell>
          <cell r="Z645">
            <v>0</v>
          </cell>
          <cell r="AA645" t="str">
            <v>xx</v>
          </cell>
          <cell r="AB645" t="str">
            <v>93-06-28</v>
          </cell>
          <cell r="AG645" t="str">
            <v>구일정공</v>
          </cell>
          <cell r="AI645" t="str">
            <v>광주 ㈜호원</v>
          </cell>
          <cell r="AK645" t="str">
            <v>분실</v>
          </cell>
        </row>
        <row r="646">
          <cell r="A646">
            <v>548</v>
          </cell>
          <cell r="E646" t="str">
            <v>기아모텍</v>
          </cell>
          <cell r="F646" t="str">
            <v>A</v>
          </cell>
          <cell r="G646" t="str">
            <v>CARNIVAL</v>
          </cell>
          <cell r="H646" t="str">
            <v>041110011675</v>
          </cell>
          <cell r="I646" t="str">
            <v>K552 42 111</v>
          </cell>
          <cell r="J646" t="str">
            <v>PLASTIC FUEL TANK</v>
          </cell>
          <cell r="K646" t="str">
            <v>금형</v>
          </cell>
          <cell r="L646" t="str">
            <v>BLOW</v>
          </cell>
          <cell r="M646">
            <v>1</v>
          </cell>
          <cell r="N646">
            <v>105000000</v>
          </cell>
          <cell r="Y646" t="str">
            <v>주물</v>
          </cell>
          <cell r="Z646">
            <v>5.0800175999999997</v>
          </cell>
          <cell r="AA646" t="str">
            <v>1200x1070x840</v>
          </cell>
          <cell r="AB646" t="str">
            <v>98-2</v>
          </cell>
          <cell r="AG646" t="str">
            <v>기아모텍</v>
          </cell>
          <cell r="AI646" t="str">
            <v>KMO 안산1공장</v>
          </cell>
        </row>
        <row r="647">
          <cell r="A647">
            <v>549</v>
          </cell>
          <cell r="E647" t="str">
            <v>기아모텍</v>
          </cell>
          <cell r="F647" t="str">
            <v>A</v>
          </cell>
          <cell r="G647" t="str">
            <v>CARNIVAL</v>
          </cell>
          <cell r="H647" t="str">
            <v>041110011655</v>
          </cell>
          <cell r="I647" t="str">
            <v>K552 50 031</v>
          </cell>
          <cell r="J647" t="str">
            <v>FRT B/P FACE</v>
          </cell>
          <cell r="K647" t="str">
            <v>금형</v>
          </cell>
          <cell r="L647" t="str">
            <v>INJ</v>
          </cell>
          <cell r="M647">
            <v>1</v>
          </cell>
          <cell r="N647">
            <v>320000000</v>
          </cell>
          <cell r="Y647" t="str">
            <v>주물</v>
          </cell>
          <cell r="Z647">
            <v>29.390399999999996</v>
          </cell>
          <cell r="AA647" t="str">
            <v>2500x1600x1560</v>
          </cell>
          <cell r="AB647" t="str">
            <v>98-2</v>
          </cell>
          <cell r="AG647" t="str">
            <v>기아모텍</v>
          </cell>
          <cell r="AI647" t="str">
            <v>KMO 구로공장</v>
          </cell>
        </row>
        <row r="648">
          <cell r="A648">
            <v>550</v>
          </cell>
          <cell r="E648" t="str">
            <v>기아모텍</v>
          </cell>
          <cell r="F648" t="str">
            <v>A</v>
          </cell>
          <cell r="G648" t="str">
            <v>CARNIVAL</v>
          </cell>
          <cell r="H648" t="str">
            <v>041110015174</v>
          </cell>
          <cell r="I648" t="str">
            <v>K552 50 071A</v>
          </cell>
          <cell r="J648" t="str">
            <v>R/F NO.1 FRT B/P</v>
          </cell>
          <cell r="K648" t="str">
            <v>금형</v>
          </cell>
          <cell r="L648" t="str">
            <v>CUT/C-CU</v>
          </cell>
          <cell r="M648">
            <v>1</v>
          </cell>
          <cell r="N648">
            <v>22792000</v>
          </cell>
          <cell r="Y648" t="str">
            <v>주물</v>
          </cell>
          <cell r="Z648">
            <v>6.7597919999999991</v>
          </cell>
          <cell r="AA648" t="str">
            <v>2300x800x780</v>
          </cell>
          <cell r="AB648" t="str">
            <v>98-1</v>
          </cell>
          <cell r="AG648" t="str">
            <v>창흥정밀</v>
          </cell>
          <cell r="AI648" t="str">
            <v>창화공업</v>
          </cell>
        </row>
        <row r="649">
          <cell r="A649">
            <v>551</v>
          </cell>
          <cell r="E649" t="str">
            <v>기아모텍</v>
          </cell>
          <cell r="F649" t="str">
            <v>A</v>
          </cell>
          <cell r="G649" t="str">
            <v>CARNIVAL</v>
          </cell>
          <cell r="H649" t="str">
            <v>041110015174</v>
          </cell>
          <cell r="I649" t="str">
            <v>K552 50 071A</v>
          </cell>
          <cell r="J649" t="str">
            <v>R/F NO.1 FRT B/P</v>
          </cell>
          <cell r="K649" t="str">
            <v>금형</v>
          </cell>
          <cell r="L649" t="str">
            <v>TR/PI</v>
          </cell>
          <cell r="M649">
            <v>1</v>
          </cell>
          <cell r="N649">
            <v>29537000</v>
          </cell>
          <cell r="Y649" t="str">
            <v>주물</v>
          </cell>
          <cell r="Z649">
            <v>7.0536959999999995</v>
          </cell>
          <cell r="AA649" t="str">
            <v>2400x800x780</v>
          </cell>
          <cell r="AB649" t="str">
            <v>98-1</v>
          </cell>
          <cell r="AG649" t="str">
            <v>창흥정밀</v>
          </cell>
          <cell r="AI649" t="str">
            <v>창화공업</v>
          </cell>
        </row>
        <row r="650">
          <cell r="A650">
            <v>552</v>
          </cell>
          <cell r="E650" t="str">
            <v>기아모텍</v>
          </cell>
          <cell r="F650" t="str">
            <v>A</v>
          </cell>
          <cell r="G650" t="str">
            <v>CARNIVAL</v>
          </cell>
          <cell r="H650" t="str">
            <v>041110015174</v>
          </cell>
          <cell r="I650" t="str">
            <v>K552 50 071A</v>
          </cell>
          <cell r="J650" t="str">
            <v>R/F NO.1 FRT B/P</v>
          </cell>
          <cell r="K650" t="str">
            <v>금형</v>
          </cell>
          <cell r="L650" t="str">
            <v>DR</v>
          </cell>
          <cell r="M650">
            <v>1</v>
          </cell>
          <cell r="N650">
            <v>31834000</v>
          </cell>
          <cell r="Y650" t="str">
            <v>주물</v>
          </cell>
          <cell r="Z650">
            <v>7.0536959999999995</v>
          </cell>
          <cell r="AA650" t="str">
            <v>2400x800x780</v>
          </cell>
          <cell r="AB650" t="str">
            <v>98-1</v>
          </cell>
          <cell r="AG650" t="str">
            <v>창흥정밀</v>
          </cell>
          <cell r="AI650" t="str">
            <v>창화공업</v>
          </cell>
        </row>
        <row r="651">
          <cell r="A651">
            <v>553</v>
          </cell>
          <cell r="E651" t="str">
            <v>기아모텍</v>
          </cell>
          <cell r="F651" t="str">
            <v>A</v>
          </cell>
          <cell r="G651" t="str">
            <v>CARNIVAL</v>
          </cell>
          <cell r="H651" t="str">
            <v>041110015174</v>
          </cell>
          <cell r="I651" t="str">
            <v>K552 50 071A</v>
          </cell>
          <cell r="J651" t="str">
            <v>R/F NO.1 FRT B/P</v>
          </cell>
          <cell r="K651" t="str">
            <v>금형</v>
          </cell>
          <cell r="L651" t="str">
            <v>RE/FL</v>
          </cell>
          <cell r="M651">
            <v>1</v>
          </cell>
          <cell r="N651">
            <v>32105000</v>
          </cell>
          <cell r="Y651" t="str">
            <v>주물</v>
          </cell>
          <cell r="Z651">
            <v>8.817120000000001</v>
          </cell>
          <cell r="AA651" t="str">
            <v>2400x1000x780</v>
          </cell>
          <cell r="AB651" t="str">
            <v>98-1</v>
          </cell>
          <cell r="AG651" t="str">
            <v>창흥정밀</v>
          </cell>
          <cell r="AI651" t="str">
            <v>창화공업</v>
          </cell>
        </row>
        <row r="652">
          <cell r="A652">
            <v>554</v>
          </cell>
          <cell r="E652" t="str">
            <v>기아모텍</v>
          </cell>
          <cell r="F652" t="str">
            <v>A</v>
          </cell>
          <cell r="G652" t="str">
            <v>CARNIVAL</v>
          </cell>
          <cell r="H652" t="str">
            <v>041110015184</v>
          </cell>
          <cell r="I652" t="str">
            <v>K552 50 072B</v>
          </cell>
          <cell r="J652" t="str">
            <v>R/F NO.2 FRT B/P</v>
          </cell>
          <cell r="K652" t="str">
            <v>금형</v>
          </cell>
          <cell r="L652" t="str">
            <v>CUT/C-CU</v>
          </cell>
          <cell r="M652">
            <v>1</v>
          </cell>
          <cell r="N652">
            <v>21034000</v>
          </cell>
          <cell r="Y652" t="str">
            <v>주물</v>
          </cell>
          <cell r="Z652">
            <v>7.3384154999999991</v>
          </cell>
          <cell r="AA652" t="str">
            <v>2350x850x780</v>
          </cell>
          <cell r="AB652" t="str">
            <v>98-1</v>
          </cell>
          <cell r="AG652" t="str">
            <v>창흥정밀</v>
          </cell>
          <cell r="AI652" t="str">
            <v>창화공업</v>
          </cell>
        </row>
        <row r="653">
          <cell r="A653">
            <v>555</v>
          </cell>
          <cell r="E653" t="str">
            <v>기아모텍</v>
          </cell>
          <cell r="F653" t="str">
            <v>A</v>
          </cell>
          <cell r="G653" t="str">
            <v>CARNIVAL</v>
          </cell>
          <cell r="H653" t="str">
            <v>041110015184</v>
          </cell>
          <cell r="I653" t="str">
            <v>K552 50 072B</v>
          </cell>
          <cell r="J653" t="str">
            <v>R/F NO.2 FRT B/P</v>
          </cell>
          <cell r="K653" t="str">
            <v>금형</v>
          </cell>
          <cell r="L653" t="str">
            <v>TR/PI</v>
          </cell>
          <cell r="M653">
            <v>1</v>
          </cell>
          <cell r="N653">
            <v>28639000</v>
          </cell>
          <cell r="Y653" t="str">
            <v>주물</v>
          </cell>
          <cell r="Z653">
            <v>8.376263999999999</v>
          </cell>
          <cell r="AA653" t="str">
            <v>2400x950x780</v>
          </cell>
          <cell r="AB653" t="str">
            <v>98-1</v>
          </cell>
          <cell r="AG653" t="str">
            <v>창흥정밀</v>
          </cell>
          <cell r="AI653" t="str">
            <v>창화공업</v>
          </cell>
        </row>
        <row r="654">
          <cell r="A654">
            <v>556</v>
          </cell>
          <cell r="E654" t="str">
            <v>기아모텍</v>
          </cell>
          <cell r="F654" t="str">
            <v>A</v>
          </cell>
          <cell r="G654" t="str">
            <v>CARNIVAL</v>
          </cell>
          <cell r="H654" t="str">
            <v>041110015184</v>
          </cell>
          <cell r="I654" t="str">
            <v>K552 50 072B</v>
          </cell>
          <cell r="J654" t="str">
            <v>R/F NO.2 FRT B/P</v>
          </cell>
          <cell r="K654" t="str">
            <v>금형</v>
          </cell>
          <cell r="L654" t="str">
            <v>DR</v>
          </cell>
          <cell r="M654">
            <v>1</v>
          </cell>
          <cell r="N654">
            <v>32182000</v>
          </cell>
          <cell r="Y654" t="str">
            <v>주물</v>
          </cell>
          <cell r="Z654">
            <v>9.0008099999999995</v>
          </cell>
          <cell r="AA654" t="str">
            <v>2450x1000x780</v>
          </cell>
          <cell r="AB654" t="str">
            <v>98-1</v>
          </cell>
          <cell r="AG654" t="str">
            <v>창흥정밀</v>
          </cell>
          <cell r="AI654" t="str">
            <v>창화공업</v>
          </cell>
        </row>
        <row r="655">
          <cell r="A655">
            <v>557</v>
          </cell>
          <cell r="E655" t="str">
            <v>기아모텍</v>
          </cell>
          <cell r="F655" t="str">
            <v>A</v>
          </cell>
          <cell r="G655" t="str">
            <v>CARNIVAL</v>
          </cell>
          <cell r="H655" t="str">
            <v>041110015184</v>
          </cell>
          <cell r="I655" t="str">
            <v>K552 50 072B</v>
          </cell>
          <cell r="J655" t="str">
            <v>R/F NO.2 FRT B/P</v>
          </cell>
          <cell r="K655" t="str">
            <v>금형</v>
          </cell>
          <cell r="L655" t="str">
            <v>RE/FL</v>
          </cell>
          <cell r="M655">
            <v>1</v>
          </cell>
          <cell r="N655">
            <v>35755000</v>
          </cell>
          <cell r="Y655" t="str">
            <v>주물</v>
          </cell>
          <cell r="Z655">
            <v>13.051174499999998</v>
          </cell>
          <cell r="AA655" t="str">
            <v>2450x1450x780</v>
          </cell>
          <cell r="AB655" t="str">
            <v>98-1</v>
          </cell>
          <cell r="AG655" t="str">
            <v>창흥정밀</v>
          </cell>
          <cell r="AI655" t="str">
            <v>창화공업</v>
          </cell>
        </row>
        <row r="656">
          <cell r="A656">
            <v>558</v>
          </cell>
          <cell r="E656" t="str">
            <v>기아모텍</v>
          </cell>
          <cell r="F656" t="str">
            <v>A</v>
          </cell>
          <cell r="G656" t="str">
            <v>CARNIVAL</v>
          </cell>
          <cell r="H656" t="str">
            <v>041110011665</v>
          </cell>
          <cell r="I656" t="str">
            <v>K552 50 221</v>
          </cell>
          <cell r="J656" t="str">
            <v>RR B/P FACE</v>
          </cell>
          <cell r="K656" t="str">
            <v>금형</v>
          </cell>
          <cell r="L656" t="str">
            <v>INJ</v>
          </cell>
          <cell r="M656">
            <v>1</v>
          </cell>
          <cell r="N656">
            <v>320000000</v>
          </cell>
          <cell r="Y656" t="str">
            <v>주물</v>
          </cell>
          <cell r="Z656">
            <v>29.941469999999999</v>
          </cell>
          <cell r="AA656" t="str">
            <v>2500x1630x1560</v>
          </cell>
          <cell r="AB656" t="str">
            <v>98-2</v>
          </cell>
          <cell r="AG656" t="str">
            <v>기아모텍</v>
          </cell>
          <cell r="AI656" t="str">
            <v>대경화성</v>
          </cell>
          <cell r="AJ656" t="str">
            <v>창화공업</v>
          </cell>
          <cell r="AK656" t="str">
            <v>KMC 이관</v>
          </cell>
        </row>
        <row r="657">
          <cell r="A657">
            <v>559</v>
          </cell>
          <cell r="E657" t="str">
            <v>기아모텍</v>
          </cell>
          <cell r="F657" t="str">
            <v>A</v>
          </cell>
          <cell r="G657" t="str">
            <v>CARNIVAL</v>
          </cell>
          <cell r="H657" t="str">
            <v>041110015194</v>
          </cell>
          <cell r="I657" t="str">
            <v>K552 50 261A</v>
          </cell>
          <cell r="J657" t="str">
            <v>R/F NO.1 RR B/P</v>
          </cell>
          <cell r="K657" t="str">
            <v>금형</v>
          </cell>
          <cell r="L657" t="str">
            <v>CUT/RE</v>
          </cell>
          <cell r="M657">
            <v>1</v>
          </cell>
          <cell r="N657">
            <v>29201000</v>
          </cell>
          <cell r="Y657" t="str">
            <v>주물</v>
          </cell>
          <cell r="Z657">
            <v>7.9354079999999998</v>
          </cell>
          <cell r="AA657" t="str">
            <v>2400x900x780</v>
          </cell>
          <cell r="AB657" t="str">
            <v>98-1</v>
          </cell>
          <cell r="AG657" t="str">
            <v>창흥정밀</v>
          </cell>
          <cell r="AI657" t="str">
            <v>대경화성</v>
          </cell>
          <cell r="AJ657" t="str">
            <v>창화공업</v>
          </cell>
          <cell r="AK657" t="str">
            <v>KMC 이관</v>
          </cell>
        </row>
        <row r="658">
          <cell r="A658">
            <v>560</v>
          </cell>
          <cell r="E658" t="str">
            <v>기아모텍</v>
          </cell>
          <cell r="F658" t="str">
            <v>A</v>
          </cell>
          <cell r="G658" t="str">
            <v>CARNIVAL</v>
          </cell>
          <cell r="H658" t="str">
            <v>041110015194</v>
          </cell>
          <cell r="I658" t="str">
            <v>K552 50 261A</v>
          </cell>
          <cell r="J658" t="str">
            <v>R/F NO.1 RR B/P</v>
          </cell>
          <cell r="K658" t="str">
            <v>금형</v>
          </cell>
          <cell r="L658" t="str">
            <v>DR</v>
          </cell>
          <cell r="M658">
            <v>1</v>
          </cell>
          <cell r="N658">
            <v>31883000</v>
          </cell>
          <cell r="Y658" t="str">
            <v>주물</v>
          </cell>
          <cell r="Z658">
            <v>8.5507694999999977</v>
          </cell>
          <cell r="AA658" t="str">
            <v>2450x950x780</v>
          </cell>
          <cell r="AB658" t="str">
            <v>98-1</v>
          </cell>
          <cell r="AG658" t="str">
            <v>창흥정밀</v>
          </cell>
          <cell r="AI658" t="str">
            <v>대경화성</v>
          </cell>
          <cell r="AJ658" t="str">
            <v>창화공업</v>
          </cell>
          <cell r="AK658" t="str">
            <v>KMC 이관</v>
          </cell>
        </row>
        <row r="659">
          <cell r="A659">
            <v>561</v>
          </cell>
          <cell r="E659" t="str">
            <v>기아모텍</v>
          </cell>
          <cell r="F659" t="str">
            <v>A</v>
          </cell>
          <cell r="G659" t="str">
            <v>CARNIVAL</v>
          </cell>
          <cell r="H659" t="str">
            <v>041110015194</v>
          </cell>
          <cell r="I659" t="str">
            <v>K552 50 261A</v>
          </cell>
          <cell r="J659" t="str">
            <v>R/F NO.1 RR B/P</v>
          </cell>
          <cell r="K659" t="str">
            <v>금형</v>
          </cell>
          <cell r="L659" t="str">
            <v>TR/PI</v>
          </cell>
          <cell r="M659">
            <v>1</v>
          </cell>
          <cell r="N659">
            <v>32447000</v>
          </cell>
          <cell r="Y659" t="str">
            <v>주물</v>
          </cell>
          <cell r="Z659">
            <v>8.1007289999999994</v>
          </cell>
          <cell r="AA659" t="str">
            <v>2450x900x780</v>
          </cell>
          <cell r="AB659" t="str">
            <v>98-1</v>
          </cell>
          <cell r="AG659" t="str">
            <v>창흥정밀</v>
          </cell>
          <cell r="AI659" t="str">
            <v>대경화성</v>
          </cell>
          <cell r="AJ659" t="str">
            <v>창화공업</v>
          </cell>
          <cell r="AK659" t="str">
            <v>KMC 이관</v>
          </cell>
        </row>
        <row r="660">
          <cell r="A660">
            <v>562</v>
          </cell>
          <cell r="E660" t="str">
            <v>기아모텍</v>
          </cell>
          <cell r="F660" t="str">
            <v>A</v>
          </cell>
          <cell r="G660" t="str">
            <v>CARNIVAL</v>
          </cell>
          <cell r="H660" t="str">
            <v>041110015204</v>
          </cell>
          <cell r="I660" t="str">
            <v>K552 50 262A</v>
          </cell>
          <cell r="J660" t="str">
            <v>R/F NO.2 RR B/P</v>
          </cell>
          <cell r="K660" t="str">
            <v>금형</v>
          </cell>
          <cell r="L660" t="str">
            <v>C-CUT/C-</v>
          </cell>
          <cell r="M660">
            <v>1</v>
          </cell>
          <cell r="N660">
            <v>26643000</v>
          </cell>
          <cell r="Y660" t="str">
            <v>주물</v>
          </cell>
          <cell r="Z660">
            <v>7.9354079999999998</v>
          </cell>
          <cell r="AA660" t="str">
            <v>2400x900x780</v>
          </cell>
          <cell r="AB660" t="str">
            <v>98-1</v>
          </cell>
          <cell r="AG660" t="str">
            <v>창흥정밀</v>
          </cell>
          <cell r="AI660" t="str">
            <v>대경화성</v>
          </cell>
          <cell r="AJ660" t="str">
            <v>창화공업</v>
          </cell>
          <cell r="AK660" t="str">
            <v>KMC 이관</v>
          </cell>
        </row>
        <row r="661">
          <cell r="A661">
            <v>563</v>
          </cell>
          <cell r="E661" t="str">
            <v>기아모텍</v>
          </cell>
          <cell r="F661" t="str">
            <v>A</v>
          </cell>
          <cell r="G661" t="str">
            <v>CARNIVAL</v>
          </cell>
          <cell r="H661" t="str">
            <v>041110015204</v>
          </cell>
          <cell r="I661" t="str">
            <v>K552 50 262A</v>
          </cell>
          <cell r="J661" t="str">
            <v>R/F NO.2 RR B/P</v>
          </cell>
          <cell r="K661" t="str">
            <v>금형</v>
          </cell>
          <cell r="L661" t="str">
            <v>TR/PI</v>
          </cell>
          <cell r="M661">
            <v>1</v>
          </cell>
          <cell r="N661">
            <v>31363000</v>
          </cell>
          <cell r="Y661" t="str">
            <v>주물</v>
          </cell>
          <cell r="Z661">
            <v>8.5507694999999977</v>
          </cell>
          <cell r="AA661" t="str">
            <v>2450x950x780</v>
          </cell>
          <cell r="AB661" t="str">
            <v>98-1</v>
          </cell>
          <cell r="AG661" t="str">
            <v>창흥정밀</v>
          </cell>
          <cell r="AI661" t="str">
            <v>대경화성</v>
          </cell>
          <cell r="AJ661" t="str">
            <v>창화공업</v>
          </cell>
          <cell r="AK661" t="str">
            <v>KMC 이관</v>
          </cell>
        </row>
        <row r="662">
          <cell r="A662">
            <v>564</v>
          </cell>
          <cell r="E662" t="str">
            <v>기아모텍</v>
          </cell>
          <cell r="F662" t="str">
            <v>A</v>
          </cell>
          <cell r="G662" t="str">
            <v>CARNIVAL</v>
          </cell>
          <cell r="H662" t="str">
            <v>041110015204</v>
          </cell>
          <cell r="I662" t="str">
            <v>K552 50 262A</v>
          </cell>
          <cell r="J662" t="str">
            <v>R/F NO.2 RR B/P</v>
          </cell>
          <cell r="K662" t="str">
            <v>금형</v>
          </cell>
          <cell r="L662" t="str">
            <v>RE/FL</v>
          </cell>
          <cell r="M662">
            <v>1</v>
          </cell>
          <cell r="N662">
            <v>34917000</v>
          </cell>
          <cell r="Y662" t="str">
            <v>주물</v>
          </cell>
          <cell r="Z662">
            <v>12.8583</v>
          </cell>
          <cell r="AA662" t="str">
            <v>2500x1400x780</v>
          </cell>
          <cell r="AB662" t="str">
            <v>98-1</v>
          </cell>
          <cell r="AG662" t="str">
            <v>창흥정밀</v>
          </cell>
          <cell r="AI662" t="str">
            <v>대경화성</v>
          </cell>
          <cell r="AJ662" t="str">
            <v>창화공업</v>
          </cell>
          <cell r="AK662" t="str">
            <v>KMC 이관</v>
          </cell>
        </row>
        <row r="663">
          <cell r="A663">
            <v>565</v>
          </cell>
          <cell r="E663" t="str">
            <v>기아모텍</v>
          </cell>
          <cell r="F663" t="str">
            <v>A</v>
          </cell>
          <cell r="G663" t="str">
            <v>CARNIVAL</v>
          </cell>
          <cell r="H663" t="str">
            <v>041110015204</v>
          </cell>
          <cell r="I663" t="str">
            <v>K552 50 262A</v>
          </cell>
          <cell r="J663" t="str">
            <v>R/F NO.2 RR B/P</v>
          </cell>
          <cell r="K663" t="str">
            <v>금형</v>
          </cell>
          <cell r="L663" t="str">
            <v>DR</v>
          </cell>
          <cell r="M663">
            <v>1</v>
          </cell>
          <cell r="N663">
            <v>37683000</v>
          </cell>
          <cell r="Y663" t="str">
            <v>주물</v>
          </cell>
          <cell r="Z663">
            <v>9.1844999999999999</v>
          </cell>
          <cell r="AA663" t="str">
            <v>2500x1000x780</v>
          </cell>
          <cell r="AB663" t="str">
            <v>98-1</v>
          </cell>
          <cell r="AG663" t="str">
            <v>창흥정밀</v>
          </cell>
          <cell r="AI663" t="str">
            <v>대경화성</v>
          </cell>
          <cell r="AJ663" t="str">
            <v>창화공업</v>
          </cell>
          <cell r="AK663" t="str">
            <v>KMC 이관</v>
          </cell>
        </row>
        <row r="664">
          <cell r="A664">
            <v>566</v>
          </cell>
          <cell r="E664" t="str">
            <v>기아모텍</v>
          </cell>
          <cell r="F664" t="str">
            <v>A</v>
          </cell>
          <cell r="G664" t="str">
            <v>CARNIVAL</v>
          </cell>
          <cell r="H664" t="str">
            <v>041110015134</v>
          </cell>
          <cell r="I664" t="str">
            <v>K552 52 311</v>
          </cell>
          <cell r="J664" t="str">
            <v>BONNET OUT</v>
          </cell>
          <cell r="K664" t="str">
            <v>금형</v>
          </cell>
          <cell r="L664" t="str">
            <v>DR</v>
          </cell>
          <cell r="M664">
            <v>1</v>
          </cell>
          <cell r="N664">
            <v>73000000</v>
          </cell>
          <cell r="Y664" t="str">
            <v>주물</v>
          </cell>
          <cell r="Z664">
            <v>20.718018300000001</v>
          </cell>
          <cell r="AA664" t="str">
            <v>1910x2350x980</v>
          </cell>
          <cell r="AB664" t="str">
            <v>98-1</v>
          </cell>
          <cell r="AG664" t="str">
            <v>기아모텍</v>
          </cell>
          <cell r="AI664" t="str">
            <v>KMO 안산2공장</v>
          </cell>
        </row>
        <row r="665">
          <cell r="A665">
            <v>567</v>
          </cell>
          <cell r="E665" t="str">
            <v>기아모텍</v>
          </cell>
          <cell r="F665" t="str">
            <v>A</v>
          </cell>
          <cell r="G665" t="str">
            <v>CARNIVAL</v>
          </cell>
          <cell r="H665" t="str">
            <v>041110015134</v>
          </cell>
          <cell r="I665" t="str">
            <v>K552 52 311</v>
          </cell>
          <cell r="J665" t="str">
            <v>BONNET OUT</v>
          </cell>
          <cell r="K665" t="str">
            <v>금형</v>
          </cell>
          <cell r="L665" t="str">
            <v>C/PI-FL</v>
          </cell>
          <cell r="M665">
            <v>1</v>
          </cell>
          <cell r="N665">
            <v>78000000</v>
          </cell>
          <cell r="Y665" t="str">
            <v>주물</v>
          </cell>
          <cell r="Z665">
            <v>17.897764499999997</v>
          </cell>
          <cell r="AA665" t="str">
            <v>1650x2350x980</v>
          </cell>
          <cell r="AB665" t="str">
            <v>98-1</v>
          </cell>
          <cell r="AG665" t="str">
            <v>기아모텍</v>
          </cell>
          <cell r="AI665" t="str">
            <v>KMO 안산2공장</v>
          </cell>
        </row>
        <row r="666">
          <cell r="A666">
            <v>568</v>
          </cell>
          <cell r="E666" t="str">
            <v>기아모텍</v>
          </cell>
          <cell r="F666" t="str">
            <v>A</v>
          </cell>
          <cell r="G666" t="str">
            <v>CARNIVAL</v>
          </cell>
          <cell r="H666" t="str">
            <v>041110015134</v>
          </cell>
          <cell r="I666" t="str">
            <v>K552 52 311</v>
          </cell>
          <cell r="J666" t="str">
            <v>BONNET OUT</v>
          </cell>
          <cell r="K666" t="str">
            <v>금형</v>
          </cell>
          <cell r="L666" t="str">
            <v>C/FORM</v>
          </cell>
          <cell r="M666">
            <v>1</v>
          </cell>
          <cell r="N666">
            <v>80000000</v>
          </cell>
          <cell r="Y666" t="str">
            <v>주물</v>
          </cell>
          <cell r="Z666">
            <v>18.895238880000001</v>
          </cell>
          <cell r="AA666" t="str">
            <v>2380x1720x980</v>
          </cell>
          <cell r="AB666" t="str">
            <v>98-1</v>
          </cell>
          <cell r="AG666" t="str">
            <v>기아모텍</v>
          </cell>
          <cell r="AI666" t="str">
            <v>KMO 안산2공장</v>
          </cell>
        </row>
        <row r="667">
          <cell r="A667">
            <v>569</v>
          </cell>
          <cell r="E667" t="str">
            <v>기아모텍</v>
          </cell>
          <cell r="F667" t="str">
            <v>A</v>
          </cell>
          <cell r="G667" t="str">
            <v>CARNIVAL</v>
          </cell>
          <cell r="H667" t="str">
            <v>041110015134</v>
          </cell>
          <cell r="I667" t="str">
            <v>K552 52 311</v>
          </cell>
          <cell r="J667" t="str">
            <v>BONNET OUT</v>
          </cell>
          <cell r="K667" t="str">
            <v>금형</v>
          </cell>
          <cell r="L667" t="str">
            <v>TR/PI</v>
          </cell>
          <cell r="M667">
            <v>1</v>
          </cell>
          <cell r="N667">
            <v>88000000</v>
          </cell>
          <cell r="Y667" t="str">
            <v>주물</v>
          </cell>
          <cell r="Z667">
            <v>19.718697599999999</v>
          </cell>
          <cell r="AA667" t="str">
            <v>2400x1780x980</v>
          </cell>
          <cell r="AB667" t="str">
            <v>98-1</v>
          </cell>
          <cell r="AG667" t="str">
            <v>기아모텍</v>
          </cell>
          <cell r="AI667" t="str">
            <v>KMO 안산2공장</v>
          </cell>
        </row>
        <row r="668">
          <cell r="A668">
            <v>570</v>
          </cell>
          <cell r="E668" t="str">
            <v>기아모텍</v>
          </cell>
          <cell r="F668" t="str">
            <v>A</v>
          </cell>
          <cell r="G668" t="str">
            <v>CARNIVAL</v>
          </cell>
          <cell r="H668" t="str">
            <v>041110015144</v>
          </cell>
          <cell r="I668" t="str">
            <v>K552 52 321</v>
          </cell>
          <cell r="J668" t="str">
            <v>R/F BONNET</v>
          </cell>
          <cell r="K668" t="str">
            <v>금형</v>
          </cell>
          <cell r="L668" t="str">
            <v>RE/PI</v>
          </cell>
          <cell r="M668">
            <v>1</v>
          </cell>
          <cell r="N668">
            <v>58000000</v>
          </cell>
          <cell r="Y668" t="str">
            <v>주물</v>
          </cell>
          <cell r="Z668">
            <v>18.167788799999997</v>
          </cell>
          <cell r="AA668" t="str">
            <v>2400x1640x980</v>
          </cell>
          <cell r="AB668" t="str">
            <v>98-1</v>
          </cell>
          <cell r="AG668" t="str">
            <v>기아모텍</v>
          </cell>
          <cell r="AI668" t="str">
            <v>KMO 안산2공장</v>
          </cell>
        </row>
        <row r="669">
          <cell r="A669">
            <v>571</v>
          </cell>
          <cell r="E669" t="str">
            <v>기아모텍</v>
          </cell>
          <cell r="F669" t="str">
            <v>A</v>
          </cell>
          <cell r="G669" t="str">
            <v>CARNIVAL</v>
          </cell>
          <cell r="H669" t="str">
            <v>041110015144</v>
          </cell>
          <cell r="I669" t="str">
            <v>K552 52 321</v>
          </cell>
          <cell r="J669" t="str">
            <v>R/F BONNET</v>
          </cell>
          <cell r="K669" t="str">
            <v>금형</v>
          </cell>
          <cell r="L669" t="str">
            <v>DR</v>
          </cell>
          <cell r="M669">
            <v>1</v>
          </cell>
          <cell r="N669">
            <v>66000000</v>
          </cell>
          <cell r="Y669" t="str">
            <v>주물</v>
          </cell>
          <cell r="Z669">
            <v>20.064882599999997</v>
          </cell>
          <cell r="AA669" t="str">
            <v>2300x1890x980</v>
          </cell>
          <cell r="AB669" t="str">
            <v>98-1</v>
          </cell>
          <cell r="AG669" t="str">
            <v>기아모텍</v>
          </cell>
          <cell r="AI669" t="str">
            <v>KMO 안산2공장</v>
          </cell>
        </row>
        <row r="670">
          <cell r="A670">
            <v>572</v>
          </cell>
          <cell r="E670" t="str">
            <v>기아모텍</v>
          </cell>
          <cell r="F670" t="str">
            <v>A</v>
          </cell>
          <cell r="G670" t="str">
            <v>CARNIVAL</v>
          </cell>
          <cell r="H670" t="str">
            <v>041110015144</v>
          </cell>
          <cell r="I670" t="str">
            <v>K552 52 321</v>
          </cell>
          <cell r="J670" t="str">
            <v>R/F BONNET</v>
          </cell>
          <cell r="K670" t="str">
            <v>금형</v>
          </cell>
          <cell r="L670" t="str">
            <v>C/CUT-PI</v>
          </cell>
          <cell r="M670">
            <v>1</v>
          </cell>
          <cell r="N670">
            <v>67000000</v>
          </cell>
          <cell r="Y670" t="str">
            <v>주물</v>
          </cell>
          <cell r="Z670">
            <v>20.453532959999997</v>
          </cell>
          <cell r="AA670" t="str">
            <v>2320x1910x980</v>
          </cell>
          <cell r="AB670" t="str">
            <v>98-1</v>
          </cell>
          <cell r="AG670" t="str">
            <v>기아모텍</v>
          </cell>
          <cell r="AI670" t="str">
            <v>KMO 안산2공장</v>
          </cell>
        </row>
        <row r="671">
          <cell r="A671">
            <v>573</v>
          </cell>
          <cell r="E671" t="str">
            <v>기아모텍</v>
          </cell>
          <cell r="F671" t="str">
            <v>A</v>
          </cell>
          <cell r="G671" t="str">
            <v>CARNIVAL</v>
          </cell>
          <cell r="H671" t="str">
            <v>041110015144</v>
          </cell>
          <cell r="I671" t="str">
            <v>K552 52 321</v>
          </cell>
          <cell r="J671" t="str">
            <v>R/F BONNET</v>
          </cell>
          <cell r="K671" t="str">
            <v>금형</v>
          </cell>
          <cell r="L671" t="str">
            <v>TR/PI</v>
          </cell>
          <cell r="M671">
            <v>1</v>
          </cell>
          <cell r="N671">
            <v>76000000</v>
          </cell>
          <cell r="Y671" t="str">
            <v>주물</v>
          </cell>
          <cell r="Z671">
            <v>21.574249200000001</v>
          </cell>
          <cell r="AA671" t="str">
            <v>2460x1900x980</v>
          </cell>
          <cell r="AB671" t="str">
            <v>98-1</v>
          </cell>
          <cell r="AG671" t="str">
            <v>기아모텍</v>
          </cell>
          <cell r="AI671" t="str">
            <v>KMO 안산2공장</v>
          </cell>
        </row>
        <row r="672">
          <cell r="A672">
            <v>574</v>
          </cell>
          <cell r="E672" t="str">
            <v>기아모텍</v>
          </cell>
          <cell r="F672" t="str">
            <v>A</v>
          </cell>
          <cell r="G672" t="str">
            <v>CARNIVAL</v>
          </cell>
          <cell r="H672" t="str">
            <v>041101131031</v>
          </cell>
          <cell r="I672" t="str">
            <v>K552 52 322</v>
          </cell>
          <cell r="J672" t="str">
            <v>STIFFENER BONNET</v>
          </cell>
          <cell r="K672" t="str">
            <v>금형</v>
          </cell>
          <cell r="L672" t="str">
            <v>RE/FL</v>
          </cell>
          <cell r="M672">
            <v>1</v>
          </cell>
          <cell r="N672">
            <v>23055000</v>
          </cell>
          <cell r="Y672" t="str">
            <v>주물</v>
          </cell>
          <cell r="Z672">
            <v>6.07793472</v>
          </cell>
          <cell r="AA672" t="str">
            <v>1560x940x880</v>
          </cell>
          <cell r="AB672" t="str">
            <v>97</v>
          </cell>
          <cell r="AG672" t="str">
            <v>신광정공</v>
          </cell>
          <cell r="AI672" t="str">
            <v>KMO 안산2공장</v>
          </cell>
        </row>
        <row r="673">
          <cell r="A673">
            <v>575</v>
          </cell>
          <cell r="E673" t="str">
            <v>기아모텍</v>
          </cell>
          <cell r="F673" t="str">
            <v>A</v>
          </cell>
          <cell r="G673" t="str">
            <v>CARNIVAL</v>
          </cell>
          <cell r="H673" t="str">
            <v>041101131031</v>
          </cell>
          <cell r="I673" t="str">
            <v>K552 52 322</v>
          </cell>
          <cell r="J673" t="str">
            <v>STIFFENER BONNET</v>
          </cell>
          <cell r="K673" t="str">
            <v>금형</v>
          </cell>
          <cell r="L673" t="str">
            <v>TR/PI</v>
          </cell>
          <cell r="M673">
            <v>1</v>
          </cell>
          <cell r="N673">
            <v>25794000</v>
          </cell>
          <cell r="Y673" t="str">
            <v>주물</v>
          </cell>
          <cell r="Z673">
            <v>6.7643135999999995</v>
          </cell>
          <cell r="AA673" t="str">
            <v>1700x960x880</v>
          </cell>
          <cell r="AB673" t="str">
            <v>97</v>
          </cell>
          <cell r="AG673" t="str">
            <v>신광정공</v>
          </cell>
          <cell r="AI673" t="str">
            <v>KMO 안산2공장</v>
          </cell>
        </row>
        <row r="674">
          <cell r="A674">
            <v>576</v>
          </cell>
          <cell r="E674" t="str">
            <v>기아모텍</v>
          </cell>
          <cell r="F674" t="str">
            <v>A</v>
          </cell>
          <cell r="G674" t="str">
            <v>CARNIVAL</v>
          </cell>
          <cell r="H674" t="str">
            <v>041101131031</v>
          </cell>
          <cell r="I674" t="str">
            <v>K552 52 322</v>
          </cell>
          <cell r="J674" t="str">
            <v>STIFFENER BONNET</v>
          </cell>
          <cell r="K674" t="str">
            <v>금형</v>
          </cell>
          <cell r="L674" t="str">
            <v>DR</v>
          </cell>
          <cell r="M674">
            <v>1</v>
          </cell>
          <cell r="N674">
            <v>33730000</v>
          </cell>
          <cell r="Y674" t="str">
            <v>주물</v>
          </cell>
          <cell r="Z674">
            <v>9.0895463999999997</v>
          </cell>
          <cell r="AA674" t="str">
            <v>1700x1290x880</v>
          </cell>
          <cell r="AB674" t="str">
            <v>97</v>
          </cell>
          <cell r="AG674" t="str">
            <v>신광정공</v>
          </cell>
          <cell r="AI674" t="str">
            <v>KMO 안산2공장</v>
          </cell>
        </row>
        <row r="675">
          <cell r="A675">
            <v>577</v>
          </cell>
          <cell r="E675" t="str">
            <v>기아모텍</v>
          </cell>
          <cell r="F675" t="str">
            <v>A</v>
          </cell>
          <cell r="G675" t="str">
            <v>CARNIVAL</v>
          </cell>
          <cell r="H675" t="str">
            <v>041101131031</v>
          </cell>
          <cell r="I675" t="str">
            <v>K552 52 322</v>
          </cell>
          <cell r="J675" t="str">
            <v>STIFFENER BONNET</v>
          </cell>
          <cell r="K675" t="str">
            <v>금형</v>
          </cell>
          <cell r="L675" t="str">
            <v>PI-C/PI</v>
          </cell>
          <cell r="M675">
            <v>1</v>
          </cell>
          <cell r="N675">
            <v>38848000</v>
          </cell>
          <cell r="Y675" t="str">
            <v>주물</v>
          </cell>
          <cell r="Z675">
            <v>12.401241599999999</v>
          </cell>
          <cell r="AA675" t="str">
            <v>1760x1700x880</v>
          </cell>
          <cell r="AB675" t="str">
            <v>97</v>
          </cell>
          <cell r="AG675" t="str">
            <v>신광정공</v>
          </cell>
          <cell r="AI675" t="str">
            <v>KMO 안산2공장</v>
          </cell>
        </row>
        <row r="676">
          <cell r="A676">
            <v>578</v>
          </cell>
          <cell r="E676" t="str">
            <v>기아모텍</v>
          </cell>
          <cell r="F676" t="str">
            <v>A</v>
          </cell>
          <cell r="G676" t="str">
            <v>CARNIVAL</v>
          </cell>
          <cell r="H676" t="str">
            <v>041110011695</v>
          </cell>
          <cell r="I676" t="str">
            <v>K552 58 192</v>
          </cell>
          <cell r="J676" t="str">
            <v>FRT I/BAR JUCNTION</v>
          </cell>
          <cell r="K676" t="str">
            <v>금형</v>
          </cell>
          <cell r="L676" t="str">
            <v>PI</v>
          </cell>
          <cell r="M676">
            <v>1</v>
          </cell>
          <cell r="N676">
            <v>1800000</v>
          </cell>
          <cell r="Y676" t="str">
            <v>STEEL</v>
          </cell>
          <cell r="Z676">
            <v>4.4085600000000003E-2</v>
          </cell>
          <cell r="AA676" t="str">
            <v>260x240x150</v>
          </cell>
          <cell r="AB676" t="str">
            <v>98-2</v>
          </cell>
          <cell r="AG676" t="str">
            <v>한우정공</v>
          </cell>
          <cell r="AI676" t="str">
            <v>한우정공</v>
          </cell>
        </row>
        <row r="677">
          <cell r="A677">
            <v>579</v>
          </cell>
          <cell r="E677" t="str">
            <v>기아모텍</v>
          </cell>
          <cell r="F677" t="str">
            <v>A</v>
          </cell>
          <cell r="G677" t="str">
            <v>CARNIVAL</v>
          </cell>
          <cell r="H677" t="str">
            <v>041110011695</v>
          </cell>
          <cell r="I677" t="str">
            <v>K552 58 192</v>
          </cell>
          <cell r="J677" t="str">
            <v>FRT I/BAR JUNCTION</v>
          </cell>
          <cell r="K677" t="str">
            <v>금형</v>
          </cell>
          <cell r="L677" t="str">
            <v>TR/PI</v>
          </cell>
          <cell r="M677">
            <v>1</v>
          </cell>
          <cell r="N677">
            <v>3000000</v>
          </cell>
          <cell r="Y677" t="str">
            <v>STEEL</v>
          </cell>
          <cell r="Z677">
            <v>8.0117100000000011E-2</v>
          </cell>
          <cell r="AA677" t="str">
            <v>350x270x180</v>
          </cell>
          <cell r="AB677" t="str">
            <v>98-2</v>
          </cell>
          <cell r="AG677" t="str">
            <v>한우정공</v>
          </cell>
          <cell r="AI677" t="str">
            <v>한우정공</v>
          </cell>
        </row>
        <row r="678">
          <cell r="A678">
            <v>580</v>
          </cell>
          <cell r="E678" t="str">
            <v>기아모텍</v>
          </cell>
          <cell r="F678" t="str">
            <v>A</v>
          </cell>
          <cell r="G678" t="str">
            <v>CARNIVAL</v>
          </cell>
          <cell r="H678" t="str">
            <v>041110011695</v>
          </cell>
          <cell r="I678" t="str">
            <v>K552 58 192</v>
          </cell>
          <cell r="J678" t="str">
            <v>FRT I/BAR JUNCTION</v>
          </cell>
          <cell r="K678" t="str">
            <v>금형</v>
          </cell>
          <cell r="L678" t="str">
            <v>FO</v>
          </cell>
          <cell r="M678">
            <v>1</v>
          </cell>
          <cell r="N678">
            <v>4500000</v>
          </cell>
          <cell r="Y678" t="str">
            <v>STEEL</v>
          </cell>
          <cell r="Z678">
            <v>0.12017565000000001</v>
          </cell>
          <cell r="AA678" t="str">
            <v>405x300x210</v>
          </cell>
          <cell r="AB678" t="str">
            <v>98-2</v>
          </cell>
          <cell r="AG678" t="str">
            <v>한우정공</v>
          </cell>
          <cell r="AI678" t="str">
            <v>한우정공</v>
          </cell>
        </row>
        <row r="679">
          <cell r="A679">
            <v>581</v>
          </cell>
          <cell r="E679" t="str">
            <v>기아모텍</v>
          </cell>
          <cell r="F679" t="str">
            <v>A</v>
          </cell>
          <cell r="G679" t="str">
            <v>CARNIVAL</v>
          </cell>
          <cell r="H679" t="str">
            <v>041110011715</v>
          </cell>
          <cell r="I679" t="str">
            <v>K552 58 211/241</v>
          </cell>
          <cell r="J679" t="str">
            <v>HINGE FEMALE</v>
          </cell>
          <cell r="K679" t="str">
            <v>금형</v>
          </cell>
          <cell r="L679" t="str">
            <v>BE</v>
          </cell>
          <cell r="M679">
            <v>1</v>
          </cell>
          <cell r="N679">
            <v>5900000</v>
          </cell>
          <cell r="Y679" t="str">
            <v>STEEL</v>
          </cell>
          <cell r="Z679">
            <v>0.33911999999999998</v>
          </cell>
          <cell r="AA679" t="str">
            <v>600x400x300</v>
          </cell>
          <cell r="AB679" t="str">
            <v>98-2</v>
          </cell>
          <cell r="AG679" t="str">
            <v>일석산업</v>
          </cell>
          <cell r="AI679" t="str">
            <v>일석산업</v>
          </cell>
        </row>
        <row r="680">
          <cell r="A680">
            <v>582</v>
          </cell>
          <cell r="E680" t="str">
            <v>기아모텍</v>
          </cell>
          <cell r="F680" t="str">
            <v>A</v>
          </cell>
          <cell r="G680" t="str">
            <v>CARNIVAL</v>
          </cell>
          <cell r="H680" t="str">
            <v>041110011715</v>
          </cell>
          <cell r="I680" t="str">
            <v>K552 58 211/241</v>
          </cell>
          <cell r="J680" t="str">
            <v>HINGE FEMALE</v>
          </cell>
          <cell r="K680" t="str">
            <v>금형</v>
          </cell>
          <cell r="L680" t="str">
            <v>BL</v>
          </cell>
          <cell r="M680">
            <v>1</v>
          </cell>
          <cell r="N680">
            <v>6000000</v>
          </cell>
          <cell r="Y680" t="str">
            <v>STEEL</v>
          </cell>
          <cell r="Z680">
            <v>0.41330249999999996</v>
          </cell>
          <cell r="AA680" t="str">
            <v>650x450x300</v>
          </cell>
          <cell r="AB680" t="str">
            <v>98-2</v>
          </cell>
          <cell r="AG680" t="str">
            <v>일석산업</v>
          </cell>
          <cell r="AI680" t="str">
            <v>일석산업</v>
          </cell>
        </row>
        <row r="681">
          <cell r="A681">
            <v>583</v>
          </cell>
          <cell r="E681" t="str">
            <v>기아모텍</v>
          </cell>
          <cell r="F681" t="str">
            <v>A</v>
          </cell>
          <cell r="G681" t="str">
            <v>CARNIVAL</v>
          </cell>
          <cell r="H681" t="str">
            <v>041110011715</v>
          </cell>
          <cell r="I681" t="str">
            <v>K552 58 211/241</v>
          </cell>
          <cell r="J681" t="str">
            <v>HINGE FEMALE</v>
          </cell>
          <cell r="K681" t="str">
            <v>금형</v>
          </cell>
          <cell r="L681" t="str">
            <v>PI/C-PI</v>
          </cell>
          <cell r="M681">
            <v>1</v>
          </cell>
          <cell r="N681">
            <v>6500000</v>
          </cell>
          <cell r="Y681" t="str">
            <v>STEEL</v>
          </cell>
          <cell r="Z681">
            <v>0.80540999999999996</v>
          </cell>
          <cell r="AA681" t="str">
            <v>900x500x380</v>
          </cell>
          <cell r="AB681" t="str">
            <v>98-2</v>
          </cell>
          <cell r="AG681" t="str">
            <v>일석산업</v>
          </cell>
          <cell r="AI681" t="str">
            <v>일석산업</v>
          </cell>
        </row>
        <row r="682">
          <cell r="A682">
            <v>584</v>
          </cell>
          <cell r="E682" t="str">
            <v>기아모텍</v>
          </cell>
          <cell r="F682" t="str">
            <v>A</v>
          </cell>
          <cell r="G682" t="str">
            <v>CARNIVAL</v>
          </cell>
          <cell r="H682" t="str">
            <v>041110011645</v>
          </cell>
          <cell r="I682" t="str">
            <v>K552 58/59 020</v>
          </cell>
          <cell r="J682" t="str">
            <v>FRT DOOR R/L ASSY</v>
          </cell>
          <cell r="K682" t="str">
            <v>금형</v>
          </cell>
          <cell r="L682" t="str">
            <v>HEM'G</v>
          </cell>
          <cell r="M682">
            <v>2</v>
          </cell>
          <cell r="N682">
            <v>168000000</v>
          </cell>
          <cell r="Y682" t="str">
            <v>주물</v>
          </cell>
          <cell r="Z682">
            <v>16.879698000000001</v>
          </cell>
          <cell r="AA682" t="str">
            <v>2200x1810x900</v>
          </cell>
          <cell r="AB682" t="str">
            <v>98-2</v>
          </cell>
          <cell r="AG682" t="str">
            <v>기아모텍</v>
          </cell>
          <cell r="AI682" t="str">
            <v>KMO 안산2공장</v>
          </cell>
        </row>
        <row r="683">
          <cell r="A683">
            <v>585</v>
          </cell>
          <cell r="E683" t="str">
            <v>기아모텍</v>
          </cell>
          <cell r="F683" t="str">
            <v>A</v>
          </cell>
          <cell r="G683" t="str">
            <v>CARNIVAL</v>
          </cell>
          <cell r="H683" t="str">
            <v>041110015114</v>
          </cell>
          <cell r="I683" t="str">
            <v>K552 58/59 031</v>
          </cell>
          <cell r="J683" t="str">
            <v>FRT DOOR OUT R/L</v>
          </cell>
          <cell r="K683" t="str">
            <v>금형</v>
          </cell>
          <cell r="L683" t="str">
            <v>RE/FL</v>
          </cell>
          <cell r="M683">
            <v>2</v>
          </cell>
          <cell r="N683">
            <v>74000000</v>
          </cell>
          <cell r="Y683" t="str">
            <v>주물</v>
          </cell>
          <cell r="Z683">
            <v>13.66092168</v>
          </cell>
          <cell r="AA683" t="str">
            <v>1960x1510x980</v>
          </cell>
          <cell r="AB683" t="str">
            <v>98-1</v>
          </cell>
          <cell r="AG683" t="str">
            <v>기아모텍</v>
          </cell>
          <cell r="AI683" t="str">
            <v>KMO 안산2공장</v>
          </cell>
        </row>
        <row r="684">
          <cell r="A684">
            <v>585.0999755859375</v>
          </cell>
          <cell r="E684" t="str">
            <v>기아모텍</v>
          </cell>
          <cell r="F684" t="str">
            <v>A</v>
          </cell>
          <cell r="G684" t="str">
            <v>CARNIVAL</v>
          </cell>
          <cell r="H684" t="str">
            <v>041110015114</v>
          </cell>
          <cell r="I684" t="str">
            <v>K552 58 031</v>
          </cell>
          <cell r="J684" t="str">
            <v>FRT DOOR OUT RH</v>
          </cell>
          <cell r="K684" t="str">
            <v>금형</v>
          </cell>
          <cell r="L684" t="str">
            <v>RE/FL</v>
          </cell>
          <cell r="M684">
            <v>1</v>
          </cell>
          <cell r="Y684" t="str">
            <v>주물</v>
          </cell>
          <cell r="Z684">
            <v>13.66092168</v>
          </cell>
          <cell r="AA684" t="str">
            <v>1960x1510x980</v>
          </cell>
          <cell r="AB684" t="str">
            <v>98-1</v>
          </cell>
          <cell r="AG684" t="str">
            <v>기아모텍</v>
          </cell>
          <cell r="AI684" t="str">
            <v>KMO 안산2공장</v>
          </cell>
        </row>
        <row r="685">
          <cell r="A685">
            <v>585.20001220703125</v>
          </cell>
          <cell r="E685" t="str">
            <v>기아모텍</v>
          </cell>
          <cell r="F685" t="str">
            <v>A</v>
          </cell>
          <cell r="G685" t="str">
            <v>CARNIVAL</v>
          </cell>
          <cell r="H685" t="str">
            <v>041110015114</v>
          </cell>
          <cell r="I685" t="str">
            <v>K552 59 031</v>
          </cell>
          <cell r="J685" t="str">
            <v>FRT DOOR OUT LH</v>
          </cell>
          <cell r="K685" t="str">
            <v>금형</v>
          </cell>
          <cell r="L685" t="str">
            <v>RE/FL</v>
          </cell>
          <cell r="M685">
            <v>1</v>
          </cell>
          <cell r="Y685" t="str">
            <v>주물</v>
          </cell>
          <cell r="Z685">
            <v>13.66092168</v>
          </cell>
          <cell r="AA685" t="str">
            <v>1960x1510x980</v>
          </cell>
          <cell r="AB685" t="str">
            <v>98-1</v>
          </cell>
          <cell r="AG685" t="str">
            <v>기아모텍</v>
          </cell>
          <cell r="AI685" t="str">
            <v>KMO 안산2공장</v>
          </cell>
        </row>
        <row r="686">
          <cell r="A686">
            <v>586</v>
          </cell>
          <cell r="E686" t="str">
            <v>기아모텍</v>
          </cell>
          <cell r="F686" t="str">
            <v>A</v>
          </cell>
          <cell r="G686" t="str">
            <v>CARNIVAL</v>
          </cell>
          <cell r="H686" t="str">
            <v>041110015114</v>
          </cell>
          <cell r="I686" t="str">
            <v>K552 58/59 031</v>
          </cell>
          <cell r="J686" t="str">
            <v>FRT DOOR OUT R/L</v>
          </cell>
          <cell r="K686" t="str">
            <v>금형</v>
          </cell>
          <cell r="L686" t="str">
            <v>C/CUT-FL</v>
          </cell>
          <cell r="M686">
            <v>2</v>
          </cell>
          <cell r="N686">
            <v>80000000</v>
          </cell>
          <cell r="Y686" t="str">
            <v>주물</v>
          </cell>
          <cell r="Z686">
            <v>6.0905481000000004</v>
          </cell>
          <cell r="AA686" t="str">
            <v>1450x910x980</v>
          </cell>
          <cell r="AB686" t="str">
            <v>98-1</v>
          </cell>
          <cell r="AG686" t="str">
            <v>기아모텍</v>
          </cell>
          <cell r="AI686" t="str">
            <v>KMO 안산2공장</v>
          </cell>
        </row>
        <row r="687">
          <cell r="A687">
            <v>586.0999755859375</v>
          </cell>
          <cell r="E687" t="str">
            <v>기아모텍</v>
          </cell>
          <cell r="F687" t="str">
            <v>A</v>
          </cell>
          <cell r="G687" t="str">
            <v>CARNIVAL</v>
          </cell>
          <cell r="H687" t="str">
            <v>041110015114</v>
          </cell>
          <cell r="I687" t="str">
            <v>K552 58 031</v>
          </cell>
          <cell r="J687" t="str">
            <v>FRT DOOR OUT RH</v>
          </cell>
          <cell r="K687" t="str">
            <v>금형</v>
          </cell>
          <cell r="L687" t="str">
            <v>C/CUT-FL</v>
          </cell>
          <cell r="M687">
            <v>1</v>
          </cell>
          <cell r="Y687" t="str">
            <v>주물</v>
          </cell>
          <cell r="Z687">
            <v>6.0905481000000004</v>
          </cell>
          <cell r="AA687" t="str">
            <v>1450x910x980</v>
          </cell>
          <cell r="AB687" t="str">
            <v>98-1</v>
          </cell>
          <cell r="AG687" t="str">
            <v>기아모텍</v>
          </cell>
          <cell r="AI687" t="str">
            <v>KMO 안산2공장</v>
          </cell>
        </row>
        <row r="688">
          <cell r="A688">
            <v>586.20001220703125</v>
          </cell>
          <cell r="E688" t="str">
            <v>기아모텍</v>
          </cell>
          <cell r="F688" t="str">
            <v>A</v>
          </cell>
          <cell r="G688" t="str">
            <v>CARNIVAL</v>
          </cell>
          <cell r="H688" t="str">
            <v>041110015114</v>
          </cell>
          <cell r="I688" t="str">
            <v>K552 59 031</v>
          </cell>
          <cell r="J688" t="str">
            <v>FRT DOOR OUT LH</v>
          </cell>
          <cell r="K688" t="str">
            <v>금형</v>
          </cell>
          <cell r="L688" t="str">
            <v>C/CUT-FL</v>
          </cell>
          <cell r="M688">
            <v>1</v>
          </cell>
          <cell r="Y688" t="str">
            <v>주물</v>
          </cell>
          <cell r="Z688">
            <v>6.0905481000000004</v>
          </cell>
          <cell r="AA688" t="str">
            <v>1450x910x980</v>
          </cell>
          <cell r="AB688" t="str">
            <v>98-1</v>
          </cell>
          <cell r="AG688" t="str">
            <v>기아모텍</v>
          </cell>
          <cell r="AI688" t="str">
            <v>KMO 안산2공장</v>
          </cell>
        </row>
        <row r="689">
          <cell r="A689">
            <v>587</v>
          </cell>
          <cell r="E689" t="str">
            <v>기아모텍</v>
          </cell>
          <cell r="F689" t="str">
            <v>A</v>
          </cell>
          <cell r="G689" t="str">
            <v>CARNIVAL</v>
          </cell>
          <cell r="H689" t="str">
            <v>041110015114</v>
          </cell>
          <cell r="I689" t="str">
            <v>K552 58/59 031</v>
          </cell>
          <cell r="J689" t="str">
            <v>FRT DOOR OUT R/L</v>
          </cell>
          <cell r="K689" t="str">
            <v>금형</v>
          </cell>
          <cell r="L689" t="str">
            <v>TR/PI</v>
          </cell>
          <cell r="M689">
            <v>2</v>
          </cell>
          <cell r="N689">
            <v>80000000</v>
          </cell>
          <cell r="Y689" t="str">
            <v>주물</v>
          </cell>
          <cell r="Z689">
            <v>12.781150200000001</v>
          </cell>
          <cell r="AA689" t="str">
            <v>1420x1950x980</v>
          </cell>
          <cell r="AB689" t="str">
            <v>98-1</v>
          </cell>
          <cell r="AG689" t="str">
            <v>기아모텍</v>
          </cell>
          <cell r="AI689" t="str">
            <v>KMO 안산2공장</v>
          </cell>
        </row>
        <row r="690">
          <cell r="A690">
            <v>587.0999755859375</v>
          </cell>
          <cell r="E690" t="str">
            <v>기아모텍</v>
          </cell>
          <cell r="F690" t="str">
            <v>A</v>
          </cell>
          <cell r="G690" t="str">
            <v>CARNIVAL</v>
          </cell>
          <cell r="H690" t="str">
            <v>041110015114</v>
          </cell>
          <cell r="I690" t="str">
            <v>K552 58 031</v>
          </cell>
          <cell r="J690" t="str">
            <v>FRT DOOR OUT RH</v>
          </cell>
          <cell r="K690" t="str">
            <v>금형</v>
          </cell>
          <cell r="L690" t="str">
            <v>TR/PI</v>
          </cell>
          <cell r="M690">
            <v>1</v>
          </cell>
          <cell r="Y690" t="str">
            <v>주물</v>
          </cell>
          <cell r="Z690">
            <v>12.781150200000001</v>
          </cell>
          <cell r="AA690" t="str">
            <v>1420x1950x980</v>
          </cell>
          <cell r="AB690" t="str">
            <v>98-1</v>
          </cell>
          <cell r="AG690" t="str">
            <v>기아모텍</v>
          </cell>
          <cell r="AI690" t="str">
            <v>KMO 안산2공장</v>
          </cell>
        </row>
        <row r="691">
          <cell r="A691">
            <v>587.20001220703125</v>
          </cell>
          <cell r="E691" t="str">
            <v>기아모텍</v>
          </cell>
          <cell r="F691" t="str">
            <v>A</v>
          </cell>
          <cell r="G691" t="str">
            <v>CARNIVAL</v>
          </cell>
          <cell r="H691" t="str">
            <v>041110015114</v>
          </cell>
          <cell r="I691" t="str">
            <v>K552 59 031</v>
          </cell>
          <cell r="J691" t="str">
            <v>FRT DOOR OUT LH</v>
          </cell>
          <cell r="K691" t="str">
            <v>금형</v>
          </cell>
          <cell r="L691" t="str">
            <v>TR/PI</v>
          </cell>
          <cell r="M691">
            <v>1</v>
          </cell>
          <cell r="Y691" t="str">
            <v>주물</v>
          </cell>
          <cell r="Z691">
            <v>12.781150200000001</v>
          </cell>
          <cell r="AA691" t="str">
            <v>1420x1950x980</v>
          </cell>
          <cell r="AB691" t="str">
            <v>98-1</v>
          </cell>
          <cell r="AG691" t="str">
            <v>기아모텍</v>
          </cell>
          <cell r="AI691" t="str">
            <v>KMO 안산2공장</v>
          </cell>
        </row>
        <row r="692">
          <cell r="A692">
            <v>588</v>
          </cell>
          <cell r="E692" t="str">
            <v>기아모텍</v>
          </cell>
          <cell r="F692" t="str">
            <v>A</v>
          </cell>
          <cell r="G692" t="str">
            <v>CARNIVAL</v>
          </cell>
          <cell r="H692" t="str">
            <v>041110015114</v>
          </cell>
          <cell r="I692" t="str">
            <v>K552 58/59 031</v>
          </cell>
          <cell r="J692" t="str">
            <v>FRT DOOR OUT R/L</v>
          </cell>
          <cell r="K692" t="str">
            <v>금형</v>
          </cell>
          <cell r="L692" t="str">
            <v>DR</v>
          </cell>
          <cell r="M692">
            <v>2</v>
          </cell>
          <cell r="N692">
            <v>92000000</v>
          </cell>
          <cell r="Y692" t="str">
            <v>주물</v>
          </cell>
          <cell r="Z692">
            <v>12.622597469999999</v>
          </cell>
          <cell r="AA692" t="str">
            <v>1770x1545x980</v>
          </cell>
          <cell r="AB692" t="str">
            <v>98-1</v>
          </cell>
          <cell r="AG692" t="str">
            <v>기아모텍</v>
          </cell>
          <cell r="AI692" t="str">
            <v>KMO 안산2공장</v>
          </cell>
        </row>
        <row r="693">
          <cell r="A693">
            <v>588.0999755859375</v>
          </cell>
          <cell r="E693" t="str">
            <v>기아모텍</v>
          </cell>
          <cell r="F693" t="str">
            <v>A</v>
          </cell>
          <cell r="G693" t="str">
            <v>CARNIVAL</v>
          </cell>
          <cell r="H693" t="str">
            <v>041110015114</v>
          </cell>
          <cell r="I693" t="str">
            <v>K552 58 031</v>
          </cell>
          <cell r="J693" t="str">
            <v>FRT DOOR OUT RH</v>
          </cell>
          <cell r="K693" t="str">
            <v>금형</v>
          </cell>
          <cell r="L693" t="str">
            <v>DR</v>
          </cell>
          <cell r="M693">
            <v>1</v>
          </cell>
          <cell r="Y693" t="str">
            <v>주물</v>
          </cell>
          <cell r="Z693">
            <v>12.622597469999999</v>
          </cell>
          <cell r="AA693" t="str">
            <v>1770x1545x980</v>
          </cell>
          <cell r="AB693" t="str">
            <v>98-1</v>
          </cell>
          <cell r="AG693" t="str">
            <v>기아모텍</v>
          </cell>
          <cell r="AI693" t="str">
            <v>KMO 안산2공장</v>
          </cell>
        </row>
        <row r="694">
          <cell r="A694">
            <v>588.20001220703125</v>
          </cell>
          <cell r="E694" t="str">
            <v>기아모텍</v>
          </cell>
          <cell r="F694" t="str">
            <v>A</v>
          </cell>
          <cell r="G694" t="str">
            <v>CARNIVAL</v>
          </cell>
          <cell r="H694" t="str">
            <v>041110015114</v>
          </cell>
          <cell r="I694" t="str">
            <v>K552 59 031</v>
          </cell>
          <cell r="J694" t="str">
            <v>FRT DOOR OUT LH</v>
          </cell>
          <cell r="K694" t="str">
            <v>금형</v>
          </cell>
          <cell r="L694" t="str">
            <v>DR</v>
          </cell>
          <cell r="M694">
            <v>1</v>
          </cell>
          <cell r="Y694" t="str">
            <v>주물</v>
          </cell>
          <cell r="Z694">
            <v>12.622597469999999</v>
          </cell>
          <cell r="AA694" t="str">
            <v>1770x1545x980</v>
          </cell>
          <cell r="AB694" t="str">
            <v>98-1</v>
          </cell>
          <cell r="AG694" t="str">
            <v>기아모텍</v>
          </cell>
          <cell r="AI694" t="str">
            <v>KMO 안산2공장</v>
          </cell>
        </row>
        <row r="695">
          <cell r="A695">
            <v>589</v>
          </cell>
          <cell r="E695" t="str">
            <v>기아모텍</v>
          </cell>
          <cell r="F695" t="str">
            <v>A</v>
          </cell>
          <cell r="G695" t="str">
            <v>CARNIVAL</v>
          </cell>
          <cell r="H695" t="str">
            <v>041101131051</v>
          </cell>
          <cell r="I695" t="str">
            <v>K552 58/59 071</v>
          </cell>
          <cell r="J695" t="str">
            <v>PNL FRT DOOR IN R/L</v>
          </cell>
          <cell r="K695" t="str">
            <v>금형</v>
          </cell>
          <cell r="L695" t="str">
            <v>TR/PI</v>
          </cell>
          <cell r="M695">
            <v>2</v>
          </cell>
          <cell r="N695">
            <v>87246000</v>
          </cell>
          <cell r="Y695" t="str">
            <v>주물</v>
          </cell>
          <cell r="Z695">
            <v>13.4527491</v>
          </cell>
          <cell r="AA695" t="str">
            <v>2010x1450x980</v>
          </cell>
          <cell r="AB695" t="str">
            <v>97</v>
          </cell>
          <cell r="AG695" t="str">
            <v>신광정공</v>
          </cell>
          <cell r="AI695" t="str">
            <v>KMO 안산2공장</v>
          </cell>
        </row>
        <row r="696">
          <cell r="A696">
            <v>589.0999755859375</v>
          </cell>
          <cell r="E696" t="str">
            <v>기아모텍</v>
          </cell>
          <cell r="F696" t="str">
            <v>A</v>
          </cell>
          <cell r="G696" t="str">
            <v>CARNIVAL</v>
          </cell>
          <cell r="H696" t="str">
            <v>041101131051</v>
          </cell>
          <cell r="I696" t="str">
            <v>K552 58 071</v>
          </cell>
          <cell r="J696" t="str">
            <v>PNL FRT DOOR IN RH</v>
          </cell>
          <cell r="K696" t="str">
            <v>금형</v>
          </cell>
          <cell r="L696" t="str">
            <v>TR/PI</v>
          </cell>
          <cell r="M696">
            <v>1</v>
          </cell>
          <cell r="Y696" t="str">
            <v>주물</v>
          </cell>
          <cell r="Z696">
            <v>13.4527491</v>
          </cell>
          <cell r="AA696" t="str">
            <v>2010x1450x980</v>
          </cell>
          <cell r="AB696" t="str">
            <v>97</v>
          </cell>
          <cell r="AG696" t="str">
            <v>신광정공</v>
          </cell>
          <cell r="AI696" t="str">
            <v>KMO 안산2공장</v>
          </cell>
        </row>
        <row r="697">
          <cell r="A697">
            <v>589.20001220703125</v>
          </cell>
          <cell r="E697" t="str">
            <v>기아모텍</v>
          </cell>
          <cell r="F697" t="str">
            <v>A</v>
          </cell>
          <cell r="G697" t="str">
            <v>CARNIVAL</v>
          </cell>
          <cell r="H697" t="str">
            <v>041101131051</v>
          </cell>
          <cell r="I697" t="str">
            <v>K552 59 071</v>
          </cell>
          <cell r="J697" t="str">
            <v>PNL FRT DOOR IN LH</v>
          </cell>
          <cell r="K697" t="str">
            <v>금형</v>
          </cell>
          <cell r="L697" t="str">
            <v>TR/PI</v>
          </cell>
          <cell r="M697">
            <v>1</v>
          </cell>
          <cell r="Y697" t="str">
            <v>주물</v>
          </cell>
          <cell r="Z697">
            <v>13.4527491</v>
          </cell>
          <cell r="AA697" t="str">
            <v>2010x1450x980</v>
          </cell>
          <cell r="AB697" t="str">
            <v>97</v>
          </cell>
          <cell r="AG697" t="str">
            <v>신광정공</v>
          </cell>
          <cell r="AI697" t="str">
            <v>KMO 안산2공장</v>
          </cell>
        </row>
        <row r="698">
          <cell r="A698">
            <v>590</v>
          </cell>
          <cell r="E698" t="str">
            <v>기아모텍</v>
          </cell>
          <cell r="F698" t="str">
            <v>A</v>
          </cell>
          <cell r="G698" t="str">
            <v>CARNIVAL</v>
          </cell>
          <cell r="H698" t="str">
            <v>041101131051</v>
          </cell>
          <cell r="I698" t="str">
            <v>K552 58/59 071</v>
          </cell>
          <cell r="J698" t="str">
            <v>PNL FRT DOOR IN R/L</v>
          </cell>
          <cell r="K698" t="str">
            <v>금형</v>
          </cell>
          <cell r="L698" t="str">
            <v>C/PI,C/B</v>
          </cell>
          <cell r="M698">
            <v>2</v>
          </cell>
          <cell r="N698">
            <v>112291000</v>
          </cell>
          <cell r="Y698" t="str">
            <v>주물</v>
          </cell>
          <cell r="Z698">
            <v>19.321738799999999</v>
          </cell>
          <cell r="AA698" t="str">
            <v>2300x1820x980</v>
          </cell>
          <cell r="AB698" t="str">
            <v>97</v>
          </cell>
          <cell r="AG698" t="str">
            <v>신광정공</v>
          </cell>
          <cell r="AI698" t="str">
            <v>KMO 안산2공장</v>
          </cell>
        </row>
        <row r="699">
          <cell r="A699">
            <v>590.0999755859375</v>
          </cell>
          <cell r="E699" t="str">
            <v>기아모텍</v>
          </cell>
          <cell r="F699" t="str">
            <v>A</v>
          </cell>
          <cell r="G699" t="str">
            <v>CARNIVAL</v>
          </cell>
          <cell r="H699" t="str">
            <v>041101131051</v>
          </cell>
          <cell r="I699" t="str">
            <v>K552 58 071</v>
          </cell>
          <cell r="J699" t="str">
            <v>PNL FRT DOOR IN RH</v>
          </cell>
          <cell r="K699" t="str">
            <v>금형</v>
          </cell>
          <cell r="L699" t="str">
            <v>C/PI,C/B</v>
          </cell>
          <cell r="M699">
            <v>1</v>
          </cell>
          <cell r="Y699" t="str">
            <v>주물</v>
          </cell>
          <cell r="Z699">
            <v>19.321738799999999</v>
          </cell>
          <cell r="AA699" t="str">
            <v>2300x1820x980</v>
          </cell>
          <cell r="AB699" t="str">
            <v>97</v>
          </cell>
          <cell r="AG699" t="str">
            <v>신광정공</v>
          </cell>
          <cell r="AI699" t="str">
            <v>KMO 안산2공장</v>
          </cell>
        </row>
        <row r="700">
          <cell r="A700">
            <v>590.20001220703125</v>
          </cell>
          <cell r="E700" t="str">
            <v>기아모텍</v>
          </cell>
          <cell r="F700" t="str">
            <v>A</v>
          </cell>
          <cell r="G700" t="str">
            <v>CARNIVAL</v>
          </cell>
          <cell r="H700" t="str">
            <v>041101131051</v>
          </cell>
          <cell r="I700" t="str">
            <v>K552 59 071</v>
          </cell>
          <cell r="J700" t="str">
            <v>PNL FRT DOOR IN LH</v>
          </cell>
          <cell r="K700" t="str">
            <v>금형</v>
          </cell>
          <cell r="L700" t="str">
            <v>C/PI,C/B</v>
          </cell>
          <cell r="M700">
            <v>1</v>
          </cell>
          <cell r="Y700" t="str">
            <v>주물</v>
          </cell>
          <cell r="Z700">
            <v>19.321738799999999</v>
          </cell>
          <cell r="AA700" t="str">
            <v>2300x1820x980</v>
          </cell>
          <cell r="AB700" t="str">
            <v>97</v>
          </cell>
          <cell r="AG700" t="str">
            <v>신광정공</v>
          </cell>
          <cell r="AI700" t="str">
            <v>KMO 안산2공장</v>
          </cell>
        </row>
        <row r="701">
          <cell r="A701">
            <v>591</v>
          </cell>
          <cell r="E701" t="str">
            <v>기아모텍</v>
          </cell>
          <cell r="F701" t="str">
            <v>A</v>
          </cell>
          <cell r="G701" t="str">
            <v>CARNIVAL</v>
          </cell>
          <cell r="H701" t="str">
            <v>041101131051</v>
          </cell>
          <cell r="I701" t="str">
            <v>K552 58/59 071</v>
          </cell>
          <cell r="J701" t="str">
            <v>PNL FRT DOOR IN R/L</v>
          </cell>
          <cell r="K701" t="str">
            <v>금형</v>
          </cell>
          <cell r="L701" t="str">
            <v>DR</v>
          </cell>
          <cell r="M701">
            <v>2</v>
          </cell>
          <cell r="N701">
            <v>112697000</v>
          </cell>
          <cell r="Y701" t="str">
            <v>주물</v>
          </cell>
          <cell r="Z701">
            <v>14.770559999999998</v>
          </cell>
          <cell r="AA701" t="str">
            <v>2000x1600x980</v>
          </cell>
          <cell r="AB701" t="str">
            <v>97</v>
          </cell>
          <cell r="AG701" t="str">
            <v>신광정공</v>
          </cell>
          <cell r="AI701" t="str">
            <v>KMO 안산2공장</v>
          </cell>
        </row>
        <row r="702">
          <cell r="A702">
            <v>591.0999755859375</v>
          </cell>
          <cell r="E702" t="str">
            <v>기아모텍</v>
          </cell>
          <cell r="F702" t="str">
            <v>A</v>
          </cell>
          <cell r="G702" t="str">
            <v>CARNIVAL</v>
          </cell>
          <cell r="H702" t="str">
            <v>041101131051</v>
          </cell>
          <cell r="I702" t="str">
            <v>K552 58 071</v>
          </cell>
          <cell r="J702" t="str">
            <v>PNL FRT DOOR IN RH</v>
          </cell>
          <cell r="K702" t="str">
            <v>금형</v>
          </cell>
          <cell r="L702" t="str">
            <v>DR</v>
          </cell>
          <cell r="M702">
            <v>1</v>
          </cell>
          <cell r="Y702" t="str">
            <v>주물</v>
          </cell>
          <cell r="Z702">
            <v>14.770559999999998</v>
          </cell>
          <cell r="AA702" t="str">
            <v>2000x1600x980</v>
          </cell>
          <cell r="AB702" t="str">
            <v>97</v>
          </cell>
          <cell r="AG702" t="str">
            <v>신광정공</v>
          </cell>
          <cell r="AI702" t="str">
            <v>KMO 안산2공장</v>
          </cell>
        </row>
        <row r="703">
          <cell r="A703">
            <v>591.20001220703125</v>
          </cell>
          <cell r="E703" t="str">
            <v>기아모텍</v>
          </cell>
          <cell r="F703" t="str">
            <v>A</v>
          </cell>
          <cell r="G703" t="str">
            <v>CARNIVAL</v>
          </cell>
          <cell r="H703" t="str">
            <v>041101131051</v>
          </cell>
          <cell r="I703" t="str">
            <v>K552 59 071</v>
          </cell>
          <cell r="J703" t="str">
            <v>PNL FRT DOOR IN LH</v>
          </cell>
          <cell r="K703" t="str">
            <v>금형</v>
          </cell>
          <cell r="L703" t="str">
            <v>DR</v>
          </cell>
          <cell r="M703">
            <v>1</v>
          </cell>
          <cell r="Y703" t="str">
            <v>주물</v>
          </cell>
          <cell r="Z703">
            <v>14.770559999999998</v>
          </cell>
          <cell r="AA703" t="str">
            <v>2000x1600x980</v>
          </cell>
          <cell r="AB703" t="str">
            <v>97</v>
          </cell>
          <cell r="AG703" t="str">
            <v>신광정공</v>
          </cell>
          <cell r="AI703" t="str">
            <v>KMO 안산2공장</v>
          </cell>
        </row>
        <row r="704">
          <cell r="A704">
            <v>592</v>
          </cell>
          <cell r="E704" t="str">
            <v>기아모텍</v>
          </cell>
          <cell r="F704" t="str">
            <v>A</v>
          </cell>
          <cell r="G704" t="str">
            <v>CARNIVAL</v>
          </cell>
          <cell r="H704" t="str">
            <v>041101131051</v>
          </cell>
          <cell r="I704" t="str">
            <v>K552 58/59 071</v>
          </cell>
          <cell r="J704" t="str">
            <v>PNL FRT DOOR IN R/L</v>
          </cell>
          <cell r="K704" t="str">
            <v>금형</v>
          </cell>
          <cell r="L704" t="str">
            <v>DR</v>
          </cell>
          <cell r="M704">
            <v>2</v>
          </cell>
          <cell r="N704">
            <v>117433000</v>
          </cell>
          <cell r="Y704" t="str">
            <v>주물</v>
          </cell>
          <cell r="Z704">
            <v>16.544873519999996</v>
          </cell>
          <cell r="AA704" t="str">
            <v>2060x1740x980</v>
          </cell>
          <cell r="AB704" t="str">
            <v>97</v>
          </cell>
          <cell r="AG704" t="str">
            <v>신광정공</v>
          </cell>
          <cell r="AI704" t="str">
            <v>KMO 안산2공장</v>
          </cell>
        </row>
        <row r="705">
          <cell r="A705">
            <v>592.0999755859375</v>
          </cell>
          <cell r="E705" t="str">
            <v>기아모텍</v>
          </cell>
          <cell r="F705" t="str">
            <v>A</v>
          </cell>
          <cell r="G705" t="str">
            <v>CARNIVAL</v>
          </cell>
          <cell r="H705" t="str">
            <v>041101131051</v>
          </cell>
          <cell r="I705" t="str">
            <v>K552 58 071</v>
          </cell>
          <cell r="J705" t="str">
            <v>PNL FRT DOOR IN RH</v>
          </cell>
          <cell r="K705" t="str">
            <v>금형</v>
          </cell>
          <cell r="L705" t="str">
            <v>DR</v>
          </cell>
          <cell r="M705">
            <v>1</v>
          </cell>
          <cell r="Y705" t="str">
            <v>주물</v>
          </cell>
          <cell r="Z705">
            <v>16.544873519999996</v>
          </cell>
          <cell r="AA705" t="str">
            <v>2060x1740x980</v>
          </cell>
          <cell r="AB705" t="str">
            <v>97</v>
          </cell>
          <cell r="AG705" t="str">
            <v>신광정공</v>
          </cell>
          <cell r="AI705" t="str">
            <v>KMO 안산2공장</v>
          </cell>
        </row>
        <row r="706">
          <cell r="A706">
            <v>592.20001220703125</v>
          </cell>
          <cell r="E706" t="str">
            <v>기아모텍</v>
          </cell>
          <cell r="F706" t="str">
            <v>A</v>
          </cell>
          <cell r="G706" t="str">
            <v>CARNIVAL</v>
          </cell>
          <cell r="H706" t="str">
            <v>041101131051</v>
          </cell>
          <cell r="I706" t="str">
            <v>K552 59 071</v>
          </cell>
          <cell r="J706" t="str">
            <v>PNL FRT DOOR IN LH</v>
          </cell>
          <cell r="K706" t="str">
            <v>금형</v>
          </cell>
          <cell r="L706" t="str">
            <v>DR</v>
          </cell>
          <cell r="M706">
            <v>1</v>
          </cell>
          <cell r="Y706" t="str">
            <v>주물</v>
          </cell>
          <cell r="Z706">
            <v>16.544873519999996</v>
          </cell>
          <cell r="AA706" t="str">
            <v>2060x1740x980</v>
          </cell>
          <cell r="AB706" t="str">
            <v>97</v>
          </cell>
          <cell r="AG706" t="str">
            <v>신광정공</v>
          </cell>
          <cell r="AI706" t="str">
            <v>KMO 안산2공장</v>
          </cell>
        </row>
        <row r="707">
          <cell r="A707">
            <v>593</v>
          </cell>
          <cell r="E707" t="str">
            <v>기아모텍</v>
          </cell>
          <cell r="F707" t="str">
            <v>A</v>
          </cell>
          <cell r="G707" t="str">
            <v>CARNIVAL</v>
          </cell>
          <cell r="H707" t="str">
            <v>041101131051</v>
          </cell>
          <cell r="I707" t="str">
            <v>K552 58/59 071</v>
          </cell>
          <cell r="J707" t="str">
            <v>PNL FRT DOOR IN R/L</v>
          </cell>
          <cell r="K707" t="str">
            <v>금형</v>
          </cell>
          <cell r="L707" t="str">
            <v>C/CUT,C/</v>
          </cell>
          <cell r="M707">
            <v>2</v>
          </cell>
          <cell r="N707">
            <v>149649000</v>
          </cell>
          <cell r="Y707" t="str">
            <v>주물</v>
          </cell>
          <cell r="Z707">
            <v>23.328253199999999</v>
          </cell>
          <cell r="AA707" t="str">
            <v>2660x1900x980</v>
          </cell>
          <cell r="AB707" t="str">
            <v>97</v>
          </cell>
          <cell r="AG707" t="str">
            <v>신광정공</v>
          </cell>
          <cell r="AI707" t="str">
            <v>KMO 안산2공장</v>
          </cell>
        </row>
        <row r="708">
          <cell r="A708">
            <v>593.0999755859375</v>
          </cell>
          <cell r="E708" t="str">
            <v>기아모텍</v>
          </cell>
          <cell r="F708" t="str">
            <v>A</v>
          </cell>
          <cell r="G708" t="str">
            <v>CARNIVAL</v>
          </cell>
          <cell r="H708" t="str">
            <v>041101131051</v>
          </cell>
          <cell r="I708" t="str">
            <v>K552 58 071</v>
          </cell>
          <cell r="J708" t="str">
            <v>PNL FRT DOOR IN RH</v>
          </cell>
          <cell r="K708" t="str">
            <v>금형</v>
          </cell>
          <cell r="L708" t="str">
            <v>C/CUT,C/</v>
          </cell>
          <cell r="M708">
            <v>1</v>
          </cell>
          <cell r="Y708" t="str">
            <v>주물</v>
          </cell>
          <cell r="Z708">
            <v>23.328253199999999</v>
          </cell>
          <cell r="AA708" t="str">
            <v>2660x1900x980</v>
          </cell>
          <cell r="AB708" t="str">
            <v>97</v>
          </cell>
          <cell r="AG708" t="str">
            <v>신광정공</v>
          </cell>
          <cell r="AI708" t="str">
            <v>KMO 안산2공장</v>
          </cell>
        </row>
        <row r="709">
          <cell r="A709">
            <v>593.20001220703125</v>
          </cell>
          <cell r="E709" t="str">
            <v>기아모텍</v>
          </cell>
          <cell r="F709" t="str">
            <v>A</v>
          </cell>
          <cell r="G709" t="str">
            <v>CARNIVAL</v>
          </cell>
          <cell r="H709" t="str">
            <v>041101131051</v>
          </cell>
          <cell r="I709" t="str">
            <v>K552 59 071</v>
          </cell>
          <cell r="J709" t="str">
            <v>PNL FRT DOOR IN LH</v>
          </cell>
          <cell r="K709" t="str">
            <v>금형</v>
          </cell>
          <cell r="L709" t="str">
            <v>C/CUT,C/</v>
          </cell>
          <cell r="M709">
            <v>1</v>
          </cell>
          <cell r="Y709" t="str">
            <v>주물</v>
          </cell>
          <cell r="Z709">
            <v>23.328253199999999</v>
          </cell>
          <cell r="AA709" t="str">
            <v>2660x1900x980</v>
          </cell>
          <cell r="AB709" t="str">
            <v>97</v>
          </cell>
          <cell r="AG709" t="str">
            <v>신광정공</v>
          </cell>
          <cell r="AI709" t="str">
            <v>KMO 안산2공장</v>
          </cell>
        </row>
        <row r="710">
          <cell r="A710">
            <v>594</v>
          </cell>
          <cell r="E710" t="str">
            <v>기아모텍</v>
          </cell>
          <cell r="F710" t="str">
            <v>A</v>
          </cell>
          <cell r="G710" t="str">
            <v>CARNIVAL</v>
          </cell>
          <cell r="H710" t="str">
            <v>041110018845</v>
          </cell>
          <cell r="I710" t="str">
            <v>K552 58/59 110</v>
          </cell>
          <cell r="J710" t="str">
            <v>R/F HINGE ASSY</v>
          </cell>
          <cell r="K710" t="str">
            <v>검사구</v>
          </cell>
          <cell r="L710" t="str">
            <v>C/F</v>
          </cell>
          <cell r="M710">
            <v>1</v>
          </cell>
          <cell r="N710">
            <v>6075000</v>
          </cell>
          <cell r="Z710">
            <v>0</v>
          </cell>
          <cell r="AA710" t="str">
            <v>xx</v>
          </cell>
          <cell r="AB710" t="str">
            <v>98-3</v>
          </cell>
          <cell r="AG710" t="str">
            <v>기아모텍</v>
          </cell>
          <cell r="AI710" t="str">
            <v>일석산업</v>
          </cell>
        </row>
        <row r="711">
          <cell r="A711">
            <v>595</v>
          </cell>
          <cell r="E711" t="str">
            <v>기아모텍</v>
          </cell>
          <cell r="F711" t="str">
            <v>A</v>
          </cell>
          <cell r="G711" t="str">
            <v>CARNIVAL</v>
          </cell>
          <cell r="H711" t="str">
            <v>041110018855</v>
          </cell>
          <cell r="I711" t="str">
            <v>K552 58/59 115</v>
          </cell>
          <cell r="J711" t="str">
            <v>HINGE NUT R/L</v>
          </cell>
          <cell r="K711" t="str">
            <v>금형</v>
          </cell>
          <cell r="L711" t="str">
            <v>MOLD</v>
          </cell>
          <cell r="M711">
            <v>1</v>
          </cell>
          <cell r="N711">
            <v>4718000</v>
          </cell>
          <cell r="Y711" t="str">
            <v>STEEL</v>
          </cell>
          <cell r="Z711">
            <v>0</v>
          </cell>
          <cell r="AA711" t="str">
            <v>xx</v>
          </cell>
          <cell r="AB711" t="str">
            <v>98-3</v>
          </cell>
          <cell r="AG711" t="str">
            <v>기아모텍</v>
          </cell>
          <cell r="AI711" t="str">
            <v>일석산업</v>
          </cell>
        </row>
        <row r="712">
          <cell r="A712">
            <v>596</v>
          </cell>
          <cell r="E712" t="str">
            <v>기아모텍</v>
          </cell>
          <cell r="F712" t="str">
            <v>A</v>
          </cell>
          <cell r="G712" t="str">
            <v>CARNIVAL</v>
          </cell>
          <cell r="H712" t="str">
            <v>041110011715</v>
          </cell>
          <cell r="I712" t="str">
            <v>K552 58/59 221</v>
          </cell>
          <cell r="J712" t="str">
            <v>HINGE MALE</v>
          </cell>
          <cell r="K712" t="str">
            <v>금형</v>
          </cell>
          <cell r="L712" t="str">
            <v>BE</v>
          </cell>
          <cell r="M712">
            <v>1</v>
          </cell>
          <cell r="N712">
            <v>1200000</v>
          </cell>
          <cell r="Y712" t="str">
            <v>STEEL</v>
          </cell>
          <cell r="Z712">
            <v>0.28966499999999995</v>
          </cell>
          <cell r="AA712" t="str">
            <v>500x300x410</v>
          </cell>
          <cell r="AB712" t="str">
            <v>98-2</v>
          </cell>
          <cell r="AG712" t="str">
            <v>일석산업</v>
          </cell>
          <cell r="AI712" t="str">
            <v>일석산업</v>
          </cell>
        </row>
        <row r="713">
          <cell r="A713">
            <v>597</v>
          </cell>
          <cell r="E713" t="str">
            <v>기아모텍</v>
          </cell>
          <cell r="F713" t="str">
            <v>A</v>
          </cell>
          <cell r="G713" t="str">
            <v>CARNIVAL</v>
          </cell>
          <cell r="H713" t="str">
            <v>041110011715</v>
          </cell>
          <cell r="I713" t="str">
            <v>K552 58/59 221</v>
          </cell>
          <cell r="J713" t="str">
            <v>HINGE MALE</v>
          </cell>
          <cell r="K713" t="str">
            <v>금형</v>
          </cell>
          <cell r="L713" t="str">
            <v>BE</v>
          </cell>
          <cell r="M713">
            <v>1</v>
          </cell>
          <cell r="N713">
            <v>1200000</v>
          </cell>
          <cell r="Y713" t="str">
            <v>STEEL</v>
          </cell>
          <cell r="Z713">
            <v>0.29932049999999999</v>
          </cell>
          <cell r="AA713" t="str">
            <v>500x310x410</v>
          </cell>
          <cell r="AB713" t="str">
            <v>98-2</v>
          </cell>
          <cell r="AG713" t="str">
            <v>일석산업</v>
          </cell>
          <cell r="AI713" t="str">
            <v>일석산업</v>
          </cell>
        </row>
        <row r="714">
          <cell r="A714">
            <v>598</v>
          </cell>
          <cell r="E714" t="str">
            <v>기아모텍</v>
          </cell>
          <cell r="F714" t="str">
            <v>A</v>
          </cell>
          <cell r="G714" t="str">
            <v>CARNIVAL</v>
          </cell>
          <cell r="H714" t="str">
            <v>041110011715</v>
          </cell>
          <cell r="I714" t="str">
            <v>K552 58/59 221</v>
          </cell>
          <cell r="J714" t="str">
            <v>HINGE MALE</v>
          </cell>
          <cell r="K714" t="str">
            <v>금형</v>
          </cell>
          <cell r="L714" t="str">
            <v>PI</v>
          </cell>
          <cell r="M714">
            <v>1</v>
          </cell>
          <cell r="N714">
            <v>1500000</v>
          </cell>
          <cell r="Y714" t="str">
            <v>STEEL</v>
          </cell>
          <cell r="Z714">
            <v>0.23361599999999999</v>
          </cell>
          <cell r="AA714" t="str">
            <v>500x310x320</v>
          </cell>
          <cell r="AB714" t="str">
            <v>98-2</v>
          </cell>
          <cell r="AG714" t="str">
            <v>일석산업</v>
          </cell>
          <cell r="AI714" t="str">
            <v>일석산업</v>
          </cell>
        </row>
        <row r="715">
          <cell r="A715">
            <v>599</v>
          </cell>
          <cell r="E715" t="str">
            <v>기아모텍</v>
          </cell>
          <cell r="F715" t="str">
            <v>A</v>
          </cell>
          <cell r="G715" t="str">
            <v>CARNIVAL</v>
          </cell>
          <cell r="H715" t="str">
            <v>041110011715</v>
          </cell>
          <cell r="I715" t="str">
            <v>K552 58/59 221</v>
          </cell>
          <cell r="J715" t="str">
            <v>HINGE MALE</v>
          </cell>
          <cell r="K715" t="str">
            <v>금형</v>
          </cell>
          <cell r="L715" t="str">
            <v>C/PI</v>
          </cell>
          <cell r="M715">
            <v>1</v>
          </cell>
          <cell r="N715">
            <v>1700000</v>
          </cell>
          <cell r="Y715" t="str">
            <v>STEEL</v>
          </cell>
          <cell r="Z715">
            <v>0.60287999999999997</v>
          </cell>
          <cell r="AA715" t="str">
            <v>800x400x400</v>
          </cell>
          <cell r="AB715" t="str">
            <v>98-2</v>
          </cell>
          <cell r="AG715" t="str">
            <v>일석산업</v>
          </cell>
          <cell r="AI715" t="str">
            <v>일석산업</v>
          </cell>
        </row>
        <row r="716">
          <cell r="A716">
            <v>600</v>
          </cell>
          <cell r="E716" t="str">
            <v>기아모텍</v>
          </cell>
          <cell r="F716" t="str">
            <v>A</v>
          </cell>
          <cell r="G716" t="str">
            <v>CARNIVAL</v>
          </cell>
          <cell r="H716" t="str">
            <v>041110011715</v>
          </cell>
          <cell r="I716" t="str">
            <v>K552 58/59 221</v>
          </cell>
          <cell r="J716" t="str">
            <v>HINGE MALE</v>
          </cell>
          <cell r="K716" t="str">
            <v>금형</v>
          </cell>
          <cell r="L716" t="str">
            <v>RE</v>
          </cell>
          <cell r="M716">
            <v>1</v>
          </cell>
          <cell r="N716">
            <v>1800000</v>
          </cell>
          <cell r="Y716" t="str">
            <v>STEEL</v>
          </cell>
          <cell r="Z716">
            <v>0.23361599999999999</v>
          </cell>
          <cell r="AA716" t="str">
            <v>500x310x320</v>
          </cell>
          <cell r="AB716" t="str">
            <v>98-2</v>
          </cell>
          <cell r="AG716" t="str">
            <v>일석산업</v>
          </cell>
          <cell r="AI716" t="str">
            <v>일석산업</v>
          </cell>
        </row>
        <row r="717">
          <cell r="A717">
            <v>601</v>
          </cell>
          <cell r="E717" t="str">
            <v>기아모텍</v>
          </cell>
          <cell r="F717" t="str">
            <v>A</v>
          </cell>
          <cell r="G717" t="str">
            <v>CARNIVAL</v>
          </cell>
          <cell r="H717" t="str">
            <v>041110011715</v>
          </cell>
          <cell r="I717" t="str">
            <v>K552 58/59 221</v>
          </cell>
          <cell r="J717" t="str">
            <v>HINGE MALE</v>
          </cell>
          <cell r="K717" t="str">
            <v>금형</v>
          </cell>
          <cell r="L717" t="str">
            <v>BL</v>
          </cell>
          <cell r="M717">
            <v>1</v>
          </cell>
          <cell r="N717">
            <v>2200000</v>
          </cell>
          <cell r="Y717" t="str">
            <v>STEEL</v>
          </cell>
          <cell r="Z717">
            <v>0.25799966999999996</v>
          </cell>
          <cell r="AA717" t="str">
            <v>570x310x310</v>
          </cell>
          <cell r="AB717" t="str">
            <v>98-2</v>
          </cell>
          <cell r="AG717" t="str">
            <v>일석산업</v>
          </cell>
          <cell r="AI717" t="str">
            <v>일석산업</v>
          </cell>
        </row>
        <row r="718">
          <cell r="A718">
            <v>602</v>
          </cell>
          <cell r="E718" t="str">
            <v>기아모텍</v>
          </cell>
          <cell r="F718" t="str">
            <v>A</v>
          </cell>
          <cell r="G718" t="str">
            <v>CARNIVAL</v>
          </cell>
          <cell r="H718" t="str">
            <v>041110015124</v>
          </cell>
          <cell r="I718" t="str">
            <v>K552 72/73 031</v>
          </cell>
          <cell r="J718" t="str">
            <v>SLIDE DOOR OUT R/L</v>
          </cell>
          <cell r="K718" t="str">
            <v>금형</v>
          </cell>
          <cell r="L718" t="str">
            <v>RE/FL</v>
          </cell>
          <cell r="M718">
            <v>2</v>
          </cell>
          <cell r="N718">
            <v>120000000</v>
          </cell>
          <cell r="Y718" t="str">
            <v>주물</v>
          </cell>
          <cell r="Z718">
            <v>19.4694444</v>
          </cell>
          <cell r="AA718" t="str">
            <v>2280x1850x980</v>
          </cell>
          <cell r="AB718" t="str">
            <v>98-1</v>
          </cell>
          <cell r="AG718" t="str">
            <v>기아모텍</v>
          </cell>
          <cell r="AI718" t="str">
            <v>KMO 안산2공장</v>
          </cell>
        </row>
        <row r="719">
          <cell r="A719">
            <v>602.0999755859375</v>
          </cell>
          <cell r="E719" t="str">
            <v>기아모텍</v>
          </cell>
          <cell r="F719" t="str">
            <v>A</v>
          </cell>
          <cell r="G719" t="str">
            <v>CARNIVAL</v>
          </cell>
          <cell r="H719" t="str">
            <v>041110015124</v>
          </cell>
          <cell r="I719" t="str">
            <v>K552 72 031</v>
          </cell>
          <cell r="J719" t="str">
            <v>SLIDE DOOR OUT RH</v>
          </cell>
          <cell r="K719" t="str">
            <v>금형</v>
          </cell>
          <cell r="L719" t="str">
            <v>RE/FL</v>
          </cell>
          <cell r="M719">
            <v>1</v>
          </cell>
          <cell r="Y719" t="str">
            <v>주물</v>
          </cell>
          <cell r="Z719">
            <v>19.4694444</v>
          </cell>
          <cell r="AA719" t="str">
            <v>2280x1850x980</v>
          </cell>
          <cell r="AB719" t="str">
            <v>98-1</v>
          </cell>
          <cell r="AG719" t="str">
            <v>기아모텍</v>
          </cell>
          <cell r="AI719" t="str">
            <v>KMO 안산2공장</v>
          </cell>
        </row>
        <row r="720">
          <cell r="A720">
            <v>602.20001220703125</v>
          </cell>
          <cell r="E720" t="str">
            <v>기아모텍</v>
          </cell>
          <cell r="F720" t="str">
            <v>A</v>
          </cell>
          <cell r="G720" t="str">
            <v>CARNIVAL</v>
          </cell>
          <cell r="H720" t="str">
            <v>041110015124</v>
          </cell>
          <cell r="I720" t="str">
            <v>K552 73 031</v>
          </cell>
          <cell r="J720" t="str">
            <v>SLIDE DOOR OUT LH</v>
          </cell>
          <cell r="K720" t="str">
            <v>금형</v>
          </cell>
          <cell r="L720" t="str">
            <v>RE/FL</v>
          </cell>
          <cell r="M720">
            <v>1</v>
          </cell>
          <cell r="Y720" t="str">
            <v>주물</v>
          </cell>
          <cell r="Z720">
            <v>19.4694444</v>
          </cell>
          <cell r="AA720" t="str">
            <v>2280x1850x980</v>
          </cell>
          <cell r="AB720" t="str">
            <v>98-1</v>
          </cell>
          <cell r="AG720" t="str">
            <v>기아모텍</v>
          </cell>
          <cell r="AI720" t="str">
            <v>KMO 안산2공장</v>
          </cell>
        </row>
        <row r="721">
          <cell r="A721">
            <v>603</v>
          </cell>
          <cell r="E721" t="str">
            <v>기아모텍</v>
          </cell>
          <cell r="F721" t="str">
            <v>A</v>
          </cell>
          <cell r="G721" t="str">
            <v>CARNIVAL</v>
          </cell>
          <cell r="H721" t="str">
            <v>041110015124</v>
          </cell>
          <cell r="I721" t="str">
            <v>K552 72/73 031</v>
          </cell>
          <cell r="J721" t="str">
            <v>SLIDE DOOR OUT R/L</v>
          </cell>
          <cell r="K721" t="str">
            <v>금형</v>
          </cell>
          <cell r="L721" t="str">
            <v>C/FL-PI</v>
          </cell>
          <cell r="M721">
            <v>2</v>
          </cell>
          <cell r="N721">
            <v>126000000</v>
          </cell>
          <cell r="Y721" t="str">
            <v>주물</v>
          </cell>
          <cell r="Z721">
            <v>21.405772499999998</v>
          </cell>
          <cell r="AA721" t="str">
            <v>2650x1750x980</v>
          </cell>
          <cell r="AB721" t="str">
            <v>98-1</v>
          </cell>
          <cell r="AG721" t="str">
            <v>기아모텍</v>
          </cell>
          <cell r="AI721" t="str">
            <v>KMO 안산2공장</v>
          </cell>
        </row>
        <row r="722">
          <cell r="A722">
            <v>603.0999755859375</v>
          </cell>
          <cell r="E722" t="str">
            <v>기아모텍</v>
          </cell>
          <cell r="F722" t="str">
            <v>A</v>
          </cell>
          <cell r="G722" t="str">
            <v>CARNIVAL</v>
          </cell>
          <cell r="H722" t="str">
            <v>041110015124</v>
          </cell>
          <cell r="I722" t="str">
            <v>K552 72 031</v>
          </cell>
          <cell r="J722" t="str">
            <v>SLIDE DOOR OUT RH</v>
          </cell>
          <cell r="K722" t="str">
            <v>금형</v>
          </cell>
          <cell r="L722" t="str">
            <v>C/FL-PI</v>
          </cell>
          <cell r="M722">
            <v>1</v>
          </cell>
          <cell r="Y722" t="str">
            <v>주물</v>
          </cell>
          <cell r="Z722">
            <v>21.405772499999998</v>
          </cell>
          <cell r="AA722" t="str">
            <v>2650x1750x980</v>
          </cell>
          <cell r="AB722" t="str">
            <v>98-1</v>
          </cell>
          <cell r="AG722" t="str">
            <v>기아모텍</v>
          </cell>
          <cell r="AI722" t="str">
            <v>KMO 안산2공장</v>
          </cell>
        </row>
        <row r="723">
          <cell r="A723">
            <v>603.20001220703125</v>
          </cell>
          <cell r="E723" t="str">
            <v>기아모텍</v>
          </cell>
          <cell r="F723" t="str">
            <v>A</v>
          </cell>
          <cell r="G723" t="str">
            <v>CARNIVAL</v>
          </cell>
          <cell r="H723" t="str">
            <v>041110015124</v>
          </cell>
          <cell r="I723" t="str">
            <v>K552 73 031</v>
          </cell>
          <cell r="J723" t="str">
            <v>SLIDE DOOR OUT LH</v>
          </cell>
          <cell r="K723" t="str">
            <v>금형</v>
          </cell>
          <cell r="L723" t="str">
            <v>C/FL-PI</v>
          </cell>
          <cell r="M723">
            <v>1</v>
          </cell>
          <cell r="Y723" t="str">
            <v>주물</v>
          </cell>
          <cell r="Z723">
            <v>21.405772499999998</v>
          </cell>
          <cell r="AA723" t="str">
            <v>2650x1750x980</v>
          </cell>
          <cell r="AB723" t="str">
            <v>98-1</v>
          </cell>
          <cell r="AG723" t="str">
            <v>기아모텍</v>
          </cell>
          <cell r="AI723" t="str">
            <v>KMO 안산2공장</v>
          </cell>
        </row>
        <row r="724">
          <cell r="A724">
            <v>604</v>
          </cell>
          <cell r="E724" t="str">
            <v>기아모텍</v>
          </cell>
          <cell r="F724" t="str">
            <v>A</v>
          </cell>
          <cell r="G724" t="str">
            <v>CARNIVAL</v>
          </cell>
          <cell r="H724" t="str">
            <v>041110015124</v>
          </cell>
          <cell r="I724" t="str">
            <v>K552 72/73 031</v>
          </cell>
          <cell r="J724" t="str">
            <v>SLIDE DOOR OUT R/L</v>
          </cell>
          <cell r="K724" t="str">
            <v>금형</v>
          </cell>
          <cell r="L724" t="str">
            <v>DR</v>
          </cell>
          <cell r="M724">
            <v>2</v>
          </cell>
          <cell r="N724">
            <v>130000000</v>
          </cell>
          <cell r="Y724" t="str">
            <v>주물</v>
          </cell>
          <cell r="Z724">
            <v>20.453532959999997</v>
          </cell>
          <cell r="AA724" t="str">
            <v>2320x1910x980</v>
          </cell>
          <cell r="AB724" t="str">
            <v>98-1</v>
          </cell>
          <cell r="AG724" t="str">
            <v>기아모텍</v>
          </cell>
          <cell r="AI724" t="str">
            <v>KMO 안산2공장</v>
          </cell>
        </row>
        <row r="725">
          <cell r="A725">
            <v>604.0999755859375</v>
          </cell>
          <cell r="E725" t="str">
            <v>기아모텍</v>
          </cell>
          <cell r="F725" t="str">
            <v>A</v>
          </cell>
          <cell r="G725" t="str">
            <v>CARNIVAL</v>
          </cell>
          <cell r="H725" t="str">
            <v>041110015124</v>
          </cell>
          <cell r="I725" t="str">
            <v>K552 72 031</v>
          </cell>
          <cell r="J725" t="str">
            <v>SLIDE DOOR OUT RH</v>
          </cell>
          <cell r="K725" t="str">
            <v>금형</v>
          </cell>
          <cell r="L725" t="str">
            <v>DR</v>
          </cell>
          <cell r="M725">
            <v>1</v>
          </cell>
          <cell r="Y725" t="str">
            <v>주물</v>
          </cell>
          <cell r="Z725">
            <v>20.453532959999997</v>
          </cell>
          <cell r="AA725" t="str">
            <v>2320x1910x980</v>
          </cell>
          <cell r="AB725" t="str">
            <v>98-1</v>
          </cell>
          <cell r="AG725" t="str">
            <v>기아모텍</v>
          </cell>
          <cell r="AI725" t="str">
            <v>KMO 안산2공장</v>
          </cell>
        </row>
        <row r="726">
          <cell r="A726">
            <v>604.20001220703125</v>
          </cell>
          <cell r="E726" t="str">
            <v>기아모텍</v>
          </cell>
          <cell r="F726" t="str">
            <v>A</v>
          </cell>
          <cell r="G726" t="str">
            <v>CARNIVAL</v>
          </cell>
          <cell r="H726" t="str">
            <v>041110015124</v>
          </cell>
          <cell r="I726" t="str">
            <v>K552 73 031</v>
          </cell>
          <cell r="J726" t="str">
            <v>SLIDE DOOR OUT LH</v>
          </cell>
          <cell r="K726" t="str">
            <v>금형</v>
          </cell>
          <cell r="L726" t="str">
            <v>DR</v>
          </cell>
          <cell r="M726">
            <v>1</v>
          </cell>
          <cell r="Y726" t="str">
            <v>주물</v>
          </cell>
          <cell r="Z726">
            <v>20.453532959999997</v>
          </cell>
          <cell r="AA726" t="str">
            <v>2320x1910x980</v>
          </cell>
          <cell r="AB726" t="str">
            <v>98-1</v>
          </cell>
          <cell r="AG726" t="str">
            <v>기아모텍</v>
          </cell>
          <cell r="AI726" t="str">
            <v>KMO 안산2공장</v>
          </cell>
        </row>
        <row r="727">
          <cell r="A727">
            <v>605</v>
          </cell>
          <cell r="E727" t="str">
            <v>기아모텍</v>
          </cell>
          <cell r="F727" t="str">
            <v>A</v>
          </cell>
          <cell r="G727" t="str">
            <v>CARNIVAL</v>
          </cell>
          <cell r="H727" t="str">
            <v>041110015124</v>
          </cell>
          <cell r="I727" t="str">
            <v>K552 72/73 031</v>
          </cell>
          <cell r="J727" t="str">
            <v>SLIDE DOOR OUT R/L</v>
          </cell>
          <cell r="K727" t="str">
            <v>금형</v>
          </cell>
          <cell r="L727" t="str">
            <v>TR/PI</v>
          </cell>
          <cell r="M727">
            <v>2</v>
          </cell>
          <cell r="N727">
            <v>143000000</v>
          </cell>
          <cell r="Y727" t="str">
            <v>주물</v>
          </cell>
          <cell r="Z727">
            <v>23.226705599999999</v>
          </cell>
          <cell r="AA727" t="str">
            <v>2720x1850x980</v>
          </cell>
          <cell r="AB727" t="str">
            <v>98-1</v>
          </cell>
          <cell r="AG727" t="str">
            <v>기아모텍</v>
          </cell>
          <cell r="AI727" t="str">
            <v>KMO 안산2공장</v>
          </cell>
        </row>
        <row r="728">
          <cell r="A728">
            <v>605.0999755859375</v>
          </cell>
          <cell r="E728" t="str">
            <v>기아모텍</v>
          </cell>
          <cell r="F728" t="str">
            <v>A</v>
          </cell>
          <cell r="G728" t="str">
            <v>CARNIVAL</v>
          </cell>
          <cell r="H728" t="str">
            <v>041110015124</v>
          </cell>
          <cell r="I728" t="str">
            <v>K552 72 031</v>
          </cell>
          <cell r="J728" t="str">
            <v>SLIDE DOOR OUT RH</v>
          </cell>
          <cell r="K728" t="str">
            <v>금형</v>
          </cell>
          <cell r="L728" t="str">
            <v>DR</v>
          </cell>
          <cell r="M728">
            <v>1</v>
          </cell>
          <cell r="Y728" t="str">
            <v>주물</v>
          </cell>
          <cell r="Z728">
            <v>20.453532959999997</v>
          </cell>
          <cell r="AA728" t="str">
            <v>2320x1910x980</v>
          </cell>
          <cell r="AB728" t="str">
            <v>98-1</v>
          </cell>
          <cell r="AG728" t="str">
            <v>기아모텍</v>
          </cell>
          <cell r="AI728" t="str">
            <v>KMO 안산2공장</v>
          </cell>
        </row>
        <row r="729">
          <cell r="A729">
            <v>605.20001220703125</v>
          </cell>
          <cell r="E729" t="str">
            <v>기아모텍</v>
          </cell>
          <cell r="F729" t="str">
            <v>A</v>
          </cell>
          <cell r="G729" t="str">
            <v>CARNIVAL</v>
          </cell>
          <cell r="H729" t="str">
            <v>041110015124</v>
          </cell>
          <cell r="I729" t="str">
            <v>K552 73 031</v>
          </cell>
          <cell r="J729" t="str">
            <v>SLIDE DOOR OUT LH</v>
          </cell>
          <cell r="K729" t="str">
            <v>금형</v>
          </cell>
          <cell r="L729" t="str">
            <v>DR</v>
          </cell>
          <cell r="M729">
            <v>1</v>
          </cell>
          <cell r="Y729" t="str">
            <v>주물</v>
          </cell>
          <cell r="Z729">
            <v>20.453532959999997</v>
          </cell>
          <cell r="AA729" t="str">
            <v>2320x1910x980</v>
          </cell>
          <cell r="AB729" t="str">
            <v>98-1</v>
          </cell>
          <cell r="AG729" t="str">
            <v>기아모텍</v>
          </cell>
          <cell r="AI729" t="str">
            <v>KMO 안산2공장</v>
          </cell>
        </row>
        <row r="730">
          <cell r="A730">
            <v>606</v>
          </cell>
          <cell r="E730" t="str">
            <v>기아모텍</v>
          </cell>
          <cell r="F730" t="str">
            <v>A</v>
          </cell>
          <cell r="G730" t="str">
            <v>CARNIVAL</v>
          </cell>
          <cell r="H730" t="str">
            <v>041101131041</v>
          </cell>
          <cell r="I730" t="str">
            <v>K552 72/73 071</v>
          </cell>
          <cell r="J730" t="str">
            <v>PNL SIDE DOOR IN R/L</v>
          </cell>
          <cell r="K730" t="str">
            <v>금형</v>
          </cell>
          <cell r="L730" t="str">
            <v>PI-C/PI</v>
          </cell>
          <cell r="M730">
            <v>2</v>
          </cell>
          <cell r="N730">
            <v>104322000</v>
          </cell>
          <cell r="Y730" t="str">
            <v>주물</v>
          </cell>
          <cell r="Z730">
            <v>16.7738172</v>
          </cell>
          <cell r="AA730" t="str">
            <v>2300x1580x980</v>
          </cell>
          <cell r="AB730" t="str">
            <v>97</v>
          </cell>
          <cell r="AG730" t="str">
            <v>구일정공</v>
          </cell>
          <cell r="AI730" t="str">
            <v>KMO 안산2공장</v>
          </cell>
        </row>
        <row r="731">
          <cell r="A731">
            <v>606.0999755859375</v>
          </cell>
          <cell r="E731" t="str">
            <v>기아모텍</v>
          </cell>
          <cell r="F731" t="str">
            <v>A</v>
          </cell>
          <cell r="G731" t="str">
            <v>CARNIVAL</v>
          </cell>
          <cell r="H731" t="str">
            <v>041101131041</v>
          </cell>
          <cell r="I731" t="str">
            <v>K552 72 071</v>
          </cell>
          <cell r="J731" t="str">
            <v>PNL SIDE DOOR IN RH</v>
          </cell>
          <cell r="K731" t="str">
            <v>금형</v>
          </cell>
          <cell r="L731" t="str">
            <v>PI-C/PI</v>
          </cell>
          <cell r="M731">
            <v>1</v>
          </cell>
          <cell r="Y731" t="str">
            <v>주물</v>
          </cell>
          <cell r="Z731">
            <v>16.7738172</v>
          </cell>
          <cell r="AA731" t="str">
            <v>2300x1580x980</v>
          </cell>
          <cell r="AB731" t="str">
            <v>97</v>
          </cell>
          <cell r="AG731" t="str">
            <v>구일정공</v>
          </cell>
          <cell r="AI731" t="str">
            <v>KMO 안산2공장</v>
          </cell>
        </row>
        <row r="732">
          <cell r="A732">
            <v>606.20001220703125</v>
          </cell>
          <cell r="E732" t="str">
            <v>기아모텍</v>
          </cell>
          <cell r="F732" t="str">
            <v>A</v>
          </cell>
          <cell r="G732" t="str">
            <v>CARNIVAL</v>
          </cell>
          <cell r="H732" t="str">
            <v>041101131041</v>
          </cell>
          <cell r="I732" t="str">
            <v>K552 73 071</v>
          </cell>
          <cell r="J732" t="str">
            <v>PNL SIDE DOOR IN LH</v>
          </cell>
          <cell r="K732" t="str">
            <v>금형</v>
          </cell>
          <cell r="L732" t="str">
            <v>PI-C/PI</v>
          </cell>
          <cell r="M732">
            <v>1</v>
          </cell>
          <cell r="Y732" t="str">
            <v>주물</v>
          </cell>
          <cell r="Z732">
            <v>16.7738172</v>
          </cell>
          <cell r="AA732" t="str">
            <v>2300x1580x980</v>
          </cell>
          <cell r="AB732" t="str">
            <v>97</v>
          </cell>
          <cell r="AG732" t="str">
            <v>구일정공</v>
          </cell>
          <cell r="AI732" t="str">
            <v>KMO 안산2공장</v>
          </cell>
        </row>
        <row r="733">
          <cell r="A733">
            <v>607</v>
          </cell>
          <cell r="E733" t="str">
            <v>기아모텍</v>
          </cell>
          <cell r="F733" t="str">
            <v>A</v>
          </cell>
          <cell r="G733" t="str">
            <v>CARNIVAL</v>
          </cell>
          <cell r="H733" t="str">
            <v>041101131041</v>
          </cell>
          <cell r="I733" t="str">
            <v>K552 72/73 071</v>
          </cell>
          <cell r="J733" t="str">
            <v>PNL SIDE DOOR IN R/L</v>
          </cell>
          <cell r="K733" t="str">
            <v>금형</v>
          </cell>
          <cell r="L733" t="str">
            <v>TR/PI</v>
          </cell>
          <cell r="M733">
            <v>2</v>
          </cell>
          <cell r="N733">
            <v>108093000</v>
          </cell>
          <cell r="Y733" t="str">
            <v>주물</v>
          </cell>
          <cell r="Z733">
            <v>16.633496879999999</v>
          </cell>
          <cell r="AA733" t="str">
            <v>2340x1540x980</v>
          </cell>
          <cell r="AB733" t="str">
            <v>97</v>
          </cell>
          <cell r="AG733" t="str">
            <v>구일정공</v>
          </cell>
          <cell r="AI733" t="str">
            <v>KMO 안산2공장</v>
          </cell>
        </row>
        <row r="734">
          <cell r="A734">
            <v>607.0999755859375</v>
          </cell>
          <cell r="E734" t="str">
            <v>기아모텍</v>
          </cell>
          <cell r="F734" t="str">
            <v>A</v>
          </cell>
          <cell r="G734" t="str">
            <v>CARNIVAL</v>
          </cell>
          <cell r="H734" t="str">
            <v>041101131041</v>
          </cell>
          <cell r="I734" t="str">
            <v>K552 72 071</v>
          </cell>
          <cell r="J734" t="str">
            <v>PNL SIDE DOOR IN RH</v>
          </cell>
          <cell r="K734" t="str">
            <v>금형</v>
          </cell>
          <cell r="L734" t="str">
            <v>TR/PI</v>
          </cell>
          <cell r="M734">
            <v>1</v>
          </cell>
          <cell r="Y734" t="str">
            <v>주물</v>
          </cell>
          <cell r="Z734">
            <v>16.633496879999999</v>
          </cell>
          <cell r="AA734" t="str">
            <v>2340x1540x980</v>
          </cell>
          <cell r="AB734" t="str">
            <v>97</v>
          </cell>
          <cell r="AG734" t="str">
            <v>구일정공</v>
          </cell>
          <cell r="AI734" t="str">
            <v>KMO 안산2공장</v>
          </cell>
        </row>
        <row r="735">
          <cell r="A735">
            <v>607.20001220703125</v>
          </cell>
          <cell r="E735" t="str">
            <v>기아모텍</v>
          </cell>
          <cell r="F735" t="str">
            <v>A</v>
          </cell>
          <cell r="G735" t="str">
            <v>CARNIVAL</v>
          </cell>
          <cell r="H735" t="str">
            <v>041101131041</v>
          </cell>
          <cell r="I735" t="str">
            <v>K552 73 071</v>
          </cell>
          <cell r="J735" t="str">
            <v>PNL SIDE DOOR IN LH</v>
          </cell>
          <cell r="K735" t="str">
            <v>금형</v>
          </cell>
          <cell r="L735" t="str">
            <v>TR/PI</v>
          </cell>
          <cell r="M735">
            <v>1</v>
          </cell>
          <cell r="Y735" t="str">
            <v>주물</v>
          </cell>
          <cell r="Z735">
            <v>16.633496879999999</v>
          </cell>
          <cell r="AA735" t="str">
            <v>2340x1540x980</v>
          </cell>
          <cell r="AB735" t="str">
            <v>97</v>
          </cell>
          <cell r="AG735" t="str">
            <v>구일정공</v>
          </cell>
          <cell r="AI735" t="str">
            <v>KMO 안산2공장</v>
          </cell>
        </row>
        <row r="736">
          <cell r="A736">
            <v>608</v>
          </cell>
          <cell r="E736" t="str">
            <v>기아모텍</v>
          </cell>
          <cell r="F736" t="str">
            <v>A</v>
          </cell>
          <cell r="G736" t="str">
            <v>CARNIVAL</v>
          </cell>
          <cell r="H736" t="str">
            <v>041101131041</v>
          </cell>
          <cell r="I736" t="str">
            <v>K552 72/73 071</v>
          </cell>
          <cell r="J736" t="str">
            <v>PNL SIDE DOOR IN R/L</v>
          </cell>
          <cell r="K736" t="str">
            <v>금형</v>
          </cell>
          <cell r="L736" t="str">
            <v>PI-C/PI</v>
          </cell>
          <cell r="M736">
            <v>2</v>
          </cell>
          <cell r="N736">
            <v>115624000</v>
          </cell>
          <cell r="Y736" t="str">
            <v>주물</v>
          </cell>
          <cell r="Z736">
            <v>18.7909218</v>
          </cell>
          <cell r="AA736" t="str">
            <v>2300x1770x980</v>
          </cell>
          <cell r="AB736" t="str">
            <v>97</v>
          </cell>
          <cell r="AG736" t="str">
            <v>구일정공</v>
          </cell>
          <cell r="AI736" t="str">
            <v>KMO 안산2공장</v>
          </cell>
        </row>
        <row r="737">
          <cell r="A737">
            <v>608.0999755859375</v>
          </cell>
          <cell r="E737" t="str">
            <v>기아모텍</v>
          </cell>
          <cell r="F737" t="str">
            <v>A</v>
          </cell>
          <cell r="G737" t="str">
            <v>CARNIVAL</v>
          </cell>
          <cell r="H737" t="str">
            <v>041101131041</v>
          </cell>
          <cell r="I737" t="str">
            <v>K552 72 071</v>
          </cell>
          <cell r="J737" t="str">
            <v>PNL SIDE DOOR IN RH</v>
          </cell>
          <cell r="K737" t="str">
            <v>금형</v>
          </cell>
          <cell r="L737" t="str">
            <v>PI-C/PI</v>
          </cell>
          <cell r="M737">
            <v>1</v>
          </cell>
          <cell r="Y737" t="str">
            <v>주물</v>
          </cell>
          <cell r="Z737">
            <v>18.7909218</v>
          </cell>
          <cell r="AA737" t="str">
            <v>2300x1770x980</v>
          </cell>
          <cell r="AB737" t="str">
            <v>97</v>
          </cell>
          <cell r="AG737" t="str">
            <v>구일정공</v>
          </cell>
          <cell r="AI737" t="str">
            <v>KMO 안산2공장</v>
          </cell>
        </row>
        <row r="738">
          <cell r="A738">
            <v>608.20001220703125</v>
          </cell>
          <cell r="E738" t="str">
            <v>기아모텍</v>
          </cell>
          <cell r="F738" t="str">
            <v>A</v>
          </cell>
          <cell r="G738" t="str">
            <v>CARNIVAL</v>
          </cell>
          <cell r="H738" t="str">
            <v>041101131041</v>
          </cell>
          <cell r="I738" t="str">
            <v>K552 73 071</v>
          </cell>
          <cell r="J738" t="str">
            <v>PNL SIDE DOOR IN LH</v>
          </cell>
          <cell r="K738" t="str">
            <v>금형</v>
          </cell>
          <cell r="L738" t="str">
            <v>PI-C/PI</v>
          </cell>
          <cell r="M738">
            <v>1</v>
          </cell>
          <cell r="Y738" t="str">
            <v>주물</v>
          </cell>
          <cell r="Z738">
            <v>18.7909218</v>
          </cell>
          <cell r="AA738" t="str">
            <v>2300x1770x980</v>
          </cell>
          <cell r="AB738" t="str">
            <v>97</v>
          </cell>
          <cell r="AG738" t="str">
            <v>구일정공</v>
          </cell>
          <cell r="AI738" t="str">
            <v>KMO 안산2공장</v>
          </cell>
        </row>
        <row r="739">
          <cell r="A739">
            <v>609</v>
          </cell>
          <cell r="E739" t="str">
            <v>기아모텍</v>
          </cell>
          <cell r="F739" t="str">
            <v>A</v>
          </cell>
          <cell r="G739" t="str">
            <v>CARNIVAL</v>
          </cell>
          <cell r="H739" t="str">
            <v>041101131041</v>
          </cell>
          <cell r="I739" t="str">
            <v>K552 72/73 071</v>
          </cell>
          <cell r="J739" t="str">
            <v>PNL SIDE DOOR IN R/L</v>
          </cell>
          <cell r="K739" t="str">
            <v>금형</v>
          </cell>
          <cell r="L739" t="str">
            <v>C/TR,C/P</v>
          </cell>
          <cell r="M739">
            <v>2</v>
          </cell>
          <cell r="N739">
            <v>139721000</v>
          </cell>
          <cell r="Y739" t="str">
            <v>주물</v>
          </cell>
          <cell r="Z739">
            <v>21.751495919999996</v>
          </cell>
          <cell r="AA739" t="str">
            <v>2380x1980x980</v>
          </cell>
          <cell r="AB739" t="str">
            <v>97</v>
          </cell>
          <cell r="AG739" t="str">
            <v>구일정공</v>
          </cell>
          <cell r="AI739" t="str">
            <v>KMO 안산2공장</v>
          </cell>
        </row>
        <row r="740">
          <cell r="A740">
            <v>609.0999755859375</v>
          </cell>
          <cell r="E740" t="str">
            <v>기아모텍</v>
          </cell>
          <cell r="F740" t="str">
            <v>A</v>
          </cell>
          <cell r="G740" t="str">
            <v>CARNIVAL</v>
          </cell>
          <cell r="H740" t="str">
            <v>041101131041</v>
          </cell>
          <cell r="I740" t="str">
            <v>K552 72 071</v>
          </cell>
          <cell r="J740" t="str">
            <v>PNL SIDE DOOR IN RH</v>
          </cell>
          <cell r="K740" t="str">
            <v>금형</v>
          </cell>
          <cell r="L740" t="str">
            <v>C/TR,C/P</v>
          </cell>
          <cell r="M740">
            <v>1</v>
          </cell>
          <cell r="Y740" t="str">
            <v>주물</v>
          </cell>
          <cell r="Z740">
            <v>21.751495919999996</v>
          </cell>
          <cell r="AA740" t="str">
            <v>2380x1980x980</v>
          </cell>
          <cell r="AB740" t="str">
            <v>97</v>
          </cell>
          <cell r="AG740" t="str">
            <v>구일정공</v>
          </cell>
          <cell r="AI740" t="str">
            <v>KMO 안산2공장</v>
          </cell>
        </row>
        <row r="741">
          <cell r="A741">
            <v>609.20001220703125</v>
          </cell>
          <cell r="E741" t="str">
            <v>기아모텍</v>
          </cell>
          <cell r="F741" t="str">
            <v>A</v>
          </cell>
          <cell r="G741" t="str">
            <v>CARNIVAL</v>
          </cell>
          <cell r="H741" t="str">
            <v>041101131041</v>
          </cell>
          <cell r="I741" t="str">
            <v>K552 73 071</v>
          </cell>
          <cell r="J741" t="str">
            <v>PNL SIDE DOOR IN LH</v>
          </cell>
          <cell r="K741" t="str">
            <v>금형</v>
          </cell>
          <cell r="L741" t="str">
            <v>C/TR,C/P</v>
          </cell>
          <cell r="M741">
            <v>1</v>
          </cell>
          <cell r="Y741" t="str">
            <v>주물</v>
          </cell>
          <cell r="Z741">
            <v>21.751495919999996</v>
          </cell>
          <cell r="AA741" t="str">
            <v>2380x1980x980</v>
          </cell>
          <cell r="AB741" t="str">
            <v>97</v>
          </cell>
          <cell r="AG741" t="str">
            <v>구일정공</v>
          </cell>
          <cell r="AI741" t="str">
            <v>KMO 안산2공장</v>
          </cell>
        </row>
        <row r="742">
          <cell r="A742">
            <v>610</v>
          </cell>
          <cell r="E742" t="str">
            <v>기아모텍</v>
          </cell>
          <cell r="F742" t="str">
            <v>A</v>
          </cell>
          <cell r="G742" t="str">
            <v>CARNIVAL</v>
          </cell>
          <cell r="H742" t="str">
            <v>041101131041</v>
          </cell>
          <cell r="I742" t="str">
            <v>K552 72/73 071</v>
          </cell>
          <cell r="J742" t="str">
            <v>PNL SIDE DOOR IN R/L</v>
          </cell>
          <cell r="K742" t="str">
            <v>금형</v>
          </cell>
          <cell r="L742" t="str">
            <v>DR</v>
          </cell>
          <cell r="M742">
            <v>2</v>
          </cell>
          <cell r="N742">
            <v>146497000</v>
          </cell>
          <cell r="Y742" t="str">
            <v>주물</v>
          </cell>
          <cell r="Z742">
            <v>20.4895362</v>
          </cell>
          <cell r="AA742" t="str">
            <v>2300x1930x980</v>
          </cell>
          <cell r="AB742" t="str">
            <v>97</v>
          </cell>
          <cell r="AG742" t="str">
            <v>구일정공</v>
          </cell>
          <cell r="AI742" t="str">
            <v>KMO 안산2공장</v>
          </cell>
        </row>
        <row r="743">
          <cell r="A743">
            <v>610.0999755859375</v>
          </cell>
          <cell r="E743" t="str">
            <v>기아모텍</v>
          </cell>
          <cell r="F743" t="str">
            <v>A</v>
          </cell>
          <cell r="G743" t="str">
            <v>CARNIVAL</v>
          </cell>
          <cell r="H743" t="str">
            <v>041101131041</v>
          </cell>
          <cell r="I743" t="str">
            <v>K552 72 071</v>
          </cell>
          <cell r="J743" t="str">
            <v>PNL SIDE DOOR IN RH</v>
          </cell>
          <cell r="K743" t="str">
            <v>금형</v>
          </cell>
          <cell r="L743" t="str">
            <v>DR</v>
          </cell>
          <cell r="M743">
            <v>1</v>
          </cell>
          <cell r="Y743" t="str">
            <v>주물</v>
          </cell>
          <cell r="Z743">
            <v>20.4895362</v>
          </cell>
          <cell r="AA743" t="str">
            <v>2300x1930x980</v>
          </cell>
          <cell r="AB743" t="str">
            <v>97</v>
          </cell>
          <cell r="AG743" t="str">
            <v>구일정공</v>
          </cell>
          <cell r="AI743" t="str">
            <v>KMO 안산2공장</v>
          </cell>
        </row>
        <row r="744">
          <cell r="A744">
            <v>610.20001220703125</v>
          </cell>
          <cell r="E744" t="str">
            <v>기아모텍</v>
          </cell>
          <cell r="F744" t="str">
            <v>A</v>
          </cell>
          <cell r="G744" t="str">
            <v>CARNIVAL</v>
          </cell>
          <cell r="H744" t="str">
            <v>041101131041</v>
          </cell>
          <cell r="I744" t="str">
            <v>K552 73 071</v>
          </cell>
          <cell r="J744" t="str">
            <v>PNL SIDE DOOR IN LH</v>
          </cell>
          <cell r="K744" t="str">
            <v>금형</v>
          </cell>
          <cell r="L744" t="str">
            <v>DR</v>
          </cell>
          <cell r="M744">
            <v>1</v>
          </cell>
          <cell r="Y744" t="str">
            <v>주물</v>
          </cell>
          <cell r="Z744">
            <v>20.4895362</v>
          </cell>
          <cell r="AA744" t="str">
            <v>2300x1930x980</v>
          </cell>
          <cell r="AB744" t="str">
            <v>97</v>
          </cell>
          <cell r="AG744" t="str">
            <v>구일정공</v>
          </cell>
          <cell r="AI744" t="str">
            <v>KMO 안산2공장</v>
          </cell>
        </row>
        <row r="745">
          <cell r="A745">
            <v>611</v>
          </cell>
          <cell r="E745" t="str">
            <v>기아모텍</v>
          </cell>
          <cell r="F745" t="str">
            <v>A</v>
          </cell>
          <cell r="G745" t="str">
            <v>CARNIVAL RHD</v>
          </cell>
          <cell r="H745" t="str">
            <v>041110015365</v>
          </cell>
          <cell r="I745" t="str">
            <v>K55F 60 401(55 100)</v>
          </cell>
          <cell r="J745" t="str">
            <v>INSTRUMENT PANEL</v>
          </cell>
          <cell r="K745" t="str">
            <v>금형</v>
          </cell>
          <cell r="L745" t="str">
            <v>INJ</v>
          </cell>
          <cell r="M745">
            <v>1</v>
          </cell>
          <cell r="N745">
            <v>404897000</v>
          </cell>
          <cell r="Y745" t="str">
            <v>주물</v>
          </cell>
          <cell r="Z745">
            <v>28.825200000000002</v>
          </cell>
          <cell r="AA745" t="str">
            <v>2400x1700x1500</v>
          </cell>
          <cell r="AB745" t="str">
            <v>98-3</v>
          </cell>
          <cell r="AG745" t="str">
            <v>기아모텍</v>
          </cell>
          <cell r="AI745" t="str">
            <v>KMO 구로공장</v>
          </cell>
        </row>
        <row r="746">
          <cell r="A746">
            <v>612</v>
          </cell>
          <cell r="E746" t="str">
            <v>기아모텍</v>
          </cell>
          <cell r="F746" t="str">
            <v>C</v>
          </cell>
          <cell r="G746" t="str">
            <v>P/BONGO</v>
          </cell>
          <cell r="H746" t="str">
            <v>041102111405</v>
          </cell>
          <cell r="I746" t="str">
            <v>K586 70/71 630</v>
          </cell>
          <cell r="J746" t="str">
            <v>HOUSING-LAMP BODY R/L</v>
          </cell>
          <cell r="K746" t="str">
            <v>금형</v>
          </cell>
          <cell r="L746" t="str">
            <v>5/5 PIE</v>
          </cell>
          <cell r="M746">
            <v>1</v>
          </cell>
          <cell r="N746">
            <v>4725000</v>
          </cell>
          <cell r="Y746" t="str">
            <v>주물</v>
          </cell>
          <cell r="Z746">
            <v>0.85006079999999995</v>
          </cell>
          <cell r="AA746" t="str">
            <v>960x400x470</v>
          </cell>
          <cell r="AB746" t="str">
            <v>87-4</v>
          </cell>
          <cell r="AG746" t="str">
            <v>화성기업</v>
          </cell>
          <cell r="AI746" t="str">
            <v>영재정공</v>
          </cell>
          <cell r="AJ746" t="str">
            <v>풍기산업</v>
          </cell>
        </row>
        <row r="747">
          <cell r="A747">
            <v>613</v>
          </cell>
          <cell r="E747" t="str">
            <v>기아모텍</v>
          </cell>
          <cell r="F747" t="str">
            <v>C</v>
          </cell>
          <cell r="G747" t="str">
            <v>P/BONGO</v>
          </cell>
          <cell r="H747" t="str">
            <v>041102111405</v>
          </cell>
          <cell r="I747" t="str">
            <v>K586 70/71 630</v>
          </cell>
          <cell r="J747" t="str">
            <v>HOUSING-LAMP BODY R/L</v>
          </cell>
          <cell r="K747" t="str">
            <v>금형</v>
          </cell>
          <cell r="L747" t="str">
            <v>3/5 FL&amp;RE</v>
          </cell>
          <cell r="M747">
            <v>2</v>
          </cell>
          <cell r="N747">
            <v>9975000</v>
          </cell>
          <cell r="Y747" t="str">
            <v>주물</v>
          </cell>
          <cell r="Z747">
            <v>1.4200650000000001</v>
          </cell>
          <cell r="AA747" t="str">
            <v>750x670x600</v>
          </cell>
          <cell r="AB747" t="str">
            <v>87-4</v>
          </cell>
          <cell r="AG747" t="str">
            <v>화성기업</v>
          </cell>
          <cell r="AI747" t="str">
            <v>영재정공</v>
          </cell>
          <cell r="AJ747" t="str">
            <v>풍기산업</v>
          </cell>
        </row>
        <row r="748">
          <cell r="A748">
            <v>614</v>
          </cell>
          <cell r="E748" t="str">
            <v>기아모텍</v>
          </cell>
          <cell r="F748" t="str">
            <v>C</v>
          </cell>
          <cell r="G748" t="str">
            <v>P/BONGO</v>
          </cell>
          <cell r="H748" t="str">
            <v>041102111405</v>
          </cell>
          <cell r="I748" t="str">
            <v>K586 70/71 630</v>
          </cell>
          <cell r="J748" t="str">
            <v>HOUSING-LAMP BODY R/L</v>
          </cell>
          <cell r="K748" t="str">
            <v>금형</v>
          </cell>
          <cell r="L748" t="str">
            <v>2/5 TR&amp;PI</v>
          </cell>
          <cell r="M748">
            <v>2</v>
          </cell>
          <cell r="N748">
            <v>13860000</v>
          </cell>
          <cell r="Y748" t="str">
            <v>주물</v>
          </cell>
          <cell r="Z748">
            <v>1.66317165</v>
          </cell>
          <cell r="AA748" t="str">
            <v>885x665x600</v>
          </cell>
          <cell r="AB748" t="str">
            <v>87-4</v>
          </cell>
          <cell r="AG748" t="str">
            <v>화성기업</v>
          </cell>
          <cell r="AI748" t="str">
            <v>영재정공</v>
          </cell>
          <cell r="AJ748" t="str">
            <v>풍기산업</v>
          </cell>
        </row>
        <row r="749">
          <cell r="A749">
            <v>615</v>
          </cell>
          <cell r="E749" t="str">
            <v>기아모텍</v>
          </cell>
          <cell r="F749" t="str">
            <v>C</v>
          </cell>
          <cell r="G749" t="str">
            <v>P/BONGO</v>
          </cell>
          <cell r="H749" t="str">
            <v>041102111405</v>
          </cell>
          <cell r="I749" t="str">
            <v>K586 70/71 630</v>
          </cell>
          <cell r="J749" t="str">
            <v>HOUSING-LAMP BODY R/L</v>
          </cell>
          <cell r="K749" t="str">
            <v>금형</v>
          </cell>
          <cell r="L749" t="str">
            <v>1/5 DR</v>
          </cell>
          <cell r="M749">
            <v>2</v>
          </cell>
          <cell r="N749">
            <v>17850000</v>
          </cell>
          <cell r="Y749" t="str">
            <v>주물</v>
          </cell>
          <cell r="Z749">
            <v>2.1319344</v>
          </cell>
          <cell r="AA749" t="str">
            <v>920x820x600</v>
          </cell>
          <cell r="AB749" t="str">
            <v>87-4</v>
          </cell>
          <cell r="AG749" t="str">
            <v>화성기업</v>
          </cell>
          <cell r="AI749" t="str">
            <v>영재정공</v>
          </cell>
          <cell r="AJ749" t="str">
            <v>풍기산업</v>
          </cell>
        </row>
        <row r="750">
          <cell r="A750">
            <v>616</v>
          </cell>
          <cell r="E750" t="str">
            <v>기아모텍</v>
          </cell>
          <cell r="F750" t="str">
            <v>C</v>
          </cell>
          <cell r="G750" t="str">
            <v>P/BONGO</v>
          </cell>
          <cell r="H750" t="str">
            <v>041102111405</v>
          </cell>
          <cell r="I750" t="str">
            <v>K586 70/71 630</v>
          </cell>
          <cell r="J750" t="str">
            <v>HOUSING-LAMP BODY R/L</v>
          </cell>
          <cell r="K750" t="str">
            <v>치구</v>
          </cell>
          <cell r="L750" t="str">
            <v>4/5BUR&amp;PI</v>
          </cell>
          <cell r="M750">
            <v>2</v>
          </cell>
          <cell r="N750">
            <v>8400000</v>
          </cell>
          <cell r="Z750">
            <v>2.8</v>
          </cell>
          <cell r="AA750" t="str">
            <v>900x550x600</v>
          </cell>
          <cell r="AB750" t="str">
            <v>87-4</v>
          </cell>
          <cell r="AG750" t="str">
            <v>화성기업</v>
          </cell>
          <cell r="AI750" t="str">
            <v>영재정공</v>
          </cell>
          <cell r="AJ750" t="str">
            <v>풍기산업</v>
          </cell>
        </row>
        <row r="751">
          <cell r="A751">
            <v>617</v>
          </cell>
          <cell r="E751" t="str">
            <v>기아모텍</v>
          </cell>
          <cell r="F751" t="str">
            <v>C4</v>
          </cell>
          <cell r="G751" t="str">
            <v>P/BONGO</v>
          </cell>
          <cell r="H751" t="str">
            <v>044101013236</v>
          </cell>
          <cell r="I751" t="str">
            <v>K586 70/71 630A</v>
          </cell>
          <cell r="J751" t="str">
            <v>LAMP HOUSING R/L</v>
          </cell>
          <cell r="K751" t="str">
            <v>검사구</v>
          </cell>
          <cell r="M751">
            <v>2</v>
          </cell>
          <cell r="N751">
            <v>3500000</v>
          </cell>
          <cell r="Z751">
            <v>0</v>
          </cell>
          <cell r="AA751" t="str">
            <v>xx</v>
          </cell>
          <cell r="AB751" t="str">
            <v>88-03-31</v>
          </cell>
          <cell r="AG751" t="str">
            <v>학림</v>
          </cell>
          <cell r="AJ751" t="str">
            <v>광성기업</v>
          </cell>
          <cell r="AK751" t="str">
            <v>확인 불가</v>
          </cell>
        </row>
        <row r="752">
          <cell r="A752">
            <v>618</v>
          </cell>
          <cell r="E752" t="str">
            <v>기아모텍</v>
          </cell>
          <cell r="F752" t="str">
            <v>A</v>
          </cell>
          <cell r="G752" t="str">
            <v>P/BONGO MMO</v>
          </cell>
          <cell r="I752" t="str">
            <v>K590 50 010</v>
          </cell>
          <cell r="J752" t="str">
            <v>FRT BUMPER COMPT</v>
          </cell>
          <cell r="K752" t="str">
            <v>검사구</v>
          </cell>
          <cell r="M752">
            <v>1</v>
          </cell>
          <cell r="N752">
            <v>986000</v>
          </cell>
          <cell r="Y752" t="str">
            <v>수지</v>
          </cell>
          <cell r="Z752">
            <v>0</v>
          </cell>
          <cell r="AA752" t="str">
            <v>xx</v>
          </cell>
          <cell r="AB752" t="str">
            <v>87-07-30</v>
          </cell>
          <cell r="AI752" t="str">
            <v>KMO 안산2공장</v>
          </cell>
        </row>
        <row r="753">
          <cell r="A753">
            <v>619</v>
          </cell>
          <cell r="E753" t="str">
            <v>기아모텍</v>
          </cell>
          <cell r="F753" t="str">
            <v>A</v>
          </cell>
          <cell r="G753" t="str">
            <v>BESTA</v>
          </cell>
          <cell r="H753" t="str">
            <v>044102020307</v>
          </cell>
          <cell r="I753" t="str">
            <v>K590 50 030</v>
          </cell>
          <cell r="J753" t="str">
            <v>F BUMPER ASSY</v>
          </cell>
          <cell r="K753" t="str">
            <v>검사구</v>
          </cell>
          <cell r="M753">
            <v>1</v>
          </cell>
          <cell r="N753">
            <v>8400000</v>
          </cell>
          <cell r="Y753" t="str">
            <v>수지</v>
          </cell>
          <cell r="AA753" t="str">
            <v>xx</v>
          </cell>
          <cell r="AB753" t="str">
            <v>87-03-31</v>
          </cell>
          <cell r="AG753" t="str">
            <v>선진모델</v>
          </cell>
          <cell r="AI753" t="str">
            <v>대륭강업</v>
          </cell>
        </row>
        <row r="754">
          <cell r="A754">
            <v>620</v>
          </cell>
          <cell r="E754" t="str">
            <v>기아모텍</v>
          </cell>
          <cell r="F754" t="str">
            <v>A</v>
          </cell>
          <cell r="G754" t="str">
            <v>P/BONGO MMO</v>
          </cell>
          <cell r="H754" t="str">
            <v>041102010208</v>
          </cell>
          <cell r="I754" t="str">
            <v>K590 50 031</v>
          </cell>
          <cell r="J754" t="str">
            <v>FACE FRT. BUMPER</v>
          </cell>
          <cell r="K754" t="str">
            <v>금형</v>
          </cell>
          <cell r="L754" t="str">
            <v>DR</v>
          </cell>
          <cell r="M754">
            <v>1</v>
          </cell>
          <cell r="N754">
            <v>21362553</v>
          </cell>
          <cell r="Y754" t="str">
            <v>주물</v>
          </cell>
          <cell r="AA754" t="str">
            <v>xx</v>
          </cell>
          <cell r="AB754" t="str">
            <v>88-05-31</v>
          </cell>
          <cell r="AG754" t="str">
            <v>KIA</v>
          </cell>
          <cell r="AI754" t="str">
            <v>대륭강업</v>
          </cell>
        </row>
        <row r="755">
          <cell r="A755">
            <v>621</v>
          </cell>
          <cell r="E755" t="str">
            <v>기아모텍</v>
          </cell>
          <cell r="F755" t="str">
            <v>A</v>
          </cell>
          <cell r="G755" t="str">
            <v>P/BONGO MMO</v>
          </cell>
          <cell r="H755" t="str">
            <v>041102010218</v>
          </cell>
          <cell r="I755" t="str">
            <v>K590 50 031</v>
          </cell>
          <cell r="J755" t="str">
            <v>FACE FRT. BUMPER</v>
          </cell>
          <cell r="K755" t="str">
            <v>금형</v>
          </cell>
          <cell r="L755" t="str">
            <v>TR/DIE</v>
          </cell>
          <cell r="M755">
            <v>1</v>
          </cell>
          <cell r="N755">
            <v>24855850</v>
          </cell>
          <cell r="Y755" t="str">
            <v>주물</v>
          </cell>
          <cell r="AA755" t="str">
            <v>xx</v>
          </cell>
          <cell r="AB755" t="str">
            <v>88-05-31</v>
          </cell>
          <cell r="AG755" t="str">
            <v>KIA</v>
          </cell>
          <cell r="AI755" t="str">
            <v>대륭강업</v>
          </cell>
        </row>
        <row r="756">
          <cell r="A756">
            <v>622</v>
          </cell>
          <cell r="E756" t="str">
            <v>기아모텍</v>
          </cell>
          <cell r="F756" t="str">
            <v>A</v>
          </cell>
          <cell r="G756" t="str">
            <v>P/BONGO MMO</v>
          </cell>
          <cell r="H756" t="str">
            <v>041102010228</v>
          </cell>
          <cell r="I756" t="str">
            <v>K590 50 031</v>
          </cell>
          <cell r="J756" t="str">
            <v>FACE FRT. BUMPER</v>
          </cell>
          <cell r="K756" t="str">
            <v>금형</v>
          </cell>
          <cell r="L756" t="str">
            <v>REST/BURR</v>
          </cell>
          <cell r="M756">
            <v>1</v>
          </cell>
          <cell r="N756">
            <v>17459556</v>
          </cell>
          <cell r="Y756" t="str">
            <v>주물</v>
          </cell>
          <cell r="AA756" t="str">
            <v>xx</v>
          </cell>
          <cell r="AB756" t="str">
            <v>88-05-31</v>
          </cell>
          <cell r="AG756" t="str">
            <v>KIA</v>
          </cell>
          <cell r="AI756" t="str">
            <v>대륭강업</v>
          </cell>
        </row>
        <row r="757">
          <cell r="A757">
            <v>623</v>
          </cell>
          <cell r="E757" t="str">
            <v>기아모텍</v>
          </cell>
          <cell r="F757" t="str">
            <v>A</v>
          </cell>
          <cell r="G757" t="str">
            <v>P/BONGO MMO</v>
          </cell>
          <cell r="H757" t="str">
            <v>041102010238</v>
          </cell>
          <cell r="I757" t="str">
            <v>K590 50 031</v>
          </cell>
          <cell r="J757" t="str">
            <v>FACE FRT. BUMPER</v>
          </cell>
          <cell r="K757" t="str">
            <v>금형</v>
          </cell>
          <cell r="L757" t="str">
            <v>CAM/CUT</v>
          </cell>
          <cell r="M757">
            <v>1</v>
          </cell>
          <cell r="N757">
            <v>8323164</v>
          </cell>
          <cell r="Y757" t="str">
            <v>주물</v>
          </cell>
          <cell r="AA757" t="str">
            <v>xx</v>
          </cell>
          <cell r="AB757" t="str">
            <v>88-05-31</v>
          </cell>
          <cell r="AG757" t="str">
            <v>KIA</v>
          </cell>
          <cell r="AI757" t="str">
            <v>대륭강업</v>
          </cell>
        </row>
        <row r="758">
          <cell r="A758">
            <v>624</v>
          </cell>
          <cell r="E758" t="str">
            <v>기아모텍</v>
          </cell>
          <cell r="F758" t="str">
            <v>A</v>
          </cell>
          <cell r="G758" t="str">
            <v>FRONTIER</v>
          </cell>
          <cell r="H758" t="str">
            <v>041110015104</v>
          </cell>
          <cell r="I758" t="str">
            <v>K60A 50 071D</v>
          </cell>
          <cell r="J758" t="str">
            <v>FRT R/F BONNET</v>
          </cell>
          <cell r="K758" t="str">
            <v>금형</v>
          </cell>
          <cell r="L758" t="str">
            <v>C/CUT-C/</v>
          </cell>
          <cell r="M758">
            <v>1</v>
          </cell>
          <cell r="N758">
            <v>5885000</v>
          </cell>
          <cell r="Y758" t="str">
            <v>주물</v>
          </cell>
          <cell r="Z758">
            <v>7.8751199999999999</v>
          </cell>
          <cell r="AA758" t="str">
            <v>1000x1900x880</v>
          </cell>
          <cell r="AB758" t="str">
            <v>98-1</v>
          </cell>
          <cell r="AG758" t="str">
            <v>기아모텍</v>
          </cell>
          <cell r="AI758" t="str">
            <v>KMO 안산2공장</v>
          </cell>
        </row>
        <row r="759">
          <cell r="A759">
            <v>625</v>
          </cell>
          <cell r="E759" t="str">
            <v>기아모텍</v>
          </cell>
          <cell r="F759" t="str">
            <v>A</v>
          </cell>
          <cell r="G759" t="str">
            <v>FRONTIER</v>
          </cell>
          <cell r="H759" t="str">
            <v>041110015104</v>
          </cell>
          <cell r="I759" t="str">
            <v>K60A 50 071D</v>
          </cell>
          <cell r="J759" t="str">
            <v>FRT R/F BONNET</v>
          </cell>
          <cell r="K759" t="str">
            <v>금형</v>
          </cell>
          <cell r="L759" t="str">
            <v>C/CUT-C/</v>
          </cell>
          <cell r="M759">
            <v>1</v>
          </cell>
          <cell r="N759">
            <v>32000000</v>
          </cell>
          <cell r="Y759" t="str">
            <v>주물</v>
          </cell>
          <cell r="Z759">
            <v>10.74166368</v>
          </cell>
          <cell r="AA759" t="str">
            <v>1240x2090x880</v>
          </cell>
          <cell r="AB759" t="str">
            <v>98-1</v>
          </cell>
          <cell r="AG759" t="str">
            <v>기아모텍</v>
          </cell>
          <cell r="AI759" t="str">
            <v>KMO 안산2공장</v>
          </cell>
        </row>
        <row r="760">
          <cell r="A760">
            <v>626</v>
          </cell>
          <cell r="E760" t="str">
            <v>기아모텍</v>
          </cell>
          <cell r="F760" t="str">
            <v>A</v>
          </cell>
          <cell r="G760" t="str">
            <v>FRONTIER</v>
          </cell>
          <cell r="H760" t="str">
            <v>041110015104</v>
          </cell>
          <cell r="I760" t="str">
            <v>K60A 50 071D</v>
          </cell>
          <cell r="J760" t="str">
            <v>FRT R/F BONNET</v>
          </cell>
          <cell r="K760" t="str">
            <v>금형</v>
          </cell>
          <cell r="L760" t="str">
            <v>TR/PI</v>
          </cell>
          <cell r="M760">
            <v>1</v>
          </cell>
          <cell r="N760">
            <v>32000000</v>
          </cell>
          <cell r="Y760" t="str">
            <v>주물</v>
          </cell>
          <cell r="Z760">
            <v>8.36586432</v>
          </cell>
          <cell r="AA760" t="str">
            <v>2320x870x880</v>
          </cell>
          <cell r="AB760" t="str">
            <v>98-1</v>
          </cell>
          <cell r="AG760" t="str">
            <v>기아모텍</v>
          </cell>
          <cell r="AI760" t="str">
            <v>KMO 안산2공장</v>
          </cell>
        </row>
        <row r="761">
          <cell r="A761">
            <v>627</v>
          </cell>
          <cell r="E761" t="str">
            <v>기아모텍</v>
          </cell>
          <cell r="F761" t="str">
            <v>A</v>
          </cell>
          <cell r="G761" t="str">
            <v>FRONTIER</v>
          </cell>
          <cell r="H761" t="str">
            <v>041110015104</v>
          </cell>
          <cell r="I761" t="str">
            <v>K60A 50 071D</v>
          </cell>
          <cell r="J761" t="str">
            <v>FRT R/F BONNET</v>
          </cell>
          <cell r="K761" t="str">
            <v>금형</v>
          </cell>
          <cell r="L761" t="str">
            <v>DR</v>
          </cell>
          <cell r="M761">
            <v>1</v>
          </cell>
          <cell r="N761">
            <v>40500000</v>
          </cell>
          <cell r="Y761" t="str">
            <v>주물</v>
          </cell>
          <cell r="Z761">
            <v>6.72452352</v>
          </cell>
          <cell r="AA761" t="str">
            <v>2080x780x880</v>
          </cell>
          <cell r="AB761" t="str">
            <v>98-1</v>
          </cell>
          <cell r="AG761" t="str">
            <v>기아모텍</v>
          </cell>
          <cell r="AI761" t="str">
            <v>KMO 안산2공장</v>
          </cell>
        </row>
        <row r="762">
          <cell r="A762">
            <v>628</v>
          </cell>
          <cell r="E762" t="str">
            <v>기아모텍</v>
          </cell>
          <cell r="F762" t="str">
            <v>A</v>
          </cell>
          <cell r="G762" t="str">
            <v>FRONTIER</v>
          </cell>
          <cell r="H762" t="str">
            <v>041101127194</v>
          </cell>
          <cell r="I762" t="str">
            <v>K60A 58 031</v>
          </cell>
          <cell r="J762" t="str">
            <v>FRT DOOR OUT PNL</v>
          </cell>
          <cell r="K762" t="str">
            <v>금형</v>
          </cell>
          <cell r="L762" t="str">
            <v>CUT/PI</v>
          </cell>
          <cell r="M762">
            <v>1</v>
          </cell>
          <cell r="N762">
            <v>66100000</v>
          </cell>
          <cell r="Y762" t="str">
            <v>주물</v>
          </cell>
          <cell r="Z762">
            <v>18.245334240000002</v>
          </cell>
          <cell r="AA762" t="str">
            <v>2440x1620x980</v>
          </cell>
          <cell r="AB762" t="str">
            <v>96-9</v>
          </cell>
          <cell r="AG762" t="str">
            <v>기아모텍</v>
          </cell>
          <cell r="AI762" t="str">
            <v>KMO 안산2공장</v>
          </cell>
        </row>
        <row r="763">
          <cell r="A763">
            <v>629</v>
          </cell>
          <cell r="E763" t="str">
            <v>기아모텍</v>
          </cell>
          <cell r="F763" t="str">
            <v>A</v>
          </cell>
          <cell r="G763" t="str">
            <v>FRONTIER</v>
          </cell>
          <cell r="H763" t="str">
            <v>041101127194</v>
          </cell>
          <cell r="I763" t="str">
            <v>K60A 58 031</v>
          </cell>
          <cell r="J763" t="str">
            <v>FRT DOOR OUT PNL</v>
          </cell>
          <cell r="K763" t="str">
            <v>금형</v>
          </cell>
          <cell r="L763" t="str">
            <v>TR/PI</v>
          </cell>
          <cell r="M763">
            <v>1</v>
          </cell>
          <cell r="N763">
            <v>73100000</v>
          </cell>
          <cell r="Y763" t="str">
            <v>주물</v>
          </cell>
          <cell r="Z763">
            <v>19.774087199999997</v>
          </cell>
          <cell r="AA763" t="str">
            <v>2520x1700x980</v>
          </cell>
          <cell r="AB763" t="str">
            <v>96-9</v>
          </cell>
          <cell r="AG763" t="str">
            <v>기아모텍</v>
          </cell>
          <cell r="AI763" t="str">
            <v>KMO 안산2공장</v>
          </cell>
        </row>
        <row r="764">
          <cell r="A764">
            <v>630</v>
          </cell>
          <cell r="E764" t="str">
            <v>기아모텍</v>
          </cell>
          <cell r="F764" t="str">
            <v>A</v>
          </cell>
          <cell r="G764" t="str">
            <v>FRONTIER</v>
          </cell>
          <cell r="H764" t="str">
            <v>041101127194</v>
          </cell>
          <cell r="I764" t="str">
            <v>K60A 58 031</v>
          </cell>
          <cell r="J764" t="str">
            <v>FRT DOOR OUT PNL</v>
          </cell>
          <cell r="K764" t="str">
            <v>금형</v>
          </cell>
          <cell r="L764" t="str">
            <v>RE/FL</v>
          </cell>
          <cell r="M764">
            <v>1</v>
          </cell>
          <cell r="N764">
            <v>76100000</v>
          </cell>
          <cell r="Y764" t="str">
            <v>주물</v>
          </cell>
          <cell r="Z764">
            <v>20.6880156</v>
          </cell>
          <cell r="AA764" t="str">
            <v>2490x1800x980</v>
          </cell>
          <cell r="AB764" t="str">
            <v>96-9</v>
          </cell>
          <cell r="AG764" t="str">
            <v>기아모텍</v>
          </cell>
          <cell r="AI764" t="str">
            <v>KMO 안산2공장</v>
          </cell>
        </row>
        <row r="765">
          <cell r="A765">
            <v>631</v>
          </cell>
          <cell r="E765" t="str">
            <v>기아모텍</v>
          </cell>
          <cell r="F765" t="str">
            <v>A</v>
          </cell>
          <cell r="G765" t="str">
            <v>FRONTIER</v>
          </cell>
          <cell r="H765" t="str">
            <v>041101127194</v>
          </cell>
          <cell r="I765" t="str">
            <v>K60A 58 031</v>
          </cell>
          <cell r="J765" t="str">
            <v>FRT DOOR OUT PNL</v>
          </cell>
          <cell r="K765" t="str">
            <v>금형</v>
          </cell>
          <cell r="L765" t="str">
            <v>DR</v>
          </cell>
          <cell r="M765">
            <v>1</v>
          </cell>
          <cell r="N765">
            <v>89100000</v>
          </cell>
          <cell r="Y765" t="str">
            <v>주물</v>
          </cell>
          <cell r="Z765">
            <v>21.264298229999998</v>
          </cell>
          <cell r="AA765" t="str">
            <v>2315x1990x980</v>
          </cell>
          <cell r="AB765" t="str">
            <v>96-9</v>
          </cell>
          <cell r="AG765" t="str">
            <v>기아모텍</v>
          </cell>
          <cell r="AI765" t="str">
            <v>KMO 안산2공장</v>
          </cell>
        </row>
        <row r="766">
          <cell r="A766">
            <v>632</v>
          </cell>
          <cell r="E766" t="str">
            <v>기아모텍</v>
          </cell>
          <cell r="F766" t="str">
            <v>A</v>
          </cell>
          <cell r="G766" t="str">
            <v>FRONTIER</v>
          </cell>
          <cell r="H766" t="str">
            <v>041101127204</v>
          </cell>
          <cell r="I766" t="str">
            <v>K60A 58 071</v>
          </cell>
          <cell r="J766" t="str">
            <v>FRT DOOR IN PNL</v>
          </cell>
          <cell r="K766" t="str">
            <v>금형</v>
          </cell>
          <cell r="L766" t="str">
            <v>BL</v>
          </cell>
          <cell r="M766">
            <v>1</v>
          </cell>
          <cell r="N766">
            <v>56100000</v>
          </cell>
          <cell r="Y766" t="str">
            <v>주물</v>
          </cell>
          <cell r="Z766">
            <v>15.509088</v>
          </cell>
          <cell r="AA766" t="str">
            <v>2240x1500x980</v>
          </cell>
          <cell r="AB766" t="str">
            <v>96-9</v>
          </cell>
          <cell r="AG766" t="str">
            <v>기아모텍</v>
          </cell>
          <cell r="AI766" t="str">
            <v>KMO 안산2공장</v>
          </cell>
        </row>
        <row r="767">
          <cell r="A767">
            <v>633</v>
          </cell>
          <cell r="E767" t="str">
            <v>기아모텍</v>
          </cell>
          <cell r="F767" t="str">
            <v>A</v>
          </cell>
          <cell r="G767" t="str">
            <v>FRONTIER</v>
          </cell>
          <cell r="H767" t="str">
            <v>041101127204</v>
          </cell>
          <cell r="I767" t="str">
            <v>K60A 58 071</v>
          </cell>
          <cell r="J767" t="str">
            <v>FRT DOOR IN PNL</v>
          </cell>
          <cell r="K767" t="str">
            <v>금형</v>
          </cell>
          <cell r="L767" t="str">
            <v>CUT/PI</v>
          </cell>
          <cell r="M767">
            <v>1</v>
          </cell>
          <cell r="N767">
            <v>63100000</v>
          </cell>
          <cell r="Y767" t="str">
            <v>주물</v>
          </cell>
          <cell r="Z767">
            <v>17.49272805</v>
          </cell>
          <cell r="AA767" t="str">
            <v>2445x1550x980</v>
          </cell>
          <cell r="AB767" t="str">
            <v>96-9</v>
          </cell>
          <cell r="AG767" t="str">
            <v>기아모텍</v>
          </cell>
          <cell r="AI767" t="str">
            <v>KMO 안산2공장</v>
          </cell>
        </row>
        <row r="768">
          <cell r="A768">
            <v>634</v>
          </cell>
          <cell r="E768" t="str">
            <v>기아모텍</v>
          </cell>
          <cell r="F768" t="str">
            <v>A</v>
          </cell>
          <cell r="G768" t="str">
            <v>FRONTIER</v>
          </cell>
          <cell r="H768" t="str">
            <v>041101127204</v>
          </cell>
          <cell r="I768" t="str">
            <v>K60A 58 071</v>
          </cell>
          <cell r="J768" t="str">
            <v>FRT DOOR IN PNL</v>
          </cell>
          <cell r="K768" t="str">
            <v>금형</v>
          </cell>
          <cell r="L768" t="str">
            <v>PI/RE</v>
          </cell>
          <cell r="M768">
            <v>1</v>
          </cell>
          <cell r="N768">
            <v>67100000</v>
          </cell>
          <cell r="Y768" t="str">
            <v>주물</v>
          </cell>
          <cell r="Z768">
            <v>18.417041999999999</v>
          </cell>
          <cell r="AA768" t="str">
            <v>2280x1750x980</v>
          </cell>
          <cell r="AB768" t="str">
            <v>96-9</v>
          </cell>
          <cell r="AG768" t="str">
            <v>기아모텍</v>
          </cell>
          <cell r="AI768" t="str">
            <v>KMO 안산2공장</v>
          </cell>
        </row>
        <row r="769">
          <cell r="A769">
            <v>635</v>
          </cell>
          <cell r="E769" t="str">
            <v>기아모텍</v>
          </cell>
          <cell r="F769" t="str">
            <v>A</v>
          </cell>
          <cell r="G769" t="str">
            <v>FRONTIER</v>
          </cell>
          <cell r="H769" t="str">
            <v>041101127204</v>
          </cell>
          <cell r="I769" t="str">
            <v>K60A 58 071</v>
          </cell>
          <cell r="J769" t="str">
            <v>FRT DOOR IN PNL</v>
          </cell>
          <cell r="K769" t="str">
            <v>금형</v>
          </cell>
          <cell r="L769" t="str">
            <v>TR/PI</v>
          </cell>
          <cell r="M769">
            <v>1</v>
          </cell>
          <cell r="N769">
            <v>67100000</v>
          </cell>
          <cell r="Y769" t="str">
            <v>주물</v>
          </cell>
          <cell r="Z769">
            <v>18.278568</v>
          </cell>
          <cell r="AA769" t="str">
            <v>2200x1800x980</v>
          </cell>
          <cell r="AB769" t="str">
            <v>96-9</v>
          </cell>
          <cell r="AG769" t="str">
            <v>기아모텍</v>
          </cell>
          <cell r="AI769" t="str">
            <v>KMO 안산2공장</v>
          </cell>
        </row>
        <row r="770">
          <cell r="A770">
            <v>636</v>
          </cell>
          <cell r="E770" t="str">
            <v>기아모텍</v>
          </cell>
          <cell r="F770" t="str">
            <v>A</v>
          </cell>
          <cell r="G770" t="str">
            <v>FRONTIER</v>
          </cell>
          <cell r="H770" t="str">
            <v>041101127204</v>
          </cell>
          <cell r="I770" t="str">
            <v>K60A 58 071</v>
          </cell>
          <cell r="J770" t="str">
            <v>FRT DOOR IN PNL</v>
          </cell>
          <cell r="K770" t="str">
            <v>금형</v>
          </cell>
          <cell r="L770" t="str">
            <v>RE/PI</v>
          </cell>
          <cell r="M770">
            <v>1</v>
          </cell>
          <cell r="N770">
            <v>80100000</v>
          </cell>
          <cell r="Y770" t="str">
            <v>주물</v>
          </cell>
          <cell r="Z770">
            <v>19.294044000000003</v>
          </cell>
          <cell r="AA770" t="str">
            <v>2200x1900x980</v>
          </cell>
          <cell r="AB770" t="str">
            <v>96-9</v>
          </cell>
          <cell r="AG770" t="str">
            <v>기아모텍</v>
          </cell>
          <cell r="AI770" t="str">
            <v>KMO 안산2공장</v>
          </cell>
        </row>
        <row r="771">
          <cell r="A771">
            <v>637</v>
          </cell>
          <cell r="E771" t="str">
            <v>기아모텍</v>
          </cell>
          <cell r="F771" t="str">
            <v>A</v>
          </cell>
          <cell r="G771" t="str">
            <v>FRONTIER</v>
          </cell>
          <cell r="H771" t="str">
            <v>041101127204</v>
          </cell>
          <cell r="I771" t="str">
            <v>K60A 58 071</v>
          </cell>
          <cell r="J771" t="str">
            <v>FRT DOOR IN PNL</v>
          </cell>
          <cell r="K771" t="str">
            <v>금형</v>
          </cell>
          <cell r="L771" t="str">
            <v>DR</v>
          </cell>
          <cell r="M771">
            <v>1</v>
          </cell>
          <cell r="N771">
            <v>84100000</v>
          </cell>
          <cell r="Y771" t="str">
            <v>주물</v>
          </cell>
          <cell r="Z771">
            <v>20.161814400000001</v>
          </cell>
          <cell r="AA771" t="str">
            <v>2240x1950x980</v>
          </cell>
          <cell r="AB771" t="str">
            <v>96-9</v>
          </cell>
          <cell r="AG771" t="str">
            <v>기아모텍</v>
          </cell>
          <cell r="AI771" t="str">
            <v>KMO 안산2공장</v>
          </cell>
        </row>
        <row r="772">
          <cell r="A772">
            <v>638</v>
          </cell>
          <cell r="E772" t="str">
            <v>기아모텍</v>
          </cell>
          <cell r="F772" t="str">
            <v>A</v>
          </cell>
          <cell r="G772" t="str">
            <v>FRONTIER</v>
          </cell>
          <cell r="H772" t="str">
            <v>041110015385</v>
          </cell>
          <cell r="I772" t="str">
            <v>K60A 58 211</v>
          </cell>
          <cell r="J772" t="str">
            <v>HINGE FEMALE</v>
          </cell>
          <cell r="K772" t="str">
            <v>금형</v>
          </cell>
          <cell r="L772" t="str">
            <v>BL</v>
          </cell>
          <cell r="M772">
            <v>1</v>
          </cell>
          <cell r="N772">
            <v>3120000</v>
          </cell>
          <cell r="Y772" t="str">
            <v>STEEL</v>
          </cell>
          <cell r="Z772">
            <v>0.37197224999999995</v>
          </cell>
          <cell r="AA772" t="str">
            <v>650x450x270</v>
          </cell>
          <cell r="AB772" t="str">
            <v>98-3</v>
          </cell>
          <cell r="AG772" t="str">
            <v>일석산업</v>
          </cell>
          <cell r="AI772" t="str">
            <v>일석산업</v>
          </cell>
        </row>
        <row r="773">
          <cell r="A773">
            <v>639</v>
          </cell>
          <cell r="E773" t="str">
            <v>기아모텍</v>
          </cell>
          <cell r="F773" t="str">
            <v>A</v>
          </cell>
          <cell r="G773" t="str">
            <v>FRONTIER</v>
          </cell>
          <cell r="H773" t="str">
            <v>041110015385</v>
          </cell>
          <cell r="I773" t="str">
            <v>K60A 58 211</v>
          </cell>
          <cell r="J773" t="str">
            <v>HINGE FEMALE</v>
          </cell>
          <cell r="K773" t="str">
            <v>금형</v>
          </cell>
          <cell r="L773" t="str">
            <v>BE</v>
          </cell>
          <cell r="M773">
            <v>1</v>
          </cell>
          <cell r="N773">
            <v>3315000</v>
          </cell>
          <cell r="Y773" t="str">
            <v>STEEL</v>
          </cell>
          <cell r="Z773">
            <v>0.39563999999999999</v>
          </cell>
          <cell r="AA773" t="str">
            <v>600x400x350</v>
          </cell>
          <cell r="AB773" t="str">
            <v>98-3</v>
          </cell>
          <cell r="AG773" t="str">
            <v>일석산업</v>
          </cell>
          <cell r="AI773" t="str">
            <v>일석산업</v>
          </cell>
        </row>
        <row r="774">
          <cell r="A774">
            <v>640</v>
          </cell>
          <cell r="E774" t="str">
            <v>기아모텍</v>
          </cell>
          <cell r="F774" t="str">
            <v>A</v>
          </cell>
          <cell r="G774" t="str">
            <v>FRONTIER</v>
          </cell>
          <cell r="H774" t="str">
            <v>041110015385</v>
          </cell>
          <cell r="I774" t="str">
            <v>K60A 58 211</v>
          </cell>
          <cell r="J774" t="str">
            <v>HINGE FEMALE</v>
          </cell>
          <cell r="K774" t="str">
            <v>금형</v>
          </cell>
          <cell r="L774" t="str">
            <v>PI-C/PI</v>
          </cell>
          <cell r="M774">
            <v>1</v>
          </cell>
          <cell r="N774">
            <v>4770000</v>
          </cell>
          <cell r="Y774" t="str">
            <v>STEEL</v>
          </cell>
          <cell r="Z774">
            <v>0.76302000000000003</v>
          </cell>
          <cell r="AA774" t="str">
            <v>900x450x400</v>
          </cell>
          <cell r="AB774" t="str">
            <v>98-3</v>
          </cell>
          <cell r="AG774" t="str">
            <v>일석산업</v>
          </cell>
          <cell r="AI774" t="str">
            <v>일석산업</v>
          </cell>
        </row>
        <row r="775">
          <cell r="A775">
            <v>641</v>
          </cell>
          <cell r="E775" t="str">
            <v>기아모텍</v>
          </cell>
          <cell r="F775" t="str">
            <v>A</v>
          </cell>
          <cell r="G775" t="str">
            <v>FRONTIER</v>
          </cell>
          <cell r="H775" t="str">
            <v>041110015445</v>
          </cell>
          <cell r="I775" t="str">
            <v>K60A 58 221</v>
          </cell>
          <cell r="J775" t="str">
            <v>HINGE MALE</v>
          </cell>
          <cell r="K775" t="str">
            <v>금형</v>
          </cell>
          <cell r="L775" t="str">
            <v>RE</v>
          </cell>
          <cell r="M775">
            <v>1</v>
          </cell>
          <cell r="N775">
            <v>1335000</v>
          </cell>
          <cell r="Y775" t="str">
            <v>STEEL</v>
          </cell>
          <cell r="Z775">
            <v>0.22608</v>
          </cell>
          <cell r="AA775" t="str">
            <v>500x300x320</v>
          </cell>
          <cell r="AB775" t="str">
            <v>98-3</v>
          </cell>
          <cell r="AG775" t="str">
            <v>일석산업</v>
          </cell>
          <cell r="AI775" t="str">
            <v>일석산업</v>
          </cell>
        </row>
        <row r="776">
          <cell r="A776">
            <v>642</v>
          </cell>
          <cell r="E776" t="str">
            <v>기아모텍</v>
          </cell>
          <cell r="F776" t="str">
            <v>A</v>
          </cell>
          <cell r="G776" t="str">
            <v>FRONTIER</v>
          </cell>
          <cell r="H776" t="str">
            <v>041110015445</v>
          </cell>
          <cell r="I776" t="str">
            <v>K60A 58 221</v>
          </cell>
          <cell r="J776" t="str">
            <v>HINGE MALE</v>
          </cell>
          <cell r="K776" t="str">
            <v>금형</v>
          </cell>
          <cell r="L776" t="str">
            <v>PI</v>
          </cell>
          <cell r="M776">
            <v>1</v>
          </cell>
          <cell r="N776">
            <v>1425000</v>
          </cell>
          <cell r="Y776" t="str">
            <v>STEEL</v>
          </cell>
          <cell r="Z776">
            <v>0.21195</v>
          </cell>
          <cell r="AA776" t="str">
            <v>500x300x300</v>
          </cell>
          <cell r="AB776" t="str">
            <v>98-3</v>
          </cell>
          <cell r="AG776" t="str">
            <v>일석산업</v>
          </cell>
          <cell r="AI776" t="str">
            <v>일석산업</v>
          </cell>
        </row>
        <row r="777">
          <cell r="A777">
            <v>643</v>
          </cell>
          <cell r="E777" t="str">
            <v>기아모텍</v>
          </cell>
          <cell r="F777" t="str">
            <v>A</v>
          </cell>
          <cell r="G777" t="str">
            <v>FRONTIER</v>
          </cell>
          <cell r="H777" t="str">
            <v>041110015445</v>
          </cell>
          <cell r="I777" t="str">
            <v>K60A 58 221</v>
          </cell>
          <cell r="J777" t="str">
            <v>HINGE MALE</v>
          </cell>
          <cell r="K777" t="str">
            <v>금형</v>
          </cell>
          <cell r="L777" t="str">
            <v>BE</v>
          </cell>
          <cell r="M777">
            <v>1</v>
          </cell>
          <cell r="N777">
            <v>1650000</v>
          </cell>
          <cell r="Y777" t="str">
            <v>STEEL</v>
          </cell>
          <cell r="Z777">
            <v>0.28966499999999995</v>
          </cell>
          <cell r="AA777" t="str">
            <v>500x300x410</v>
          </cell>
          <cell r="AB777" t="str">
            <v>98-3</v>
          </cell>
          <cell r="AG777" t="str">
            <v>일석산업</v>
          </cell>
          <cell r="AI777" t="str">
            <v>일석산업</v>
          </cell>
        </row>
        <row r="778">
          <cell r="A778">
            <v>644</v>
          </cell>
          <cell r="E778" t="str">
            <v>기아모텍</v>
          </cell>
          <cell r="F778" t="str">
            <v>A</v>
          </cell>
          <cell r="G778" t="str">
            <v>FRONTIER</v>
          </cell>
          <cell r="H778" t="str">
            <v>041110015445</v>
          </cell>
          <cell r="I778" t="str">
            <v>K60A 58 221</v>
          </cell>
          <cell r="J778" t="str">
            <v>HINGE MALE</v>
          </cell>
          <cell r="K778" t="str">
            <v>금형</v>
          </cell>
          <cell r="L778" t="str">
            <v>BE</v>
          </cell>
          <cell r="M778">
            <v>1</v>
          </cell>
          <cell r="N778">
            <v>2130000</v>
          </cell>
          <cell r="Y778" t="str">
            <v>STEEL</v>
          </cell>
          <cell r="Z778">
            <v>0.28259999999999996</v>
          </cell>
          <cell r="AA778" t="str">
            <v>500x300x400</v>
          </cell>
          <cell r="AB778" t="str">
            <v>98-3</v>
          </cell>
          <cell r="AG778" t="str">
            <v>일석산업</v>
          </cell>
          <cell r="AI778" t="str">
            <v>일석산업</v>
          </cell>
        </row>
        <row r="779">
          <cell r="A779">
            <v>645</v>
          </cell>
          <cell r="E779" t="str">
            <v>기아모텍</v>
          </cell>
          <cell r="F779" t="str">
            <v>A</v>
          </cell>
          <cell r="G779" t="str">
            <v>FRONTIER</v>
          </cell>
          <cell r="H779" t="str">
            <v>041110015445</v>
          </cell>
          <cell r="I779" t="str">
            <v>K60A 58 221</v>
          </cell>
          <cell r="J779" t="str">
            <v>HINGE MALE</v>
          </cell>
          <cell r="K779" t="str">
            <v>금형</v>
          </cell>
          <cell r="L779" t="str">
            <v>BL</v>
          </cell>
          <cell r="M779">
            <v>1</v>
          </cell>
          <cell r="N779">
            <v>2520000</v>
          </cell>
          <cell r="Y779" t="str">
            <v>STEEL</v>
          </cell>
          <cell r="Z779">
            <v>0.20601539999999996</v>
          </cell>
          <cell r="AA779" t="str">
            <v>540x300x270</v>
          </cell>
          <cell r="AB779" t="str">
            <v>98-3</v>
          </cell>
          <cell r="AG779" t="str">
            <v>일석산업</v>
          </cell>
          <cell r="AI779" t="str">
            <v>일석산업</v>
          </cell>
        </row>
        <row r="780">
          <cell r="A780">
            <v>646</v>
          </cell>
          <cell r="E780" t="str">
            <v>기아모텍</v>
          </cell>
          <cell r="F780" t="str">
            <v>A</v>
          </cell>
          <cell r="G780" t="str">
            <v>FRONTIER</v>
          </cell>
          <cell r="H780" t="str">
            <v>041110015445</v>
          </cell>
          <cell r="I780" t="str">
            <v>K60A 58 221</v>
          </cell>
          <cell r="J780" t="str">
            <v>HINGE MALE</v>
          </cell>
          <cell r="K780" t="str">
            <v>금형</v>
          </cell>
          <cell r="L780" t="str">
            <v>C/PI</v>
          </cell>
          <cell r="M780">
            <v>1</v>
          </cell>
          <cell r="N780">
            <v>4575000</v>
          </cell>
          <cell r="Y780" t="str">
            <v>STEEL</v>
          </cell>
          <cell r="Z780">
            <v>0.8478</v>
          </cell>
          <cell r="AA780" t="str">
            <v>900x500x400</v>
          </cell>
          <cell r="AB780" t="str">
            <v>98-3</v>
          </cell>
          <cell r="AG780" t="str">
            <v>일석산업</v>
          </cell>
          <cell r="AI780" t="str">
            <v>일석산업</v>
          </cell>
        </row>
        <row r="781">
          <cell r="A781">
            <v>647</v>
          </cell>
          <cell r="E781" t="str">
            <v>기아모텍</v>
          </cell>
          <cell r="F781" t="str">
            <v>A</v>
          </cell>
          <cell r="G781" t="str">
            <v>FRONTIER</v>
          </cell>
          <cell r="H781" t="str">
            <v>041101127214</v>
          </cell>
          <cell r="I781" t="str">
            <v>K60A 59 031</v>
          </cell>
          <cell r="J781" t="str">
            <v>FRT DOOR OUT PNL</v>
          </cell>
          <cell r="K781" t="str">
            <v>금형</v>
          </cell>
          <cell r="L781" t="str">
            <v>CUT/PI</v>
          </cell>
          <cell r="M781">
            <v>1</v>
          </cell>
          <cell r="N781">
            <v>66100000</v>
          </cell>
          <cell r="Y781" t="str">
            <v>주물</v>
          </cell>
          <cell r="Z781">
            <v>18.245334240000002</v>
          </cell>
          <cell r="AA781" t="str">
            <v>2440x1620x980</v>
          </cell>
          <cell r="AB781" t="str">
            <v>96-9</v>
          </cell>
          <cell r="AG781" t="str">
            <v>기아모텍</v>
          </cell>
          <cell r="AI781" t="str">
            <v>KMO 안산2공장</v>
          </cell>
        </row>
        <row r="782">
          <cell r="A782">
            <v>648</v>
          </cell>
          <cell r="E782" t="str">
            <v>기아모텍</v>
          </cell>
          <cell r="F782" t="str">
            <v>A</v>
          </cell>
          <cell r="G782" t="str">
            <v>FRONTIER</v>
          </cell>
          <cell r="H782" t="str">
            <v>041101127214</v>
          </cell>
          <cell r="I782" t="str">
            <v>K60A 59 031</v>
          </cell>
          <cell r="J782" t="str">
            <v>FRT DOOR OUT PNL</v>
          </cell>
          <cell r="K782" t="str">
            <v>금형</v>
          </cell>
          <cell r="L782" t="str">
            <v>TR/PI</v>
          </cell>
          <cell r="M782">
            <v>1</v>
          </cell>
          <cell r="N782">
            <v>73100000</v>
          </cell>
          <cell r="Y782" t="str">
            <v>주물</v>
          </cell>
          <cell r="Z782">
            <v>19.774087199999997</v>
          </cell>
          <cell r="AA782" t="str">
            <v>2520x1700x980</v>
          </cell>
          <cell r="AB782" t="str">
            <v>96-9</v>
          </cell>
          <cell r="AG782" t="str">
            <v>기아모텍</v>
          </cell>
          <cell r="AI782" t="str">
            <v>KMO 안산2공장</v>
          </cell>
        </row>
        <row r="783">
          <cell r="A783">
            <v>649</v>
          </cell>
          <cell r="E783" t="str">
            <v>기아모텍</v>
          </cell>
          <cell r="F783" t="str">
            <v>A</v>
          </cell>
          <cell r="G783" t="str">
            <v>FRONTIER</v>
          </cell>
          <cell r="H783" t="str">
            <v>041101127214</v>
          </cell>
          <cell r="I783" t="str">
            <v>K60A 59 031</v>
          </cell>
          <cell r="J783" t="str">
            <v>FRT DOOR OUT PNL</v>
          </cell>
          <cell r="K783" t="str">
            <v>금형</v>
          </cell>
          <cell r="L783" t="str">
            <v>RE/FL</v>
          </cell>
          <cell r="M783">
            <v>1</v>
          </cell>
          <cell r="N783">
            <v>76100000</v>
          </cell>
          <cell r="Y783" t="str">
            <v>주물</v>
          </cell>
          <cell r="Z783">
            <v>20.6880156</v>
          </cell>
          <cell r="AA783" t="str">
            <v>2490x1800x980</v>
          </cell>
          <cell r="AB783" t="str">
            <v>96-9</v>
          </cell>
          <cell r="AG783" t="str">
            <v>기아모텍</v>
          </cell>
          <cell r="AI783" t="str">
            <v>KMO 안산2공장</v>
          </cell>
        </row>
        <row r="784">
          <cell r="A784">
            <v>650</v>
          </cell>
          <cell r="E784" t="str">
            <v>기아모텍</v>
          </cell>
          <cell r="F784" t="str">
            <v>A</v>
          </cell>
          <cell r="G784" t="str">
            <v>FRONTIER</v>
          </cell>
          <cell r="H784" t="str">
            <v>041101127214</v>
          </cell>
          <cell r="I784" t="str">
            <v>K60A 59 031</v>
          </cell>
          <cell r="J784" t="str">
            <v>FRT DOOR OUT PNL</v>
          </cell>
          <cell r="K784" t="str">
            <v>금형</v>
          </cell>
          <cell r="L784" t="str">
            <v>DR</v>
          </cell>
          <cell r="M784">
            <v>1</v>
          </cell>
          <cell r="N784">
            <v>89100000</v>
          </cell>
          <cell r="Y784" t="str">
            <v>주물</v>
          </cell>
          <cell r="Z784">
            <v>21.264298229999998</v>
          </cell>
          <cell r="AA784" t="str">
            <v>2315x1990x980</v>
          </cell>
          <cell r="AB784" t="str">
            <v>96-9</v>
          </cell>
          <cell r="AG784" t="str">
            <v>기아모텍</v>
          </cell>
          <cell r="AI784" t="str">
            <v>KMO 안산2공장</v>
          </cell>
        </row>
        <row r="785">
          <cell r="A785">
            <v>651</v>
          </cell>
          <cell r="E785" t="str">
            <v>기아모텍</v>
          </cell>
          <cell r="F785" t="str">
            <v>A</v>
          </cell>
          <cell r="G785" t="str">
            <v>FRONTIER</v>
          </cell>
          <cell r="H785" t="str">
            <v>041101127224</v>
          </cell>
          <cell r="I785" t="str">
            <v>K60A 59 071</v>
          </cell>
          <cell r="J785" t="str">
            <v>FRT DOOR IN PNL</v>
          </cell>
          <cell r="K785" t="str">
            <v>금형</v>
          </cell>
          <cell r="L785" t="str">
            <v>BL</v>
          </cell>
          <cell r="M785">
            <v>1</v>
          </cell>
          <cell r="N785">
            <v>56100000</v>
          </cell>
          <cell r="Y785" t="str">
            <v>주물</v>
          </cell>
          <cell r="Z785">
            <v>15.509088</v>
          </cell>
          <cell r="AA785" t="str">
            <v>2240x1500x980</v>
          </cell>
          <cell r="AB785" t="str">
            <v>96-9</v>
          </cell>
          <cell r="AG785" t="str">
            <v>기아모텍</v>
          </cell>
          <cell r="AI785" t="str">
            <v>KMO 안산2공장</v>
          </cell>
        </row>
        <row r="786">
          <cell r="A786">
            <v>652</v>
          </cell>
          <cell r="E786" t="str">
            <v>기아모텍</v>
          </cell>
          <cell r="F786" t="str">
            <v>A</v>
          </cell>
          <cell r="G786" t="str">
            <v>FRONTIER</v>
          </cell>
          <cell r="H786" t="str">
            <v>041101127224</v>
          </cell>
          <cell r="I786" t="str">
            <v>K60A 59 071</v>
          </cell>
          <cell r="J786" t="str">
            <v>FRT DOOR IN PNL</v>
          </cell>
          <cell r="K786" t="str">
            <v>금형</v>
          </cell>
          <cell r="L786" t="str">
            <v>CUT/PI</v>
          </cell>
          <cell r="M786">
            <v>1</v>
          </cell>
          <cell r="N786">
            <v>63100000</v>
          </cell>
          <cell r="Y786" t="str">
            <v>주물</v>
          </cell>
          <cell r="Z786">
            <v>17.49272805</v>
          </cell>
          <cell r="AA786" t="str">
            <v>2445x1550x980</v>
          </cell>
          <cell r="AB786" t="str">
            <v>96-9</v>
          </cell>
          <cell r="AG786" t="str">
            <v>기아모텍</v>
          </cell>
          <cell r="AI786" t="str">
            <v>KMO 안산2공장</v>
          </cell>
        </row>
        <row r="787">
          <cell r="A787">
            <v>653</v>
          </cell>
          <cell r="E787" t="str">
            <v>기아모텍</v>
          </cell>
          <cell r="F787" t="str">
            <v>A</v>
          </cell>
          <cell r="G787" t="str">
            <v>FRONTIER</v>
          </cell>
          <cell r="H787" t="str">
            <v>041101127224</v>
          </cell>
          <cell r="I787" t="str">
            <v>K60A 59 071</v>
          </cell>
          <cell r="J787" t="str">
            <v>FRT DOOR IN PNL</v>
          </cell>
          <cell r="K787" t="str">
            <v>금형</v>
          </cell>
          <cell r="L787" t="str">
            <v>PI/RE</v>
          </cell>
          <cell r="M787">
            <v>1</v>
          </cell>
          <cell r="N787">
            <v>67100000</v>
          </cell>
          <cell r="Y787" t="str">
            <v>주물</v>
          </cell>
          <cell r="Z787">
            <v>18.417041999999999</v>
          </cell>
          <cell r="AA787" t="str">
            <v>2280x1750x980</v>
          </cell>
          <cell r="AB787" t="str">
            <v>96-9</v>
          </cell>
          <cell r="AG787" t="str">
            <v>기아모텍</v>
          </cell>
          <cell r="AI787" t="str">
            <v>KMO 안산2공장</v>
          </cell>
        </row>
        <row r="788">
          <cell r="A788">
            <v>654</v>
          </cell>
          <cell r="E788" t="str">
            <v>기아모텍</v>
          </cell>
          <cell r="F788" t="str">
            <v>A</v>
          </cell>
          <cell r="G788" t="str">
            <v>FRONTIER</v>
          </cell>
          <cell r="H788" t="str">
            <v>041101127224</v>
          </cell>
          <cell r="I788" t="str">
            <v>K60A 59 071</v>
          </cell>
          <cell r="J788" t="str">
            <v>FRT DOOR IN PNL</v>
          </cell>
          <cell r="K788" t="str">
            <v>금형</v>
          </cell>
          <cell r="L788" t="str">
            <v>TR/PI</v>
          </cell>
          <cell r="M788">
            <v>1</v>
          </cell>
          <cell r="N788">
            <v>67100000</v>
          </cell>
          <cell r="Y788" t="str">
            <v>주물</v>
          </cell>
          <cell r="Z788">
            <v>18.278568</v>
          </cell>
          <cell r="AA788" t="str">
            <v>2200x1800x980</v>
          </cell>
          <cell r="AB788" t="str">
            <v>96-9</v>
          </cell>
          <cell r="AG788" t="str">
            <v>기아모텍</v>
          </cell>
          <cell r="AI788" t="str">
            <v>KMO 안산2공장</v>
          </cell>
        </row>
        <row r="789">
          <cell r="A789">
            <v>655</v>
          </cell>
          <cell r="E789" t="str">
            <v>기아모텍</v>
          </cell>
          <cell r="F789" t="str">
            <v>A</v>
          </cell>
          <cell r="G789" t="str">
            <v>FRONTIER</v>
          </cell>
          <cell r="H789" t="str">
            <v>041101127224</v>
          </cell>
          <cell r="I789" t="str">
            <v>K60A 59 071</v>
          </cell>
          <cell r="J789" t="str">
            <v>FRT DOOR IN PNL</v>
          </cell>
          <cell r="K789" t="str">
            <v>금형</v>
          </cell>
          <cell r="L789" t="str">
            <v>RE/PI</v>
          </cell>
          <cell r="M789">
            <v>1</v>
          </cell>
          <cell r="N789">
            <v>80100000</v>
          </cell>
          <cell r="Y789" t="str">
            <v>주물</v>
          </cell>
          <cell r="Z789">
            <v>19.294044000000003</v>
          </cell>
          <cell r="AA789" t="str">
            <v>2200x1900x980</v>
          </cell>
          <cell r="AB789" t="str">
            <v>96-9</v>
          </cell>
          <cell r="AG789" t="str">
            <v>기아모텍</v>
          </cell>
          <cell r="AI789" t="str">
            <v>KMO 안산2공장</v>
          </cell>
        </row>
        <row r="790">
          <cell r="A790">
            <v>656</v>
          </cell>
          <cell r="E790" t="str">
            <v>기아모텍</v>
          </cell>
          <cell r="F790" t="str">
            <v>A</v>
          </cell>
          <cell r="G790" t="str">
            <v>FRONTIER</v>
          </cell>
          <cell r="H790" t="str">
            <v>041101127224</v>
          </cell>
          <cell r="I790" t="str">
            <v>K60A 59 071</v>
          </cell>
          <cell r="J790" t="str">
            <v>FRT DOOR IN PNL</v>
          </cell>
          <cell r="K790" t="str">
            <v>금형</v>
          </cell>
          <cell r="L790" t="str">
            <v>DR</v>
          </cell>
          <cell r="M790">
            <v>1</v>
          </cell>
          <cell r="N790">
            <v>84100000</v>
          </cell>
          <cell r="Y790" t="str">
            <v>주물</v>
          </cell>
          <cell r="Z790">
            <v>20.161814400000001</v>
          </cell>
          <cell r="AA790" t="str">
            <v>2240x1950x980</v>
          </cell>
          <cell r="AB790" t="str">
            <v>96-9</v>
          </cell>
          <cell r="AG790" t="str">
            <v>기아모텍</v>
          </cell>
          <cell r="AI790" t="str">
            <v>KMO 안산2공장</v>
          </cell>
        </row>
        <row r="791">
          <cell r="A791">
            <v>657</v>
          </cell>
          <cell r="E791" t="str">
            <v>기아모텍</v>
          </cell>
          <cell r="F791" t="str">
            <v>A</v>
          </cell>
          <cell r="G791" t="str">
            <v>FRONTIER</v>
          </cell>
          <cell r="H791" t="str">
            <v>044101018134</v>
          </cell>
          <cell r="I791" t="str">
            <v>K60A 70 601</v>
          </cell>
          <cell r="J791" t="str">
            <v>W-3 D/C ROOF PANEL</v>
          </cell>
          <cell r="K791" t="str">
            <v>검사구</v>
          </cell>
          <cell r="M791">
            <v>1</v>
          </cell>
          <cell r="N791">
            <v>19000000</v>
          </cell>
          <cell r="AA791" t="str">
            <v>xx</v>
          </cell>
          <cell r="AI791" t="str">
            <v>대우공업</v>
          </cell>
          <cell r="AK791" t="str">
            <v>당사품이 아님</v>
          </cell>
        </row>
        <row r="792">
          <cell r="A792">
            <v>658</v>
          </cell>
          <cell r="E792" t="str">
            <v>기아모텍</v>
          </cell>
          <cell r="F792" t="str">
            <v>A</v>
          </cell>
          <cell r="G792" t="str">
            <v>FRONTIER</v>
          </cell>
          <cell r="H792" t="str">
            <v>044101018264</v>
          </cell>
          <cell r="I792" t="str">
            <v>K60N 53 000</v>
          </cell>
          <cell r="J792" t="str">
            <v>BODY SHELL 검사구(W-3)</v>
          </cell>
          <cell r="K792" t="str">
            <v>치구</v>
          </cell>
          <cell r="M792">
            <v>1</v>
          </cell>
          <cell r="N792">
            <v>82000000</v>
          </cell>
          <cell r="AA792" t="str">
            <v>xx</v>
          </cell>
          <cell r="AI792" t="str">
            <v>대우공업</v>
          </cell>
          <cell r="AK792" t="str">
            <v>당사품이 아님</v>
          </cell>
        </row>
        <row r="793">
          <cell r="A793">
            <v>659</v>
          </cell>
          <cell r="E793" t="str">
            <v>기아모텍</v>
          </cell>
          <cell r="F793" t="str">
            <v>A</v>
          </cell>
          <cell r="G793" t="str">
            <v>FRONTIER</v>
          </cell>
          <cell r="H793" t="str">
            <v>044101018074</v>
          </cell>
          <cell r="I793" t="str">
            <v>K60N 72 031</v>
          </cell>
          <cell r="J793" t="str">
            <v>W-3 RR DOOR OUT 검사구</v>
          </cell>
          <cell r="K793" t="str">
            <v>치구</v>
          </cell>
          <cell r="M793">
            <v>1</v>
          </cell>
          <cell r="N793">
            <v>7000000</v>
          </cell>
          <cell r="AA793" t="str">
            <v>xx</v>
          </cell>
          <cell r="AI793" t="str">
            <v>대우공업</v>
          </cell>
          <cell r="AK793" t="str">
            <v>당사품이 아님</v>
          </cell>
        </row>
        <row r="794">
          <cell r="A794">
            <v>660</v>
          </cell>
          <cell r="E794" t="str">
            <v>기아모텍</v>
          </cell>
          <cell r="F794" t="str">
            <v>A</v>
          </cell>
          <cell r="G794" t="str">
            <v>FRONTIER</v>
          </cell>
          <cell r="H794" t="str">
            <v>044101018084</v>
          </cell>
          <cell r="I794" t="str">
            <v>K60N 72/73 071</v>
          </cell>
          <cell r="J794" t="str">
            <v>W-3 RR DOOR IN 검사구</v>
          </cell>
          <cell r="K794" t="str">
            <v>치구</v>
          </cell>
          <cell r="M794">
            <v>2</v>
          </cell>
          <cell r="N794">
            <v>29000000</v>
          </cell>
          <cell r="AA794" t="str">
            <v>xx</v>
          </cell>
          <cell r="AI794" t="str">
            <v>대우공업</v>
          </cell>
          <cell r="AK794" t="str">
            <v>당사품이 아님</v>
          </cell>
        </row>
        <row r="795">
          <cell r="A795">
            <v>661</v>
          </cell>
          <cell r="E795" t="str">
            <v>기아모텍</v>
          </cell>
          <cell r="F795" t="str">
            <v>A</v>
          </cell>
          <cell r="G795" t="str">
            <v>P/BONGO</v>
          </cell>
          <cell r="H795" t="str">
            <v>041102010558</v>
          </cell>
          <cell r="I795" t="str">
            <v>K620 10 401</v>
          </cell>
          <cell r="J795" t="str">
            <v>OIL PAN</v>
          </cell>
          <cell r="K795" t="str">
            <v>금형</v>
          </cell>
          <cell r="L795" t="str">
            <v>1/8-8/8</v>
          </cell>
          <cell r="M795">
            <v>8</v>
          </cell>
          <cell r="N795">
            <v>176789313</v>
          </cell>
          <cell r="Y795" t="str">
            <v>주물</v>
          </cell>
          <cell r="AA795" t="str">
            <v>xx</v>
          </cell>
          <cell r="AB795" t="str">
            <v>90-05-31</v>
          </cell>
          <cell r="AG795" t="str">
            <v>서해공업㈜ 반　</v>
          </cell>
          <cell r="AI795" t="str">
            <v>영재정공</v>
          </cell>
        </row>
        <row r="796">
          <cell r="A796">
            <v>661.0999755859375</v>
          </cell>
          <cell r="E796" t="str">
            <v>기아모텍</v>
          </cell>
          <cell r="F796" t="str">
            <v>A</v>
          </cell>
          <cell r="G796" t="str">
            <v>P/BONGO</v>
          </cell>
          <cell r="H796" t="str">
            <v>041102010558</v>
          </cell>
          <cell r="I796" t="str">
            <v>K620 10 401</v>
          </cell>
          <cell r="J796" t="str">
            <v>OIL PAN</v>
          </cell>
          <cell r="K796" t="str">
            <v>금형</v>
          </cell>
          <cell r="L796" t="str">
            <v>DR</v>
          </cell>
          <cell r="M796">
            <v>1</v>
          </cell>
          <cell r="Y796" t="str">
            <v>주물</v>
          </cell>
          <cell r="Z796">
            <v>0.74963888999999995</v>
          </cell>
          <cell r="AA796" t="str">
            <v>910x530x330</v>
          </cell>
          <cell r="AB796" t="str">
            <v>90-05-31</v>
          </cell>
          <cell r="AG796" t="str">
            <v>서해공업㈜ 반　</v>
          </cell>
          <cell r="AI796" t="str">
            <v>영재정공</v>
          </cell>
        </row>
        <row r="797">
          <cell r="A797">
            <v>661.20001220703125</v>
          </cell>
          <cell r="E797" t="str">
            <v>기아모텍</v>
          </cell>
          <cell r="F797" t="str">
            <v>A</v>
          </cell>
          <cell r="G797" t="str">
            <v>P/BONGO</v>
          </cell>
          <cell r="H797" t="str">
            <v>041102010558</v>
          </cell>
          <cell r="I797" t="str">
            <v>K620 10 401</v>
          </cell>
          <cell r="J797" t="str">
            <v>OIL PAN</v>
          </cell>
          <cell r="K797" t="str">
            <v>금형</v>
          </cell>
          <cell r="L797" t="str">
            <v>REST</v>
          </cell>
          <cell r="M797">
            <v>1</v>
          </cell>
          <cell r="Y797" t="str">
            <v>주물</v>
          </cell>
          <cell r="Z797">
            <v>1.9880909999999998</v>
          </cell>
          <cell r="AA797" t="str">
            <v>1000x700x603</v>
          </cell>
          <cell r="AB797" t="str">
            <v>90-05-31</v>
          </cell>
          <cell r="AG797" t="str">
            <v>서해공업㈜ 반　</v>
          </cell>
          <cell r="AI797" t="str">
            <v>영재정공</v>
          </cell>
        </row>
        <row r="798">
          <cell r="A798">
            <v>661.29998779296875</v>
          </cell>
          <cell r="E798" t="str">
            <v>기아모텍</v>
          </cell>
          <cell r="F798" t="str">
            <v>A</v>
          </cell>
          <cell r="G798" t="str">
            <v>P/BONGO</v>
          </cell>
          <cell r="H798" t="str">
            <v>041102010558</v>
          </cell>
          <cell r="I798" t="str">
            <v>K620 10 401</v>
          </cell>
          <cell r="J798" t="str">
            <v>OIL PAN</v>
          </cell>
          <cell r="K798" t="str">
            <v>금형</v>
          </cell>
          <cell r="L798" t="str">
            <v>PI</v>
          </cell>
          <cell r="M798">
            <v>1</v>
          </cell>
          <cell r="Y798" t="str">
            <v>주물</v>
          </cell>
          <cell r="Z798">
            <v>4.6495612799999995</v>
          </cell>
          <cell r="AA798" t="str">
            <v>1130x910x960</v>
          </cell>
          <cell r="AB798" t="str">
            <v>90-05-31</v>
          </cell>
          <cell r="AG798" t="str">
            <v>서해공업㈜ 반　</v>
          </cell>
          <cell r="AI798" t="str">
            <v>영재정공</v>
          </cell>
        </row>
        <row r="799">
          <cell r="A799">
            <v>661.4000244140625</v>
          </cell>
          <cell r="E799" t="str">
            <v>기아모텍</v>
          </cell>
          <cell r="F799" t="str">
            <v>A</v>
          </cell>
          <cell r="G799" t="str">
            <v>P/BONGO</v>
          </cell>
          <cell r="H799" t="str">
            <v>041102010558</v>
          </cell>
          <cell r="I799" t="str">
            <v>K620 10 401</v>
          </cell>
          <cell r="J799" t="str">
            <v>OIL PAN</v>
          </cell>
          <cell r="K799" t="str">
            <v>금형</v>
          </cell>
          <cell r="L799" t="str">
            <v>C/PI</v>
          </cell>
          <cell r="M799">
            <v>1</v>
          </cell>
          <cell r="Y799" t="str">
            <v>주물</v>
          </cell>
          <cell r="Z799">
            <v>4.6495612799999995</v>
          </cell>
          <cell r="AA799" t="str">
            <v>1130x910x960</v>
          </cell>
          <cell r="AB799" t="str">
            <v>90-05-31</v>
          </cell>
          <cell r="AG799" t="str">
            <v>서해공업㈜ 반　</v>
          </cell>
          <cell r="AI799" t="str">
            <v>영재정공</v>
          </cell>
        </row>
        <row r="800">
          <cell r="A800">
            <v>662</v>
          </cell>
          <cell r="E800" t="str">
            <v>기아모텍</v>
          </cell>
          <cell r="F800" t="str">
            <v>B</v>
          </cell>
          <cell r="G800" t="str">
            <v>BESTA,W/BONGO</v>
          </cell>
          <cell r="H800" t="str">
            <v>044102012325</v>
          </cell>
          <cell r="I800" t="str">
            <v>K620 10 401</v>
          </cell>
          <cell r="J800" t="str">
            <v>OIL PAN</v>
          </cell>
          <cell r="K800" t="str">
            <v>검사구</v>
          </cell>
          <cell r="M800">
            <v>1</v>
          </cell>
          <cell r="N800">
            <v>2370000</v>
          </cell>
          <cell r="Y800" t="str">
            <v>수지</v>
          </cell>
          <cell r="Z800">
            <v>7.5798030000000016E-2</v>
          </cell>
          <cell r="AA800" t="str">
            <v>770x330x190</v>
          </cell>
          <cell r="AB800" t="str">
            <v>90-02-20</v>
          </cell>
          <cell r="AG800" t="str">
            <v>효진기기</v>
          </cell>
          <cell r="AI800" t="str">
            <v>영재정공</v>
          </cell>
        </row>
        <row r="801">
          <cell r="A801">
            <v>663</v>
          </cell>
          <cell r="E801" t="str">
            <v>기아모텍</v>
          </cell>
          <cell r="F801" t="str">
            <v>A</v>
          </cell>
          <cell r="G801" t="str">
            <v>E/G S2 (E-2200)</v>
          </cell>
          <cell r="H801" t="str">
            <v>041102170019</v>
          </cell>
          <cell r="I801" t="str">
            <v>K620 10 401A</v>
          </cell>
          <cell r="J801" t="str">
            <v>OIL PAN</v>
          </cell>
          <cell r="K801" t="str">
            <v>금형</v>
          </cell>
          <cell r="L801" t="str">
            <v>DR 1/7</v>
          </cell>
          <cell r="M801">
            <v>1</v>
          </cell>
          <cell r="N801">
            <v>7240597</v>
          </cell>
          <cell r="Y801" t="str">
            <v>주물</v>
          </cell>
          <cell r="Z801">
            <v>4.6495612799999995</v>
          </cell>
          <cell r="AA801" t="str">
            <v>1130x910x960</v>
          </cell>
          <cell r="AB801" t="str">
            <v>81-01-31</v>
          </cell>
          <cell r="AI801" t="str">
            <v>영재정공</v>
          </cell>
        </row>
        <row r="802">
          <cell r="A802">
            <v>664</v>
          </cell>
          <cell r="E802" t="str">
            <v>기아모텍</v>
          </cell>
          <cell r="F802" t="str">
            <v>A</v>
          </cell>
          <cell r="G802" t="str">
            <v>E/G S2 (E-2200)</v>
          </cell>
          <cell r="H802" t="str">
            <v>041102470019</v>
          </cell>
          <cell r="I802" t="str">
            <v>K620 10 401A</v>
          </cell>
          <cell r="J802" t="str">
            <v>OIL PAN</v>
          </cell>
          <cell r="K802" t="str">
            <v>금형</v>
          </cell>
          <cell r="L802" t="str">
            <v>TR 4/7</v>
          </cell>
          <cell r="M802">
            <v>1</v>
          </cell>
          <cell r="N802">
            <v>8540976</v>
          </cell>
          <cell r="Y802" t="str">
            <v>주물</v>
          </cell>
          <cell r="Z802">
            <v>4.6495612799999995</v>
          </cell>
          <cell r="AA802" t="str">
            <v>1130x910x960</v>
          </cell>
          <cell r="AB802" t="str">
            <v>81-01-31</v>
          </cell>
          <cell r="AI802" t="str">
            <v>영재정공</v>
          </cell>
        </row>
        <row r="803">
          <cell r="A803">
            <v>665</v>
          </cell>
          <cell r="E803" t="str">
            <v>기아모텍</v>
          </cell>
          <cell r="F803" t="str">
            <v>A</v>
          </cell>
          <cell r="G803" t="str">
            <v>E/G S2 (E-2200)</v>
          </cell>
          <cell r="H803" t="str">
            <v>041102570016</v>
          </cell>
          <cell r="I803" t="str">
            <v>K620 10 401A</v>
          </cell>
          <cell r="J803" t="str">
            <v>OIL PAN</v>
          </cell>
          <cell r="K803" t="str">
            <v>금형</v>
          </cell>
          <cell r="L803" t="str">
            <v>PIE 5/7</v>
          </cell>
          <cell r="M803">
            <v>1</v>
          </cell>
          <cell r="N803">
            <v>5318670</v>
          </cell>
          <cell r="Y803" t="str">
            <v>주물</v>
          </cell>
          <cell r="Z803">
            <v>4.6495612799999995</v>
          </cell>
          <cell r="AA803" t="str">
            <v>1130x910x960</v>
          </cell>
          <cell r="AB803" t="str">
            <v>81-01-31</v>
          </cell>
          <cell r="AI803" t="str">
            <v>영재정공</v>
          </cell>
        </row>
        <row r="804">
          <cell r="A804">
            <v>666</v>
          </cell>
          <cell r="E804" t="str">
            <v>기아모텍</v>
          </cell>
          <cell r="F804" t="str">
            <v>A</v>
          </cell>
          <cell r="G804" t="str">
            <v>E/G S2 (E-2200)</v>
          </cell>
          <cell r="H804" t="str">
            <v>041102670013</v>
          </cell>
          <cell r="I804" t="str">
            <v>K620 10 401A</v>
          </cell>
          <cell r="J804" t="str">
            <v>OIL PAN</v>
          </cell>
          <cell r="K804" t="str">
            <v>금형</v>
          </cell>
          <cell r="L804" t="str">
            <v>FL 6/7</v>
          </cell>
          <cell r="M804">
            <v>1</v>
          </cell>
          <cell r="N804">
            <v>5995556</v>
          </cell>
          <cell r="Y804" t="str">
            <v>주물</v>
          </cell>
          <cell r="Z804">
            <v>4.6495612799999995</v>
          </cell>
          <cell r="AA804" t="str">
            <v>1130x910x960</v>
          </cell>
          <cell r="AB804" t="str">
            <v>81-01-31</v>
          </cell>
          <cell r="AI804" t="str">
            <v>영재정공</v>
          </cell>
        </row>
        <row r="805">
          <cell r="A805">
            <v>667</v>
          </cell>
          <cell r="E805" t="str">
            <v>기아모텍</v>
          </cell>
          <cell r="F805" t="str">
            <v>C</v>
          </cell>
          <cell r="G805" t="str">
            <v>BONGO</v>
          </cell>
          <cell r="H805" t="str">
            <v>041102080014</v>
          </cell>
          <cell r="I805" t="str">
            <v>K620 58/59 021A</v>
          </cell>
          <cell r="J805" t="str">
            <v>FRT. DOOR OUT R/L</v>
          </cell>
          <cell r="K805" t="str">
            <v>금형</v>
          </cell>
          <cell r="M805">
            <v>8</v>
          </cell>
          <cell r="N805">
            <v>330314792</v>
          </cell>
          <cell r="Y805" t="str">
            <v>주물</v>
          </cell>
          <cell r="AA805" t="str">
            <v>xx</v>
          </cell>
          <cell r="AB805" t="str">
            <v>87-06-30</v>
          </cell>
          <cell r="AI805" t="str">
            <v>KMO 안산2공장</v>
          </cell>
        </row>
        <row r="806">
          <cell r="A806">
            <v>667.0999755859375</v>
          </cell>
          <cell r="E806" t="str">
            <v>기아모텍</v>
          </cell>
          <cell r="F806" t="str">
            <v>C</v>
          </cell>
          <cell r="G806" t="str">
            <v>BONGO</v>
          </cell>
          <cell r="H806" t="str">
            <v>041102080014</v>
          </cell>
          <cell r="I806" t="str">
            <v>K620 58/59 021A</v>
          </cell>
          <cell r="J806" t="str">
            <v>FRT. DOOR OUT R/L</v>
          </cell>
          <cell r="K806" t="str">
            <v>금형</v>
          </cell>
          <cell r="M806">
            <v>1</v>
          </cell>
          <cell r="Y806" t="str">
            <v>주물</v>
          </cell>
          <cell r="Z806">
            <v>6.5940000000000003</v>
          </cell>
          <cell r="AA806" t="str">
            <v>1600x1250x700</v>
          </cell>
          <cell r="AB806" t="str">
            <v>87-06-30</v>
          </cell>
          <cell r="AI806" t="str">
            <v>KMO 안산2공장</v>
          </cell>
        </row>
        <row r="807">
          <cell r="A807">
            <v>667.20001220703125</v>
          </cell>
          <cell r="E807" t="str">
            <v>기아모텍</v>
          </cell>
          <cell r="F807" t="str">
            <v>C</v>
          </cell>
          <cell r="G807" t="str">
            <v>BONGO</v>
          </cell>
          <cell r="H807" t="str">
            <v>041102080014</v>
          </cell>
          <cell r="I807" t="str">
            <v>K620 58/59 021A</v>
          </cell>
          <cell r="J807" t="str">
            <v>FRT. DOOR OUT R/L</v>
          </cell>
          <cell r="K807" t="str">
            <v>금형</v>
          </cell>
          <cell r="M807">
            <v>1</v>
          </cell>
          <cell r="Y807" t="str">
            <v>주물</v>
          </cell>
          <cell r="Z807">
            <v>7.0927889999999998</v>
          </cell>
          <cell r="AA807" t="str">
            <v>1850x1100x740</v>
          </cell>
          <cell r="AB807" t="str">
            <v>87-06-30</v>
          </cell>
          <cell r="AI807" t="str">
            <v>KMO 안산2공장</v>
          </cell>
        </row>
        <row r="808">
          <cell r="A808">
            <v>667.29998779296875</v>
          </cell>
          <cell r="E808" t="str">
            <v>기아모텍</v>
          </cell>
          <cell r="F808" t="str">
            <v>C</v>
          </cell>
          <cell r="G808" t="str">
            <v>BONGO</v>
          </cell>
          <cell r="H808" t="str">
            <v>041102080014</v>
          </cell>
          <cell r="I808" t="str">
            <v>K620 58/59 021A</v>
          </cell>
          <cell r="J808" t="str">
            <v>FRT. DOOR OUT R/L</v>
          </cell>
          <cell r="K808" t="str">
            <v>금형</v>
          </cell>
          <cell r="M808">
            <v>1</v>
          </cell>
          <cell r="Y808" t="str">
            <v>주물</v>
          </cell>
          <cell r="Z808">
            <v>6.6213180000000005</v>
          </cell>
          <cell r="AA808" t="str">
            <v>1800x1100x710</v>
          </cell>
          <cell r="AB808" t="str">
            <v>87-06-30</v>
          </cell>
          <cell r="AI808" t="str">
            <v>KMO 안산2공장</v>
          </cell>
        </row>
        <row r="809">
          <cell r="A809">
            <v>667.4000244140625</v>
          </cell>
          <cell r="E809" t="str">
            <v>기아모텍</v>
          </cell>
          <cell r="F809" t="str">
            <v>C</v>
          </cell>
          <cell r="G809" t="str">
            <v>BONGO</v>
          </cell>
          <cell r="H809" t="str">
            <v>041102080014</v>
          </cell>
          <cell r="I809" t="str">
            <v>K620 58/59 021A</v>
          </cell>
          <cell r="J809" t="str">
            <v>FRT. DOOR OUT R/L</v>
          </cell>
          <cell r="K809" t="str">
            <v>금형</v>
          </cell>
          <cell r="M809">
            <v>1</v>
          </cell>
          <cell r="Y809" t="str">
            <v>주물</v>
          </cell>
          <cell r="Z809">
            <v>9.4716216000000006</v>
          </cell>
          <cell r="AA809" t="str">
            <v>1900x1470x720</v>
          </cell>
          <cell r="AB809" t="str">
            <v>87-06-30</v>
          </cell>
          <cell r="AI809" t="str">
            <v>KMO 안산2공장</v>
          </cell>
        </row>
        <row r="810">
          <cell r="A810">
            <v>667.5</v>
          </cell>
          <cell r="E810" t="str">
            <v>기아모텍</v>
          </cell>
          <cell r="F810" t="str">
            <v>C</v>
          </cell>
          <cell r="G810" t="str">
            <v>BONGO</v>
          </cell>
          <cell r="H810" t="str">
            <v>041102080014</v>
          </cell>
          <cell r="I810" t="str">
            <v>K620 58/59 021A</v>
          </cell>
          <cell r="J810" t="str">
            <v>FRT. DOOR OUT R/L</v>
          </cell>
          <cell r="K810" t="str">
            <v>금형</v>
          </cell>
          <cell r="M810">
            <v>1</v>
          </cell>
          <cell r="Y810" t="str">
            <v>주물</v>
          </cell>
          <cell r="Z810">
            <v>6.5940000000000003</v>
          </cell>
          <cell r="AA810" t="str">
            <v>1600x1250x700</v>
          </cell>
          <cell r="AB810" t="str">
            <v>87-06-30</v>
          </cell>
          <cell r="AI810" t="str">
            <v>KMO 안산2공장</v>
          </cell>
        </row>
        <row r="811">
          <cell r="A811">
            <v>667.5999755859375</v>
          </cell>
          <cell r="E811" t="str">
            <v>기아모텍</v>
          </cell>
          <cell r="F811" t="str">
            <v>C</v>
          </cell>
          <cell r="G811" t="str">
            <v>BONGO</v>
          </cell>
          <cell r="H811" t="str">
            <v>041102080014</v>
          </cell>
          <cell r="I811" t="str">
            <v>K620 58/59 021A</v>
          </cell>
          <cell r="J811" t="str">
            <v>FRT. DOOR OUT R/L</v>
          </cell>
          <cell r="K811" t="str">
            <v>금형</v>
          </cell>
          <cell r="M811">
            <v>1</v>
          </cell>
          <cell r="Y811" t="str">
            <v>주물</v>
          </cell>
          <cell r="Z811">
            <v>7.0927889999999998</v>
          </cell>
          <cell r="AA811" t="str">
            <v>1850x1100x740</v>
          </cell>
          <cell r="AB811" t="str">
            <v>87-06-30</v>
          </cell>
          <cell r="AI811" t="str">
            <v>KMO 안산2공장</v>
          </cell>
        </row>
        <row r="812">
          <cell r="A812">
            <v>667.70001220703125</v>
          </cell>
          <cell r="E812" t="str">
            <v>기아모텍</v>
          </cell>
          <cell r="F812" t="str">
            <v>C</v>
          </cell>
          <cell r="G812" t="str">
            <v>BONGO</v>
          </cell>
          <cell r="H812" t="str">
            <v>041102080014</v>
          </cell>
          <cell r="I812" t="str">
            <v>K620 58/59 021A</v>
          </cell>
          <cell r="J812" t="str">
            <v>FRT. DOOR OUT R/L</v>
          </cell>
          <cell r="K812" t="str">
            <v>금형</v>
          </cell>
          <cell r="M812">
            <v>1</v>
          </cell>
          <cell r="Y812" t="str">
            <v>주물</v>
          </cell>
          <cell r="Z812">
            <v>6.6213180000000005</v>
          </cell>
          <cell r="AA812" t="str">
            <v>1800x1100x710</v>
          </cell>
          <cell r="AB812" t="str">
            <v>87-06-30</v>
          </cell>
          <cell r="AI812" t="str">
            <v>KMO 안산2공장</v>
          </cell>
        </row>
        <row r="813">
          <cell r="A813">
            <v>667.79998779296875</v>
          </cell>
          <cell r="E813" t="str">
            <v>기아모텍</v>
          </cell>
          <cell r="F813" t="str">
            <v>C</v>
          </cell>
          <cell r="G813" t="str">
            <v>BONGO</v>
          </cell>
          <cell r="H813" t="str">
            <v>041102080014</v>
          </cell>
          <cell r="I813" t="str">
            <v>K620 58/59 021A</v>
          </cell>
          <cell r="J813" t="str">
            <v>FRT. DOOR OUT R/L</v>
          </cell>
          <cell r="K813" t="str">
            <v>금형</v>
          </cell>
          <cell r="M813">
            <v>1</v>
          </cell>
          <cell r="Y813" t="str">
            <v>주물</v>
          </cell>
          <cell r="Z813">
            <v>9.4716216000000006</v>
          </cell>
          <cell r="AA813" t="str">
            <v>1900x1470x720</v>
          </cell>
          <cell r="AB813" t="str">
            <v>87-06-30</v>
          </cell>
          <cell r="AI813" t="str">
            <v>KMO 안산2공장</v>
          </cell>
        </row>
        <row r="814">
          <cell r="A814">
            <v>668</v>
          </cell>
          <cell r="E814" t="str">
            <v>기아모텍</v>
          </cell>
          <cell r="F814" t="str">
            <v>C1</v>
          </cell>
          <cell r="G814" t="str">
            <v>P/BONGO</v>
          </cell>
          <cell r="I814" t="str">
            <v>K620 70 601</v>
          </cell>
          <cell r="J814" t="str">
            <v>ROOF PANEL (STD용)</v>
          </cell>
          <cell r="K814" t="str">
            <v>금형</v>
          </cell>
          <cell r="L814" t="str">
            <v>DR,TR,REST</v>
          </cell>
          <cell r="M814">
            <v>3</v>
          </cell>
          <cell r="N814">
            <v>105000000</v>
          </cell>
          <cell r="Y814" t="str">
            <v>주물</v>
          </cell>
          <cell r="AA814" t="str">
            <v>xx</v>
          </cell>
          <cell r="AB814" t="str">
            <v>91-08-22</v>
          </cell>
          <cell r="AG814" t="str">
            <v>KIA</v>
          </cell>
          <cell r="AI814" t="str">
            <v>KMO 안산2공장</v>
          </cell>
        </row>
        <row r="815">
          <cell r="A815">
            <v>668.0999755859375</v>
          </cell>
          <cell r="E815" t="str">
            <v>기아모텍</v>
          </cell>
          <cell r="F815" t="str">
            <v>C1</v>
          </cell>
          <cell r="G815" t="str">
            <v>P/BONGO</v>
          </cell>
          <cell r="I815" t="str">
            <v>K620 70 601</v>
          </cell>
          <cell r="J815" t="str">
            <v>ROOF PANEL (STD용)</v>
          </cell>
          <cell r="K815" t="str">
            <v>금형</v>
          </cell>
          <cell r="L815" t="str">
            <v>DR,TR,REST</v>
          </cell>
          <cell r="M815">
            <v>3</v>
          </cell>
          <cell r="N815">
            <v>105000000</v>
          </cell>
          <cell r="Y815" t="str">
            <v>주물</v>
          </cell>
          <cell r="AA815" t="str">
            <v>xx</v>
          </cell>
          <cell r="AB815" t="str">
            <v>91-08-22</v>
          </cell>
          <cell r="AG815" t="str">
            <v>KIA</v>
          </cell>
          <cell r="AI815" t="str">
            <v>KMO 안산2공장</v>
          </cell>
        </row>
        <row r="816">
          <cell r="A816">
            <v>668.20001220703125</v>
          </cell>
          <cell r="E816" t="str">
            <v>기아모텍</v>
          </cell>
          <cell r="F816" t="str">
            <v>C1</v>
          </cell>
          <cell r="G816" t="str">
            <v>P/BONGO</v>
          </cell>
          <cell r="I816" t="str">
            <v>K620 70 601</v>
          </cell>
          <cell r="J816" t="str">
            <v>ROOF PANEL (STD용)</v>
          </cell>
          <cell r="K816" t="str">
            <v>금형</v>
          </cell>
          <cell r="L816" t="str">
            <v>DR,TR,REST</v>
          </cell>
          <cell r="M816">
            <v>3</v>
          </cell>
          <cell r="N816">
            <v>105000000</v>
          </cell>
          <cell r="Y816" t="str">
            <v>주물</v>
          </cell>
          <cell r="AA816" t="str">
            <v>xx</v>
          </cell>
          <cell r="AB816" t="str">
            <v>91-08-22</v>
          </cell>
          <cell r="AG816" t="str">
            <v>KIA</v>
          </cell>
          <cell r="AI816" t="str">
            <v>KMO 안산2공장</v>
          </cell>
        </row>
        <row r="817">
          <cell r="A817">
            <v>668.29998779296875</v>
          </cell>
          <cell r="E817" t="str">
            <v>기아모텍</v>
          </cell>
          <cell r="F817" t="str">
            <v>C1</v>
          </cell>
          <cell r="G817" t="str">
            <v>P/BONGO</v>
          </cell>
          <cell r="I817" t="str">
            <v>K620 70 601</v>
          </cell>
          <cell r="J817" t="str">
            <v>ROOF PANEL (STD용)</v>
          </cell>
          <cell r="K817" t="str">
            <v>금형</v>
          </cell>
          <cell r="L817" t="str">
            <v>DR,TR,REST</v>
          </cell>
          <cell r="M817">
            <v>3</v>
          </cell>
          <cell r="N817">
            <v>105000000</v>
          </cell>
          <cell r="Y817" t="str">
            <v>주물</v>
          </cell>
          <cell r="AA817" t="str">
            <v>xx</v>
          </cell>
          <cell r="AB817" t="str">
            <v>91-08-22</v>
          </cell>
          <cell r="AG817" t="str">
            <v>KIA</v>
          </cell>
          <cell r="AI817" t="str">
            <v>KMO 안산2공장</v>
          </cell>
        </row>
        <row r="818">
          <cell r="A818">
            <v>669</v>
          </cell>
          <cell r="E818" t="str">
            <v>기아모텍</v>
          </cell>
          <cell r="F818" t="str">
            <v>C4</v>
          </cell>
          <cell r="G818" t="str">
            <v>P/BONGO</v>
          </cell>
          <cell r="I818" t="str">
            <v>K620 70 621</v>
          </cell>
          <cell r="J818" t="str">
            <v>FRT CROSS M/B A</v>
          </cell>
          <cell r="K818" t="str">
            <v>금형</v>
          </cell>
          <cell r="L818" t="str">
            <v>DR,TR/P,RE,P</v>
          </cell>
          <cell r="M818">
            <v>4</v>
          </cell>
          <cell r="N818">
            <v>21000000</v>
          </cell>
          <cell r="Z818">
            <v>0</v>
          </cell>
          <cell r="AA818" t="str">
            <v>xx</v>
          </cell>
          <cell r="AB818" t="str">
            <v>91-10-17</v>
          </cell>
          <cell r="AG818" t="str">
            <v>KIA</v>
          </cell>
          <cell r="AJ818" t="str">
            <v>금성공업</v>
          </cell>
          <cell r="AK818" t="str">
            <v>금성공업 이관시 분실</v>
          </cell>
        </row>
        <row r="819">
          <cell r="A819">
            <v>670</v>
          </cell>
          <cell r="E819" t="str">
            <v>기아모텍</v>
          </cell>
          <cell r="F819" t="str">
            <v>C4</v>
          </cell>
          <cell r="G819" t="str">
            <v>CERES</v>
          </cell>
          <cell r="H819" t="str">
            <v>044101015496</v>
          </cell>
          <cell r="I819" t="str">
            <v>K628 52 430</v>
          </cell>
          <cell r="J819" t="str">
            <v>FRT. BUMPER</v>
          </cell>
          <cell r="K819" t="str">
            <v>검사구</v>
          </cell>
          <cell r="M819">
            <v>1</v>
          </cell>
          <cell r="N819">
            <v>6574000</v>
          </cell>
          <cell r="Y819" t="str">
            <v>수지</v>
          </cell>
          <cell r="AA819" t="str">
            <v>xx</v>
          </cell>
          <cell r="AB819" t="str">
            <v>90-10-22</v>
          </cell>
          <cell r="AG819" t="str">
            <v>KIA</v>
          </cell>
          <cell r="AK819" t="str">
            <v>분실</v>
          </cell>
        </row>
        <row r="820">
          <cell r="A820">
            <v>671</v>
          </cell>
          <cell r="E820" t="str">
            <v>기아모텍</v>
          </cell>
          <cell r="F820" t="str">
            <v>C4</v>
          </cell>
          <cell r="G820" t="str">
            <v>E/G S2 (E-2200)</v>
          </cell>
          <cell r="I820" t="str">
            <v>K629 50 020C</v>
          </cell>
          <cell r="J820" t="str">
            <v>FRT BUMPER</v>
          </cell>
          <cell r="K820" t="str">
            <v>금형</v>
          </cell>
          <cell r="L820" t="str">
            <v>D,D,T/P,C/T,</v>
          </cell>
          <cell r="M820">
            <v>6</v>
          </cell>
          <cell r="N820">
            <v>87600000</v>
          </cell>
          <cell r="Y820" t="str">
            <v>주물</v>
          </cell>
          <cell r="AA820" t="str">
            <v>xx</v>
          </cell>
          <cell r="AB820" t="str">
            <v>83-08-30</v>
          </cell>
          <cell r="AK820" t="str">
            <v>분실</v>
          </cell>
        </row>
        <row r="821">
          <cell r="A821">
            <v>672</v>
          </cell>
          <cell r="E821" t="str">
            <v>기아모텍</v>
          </cell>
          <cell r="F821" t="str">
            <v>C4</v>
          </cell>
          <cell r="G821" t="str">
            <v>P/BONGO K/C</v>
          </cell>
          <cell r="I821" t="str">
            <v>K655 53 042</v>
          </cell>
          <cell r="J821" t="str">
            <v>RR FLOOR</v>
          </cell>
          <cell r="K821" t="str">
            <v>금형</v>
          </cell>
          <cell r="L821" t="str">
            <v>DR,TR/PIE,FL</v>
          </cell>
          <cell r="M821">
            <v>3</v>
          </cell>
          <cell r="N821">
            <v>95000000</v>
          </cell>
          <cell r="Z821">
            <v>0</v>
          </cell>
          <cell r="AA821" t="str">
            <v>xx</v>
          </cell>
          <cell r="AB821" t="str">
            <v>91-10-17</v>
          </cell>
          <cell r="AG821" t="str">
            <v>KIA</v>
          </cell>
          <cell r="AJ821" t="str">
            <v>A.P</v>
          </cell>
          <cell r="AK821" t="str">
            <v>확인 불가</v>
          </cell>
        </row>
        <row r="822">
          <cell r="A822">
            <v>673</v>
          </cell>
          <cell r="E822" t="str">
            <v>기아모텍</v>
          </cell>
          <cell r="F822" t="str">
            <v>C1</v>
          </cell>
          <cell r="G822" t="str">
            <v>P/BONGO K/C</v>
          </cell>
          <cell r="I822" t="str">
            <v>K655 53/54 411</v>
          </cell>
          <cell r="J822" t="str">
            <v>FILLER PLATE R/L</v>
          </cell>
          <cell r="K822" t="str">
            <v>검사구</v>
          </cell>
          <cell r="M822">
            <v>1</v>
          </cell>
          <cell r="N822">
            <v>4000000</v>
          </cell>
          <cell r="Y822" t="str">
            <v>수지</v>
          </cell>
          <cell r="AA822" t="str">
            <v>xx</v>
          </cell>
          <cell r="AB822" t="str">
            <v>88-10-20</v>
          </cell>
          <cell r="AG822" t="str">
            <v>KIA</v>
          </cell>
          <cell r="AI822" t="str">
            <v>구동산업</v>
          </cell>
          <cell r="AJ822" t="str">
            <v>풍기산업</v>
          </cell>
        </row>
        <row r="823">
          <cell r="A823">
            <v>674</v>
          </cell>
          <cell r="E823" t="str">
            <v>기아모텍</v>
          </cell>
          <cell r="F823" t="str">
            <v>C1</v>
          </cell>
          <cell r="G823" t="str">
            <v>P/BONGO K/C</v>
          </cell>
          <cell r="I823" t="str">
            <v>K655 53/54 411</v>
          </cell>
          <cell r="J823" t="str">
            <v>FILLER PLATE R/L</v>
          </cell>
          <cell r="K823" t="str">
            <v>금형</v>
          </cell>
          <cell r="L823" t="str">
            <v>BL,FO,PI</v>
          </cell>
          <cell r="M823">
            <v>3</v>
          </cell>
          <cell r="N823">
            <v>12000000</v>
          </cell>
          <cell r="Y823" t="str">
            <v>STEEL</v>
          </cell>
          <cell r="AA823" t="str">
            <v>xx</v>
          </cell>
          <cell r="AB823" t="str">
            <v>88-10-20</v>
          </cell>
          <cell r="AG823" t="str">
            <v>KIA</v>
          </cell>
          <cell r="AI823" t="str">
            <v>구동산업</v>
          </cell>
          <cell r="AJ823" t="str">
            <v>풍기산업</v>
          </cell>
        </row>
        <row r="824">
          <cell r="A824">
            <v>675</v>
          </cell>
          <cell r="E824" t="str">
            <v>기아모텍</v>
          </cell>
          <cell r="F824" t="str">
            <v>C1</v>
          </cell>
          <cell r="G824" t="str">
            <v>P/BONGO K/C</v>
          </cell>
          <cell r="I824" t="str">
            <v>K655 70 601</v>
          </cell>
          <cell r="J824" t="str">
            <v>ROOF PANEL</v>
          </cell>
          <cell r="K824" t="str">
            <v>금형</v>
          </cell>
          <cell r="L824" t="str">
            <v>DR,TR,RE</v>
          </cell>
          <cell r="M824">
            <v>3</v>
          </cell>
          <cell r="N824">
            <v>190000000</v>
          </cell>
          <cell r="Y824" t="str">
            <v>주물</v>
          </cell>
          <cell r="AA824" t="str">
            <v>xx</v>
          </cell>
          <cell r="AB824" t="str">
            <v>91-10-17</v>
          </cell>
          <cell r="AG824" t="str">
            <v>KIA</v>
          </cell>
          <cell r="AI824" t="str">
            <v>KMO 안산2공장</v>
          </cell>
        </row>
        <row r="825">
          <cell r="A825">
            <v>675.0999755859375</v>
          </cell>
          <cell r="E825" t="str">
            <v>기아모텍</v>
          </cell>
          <cell r="F825" t="str">
            <v>C1</v>
          </cell>
          <cell r="G825" t="str">
            <v>P/BONGO K/C</v>
          </cell>
          <cell r="I825" t="str">
            <v>K655 70 601</v>
          </cell>
          <cell r="J825" t="str">
            <v>ROOF PANEL</v>
          </cell>
          <cell r="K825" t="str">
            <v>금형</v>
          </cell>
          <cell r="L825" t="str">
            <v>DR</v>
          </cell>
          <cell r="M825">
            <v>1</v>
          </cell>
          <cell r="Y825" t="str">
            <v>주물</v>
          </cell>
          <cell r="AA825" t="str">
            <v>xx</v>
          </cell>
          <cell r="AB825" t="str">
            <v>91-10-17</v>
          </cell>
          <cell r="AG825" t="str">
            <v>KIA</v>
          </cell>
          <cell r="AI825" t="str">
            <v>KMO 안산2공장</v>
          </cell>
        </row>
        <row r="826">
          <cell r="A826">
            <v>675.20001220703125</v>
          </cell>
          <cell r="E826" t="str">
            <v>기아모텍</v>
          </cell>
          <cell r="F826" t="str">
            <v>C1</v>
          </cell>
          <cell r="G826" t="str">
            <v>P/BONGO K/C</v>
          </cell>
          <cell r="I826" t="str">
            <v>K655 70 601</v>
          </cell>
          <cell r="J826" t="str">
            <v>ROOF PANEL</v>
          </cell>
          <cell r="K826" t="str">
            <v>금형</v>
          </cell>
          <cell r="L826" t="str">
            <v>TR</v>
          </cell>
          <cell r="M826">
            <v>1</v>
          </cell>
          <cell r="Y826" t="str">
            <v>주물</v>
          </cell>
          <cell r="AA826" t="str">
            <v>xx</v>
          </cell>
          <cell r="AB826" t="str">
            <v>91-10-17</v>
          </cell>
          <cell r="AG826" t="str">
            <v>KIA</v>
          </cell>
          <cell r="AI826" t="str">
            <v>KMO 안산2공장</v>
          </cell>
        </row>
        <row r="827">
          <cell r="A827">
            <v>675.29998779296875</v>
          </cell>
          <cell r="E827" t="str">
            <v>기아모텍</v>
          </cell>
          <cell r="F827" t="str">
            <v>C1</v>
          </cell>
          <cell r="G827" t="str">
            <v>P/BONGO K/C</v>
          </cell>
          <cell r="I827" t="str">
            <v>K655 70 601</v>
          </cell>
          <cell r="J827" t="str">
            <v>ROOF PANEL</v>
          </cell>
          <cell r="K827" t="str">
            <v>금형</v>
          </cell>
          <cell r="L827" t="str">
            <v>RE</v>
          </cell>
          <cell r="M827">
            <v>1</v>
          </cell>
          <cell r="Y827" t="str">
            <v>주물</v>
          </cell>
          <cell r="AA827" t="str">
            <v>xx</v>
          </cell>
          <cell r="AB827" t="str">
            <v>91-10-17</v>
          </cell>
          <cell r="AG827" t="str">
            <v>KIA</v>
          </cell>
          <cell r="AI827" t="str">
            <v>KMO 안산2공장</v>
          </cell>
        </row>
        <row r="828">
          <cell r="A828">
            <v>676</v>
          </cell>
          <cell r="E828" t="str">
            <v>기아모텍</v>
          </cell>
          <cell r="F828" t="str">
            <v>C1</v>
          </cell>
          <cell r="G828" t="str">
            <v>CERES MMO</v>
          </cell>
          <cell r="H828" t="str">
            <v>041101113314</v>
          </cell>
          <cell r="I828" t="str">
            <v>K655 70/71 053</v>
          </cell>
          <cell r="J828" t="str">
            <v>B/K</v>
          </cell>
          <cell r="K828" t="str">
            <v>금형</v>
          </cell>
          <cell r="L828" t="str">
            <v>BE</v>
          </cell>
          <cell r="M828">
            <v>1</v>
          </cell>
          <cell r="N828">
            <v>784000</v>
          </cell>
          <cell r="Z828">
            <v>3.1792499999999994E-2</v>
          </cell>
          <cell r="AA828" t="str">
            <v>300x150x150</v>
          </cell>
          <cell r="AB828" t="str">
            <v>96-4</v>
          </cell>
          <cell r="AG828" t="str">
            <v>금성공업</v>
          </cell>
          <cell r="AK828" t="str">
            <v>당사품이 아님</v>
          </cell>
        </row>
        <row r="829">
          <cell r="A829">
            <v>677</v>
          </cell>
          <cell r="E829" t="str">
            <v>기아모텍</v>
          </cell>
          <cell r="F829" t="str">
            <v>C1</v>
          </cell>
          <cell r="G829" t="str">
            <v>CERES MMO</v>
          </cell>
          <cell r="H829" t="str">
            <v>041101113324</v>
          </cell>
          <cell r="I829" t="str">
            <v>K655 70/71 054</v>
          </cell>
          <cell r="J829" t="str">
            <v>B/K</v>
          </cell>
          <cell r="K829" t="str">
            <v>금형</v>
          </cell>
          <cell r="L829" t="str">
            <v>BE</v>
          </cell>
          <cell r="M829">
            <v>1</v>
          </cell>
          <cell r="N829">
            <v>635000</v>
          </cell>
          <cell r="Z829">
            <v>2.1194999999999999E-2</v>
          </cell>
          <cell r="AA829" t="str">
            <v>200x150x150</v>
          </cell>
          <cell r="AB829" t="str">
            <v>96-4</v>
          </cell>
          <cell r="AG829" t="str">
            <v>금성공업</v>
          </cell>
          <cell r="AK829" t="str">
            <v>당사품이 아님</v>
          </cell>
        </row>
        <row r="830">
          <cell r="A830">
            <v>678</v>
          </cell>
          <cell r="E830" t="str">
            <v>기아모텍</v>
          </cell>
          <cell r="F830" t="str">
            <v>C1</v>
          </cell>
          <cell r="G830" t="str">
            <v>CERES MMO</v>
          </cell>
          <cell r="H830" t="str">
            <v>041101113324</v>
          </cell>
          <cell r="I830" t="str">
            <v>K655 70/71 054</v>
          </cell>
          <cell r="J830" t="str">
            <v>B/K</v>
          </cell>
          <cell r="K830" t="str">
            <v>금형</v>
          </cell>
          <cell r="L830" t="str">
            <v>BL</v>
          </cell>
          <cell r="M830">
            <v>1</v>
          </cell>
          <cell r="N830">
            <v>719000</v>
          </cell>
          <cell r="Z830">
            <v>2.1194999999999999E-2</v>
          </cell>
          <cell r="AA830" t="str">
            <v>200x150x150</v>
          </cell>
          <cell r="AB830" t="str">
            <v>96-4</v>
          </cell>
          <cell r="AG830" t="str">
            <v>금성공업</v>
          </cell>
          <cell r="AK830" t="str">
            <v>당사품이 아님</v>
          </cell>
        </row>
        <row r="831">
          <cell r="A831">
            <v>679</v>
          </cell>
          <cell r="E831" t="str">
            <v>기아모텍</v>
          </cell>
          <cell r="F831" t="str">
            <v>C1</v>
          </cell>
          <cell r="G831" t="str">
            <v>CERES MMO</v>
          </cell>
          <cell r="H831" t="str">
            <v>041101113304</v>
          </cell>
          <cell r="I831" t="str">
            <v>K655 70/71 058</v>
          </cell>
          <cell r="J831" t="str">
            <v>B/K</v>
          </cell>
          <cell r="K831" t="str">
            <v>금형</v>
          </cell>
          <cell r="L831" t="str">
            <v>BL</v>
          </cell>
          <cell r="M831">
            <v>1</v>
          </cell>
          <cell r="N831">
            <v>748000</v>
          </cell>
          <cell r="Z831">
            <v>2.2608E-2</v>
          </cell>
          <cell r="AA831" t="str">
            <v>400x80x150</v>
          </cell>
          <cell r="AB831" t="str">
            <v>96-4</v>
          </cell>
          <cell r="AG831" t="str">
            <v>금성공업</v>
          </cell>
          <cell r="AK831" t="str">
            <v>당사품이 아님</v>
          </cell>
        </row>
        <row r="832">
          <cell r="A832">
            <v>680</v>
          </cell>
          <cell r="E832" t="str">
            <v>기아모텍</v>
          </cell>
          <cell r="F832" t="str">
            <v>C4</v>
          </cell>
          <cell r="G832" t="str">
            <v>P/BONGO K/C</v>
          </cell>
          <cell r="I832" t="str">
            <v>K655 70/71 080A</v>
          </cell>
          <cell r="J832" t="str">
            <v>B PILLAR INNER R/L</v>
          </cell>
          <cell r="K832" t="str">
            <v>금형</v>
          </cell>
          <cell r="L832" t="str">
            <v>D,T/P,FL,P,P</v>
          </cell>
          <cell r="M832">
            <v>5</v>
          </cell>
          <cell r="N832">
            <v>81000000</v>
          </cell>
          <cell r="Z832">
            <v>0</v>
          </cell>
          <cell r="AA832" t="str">
            <v>xx</v>
          </cell>
          <cell r="AB832" t="str">
            <v>84-11-30</v>
          </cell>
          <cell r="AG832" t="str">
            <v>KIA</v>
          </cell>
          <cell r="AJ832" t="str">
            <v>금성공업</v>
          </cell>
          <cell r="AK832" t="str">
            <v>금성공업 이관시 분실</v>
          </cell>
        </row>
        <row r="833">
          <cell r="A833">
            <v>681</v>
          </cell>
          <cell r="E833" t="str">
            <v>기아모텍</v>
          </cell>
          <cell r="F833" t="str">
            <v>A</v>
          </cell>
          <cell r="G833" t="str">
            <v>W/BONGO JXR E/G</v>
          </cell>
          <cell r="H833" t="str">
            <v>041102022501</v>
          </cell>
          <cell r="I833" t="str">
            <v>K65A 10 401</v>
          </cell>
          <cell r="J833" t="str">
            <v>PAN OIL</v>
          </cell>
          <cell r="K833" t="str">
            <v>금형</v>
          </cell>
          <cell r="L833" t="str">
            <v>6.PI</v>
          </cell>
          <cell r="M833">
            <v>1</v>
          </cell>
          <cell r="N833">
            <v>13823000</v>
          </cell>
          <cell r="Y833" t="str">
            <v>주물</v>
          </cell>
          <cell r="Z833">
            <v>2.50202736</v>
          </cell>
          <cell r="AA833" t="str">
            <v>1020x840x620</v>
          </cell>
          <cell r="AB833" t="str">
            <v>92-4</v>
          </cell>
          <cell r="AG833" t="str">
            <v>서해공업㈜ 반　</v>
          </cell>
          <cell r="AI833" t="str">
            <v>영재정공</v>
          </cell>
        </row>
        <row r="834">
          <cell r="A834">
            <v>682</v>
          </cell>
          <cell r="E834" t="str">
            <v>기아모텍</v>
          </cell>
          <cell r="F834" t="str">
            <v>A</v>
          </cell>
          <cell r="G834" t="str">
            <v>W/BONGO JXR E/G</v>
          </cell>
          <cell r="H834" t="str">
            <v>041102022501</v>
          </cell>
          <cell r="I834" t="str">
            <v>K65A 10 401</v>
          </cell>
          <cell r="J834" t="str">
            <v>PAN OIL</v>
          </cell>
          <cell r="K834" t="str">
            <v>금형</v>
          </cell>
          <cell r="L834" t="str">
            <v>7.C/PI</v>
          </cell>
          <cell r="M834">
            <v>1</v>
          </cell>
          <cell r="N834">
            <v>14076000</v>
          </cell>
          <cell r="Y834" t="str">
            <v>주물</v>
          </cell>
          <cell r="Z834">
            <v>2.2894367999999998</v>
          </cell>
          <cell r="AA834" t="str">
            <v>980x800x620</v>
          </cell>
          <cell r="AB834" t="str">
            <v>92-4</v>
          </cell>
          <cell r="AG834" t="str">
            <v>서해공업㈜ 반　</v>
          </cell>
          <cell r="AI834" t="str">
            <v>영재정공</v>
          </cell>
        </row>
        <row r="835">
          <cell r="A835">
            <v>683</v>
          </cell>
          <cell r="E835" t="str">
            <v>기아모텍</v>
          </cell>
          <cell r="F835" t="str">
            <v>A</v>
          </cell>
          <cell r="G835" t="str">
            <v>W/BONGO JXR E/G</v>
          </cell>
          <cell r="H835" t="str">
            <v>041102022501</v>
          </cell>
          <cell r="I835" t="str">
            <v>K65A 10 401</v>
          </cell>
          <cell r="J835" t="str">
            <v>PAN OIL</v>
          </cell>
          <cell r="K835" t="str">
            <v>금형</v>
          </cell>
          <cell r="L835" t="str">
            <v>4.TR</v>
          </cell>
          <cell r="M835">
            <v>1</v>
          </cell>
          <cell r="N835">
            <v>14446000</v>
          </cell>
          <cell r="Y835" t="str">
            <v>주물</v>
          </cell>
          <cell r="Z835">
            <v>2.4296063999999999</v>
          </cell>
          <cell r="AA835" t="str">
            <v>1300x640x620</v>
          </cell>
          <cell r="AB835" t="str">
            <v>92-4</v>
          </cell>
          <cell r="AG835" t="str">
            <v>서해공업㈜ 반　</v>
          </cell>
          <cell r="AI835" t="str">
            <v>영재정공</v>
          </cell>
        </row>
        <row r="836">
          <cell r="A836">
            <v>684</v>
          </cell>
          <cell r="E836" t="str">
            <v>기아모텍</v>
          </cell>
          <cell r="F836" t="str">
            <v>A</v>
          </cell>
          <cell r="G836" t="str">
            <v>W/BONGO JXR E/G</v>
          </cell>
          <cell r="H836" t="str">
            <v>041102022501</v>
          </cell>
          <cell r="I836" t="str">
            <v>K65A 10 401</v>
          </cell>
          <cell r="J836" t="str">
            <v>PAN OIL</v>
          </cell>
          <cell r="K836" t="str">
            <v>금형</v>
          </cell>
          <cell r="L836" t="str">
            <v>5.FL</v>
          </cell>
          <cell r="M836">
            <v>1</v>
          </cell>
          <cell r="N836">
            <v>14936000</v>
          </cell>
          <cell r="Y836" t="str">
            <v>주물</v>
          </cell>
          <cell r="Z836">
            <v>2.5434000000000001</v>
          </cell>
          <cell r="AA836" t="str">
            <v>1200x600x750</v>
          </cell>
          <cell r="AB836" t="str">
            <v>92-4</v>
          </cell>
          <cell r="AG836" t="str">
            <v>서해공업㈜ 반　</v>
          </cell>
          <cell r="AI836" t="str">
            <v>영재정공</v>
          </cell>
        </row>
        <row r="837">
          <cell r="A837">
            <v>685</v>
          </cell>
          <cell r="E837" t="str">
            <v>기아모텍</v>
          </cell>
          <cell r="F837" t="str">
            <v>A</v>
          </cell>
          <cell r="G837" t="str">
            <v>W/BONGO JXR E/G</v>
          </cell>
          <cell r="H837" t="str">
            <v>041102022501</v>
          </cell>
          <cell r="I837" t="str">
            <v>K65A 10 401</v>
          </cell>
          <cell r="J837" t="str">
            <v>PAN OIL</v>
          </cell>
          <cell r="K837" t="str">
            <v>금형</v>
          </cell>
          <cell r="L837" t="str">
            <v>3.RE</v>
          </cell>
          <cell r="M837">
            <v>1</v>
          </cell>
          <cell r="N837">
            <v>16087000</v>
          </cell>
          <cell r="Y837" t="str">
            <v>주물</v>
          </cell>
          <cell r="Z837">
            <v>2.1703679999999999</v>
          </cell>
          <cell r="AA837" t="str">
            <v>1200x640x600</v>
          </cell>
          <cell r="AB837" t="str">
            <v>92-4</v>
          </cell>
          <cell r="AG837" t="str">
            <v>서해공업㈜ 반　</v>
          </cell>
          <cell r="AI837" t="str">
            <v>영재정공</v>
          </cell>
        </row>
        <row r="838">
          <cell r="A838">
            <v>686</v>
          </cell>
          <cell r="E838" t="str">
            <v>기아모텍</v>
          </cell>
          <cell r="F838" t="str">
            <v>A</v>
          </cell>
          <cell r="G838" t="str">
            <v>W/BONGO JXR E/G</v>
          </cell>
          <cell r="H838" t="str">
            <v>041102022501</v>
          </cell>
          <cell r="I838" t="str">
            <v>K65A 10 401</v>
          </cell>
          <cell r="J838" t="str">
            <v>PAN OIL</v>
          </cell>
          <cell r="K838" t="str">
            <v>금형</v>
          </cell>
          <cell r="L838" t="str">
            <v>2.BL</v>
          </cell>
          <cell r="M838">
            <v>1</v>
          </cell>
          <cell r="N838">
            <v>19479000</v>
          </cell>
          <cell r="Y838" t="str">
            <v>주물</v>
          </cell>
          <cell r="Z838">
            <v>3.0210410999999997</v>
          </cell>
          <cell r="AA838" t="str">
            <v>1190x770x700</v>
          </cell>
          <cell r="AB838" t="str">
            <v>92-4</v>
          </cell>
          <cell r="AG838" t="str">
            <v>서해공업㈜ 반　</v>
          </cell>
          <cell r="AI838" t="str">
            <v>영재정공</v>
          </cell>
        </row>
        <row r="839">
          <cell r="A839">
            <v>687</v>
          </cell>
          <cell r="E839" t="str">
            <v>기아모텍</v>
          </cell>
          <cell r="F839" t="str">
            <v>A</v>
          </cell>
          <cell r="G839" t="str">
            <v>W/BONGO JXR E/G</v>
          </cell>
          <cell r="H839" t="str">
            <v>041102022501</v>
          </cell>
          <cell r="I839" t="str">
            <v>K65A 10 401</v>
          </cell>
          <cell r="J839" t="str">
            <v>PAN OIL</v>
          </cell>
          <cell r="K839" t="str">
            <v>금형</v>
          </cell>
          <cell r="L839" t="str">
            <v>1.DR</v>
          </cell>
          <cell r="M839">
            <v>1</v>
          </cell>
          <cell r="N839">
            <v>24245000</v>
          </cell>
          <cell r="Y839" t="str">
            <v>주물</v>
          </cell>
          <cell r="Z839">
            <v>3.1687372799999998</v>
          </cell>
          <cell r="AA839" t="str">
            <v>1280x730x720</v>
          </cell>
          <cell r="AB839" t="str">
            <v>92-4</v>
          </cell>
          <cell r="AG839" t="str">
            <v>서해공업㈜ 반　</v>
          </cell>
          <cell r="AI839" t="str">
            <v>영재정공</v>
          </cell>
        </row>
        <row r="840">
          <cell r="A840">
            <v>688</v>
          </cell>
          <cell r="E840" t="str">
            <v>기아모텍</v>
          </cell>
          <cell r="F840" t="str">
            <v>A</v>
          </cell>
          <cell r="G840" t="str">
            <v>E/G JXR A/T</v>
          </cell>
          <cell r="H840" t="str">
            <v>041101113084</v>
          </cell>
          <cell r="I840" t="str">
            <v>K65Y 10 401</v>
          </cell>
          <cell r="J840" t="str">
            <v>OIL PAN</v>
          </cell>
          <cell r="K840" t="str">
            <v>금형</v>
          </cell>
          <cell r="L840" t="str">
            <v>PI</v>
          </cell>
          <cell r="M840">
            <v>1</v>
          </cell>
          <cell r="N840">
            <v>11479000</v>
          </cell>
          <cell r="Y840" t="str">
            <v>주물</v>
          </cell>
          <cell r="Z840">
            <v>3.1477118399999995</v>
          </cell>
          <cell r="AA840" t="str">
            <v>1020x910x720</v>
          </cell>
          <cell r="AB840" t="str">
            <v>96-4</v>
          </cell>
          <cell r="AG840" t="str">
            <v>기아모텍</v>
          </cell>
          <cell r="AI840" t="str">
            <v>영재정공</v>
          </cell>
        </row>
        <row r="841">
          <cell r="A841">
            <v>689</v>
          </cell>
          <cell r="E841" t="str">
            <v>기아모텍</v>
          </cell>
          <cell r="F841" t="str">
            <v>A</v>
          </cell>
          <cell r="G841" t="str">
            <v>E/G JXR A/T</v>
          </cell>
          <cell r="H841" t="str">
            <v>041101113084</v>
          </cell>
          <cell r="I841" t="str">
            <v>K65Y 10 401</v>
          </cell>
          <cell r="J841" t="str">
            <v>OIL PAN</v>
          </cell>
          <cell r="K841" t="str">
            <v>금형</v>
          </cell>
          <cell r="L841" t="str">
            <v>FL</v>
          </cell>
          <cell r="M841">
            <v>1</v>
          </cell>
          <cell r="N841">
            <v>11802000</v>
          </cell>
          <cell r="Y841" t="str">
            <v>주물</v>
          </cell>
          <cell r="Z841">
            <v>1.6277760000000001</v>
          </cell>
          <cell r="AA841" t="str">
            <v>800x600x720</v>
          </cell>
          <cell r="AB841" t="str">
            <v>96-4</v>
          </cell>
          <cell r="AG841" t="str">
            <v>기아모텍</v>
          </cell>
          <cell r="AI841" t="str">
            <v>영재정공</v>
          </cell>
        </row>
        <row r="842">
          <cell r="A842">
            <v>690</v>
          </cell>
          <cell r="E842" t="str">
            <v>기아모텍</v>
          </cell>
          <cell r="F842" t="str">
            <v>A</v>
          </cell>
          <cell r="G842" t="str">
            <v>E/G JXR A/T</v>
          </cell>
          <cell r="H842" t="str">
            <v>041101113084</v>
          </cell>
          <cell r="I842" t="str">
            <v>K65Y 10 401</v>
          </cell>
          <cell r="J842" t="str">
            <v>OIL PAN</v>
          </cell>
          <cell r="K842" t="str">
            <v>금형</v>
          </cell>
          <cell r="L842" t="str">
            <v>TR&amp;C/PI</v>
          </cell>
          <cell r="M842">
            <v>1</v>
          </cell>
          <cell r="N842">
            <v>13690000</v>
          </cell>
          <cell r="Y842" t="str">
            <v>주물</v>
          </cell>
          <cell r="Z842">
            <v>2.6587007999999996</v>
          </cell>
          <cell r="AA842" t="str">
            <v>980x800x720</v>
          </cell>
          <cell r="AB842" t="str">
            <v>96-4</v>
          </cell>
          <cell r="AG842" t="str">
            <v>기아모텍</v>
          </cell>
          <cell r="AI842" t="str">
            <v>영재정공</v>
          </cell>
        </row>
        <row r="843">
          <cell r="A843">
            <v>691</v>
          </cell>
          <cell r="E843" t="str">
            <v>기아모텍</v>
          </cell>
          <cell r="F843" t="str">
            <v>A</v>
          </cell>
          <cell r="G843" t="str">
            <v>E/G JXR A/T</v>
          </cell>
          <cell r="H843" t="str">
            <v>041101113084</v>
          </cell>
          <cell r="I843" t="str">
            <v>K65Y 10 401</v>
          </cell>
          <cell r="J843" t="str">
            <v>OIL PAN</v>
          </cell>
          <cell r="K843" t="str">
            <v>금형</v>
          </cell>
          <cell r="L843" t="str">
            <v>RE</v>
          </cell>
          <cell r="M843">
            <v>1</v>
          </cell>
          <cell r="N843">
            <v>18330000</v>
          </cell>
          <cell r="Y843" t="str">
            <v>주물</v>
          </cell>
          <cell r="Z843">
            <v>3.5488908000000001</v>
          </cell>
          <cell r="AA843" t="str">
            <v>1150x910x720</v>
          </cell>
          <cell r="AB843" t="str">
            <v>96-4</v>
          </cell>
          <cell r="AG843" t="str">
            <v>기아모텍</v>
          </cell>
          <cell r="AI843" t="str">
            <v>영재정공</v>
          </cell>
        </row>
        <row r="844">
          <cell r="A844">
            <v>692</v>
          </cell>
          <cell r="E844" t="str">
            <v>기아모텍</v>
          </cell>
          <cell r="F844" t="str">
            <v>A</v>
          </cell>
          <cell r="G844" t="str">
            <v>E/G JXR A/T</v>
          </cell>
          <cell r="H844" t="str">
            <v>041101113084</v>
          </cell>
          <cell r="I844" t="str">
            <v>K65Y 10 401</v>
          </cell>
          <cell r="J844" t="str">
            <v>OIL PAN</v>
          </cell>
          <cell r="K844" t="str">
            <v>금형</v>
          </cell>
          <cell r="L844" t="str">
            <v>DR</v>
          </cell>
          <cell r="M844">
            <v>1</v>
          </cell>
          <cell r="N844">
            <v>23116000</v>
          </cell>
          <cell r="Y844" t="str">
            <v>주물</v>
          </cell>
          <cell r="Z844">
            <v>3.28742928</v>
          </cell>
          <cell r="AA844" t="str">
            <v>1310x740x720</v>
          </cell>
          <cell r="AB844" t="str">
            <v>96-4</v>
          </cell>
          <cell r="AG844" t="str">
            <v>기아모텍</v>
          </cell>
          <cell r="AI844" t="str">
            <v>영재정공</v>
          </cell>
        </row>
        <row r="845">
          <cell r="A845">
            <v>693</v>
          </cell>
          <cell r="E845" t="str">
            <v>기아모텍</v>
          </cell>
          <cell r="F845" t="str">
            <v>A</v>
          </cell>
          <cell r="G845" t="str">
            <v>E/G JXR A/T</v>
          </cell>
          <cell r="H845" t="str">
            <v>041101113084</v>
          </cell>
          <cell r="I845" t="str">
            <v>K65Y 10 401</v>
          </cell>
          <cell r="J845" t="str">
            <v>OIL PAN</v>
          </cell>
          <cell r="K845" t="str">
            <v>금형</v>
          </cell>
          <cell r="L845" t="str">
            <v>DR</v>
          </cell>
          <cell r="M845">
            <v>1</v>
          </cell>
          <cell r="N845">
            <v>23917000</v>
          </cell>
          <cell r="Y845" t="str">
            <v>주물</v>
          </cell>
          <cell r="Z845">
            <v>3.28742928</v>
          </cell>
          <cell r="AA845" t="str">
            <v>1310x740x720</v>
          </cell>
          <cell r="AB845" t="str">
            <v>96-4</v>
          </cell>
          <cell r="AG845" t="str">
            <v>기아모텍</v>
          </cell>
          <cell r="AI845" t="str">
            <v>영재정공</v>
          </cell>
        </row>
        <row r="846">
          <cell r="A846">
            <v>694</v>
          </cell>
          <cell r="E846" t="str">
            <v>기아모텍</v>
          </cell>
          <cell r="F846" t="str">
            <v>A</v>
          </cell>
          <cell r="G846" t="str">
            <v>CERES</v>
          </cell>
          <cell r="I846" t="str">
            <v>K670 10 401</v>
          </cell>
          <cell r="J846" t="str">
            <v>OIL PAN</v>
          </cell>
          <cell r="K846" t="str">
            <v>금형</v>
          </cell>
          <cell r="L846" t="str">
            <v>DR,DR</v>
          </cell>
          <cell r="M846">
            <v>2</v>
          </cell>
          <cell r="N846">
            <v>12430000</v>
          </cell>
          <cell r="Y846" t="str">
            <v>주물</v>
          </cell>
          <cell r="AA846" t="str">
            <v>xx</v>
          </cell>
          <cell r="AB846" t="str">
            <v>84-01-30</v>
          </cell>
          <cell r="AI846" t="str">
            <v>영재정공</v>
          </cell>
        </row>
        <row r="847">
          <cell r="A847">
            <v>695</v>
          </cell>
          <cell r="E847" t="str">
            <v>기아모텍</v>
          </cell>
          <cell r="F847" t="str">
            <v>A</v>
          </cell>
          <cell r="G847" t="str">
            <v>CERES</v>
          </cell>
          <cell r="H847" t="str">
            <v>041102040105</v>
          </cell>
          <cell r="I847" t="str">
            <v>K670 53 121</v>
          </cell>
          <cell r="J847" t="str">
            <v>REINF LEVER</v>
          </cell>
          <cell r="K847" t="str">
            <v>금형</v>
          </cell>
          <cell r="L847" t="str">
            <v>DR,TR,BE,PIE</v>
          </cell>
          <cell r="M847">
            <v>4</v>
          </cell>
          <cell r="N847">
            <v>7200000</v>
          </cell>
          <cell r="Y847" t="str">
            <v>주물</v>
          </cell>
          <cell r="AA847" t="str">
            <v>xx</v>
          </cell>
          <cell r="AB847" t="str">
            <v>84-07-30</v>
          </cell>
          <cell r="AI847" t="str">
            <v>대륭강업</v>
          </cell>
        </row>
        <row r="848">
          <cell r="A848">
            <v>695.0999755859375</v>
          </cell>
          <cell r="E848" t="str">
            <v>기아모텍</v>
          </cell>
          <cell r="F848" t="str">
            <v>A</v>
          </cell>
          <cell r="G848" t="str">
            <v>CERES</v>
          </cell>
          <cell r="H848" t="str">
            <v>041102040105</v>
          </cell>
          <cell r="I848" t="str">
            <v>K670 53 121</v>
          </cell>
          <cell r="J848" t="str">
            <v>REINF LEVER</v>
          </cell>
          <cell r="K848" t="str">
            <v>금형</v>
          </cell>
          <cell r="L848" t="str">
            <v>DR</v>
          </cell>
          <cell r="M848">
            <v>1</v>
          </cell>
          <cell r="Y848" t="str">
            <v>주물</v>
          </cell>
          <cell r="Z848">
            <v>4.1806713599999998</v>
          </cell>
          <cell r="AA848" t="str">
            <v>1340x920x720</v>
          </cell>
          <cell r="AB848" t="str">
            <v>84-07-30</v>
          </cell>
          <cell r="AI848" t="str">
            <v>대륭강업</v>
          </cell>
        </row>
        <row r="849">
          <cell r="A849">
            <v>695.20001220703125</v>
          </cell>
          <cell r="E849" t="str">
            <v>기아모텍</v>
          </cell>
          <cell r="F849" t="str">
            <v>A</v>
          </cell>
          <cell r="G849" t="str">
            <v>CERES</v>
          </cell>
          <cell r="H849" t="str">
            <v>041102040105</v>
          </cell>
          <cell r="I849" t="str">
            <v>K670 53 121</v>
          </cell>
          <cell r="J849" t="str">
            <v>REINF LEVER</v>
          </cell>
          <cell r="K849" t="str">
            <v>금형</v>
          </cell>
          <cell r="L849" t="str">
            <v>TR</v>
          </cell>
          <cell r="M849">
            <v>1</v>
          </cell>
          <cell r="Y849" t="str">
            <v>주물</v>
          </cell>
          <cell r="Z849">
            <v>4.3045631999999996</v>
          </cell>
          <cell r="AA849" t="str">
            <v>1360x960x700</v>
          </cell>
          <cell r="AB849" t="str">
            <v>84-07-30</v>
          </cell>
          <cell r="AI849" t="str">
            <v>대륭강업</v>
          </cell>
        </row>
        <row r="850">
          <cell r="A850">
            <v>695.29998779296875</v>
          </cell>
          <cell r="E850" t="str">
            <v>기아모텍</v>
          </cell>
          <cell r="F850" t="str">
            <v>A</v>
          </cell>
          <cell r="G850" t="str">
            <v>CERES</v>
          </cell>
          <cell r="H850" t="str">
            <v>041102040105</v>
          </cell>
          <cell r="I850" t="str">
            <v>K670 53 121</v>
          </cell>
          <cell r="J850" t="str">
            <v>REINF LEVER</v>
          </cell>
          <cell r="K850" t="str">
            <v>금형</v>
          </cell>
          <cell r="L850" t="str">
            <v>BE</v>
          </cell>
          <cell r="M850">
            <v>1</v>
          </cell>
          <cell r="Y850" t="str">
            <v>STELL</v>
          </cell>
          <cell r="Z850">
            <v>0.55547856000000007</v>
          </cell>
          <cell r="AA850" t="str">
            <v>630x520x360</v>
          </cell>
          <cell r="AB850" t="str">
            <v>84-07-30</v>
          </cell>
          <cell r="AI850" t="str">
            <v>대륭강업</v>
          </cell>
        </row>
        <row r="851">
          <cell r="A851">
            <v>695.4000244140625</v>
          </cell>
          <cell r="E851" t="str">
            <v>기아모텍</v>
          </cell>
          <cell r="F851" t="str">
            <v>A</v>
          </cell>
          <cell r="G851" t="str">
            <v>CERES</v>
          </cell>
          <cell r="H851" t="str">
            <v>041102040105</v>
          </cell>
          <cell r="I851" t="str">
            <v>K670 53 121</v>
          </cell>
          <cell r="J851" t="str">
            <v>REINF LEVER</v>
          </cell>
          <cell r="K851" t="str">
            <v>금형</v>
          </cell>
          <cell r="L851" t="str">
            <v>PIE</v>
          </cell>
          <cell r="M851">
            <v>1</v>
          </cell>
          <cell r="Y851" t="str">
            <v>STEEL</v>
          </cell>
          <cell r="Z851">
            <v>0.55547856000000007</v>
          </cell>
          <cell r="AA851" t="str">
            <v>630x520x360</v>
          </cell>
          <cell r="AB851" t="str">
            <v>84-07-30</v>
          </cell>
          <cell r="AI851" t="str">
            <v>대륭강업</v>
          </cell>
        </row>
        <row r="852">
          <cell r="A852">
            <v>696</v>
          </cell>
          <cell r="E852" t="str">
            <v>기아모텍</v>
          </cell>
          <cell r="F852" t="str">
            <v>A</v>
          </cell>
          <cell r="G852" t="str">
            <v>CERES</v>
          </cell>
          <cell r="H852" t="str">
            <v>041102080034</v>
          </cell>
          <cell r="I852" t="str">
            <v>K670 53 230</v>
          </cell>
          <cell r="J852" t="str">
            <v>SEAT BOOT UP/LWR</v>
          </cell>
          <cell r="K852" t="str">
            <v>금형</v>
          </cell>
          <cell r="L852" t="str">
            <v>UP 2,LWR 4</v>
          </cell>
          <cell r="M852">
            <v>6</v>
          </cell>
          <cell r="N852">
            <v>4800000</v>
          </cell>
          <cell r="Y852" t="str">
            <v>STEEL</v>
          </cell>
          <cell r="AA852" t="str">
            <v>xx</v>
          </cell>
          <cell r="AB852" t="str">
            <v>84-07-31</v>
          </cell>
          <cell r="AG852" t="str">
            <v>금화공업</v>
          </cell>
          <cell r="AI852" t="str">
            <v>풍원산업</v>
          </cell>
        </row>
        <row r="853">
          <cell r="A853">
            <v>696.0999755859375</v>
          </cell>
          <cell r="E853" t="str">
            <v>기아모텍</v>
          </cell>
          <cell r="F853" t="str">
            <v>A</v>
          </cell>
          <cell r="G853" t="str">
            <v>CERES</v>
          </cell>
          <cell r="H853" t="str">
            <v>041102080034</v>
          </cell>
          <cell r="I853" t="str">
            <v>K670 53 230</v>
          </cell>
          <cell r="J853" t="str">
            <v>SEAT BOOT UP/LWR</v>
          </cell>
          <cell r="K853" t="str">
            <v>금형</v>
          </cell>
          <cell r="L853" t="str">
            <v>1/6</v>
          </cell>
          <cell r="M853">
            <v>1</v>
          </cell>
          <cell r="Y853" t="str">
            <v>STEEL</v>
          </cell>
          <cell r="Z853">
            <v>0.15270761999999999</v>
          </cell>
          <cell r="AA853" t="str">
            <v>430x290x260</v>
          </cell>
          <cell r="AB853" t="str">
            <v>84-07-31</v>
          </cell>
          <cell r="AG853" t="str">
            <v>금화공업</v>
          </cell>
          <cell r="AI853" t="str">
            <v>풍원산업</v>
          </cell>
        </row>
        <row r="854">
          <cell r="A854">
            <v>696.20001220703102</v>
          </cell>
          <cell r="E854" t="str">
            <v>기아모텍</v>
          </cell>
          <cell r="F854" t="str">
            <v>A</v>
          </cell>
          <cell r="G854" t="str">
            <v>CERES</v>
          </cell>
          <cell r="H854" t="str">
            <v>041102080034</v>
          </cell>
          <cell r="I854" t="str">
            <v>K670 53 230</v>
          </cell>
          <cell r="J854" t="str">
            <v>SEAT BOOT UP/LWR</v>
          </cell>
          <cell r="K854" t="str">
            <v>금형</v>
          </cell>
          <cell r="L854" t="str">
            <v>2/6</v>
          </cell>
          <cell r="M854">
            <v>1</v>
          </cell>
          <cell r="Y854" t="str">
            <v>STEEL</v>
          </cell>
          <cell r="Z854">
            <v>0.15270761999999999</v>
          </cell>
          <cell r="AA854" t="str">
            <v>430x290x260</v>
          </cell>
          <cell r="AB854" t="str">
            <v>84-07-31</v>
          </cell>
          <cell r="AG854" t="str">
            <v>금화공업</v>
          </cell>
          <cell r="AI854" t="str">
            <v>풍원산업</v>
          </cell>
        </row>
        <row r="855">
          <cell r="A855">
            <v>696.29998779296875</v>
          </cell>
          <cell r="E855" t="str">
            <v>기아모텍</v>
          </cell>
          <cell r="F855" t="str">
            <v>A</v>
          </cell>
          <cell r="G855" t="str">
            <v>CERES</v>
          </cell>
          <cell r="H855" t="str">
            <v>041102080034</v>
          </cell>
          <cell r="I855" t="str">
            <v>K670 53 230</v>
          </cell>
          <cell r="J855" t="str">
            <v>SEAT BOOT UP/LWR</v>
          </cell>
          <cell r="K855" t="str">
            <v>금형</v>
          </cell>
          <cell r="L855" t="str">
            <v>3/6</v>
          </cell>
          <cell r="M855">
            <v>1</v>
          </cell>
          <cell r="Y855" t="str">
            <v>STEEL</v>
          </cell>
          <cell r="Z855">
            <v>0.15270761999999999</v>
          </cell>
          <cell r="AA855" t="str">
            <v>430x290x260</v>
          </cell>
          <cell r="AB855" t="str">
            <v>84-07-31</v>
          </cell>
          <cell r="AG855" t="str">
            <v>금화공업</v>
          </cell>
          <cell r="AI855" t="str">
            <v>풍원산업</v>
          </cell>
        </row>
        <row r="856">
          <cell r="A856">
            <v>696.4000244140625</v>
          </cell>
          <cell r="E856" t="str">
            <v>기아모텍</v>
          </cell>
          <cell r="F856" t="str">
            <v>A</v>
          </cell>
          <cell r="G856" t="str">
            <v>CERES</v>
          </cell>
          <cell r="H856" t="str">
            <v>041102080034</v>
          </cell>
          <cell r="I856" t="str">
            <v>K670 53 230</v>
          </cell>
          <cell r="J856" t="str">
            <v>SEAT BOOT UP/LWR</v>
          </cell>
          <cell r="K856" t="str">
            <v>금형</v>
          </cell>
          <cell r="L856" t="str">
            <v>4/6</v>
          </cell>
          <cell r="M856">
            <v>1</v>
          </cell>
          <cell r="Y856" t="str">
            <v>STEEL</v>
          </cell>
          <cell r="Z856">
            <v>0.15270761999999999</v>
          </cell>
          <cell r="AA856" t="str">
            <v>430x290x260</v>
          </cell>
          <cell r="AB856" t="str">
            <v>84-07-31</v>
          </cell>
          <cell r="AG856" t="str">
            <v>금화공업</v>
          </cell>
          <cell r="AI856" t="str">
            <v>풍원산업</v>
          </cell>
        </row>
        <row r="857">
          <cell r="A857">
            <v>696.5</v>
          </cell>
          <cell r="E857" t="str">
            <v>기아모텍</v>
          </cell>
          <cell r="F857" t="str">
            <v>A</v>
          </cell>
          <cell r="G857" t="str">
            <v>CERES</v>
          </cell>
          <cell r="H857" t="str">
            <v>041102080034</v>
          </cell>
          <cell r="I857" t="str">
            <v>K670 53 230</v>
          </cell>
          <cell r="J857" t="str">
            <v>SEAT BOOT UP/LWR</v>
          </cell>
          <cell r="K857" t="str">
            <v>금형</v>
          </cell>
          <cell r="L857" t="str">
            <v>5/6</v>
          </cell>
          <cell r="M857">
            <v>1</v>
          </cell>
          <cell r="Y857" t="str">
            <v>STEEL</v>
          </cell>
          <cell r="Z857">
            <v>0.15270761999999999</v>
          </cell>
          <cell r="AA857" t="str">
            <v>430x290x260</v>
          </cell>
          <cell r="AB857" t="str">
            <v>84-07-31</v>
          </cell>
          <cell r="AG857" t="str">
            <v>금화공업</v>
          </cell>
          <cell r="AI857" t="str">
            <v>풍원산업</v>
          </cell>
        </row>
        <row r="858">
          <cell r="A858">
            <v>696.5999755859375</v>
          </cell>
          <cell r="E858" t="str">
            <v>기아모텍</v>
          </cell>
          <cell r="F858" t="str">
            <v>A</v>
          </cell>
          <cell r="G858" t="str">
            <v>CERES</v>
          </cell>
          <cell r="H858" t="str">
            <v>041102080034</v>
          </cell>
          <cell r="I858" t="str">
            <v>K670 53 230</v>
          </cell>
          <cell r="J858" t="str">
            <v>SEAT BOOT UP/LWR</v>
          </cell>
          <cell r="K858" t="str">
            <v>금형</v>
          </cell>
          <cell r="L858" t="str">
            <v>6/6</v>
          </cell>
          <cell r="M858">
            <v>1</v>
          </cell>
          <cell r="Y858" t="str">
            <v>STEEL</v>
          </cell>
          <cell r="Z858">
            <v>0.15270761999999999</v>
          </cell>
          <cell r="AA858" t="str">
            <v>430x290x260</v>
          </cell>
          <cell r="AB858" t="str">
            <v>84-07-31</v>
          </cell>
          <cell r="AG858" t="str">
            <v>금화공업</v>
          </cell>
          <cell r="AI858" t="str">
            <v>풍원산업</v>
          </cell>
        </row>
        <row r="859">
          <cell r="A859">
            <v>697</v>
          </cell>
          <cell r="E859" t="str">
            <v>기아모텍</v>
          </cell>
          <cell r="F859" t="str">
            <v>A</v>
          </cell>
          <cell r="G859" t="str">
            <v>CERES</v>
          </cell>
          <cell r="H859" t="str">
            <v>041102040095</v>
          </cell>
          <cell r="I859" t="str">
            <v>K670 70 041B</v>
          </cell>
          <cell r="J859" t="str">
            <v>A PILLER IN LWR</v>
          </cell>
          <cell r="K859" t="str">
            <v>금형</v>
          </cell>
          <cell r="L859" t="str">
            <v>1/4-4/4</v>
          </cell>
          <cell r="M859">
            <v>4</v>
          </cell>
          <cell r="N859">
            <v>101989963</v>
          </cell>
          <cell r="Y859" t="str">
            <v>주물</v>
          </cell>
          <cell r="AA859" t="str">
            <v>xx</v>
          </cell>
          <cell r="AB859" t="str">
            <v>82-06-30</v>
          </cell>
          <cell r="AI859" t="str">
            <v>영재정공</v>
          </cell>
        </row>
        <row r="860">
          <cell r="A860">
            <v>697.0999755859375</v>
          </cell>
          <cell r="E860" t="str">
            <v>기아모텍</v>
          </cell>
          <cell r="F860" t="str">
            <v>A</v>
          </cell>
          <cell r="G860" t="str">
            <v>CERES</v>
          </cell>
          <cell r="H860" t="str">
            <v>041102040095</v>
          </cell>
          <cell r="I860" t="str">
            <v>K670 70 041B</v>
          </cell>
          <cell r="J860" t="str">
            <v>A PILLER IN LWR</v>
          </cell>
          <cell r="K860" t="str">
            <v>금형</v>
          </cell>
          <cell r="L860" t="str">
            <v>DR</v>
          </cell>
          <cell r="M860">
            <v>1</v>
          </cell>
          <cell r="Y860" t="str">
            <v>주물</v>
          </cell>
          <cell r="Z860">
            <v>3.4717409999999997</v>
          </cell>
          <cell r="AA860" t="str">
            <v>1300x900x630</v>
          </cell>
          <cell r="AB860" t="str">
            <v>82-06-30</v>
          </cell>
          <cell r="AI860" t="str">
            <v>영재정공</v>
          </cell>
        </row>
        <row r="861">
          <cell r="A861">
            <v>697.20001220703125</v>
          </cell>
          <cell r="E861" t="str">
            <v>기아모텍</v>
          </cell>
          <cell r="F861" t="str">
            <v>A</v>
          </cell>
          <cell r="G861" t="str">
            <v>CERES</v>
          </cell>
          <cell r="H861" t="str">
            <v>041102040095</v>
          </cell>
          <cell r="I861" t="str">
            <v>K670 70 041B</v>
          </cell>
          <cell r="J861" t="str">
            <v>A PILLER IN LWR</v>
          </cell>
          <cell r="K861" t="str">
            <v>금형</v>
          </cell>
          <cell r="L861" t="str">
            <v>FL &amp; TR</v>
          </cell>
          <cell r="M861">
            <v>1</v>
          </cell>
          <cell r="Y861" t="str">
            <v>주물</v>
          </cell>
          <cell r="Z861">
            <v>3.2962463999999994</v>
          </cell>
          <cell r="AA861" t="str">
            <v>1200x810x720</v>
          </cell>
          <cell r="AB861" t="str">
            <v>82-06-30</v>
          </cell>
          <cell r="AI861" t="str">
            <v>영재정공</v>
          </cell>
        </row>
        <row r="862">
          <cell r="A862">
            <v>697.29998779296875</v>
          </cell>
          <cell r="E862" t="str">
            <v>기아모텍</v>
          </cell>
          <cell r="F862" t="str">
            <v>A</v>
          </cell>
          <cell r="G862" t="str">
            <v>CERES</v>
          </cell>
          <cell r="H862" t="str">
            <v>041102040095</v>
          </cell>
          <cell r="I862" t="str">
            <v>K670 70 041B</v>
          </cell>
          <cell r="J862" t="str">
            <v>A PILLER IN LWR</v>
          </cell>
          <cell r="K862" t="str">
            <v>금형</v>
          </cell>
          <cell r="L862" t="str">
            <v>REST</v>
          </cell>
          <cell r="M862">
            <v>1</v>
          </cell>
          <cell r="Y862" t="str">
            <v>주물</v>
          </cell>
          <cell r="Z862">
            <v>4.4718624</v>
          </cell>
          <cell r="AA862" t="str">
            <v>1290x920x800</v>
          </cell>
          <cell r="AB862" t="str">
            <v>82-06-30</v>
          </cell>
          <cell r="AI862" t="str">
            <v>영재정공</v>
          </cell>
        </row>
        <row r="863">
          <cell r="A863">
            <v>697.4000244140625</v>
          </cell>
          <cell r="E863" t="str">
            <v>기아모텍</v>
          </cell>
          <cell r="F863" t="str">
            <v>A</v>
          </cell>
          <cell r="G863" t="str">
            <v>CERES</v>
          </cell>
          <cell r="H863" t="str">
            <v>041102040095</v>
          </cell>
          <cell r="I863" t="str">
            <v>K670 70 041B</v>
          </cell>
          <cell r="J863" t="str">
            <v>A PILLER IN LWR</v>
          </cell>
          <cell r="K863" t="str">
            <v>금형</v>
          </cell>
          <cell r="L863" t="str">
            <v>PI &amp; SEP</v>
          </cell>
          <cell r="M863">
            <v>1</v>
          </cell>
          <cell r="Y863" t="str">
            <v>주물</v>
          </cell>
          <cell r="Z863">
            <v>2.9908876799999997</v>
          </cell>
          <cell r="AA863" t="str">
            <v>1210x820x640</v>
          </cell>
          <cell r="AB863" t="str">
            <v>82-06-30</v>
          </cell>
          <cell r="AI863" t="str">
            <v>영재정공</v>
          </cell>
        </row>
        <row r="864">
          <cell r="A864">
            <v>698</v>
          </cell>
          <cell r="E864" t="str">
            <v>기아모텍</v>
          </cell>
          <cell r="F864" t="str">
            <v>C1</v>
          </cell>
          <cell r="G864" t="str">
            <v>CERES</v>
          </cell>
          <cell r="H864" t="str">
            <v>041102010878</v>
          </cell>
          <cell r="I864" t="str">
            <v>K670 70 611</v>
          </cell>
          <cell r="J864" t="str">
            <v>FRT.PANEL</v>
          </cell>
          <cell r="K864" t="str">
            <v>금형</v>
          </cell>
          <cell r="L864" t="str">
            <v>PIE 4/4</v>
          </cell>
          <cell r="M864">
            <v>1</v>
          </cell>
          <cell r="N864">
            <v>18924000</v>
          </cell>
          <cell r="Y864" t="str">
            <v>주물</v>
          </cell>
          <cell r="Z864">
            <v>9.4083191999999993</v>
          </cell>
          <cell r="AA864" t="str">
            <v>2050x1120x870</v>
          </cell>
          <cell r="AB864" t="str">
            <v>90-12-31</v>
          </cell>
          <cell r="AG864" t="str">
            <v>KIA</v>
          </cell>
          <cell r="AI864" t="str">
            <v>KMO 안산2공장</v>
          </cell>
        </row>
        <row r="865">
          <cell r="A865">
            <v>699</v>
          </cell>
          <cell r="E865" t="str">
            <v>기아모텍</v>
          </cell>
          <cell r="F865" t="str">
            <v>C1</v>
          </cell>
          <cell r="G865" t="str">
            <v>CERES</v>
          </cell>
          <cell r="H865" t="str">
            <v>041102130159</v>
          </cell>
          <cell r="I865" t="str">
            <v>K670 70 611B</v>
          </cell>
          <cell r="J865" t="str">
            <v>FRT. PANEL CTR.</v>
          </cell>
          <cell r="K865" t="str">
            <v>금형</v>
          </cell>
          <cell r="L865" t="str">
            <v>DR 1/3</v>
          </cell>
          <cell r="M865">
            <v>1</v>
          </cell>
          <cell r="N865">
            <v>19068405</v>
          </cell>
          <cell r="Y865" t="str">
            <v>주물</v>
          </cell>
          <cell r="Z865">
            <v>12.3452868</v>
          </cell>
          <cell r="AA865" t="str">
            <v>2300x1540x740</v>
          </cell>
          <cell r="AB865" t="str">
            <v>81-12-31</v>
          </cell>
          <cell r="AI865" t="str">
            <v>KMO 안산2공장</v>
          </cell>
        </row>
        <row r="866">
          <cell r="A866">
            <v>700</v>
          </cell>
          <cell r="E866" t="str">
            <v>기아모텍</v>
          </cell>
          <cell r="F866" t="str">
            <v>C1</v>
          </cell>
          <cell r="G866" t="str">
            <v>CERES</v>
          </cell>
          <cell r="H866" t="str">
            <v>041102230026</v>
          </cell>
          <cell r="I866" t="str">
            <v>K670 70 611B</v>
          </cell>
          <cell r="J866" t="str">
            <v>FRT. PANEL CTR.</v>
          </cell>
          <cell r="K866" t="str">
            <v>금형</v>
          </cell>
          <cell r="L866" t="str">
            <v>TR/PIE 2/3</v>
          </cell>
          <cell r="M866">
            <v>1</v>
          </cell>
          <cell r="N866">
            <v>72922082</v>
          </cell>
          <cell r="Y866" t="str">
            <v>주물</v>
          </cell>
          <cell r="Z866">
            <v>13.148551395</v>
          </cell>
          <cell r="AA866" t="str">
            <v>2290x1290x945</v>
          </cell>
          <cell r="AB866" t="str">
            <v>81-12-31</v>
          </cell>
          <cell r="AI866" t="str">
            <v>KMO 안산2공장</v>
          </cell>
        </row>
        <row r="867">
          <cell r="A867">
            <v>701</v>
          </cell>
          <cell r="E867" t="str">
            <v>기아모텍</v>
          </cell>
          <cell r="F867" t="str">
            <v>C1</v>
          </cell>
          <cell r="G867" t="str">
            <v>CERES</v>
          </cell>
          <cell r="H867" t="str">
            <v>041102330023</v>
          </cell>
          <cell r="I867" t="str">
            <v>K670 70 611B</v>
          </cell>
          <cell r="J867" t="str">
            <v>FRT. PANEL CTR.</v>
          </cell>
          <cell r="K867" t="str">
            <v>금형</v>
          </cell>
          <cell r="L867" t="str">
            <v>FL 3/3</v>
          </cell>
          <cell r="M867">
            <v>1</v>
          </cell>
          <cell r="N867">
            <v>11431841</v>
          </cell>
          <cell r="Y867" t="str">
            <v>주물</v>
          </cell>
          <cell r="Z867">
            <v>14.0060799</v>
          </cell>
          <cell r="AA867" t="str">
            <v>2220x1410x950</v>
          </cell>
          <cell r="AB867" t="str">
            <v>81-12-31</v>
          </cell>
          <cell r="AI867" t="str">
            <v>KMO 안산2공장</v>
          </cell>
        </row>
        <row r="868">
          <cell r="A868">
            <v>702</v>
          </cell>
          <cell r="E868" t="str">
            <v>기아모텍</v>
          </cell>
          <cell r="F868" t="str">
            <v>C4</v>
          </cell>
          <cell r="G868" t="str">
            <v>CERES</v>
          </cell>
          <cell r="I868" t="str">
            <v>K670 70 621</v>
          </cell>
          <cell r="J868" t="str">
            <v>FRT CROSS M/B A</v>
          </cell>
          <cell r="K868" t="str">
            <v>금형</v>
          </cell>
          <cell r="L868" t="str">
            <v>PIE</v>
          </cell>
          <cell r="M868">
            <v>1</v>
          </cell>
          <cell r="N868">
            <v>4500000</v>
          </cell>
          <cell r="Z868">
            <v>0</v>
          </cell>
          <cell r="AA868" t="str">
            <v>xx</v>
          </cell>
          <cell r="AB868" t="str">
            <v>91-10-17</v>
          </cell>
          <cell r="AG868" t="str">
            <v>KIA</v>
          </cell>
          <cell r="AJ868" t="str">
            <v>금성공업</v>
          </cell>
          <cell r="AK868" t="str">
            <v>금성공업 이관시 분실</v>
          </cell>
        </row>
        <row r="869">
          <cell r="A869">
            <v>703</v>
          </cell>
          <cell r="E869" t="str">
            <v>기아모텍</v>
          </cell>
          <cell r="F869" t="str">
            <v>C4</v>
          </cell>
          <cell r="G869" t="str">
            <v>CERES</v>
          </cell>
          <cell r="H869" t="str">
            <v>041102000075</v>
          </cell>
          <cell r="I869" t="str">
            <v>K670 70 810</v>
          </cell>
          <cell r="J869" t="str">
            <v>PLATE ASSY-UPR (PART:811</v>
          </cell>
          <cell r="K869" t="str">
            <v>금형</v>
          </cell>
          <cell r="L869" t="str">
            <v>814B,828,841</v>
          </cell>
          <cell r="M869">
            <v>13</v>
          </cell>
          <cell r="N869">
            <v>136900000</v>
          </cell>
          <cell r="Z869">
            <v>0</v>
          </cell>
          <cell r="AA869" t="str">
            <v>xx</v>
          </cell>
          <cell r="AB869" t="str">
            <v>84-07-31</v>
          </cell>
          <cell r="AG869" t="str">
            <v>KIA</v>
          </cell>
          <cell r="AJ869" t="str">
            <v>금성공업</v>
          </cell>
          <cell r="AK869" t="str">
            <v>금성공업 이관시 분실</v>
          </cell>
        </row>
        <row r="870">
          <cell r="A870">
            <v>704</v>
          </cell>
          <cell r="E870" t="str">
            <v>기아모텍</v>
          </cell>
          <cell r="F870" t="str">
            <v>C4</v>
          </cell>
          <cell r="G870" t="str">
            <v>CERES</v>
          </cell>
          <cell r="H870" t="str">
            <v>041102000065</v>
          </cell>
          <cell r="I870" t="str">
            <v>K670 70 820</v>
          </cell>
          <cell r="J870" t="str">
            <v>PLATE ASSY-LWR (PART:813</v>
          </cell>
          <cell r="K870" t="str">
            <v>금형</v>
          </cell>
          <cell r="L870" t="str">
            <v>831,851,921</v>
          </cell>
          <cell r="M870">
            <v>12</v>
          </cell>
          <cell r="N870">
            <v>170400000</v>
          </cell>
          <cell r="Z870">
            <v>0</v>
          </cell>
          <cell r="AA870" t="str">
            <v>xx</v>
          </cell>
          <cell r="AB870" t="str">
            <v>84-07-31</v>
          </cell>
          <cell r="AG870" t="str">
            <v>KIA</v>
          </cell>
          <cell r="AJ870" t="str">
            <v>금성공업</v>
          </cell>
          <cell r="AK870" t="str">
            <v>금성공업 이관시 분실</v>
          </cell>
        </row>
        <row r="871">
          <cell r="A871">
            <v>705</v>
          </cell>
          <cell r="E871" t="str">
            <v>기아모텍</v>
          </cell>
          <cell r="F871" t="str">
            <v>C4</v>
          </cell>
          <cell r="G871" t="str">
            <v>CERES</v>
          </cell>
          <cell r="H871" t="str">
            <v>041102070022</v>
          </cell>
          <cell r="I871" t="str">
            <v>K670 70 840</v>
          </cell>
          <cell r="J871" t="str">
            <v>PLATE GLOVE BOX</v>
          </cell>
          <cell r="K871" t="str">
            <v>금형</v>
          </cell>
          <cell r="L871" t="str">
            <v>NO,B,P,N</v>
          </cell>
          <cell r="M871">
            <v>4</v>
          </cell>
          <cell r="N871">
            <v>6300000</v>
          </cell>
          <cell r="Y871" t="str">
            <v>STEEL</v>
          </cell>
          <cell r="AA871" t="str">
            <v>xx</v>
          </cell>
          <cell r="AB871" t="str">
            <v>84-07-30</v>
          </cell>
          <cell r="AI871" t="str">
            <v>대륭강업</v>
          </cell>
          <cell r="AJ871" t="str">
            <v>서진산업</v>
          </cell>
          <cell r="AK871" t="str">
            <v>금성공업 이관시 분실</v>
          </cell>
        </row>
        <row r="872">
          <cell r="A872">
            <v>706</v>
          </cell>
          <cell r="E872" t="str">
            <v>기아모텍</v>
          </cell>
          <cell r="F872" t="str">
            <v>C1</v>
          </cell>
          <cell r="G872" t="str">
            <v>CERES</v>
          </cell>
          <cell r="H872" t="str">
            <v>041102660050</v>
          </cell>
          <cell r="I872" t="str">
            <v>K670 70/71 111D</v>
          </cell>
          <cell r="J872" t="str">
            <v>B PILLER OUT R/L</v>
          </cell>
          <cell r="K872" t="str">
            <v>금형</v>
          </cell>
          <cell r="L872" t="str">
            <v>6/6</v>
          </cell>
          <cell r="M872">
            <v>2</v>
          </cell>
          <cell r="N872">
            <v>14119025</v>
          </cell>
          <cell r="Y872" t="str">
            <v>주물</v>
          </cell>
          <cell r="AA872" t="str">
            <v>xx</v>
          </cell>
          <cell r="AB872" t="str">
            <v>84-06-03</v>
          </cell>
          <cell r="AI872" t="str">
            <v>KMO 안산2공장</v>
          </cell>
        </row>
        <row r="873">
          <cell r="A873">
            <v>707</v>
          </cell>
          <cell r="E873" t="str">
            <v>기아모텍</v>
          </cell>
          <cell r="F873" t="str">
            <v>A</v>
          </cell>
          <cell r="G873" t="str">
            <v>CERES</v>
          </cell>
          <cell r="H873" t="str">
            <v>041102150064</v>
          </cell>
          <cell r="I873" t="str">
            <v>K670 70/71 211B</v>
          </cell>
          <cell r="J873" t="str">
            <v>A PILLER OUT</v>
          </cell>
          <cell r="K873" t="str">
            <v>금형</v>
          </cell>
          <cell r="L873" t="str">
            <v>1/5</v>
          </cell>
          <cell r="M873">
            <v>1</v>
          </cell>
          <cell r="N873">
            <v>8204274</v>
          </cell>
          <cell r="Y873" t="str">
            <v>주물</v>
          </cell>
          <cell r="Z873">
            <v>6.4786049999999999</v>
          </cell>
          <cell r="AA873" t="str">
            <v>1310x1500x700</v>
          </cell>
          <cell r="AB873" t="str">
            <v>84-05-02</v>
          </cell>
          <cell r="AI873" t="str">
            <v>영재정공</v>
          </cell>
        </row>
        <row r="874">
          <cell r="A874">
            <v>708</v>
          </cell>
          <cell r="E874" t="str">
            <v>기아모텍</v>
          </cell>
          <cell r="F874" t="str">
            <v>A</v>
          </cell>
          <cell r="G874" t="str">
            <v>CERES</v>
          </cell>
          <cell r="H874" t="str">
            <v>041102250061</v>
          </cell>
          <cell r="I874" t="str">
            <v>K670 70/71 221B</v>
          </cell>
          <cell r="J874" t="str">
            <v>A PILLAR OUT</v>
          </cell>
          <cell r="K874" t="str">
            <v>금형</v>
          </cell>
          <cell r="L874" t="str">
            <v>2/5</v>
          </cell>
          <cell r="M874">
            <v>1</v>
          </cell>
          <cell r="N874">
            <v>6483039</v>
          </cell>
          <cell r="Y874" t="str">
            <v>주물</v>
          </cell>
          <cell r="Z874">
            <v>6.4786049999999999</v>
          </cell>
          <cell r="AA874" t="str">
            <v>1310x1500x700</v>
          </cell>
          <cell r="AB874" t="str">
            <v>84-05-02</v>
          </cell>
          <cell r="AI874" t="str">
            <v>영재정공</v>
          </cell>
        </row>
        <row r="875">
          <cell r="A875">
            <v>709</v>
          </cell>
          <cell r="E875" t="str">
            <v>기아모텍</v>
          </cell>
          <cell r="F875" t="str">
            <v>A</v>
          </cell>
          <cell r="G875" t="str">
            <v>CERES</v>
          </cell>
          <cell r="H875" t="str">
            <v>041102350068</v>
          </cell>
          <cell r="I875" t="str">
            <v>K670 70/71 221B</v>
          </cell>
          <cell r="J875" t="str">
            <v>A PILLAR OUT</v>
          </cell>
          <cell r="K875" t="str">
            <v>금형</v>
          </cell>
          <cell r="L875" t="str">
            <v>3/5</v>
          </cell>
          <cell r="M875">
            <v>1</v>
          </cell>
          <cell r="N875">
            <v>5451396</v>
          </cell>
          <cell r="Y875" t="str">
            <v>주물</v>
          </cell>
          <cell r="Z875">
            <v>6.4786049999999999</v>
          </cell>
          <cell r="AA875" t="str">
            <v>1310x1500x700</v>
          </cell>
          <cell r="AB875" t="str">
            <v>84-05-02</v>
          </cell>
          <cell r="AI875" t="str">
            <v>영재정공</v>
          </cell>
        </row>
        <row r="876">
          <cell r="A876">
            <v>710</v>
          </cell>
          <cell r="E876" t="str">
            <v>기아모텍</v>
          </cell>
          <cell r="F876" t="str">
            <v>A</v>
          </cell>
          <cell r="G876" t="str">
            <v>CERES</v>
          </cell>
          <cell r="H876" t="str">
            <v>041102450074</v>
          </cell>
          <cell r="I876" t="str">
            <v>K670 70/71 221B</v>
          </cell>
          <cell r="J876" t="str">
            <v>A PILLAR OUT</v>
          </cell>
          <cell r="K876" t="str">
            <v>금형</v>
          </cell>
          <cell r="L876" t="str">
            <v>4/5</v>
          </cell>
          <cell r="M876">
            <v>1</v>
          </cell>
          <cell r="N876">
            <v>4600204</v>
          </cell>
          <cell r="Y876" t="str">
            <v>주물</v>
          </cell>
          <cell r="Z876">
            <v>7.2100680000000006</v>
          </cell>
          <cell r="AA876" t="str">
            <v>2150x890x800</v>
          </cell>
          <cell r="AB876" t="str">
            <v>84-05-02</v>
          </cell>
          <cell r="AI876" t="str">
            <v>영재정공</v>
          </cell>
        </row>
        <row r="877">
          <cell r="A877">
            <v>711</v>
          </cell>
          <cell r="E877" t="str">
            <v>기아모텍</v>
          </cell>
          <cell r="F877" t="str">
            <v>C3</v>
          </cell>
          <cell r="G877" t="str">
            <v>CERES</v>
          </cell>
          <cell r="H877" t="str">
            <v>041102550081</v>
          </cell>
          <cell r="I877" t="str">
            <v>K670 70/71 221B</v>
          </cell>
          <cell r="J877" t="str">
            <v>A PILAAR OUT</v>
          </cell>
          <cell r="K877" t="str">
            <v>금형</v>
          </cell>
          <cell r="L877" t="str">
            <v>5/5</v>
          </cell>
          <cell r="M877">
            <v>1</v>
          </cell>
          <cell r="N877">
            <v>4600205</v>
          </cell>
          <cell r="Y877" t="str">
            <v>주물</v>
          </cell>
          <cell r="AA877" t="str">
            <v>xx</v>
          </cell>
          <cell r="AB877" t="str">
            <v>84-05-02</v>
          </cell>
          <cell r="AI877" t="str">
            <v>영재정공</v>
          </cell>
        </row>
        <row r="878">
          <cell r="A878">
            <v>712</v>
          </cell>
          <cell r="E878" t="str">
            <v>기아모텍</v>
          </cell>
          <cell r="F878" t="str">
            <v>C1</v>
          </cell>
          <cell r="G878" t="str">
            <v>CERES</v>
          </cell>
          <cell r="H878" t="str">
            <v>041102170059</v>
          </cell>
          <cell r="I878" t="str">
            <v>K670 70/71 711A</v>
          </cell>
          <cell r="J878" t="str">
            <v>FRT. PANEL SIDE R/L</v>
          </cell>
          <cell r="K878" t="str">
            <v>금형</v>
          </cell>
          <cell r="L878" t="str">
            <v>1/7 DR</v>
          </cell>
          <cell r="M878">
            <v>1</v>
          </cell>
          <cell r="N878">
            <v>19823800</v>
          </cell>
          <cell r="Y878" t="str">
            <v>주물</v>
          </cell>
          <cell r="AA878" t="str">
            <v>xx</v>
          </cell>
          <cell r="AB878" t="str">
            <v>85-06-03</v>
          </cell>
          <cell r="AI878" t="str">
            <v>KMO 안산2공장</v>
          </cell>
          <cell r="AJ878" t="str">
            <v>풍기산업</v>
          </cell>
        </row>
        <row r="879">
          <cell r="A879">
            <v>713</v>
          </cell>
          <cell r="E879" t="str">
            <v>기아모텍</v>
          </cell>
          <cell r="F879" t="str">
            <v>C1</v>
          </cell>
          <cell r="G879" t="str">
            <v>CERES</v>
          </cell>
          <cell r="H879" t="str">
            <v>041102270046</v>
          </cell>
          <cell r="I879" t="str">
            <v>K670 70/71 711A</v>
          </cell>
          <cell r="J879" t="str">
            <v>FRT. PANEL SIDE R/L</v>
          </cell>
          <cell r="K879" t="str">
            <v>금형</v>
          </cell>
          <cell r="L879" t="str">
            <v>2/7 REST</v>
          </cell>
          <cell r="M879">
            <v>1</v>
          </cell>
          <cell r="N879">
            <v>27203579</v>
          </cell>
          <cell r="Y879" t="str">
            <v>주물</v>
          </cell>
          <cell r="AA879" t="str">
            <v>xx</v>
          </cell>
          <cell r="AB879" t="str">
            <v>85-06-03</v>
          </cell>
          <cell r="AI879" t="str">
            <v>KMO 안산2공장</v>
          </cell>
          <cell r="AJ879" t="str">
            <v>풍기산업</v>
          </cell>
        </row>
        <row r="880">
          <cell r="A880">
            <v>714</v>
          </cell>
          <cell r="E880" t="str">
            <v>기아모텍</v>
          </cell>
          <cell r="F880" t="str">
            <v>C1</v>
          </cell>
          <cell r="G880" t="str">
            <v>CERES</v>
          </cell>
          <cell r="H880" t="str">
            <v>041102370043</v>
          </cell>
          <cell r="I880" t="str">
            <v>K670 70/71 711A</v>
          </cell>
          <cell r="J880" t="str">
            <v>FRT. PANEL SIDE R/L</v>
          </cell>
          <cell r="K880" t="str">
            <v>금형</v>
          </cell>
          <cell r="L880" t="str">
            <v>3/7 TR/PI</v>
          </cell>
          <cell r="M880">
            <v>1</v>
          </cell>
          <cell r="N880">
            <v>29156362</v>
          </cell>
          <cell r="Y880" t="str">
            <v>주물</v>
          </cell>
          <cell r="AA880" t="str">
            <v>xx</v>
          </cell>
          <cell r="AB880" t="str">
            <v>85-06-03</v>
          </cell>
          <cell r="AI880" t="str">
            <v>KMO 안산2공장</v>
          </cell>
          <cell r="AJ880" t="str">
            <v>풍기산업</v>
          </cell>
        </row>
        <row r="881">
          <cell r="A881">
            <v>715</v>
          </cell>
          <cell r="E881" t="str">
            <v>기아모텍</v>
          </cell>
          <cell r="F881" t="str">
            <v>C1</v>
          </cell>
          <cell r="G881" t="str">
            <v>CERES</v>
          </cell>
          <cell r="H881" t="str">
            <v>041102470059</v>
          </cell>
          <cell r="I881" t="str">
            <v>K670 70/71 711A</v>
          </cell>
          <cell r="J881" t="str">
            <v>FRT. PANEL SIDE R/L</v>
          </cell>
          <cell r="K881" t="str">
            <v>금형</v>
          </cell>
          <cell r="L881" t="str">
            <v>4/7 CA/PI</v>
          </cell>
          <cell r="M881">
            <v>1</v>
          </cell>
          <cell r="N881">
            <v>17548059</v>
          </cell>
          <cell r="Y881" t="str">
            <v>주물</v>
          </cell>
          <cell r="AA881" t="str">
            <v>xx</v>
          </cell>
          <cell r="AB881" t="str">
            <v>85-06-03</v>
          </cell>
          <cell r="AI881" t="str">
            <v>KMO 안산2공장</v>
          </cell>
          <cell r="AJ881" t="str">
            <v>풍기산업</v>
          </cell>
        </row>
        <row r="882">
          <cell r="A882">
            <v>716</v>
          </cell>
          <cell r="E882" t="str">
            <v>기아모텍</v>
          </cell>
          <cell r="F882" t="str">
            <v>C1</v>
          </cell>
          <cell r="G882" t="str">
            <v>CERES</v>
          </cell>
          <cell r="H882" t="str">
            <v>041102570046</v>
          </cell>
          <cell r="I882" t="str">
            <v>K670 70/71 711A</v>
          </cell>
          <cell r="J882" t="str">
            <v>FRT. PANEL SIDE R/L</v>
          </cell>
          <cell r="K882" t="str">
            <v>금형</v>
          </cell>
          <cell r="L882" t="str">
            <v>5/7 SE/PI</v>
          </cell>
          <cell r="M882">
            <v>1</v>
          </cell>
          <cell r="N882">
            <v>32767657</v>
          </cell>
          <cell r="Y882" t="str">
            <v>주물</v>
          </cell>
          <cell r="AA882" t="str">
            <v>xx</v>
          </cell>
          <cell r="AB882" t="str">
            <v>85-06-03</v>
          </cell>
          <cell r="AI882" t="str">
            <v>KMO 안산2공장</v>
          </cell>
          <cell r="AJ882" t="str">
            <v>풍기산업</v>
          </cell>
        </row>
        <row r="883">
          <cell r="A883">
            <v>717</v>
          </cell>
          <cell r="E883" t="str">
            <v>기아모텍</v>
          </cell>
          <cell r="F883" t="str">
            <v>C1</v>
          </cell>
          <cell r="G883" t="str">
            <v>CERES</v>
          </cell>
          <cell r="H883" t="str">
            <v>041102670043</v>
          </cell>
          <cell r="I883" t="str">
            <v>K670 70/71 711A</v>
          </cell>
          <cell r="J883" t="str">
            <v>FRT. PANEL SIDE R/L</v>
          </cell>
          <cell r="K883" t="str">
            <v>금형</v>
          </cell>
          <cell r="L883" t="str">
            <v>6/7 CA/FL</v>
          </cell>
          <cell r="M883">
            <v>1</v>
          </cell>
          <cell r="N883">
            <v>24011902</v>
          </cell>
          <cell r="Y883" t="str">
            <v>주물</v>
          </cell>
          <cell r="AA883" t="str">
            <v>xx</v>
          </cell>
          <cell r="AB883" t="str">
            <v>85-06-03</v>
          </cell>
          <cell r="AI883" t="str">
            <v>KMO 안산2공장</v>
          </cell>
          <cell r="AJ883" t="str">
            <v>풍기산업</v>
          </cell>
        </row>
        <row r="884">
          <cell r="A884">
            <v>718</v>
          </cell>
          <cell r="E884" t="str">
            <v>기아모텍</v>
          </cell>
          <cell r="F884" t="str">
            <v>C1</v>
          </cell>
          <cell r="G884" t="str">
            <v>CERES</v>
          </cell>
          <cell r="H884" t="str">
            <v>041102770039</v>
          </cell>
          <cell r="I884" t="str">
            <v>K670 70/71 711A</v>
          </cell>
          <cell r="J884" t="str">
            <v>FRT. PANEL SIDE R/L</v>
          </cell>
          <cell r="K884" t="str">
            <v>금형</v>
          </cell>
          <cell r="L884" t="str">
            <v>7/7 PI</v>
          </cell>
          <cell r="M884">
            <v>1</v>
          </cell>
          <cell r="N884">
            <v>11148702</v>
          </cell>
          <cell r="Y884" t="str">
            <v>주물</v>
          </cell>
          <cell r="AA884" t="str">
            <v>xx</v>
          </cell>
          <cell r="AB884" t="str">
            <v>85-06-03</v>
          </cell>
          <cell r="AI884" t="str">
            <v>KMO 안산2공장</v>
          </cell>
          <cell r="AJ884" t="str">
            <v>풍기산업</v>
          </cell>
        </row>
        <row r="885">
          <cell r="A885">
            <v>719</v>
          </cell>
          <cell r="E885" t="str">
            <v>기아모텍</v>
          </cell>
          <cell r="F885" t="str">
            <v>A</v>
          </cell>
          <cell r="G885" t="str">
            <v>CERES</v>
          </cell>
          <cell r="H885" t="str">
            <v>041102360420</v>
          </cell>
          <cell r="I885" t="str">
            <v>K672 53/54 221</v>
          </cell>
          <cell r="J885" t="str">
            <v>WHL APRON R/L</v>
          </cell>
          <cell r="K885" t="str">
            <v>금형</v>
          </cell>
          <cell r="L885" t="str">
            <v>3/4 SEP/CAM</v>
          </cell>
          <cell r="M885">
            <v>1</v>
          </cell>
          <cell r="N885">
            <v>10330078</v>
          </cell>
          <cell r="Y885" t="str">
            <v>STEEL</v>
          </cell>
          <cell r="Z885">
            <v>0</v>
          </cell>
          <cell r="AA885" t="str">
            <v>xx</v>
          </cell>
          <cell r="AB885" t="str">
            <v>88-03-02</v>
          </cell>
          <cell r="AG885" t="str">
            <v>KIA</v>
          </cell>
          <cell r="AI885" t="str">
            <v>일석산업</v>
          </cell>
          <cell r="AJ885" t="str">
            <v>서진산업</v>
          </cell>
        </row>
        <row r="886">
          <cell r="A886">
            <v>720</v>
          </cell>
          <cell r="E886" t="str">
            <v>기아모텍</v>
          </cell>
          <cell r="F886" t="str">
            <v>A</v>
          </cell>
          <cell r="G886" t="str">
            <v>CERES</v>
          </cell>
          <cell r="H886" t="str">
            <v>041102460416</v>
          </cell>
          <cell r="I886" t="str">
            <v>K672 53/54 221</v>
          </cell>
          <cell r="J886" t="str">
            <v>WHL APRON R/L</v>
          </cell>
          <cell r="K886" t="str">
            <v>금형</v>
          </cell>
          <cell r="L886" t="str">
            <v>4/4 FL</v>
          </cell>
          <cell r="M886">
            <v>1</v>
          </cell>
          <cell r="N886">
            <v>9009146</v>
          </cell>
          <cell r="Y886" t="str">
            <v>STEEL</v>
          </cell>
          <cell r="Z886">
            <v>0</v>
          </cell>
          <cell r="AA886" t="str">
            <v>xx</v>
          </cell>
          <cell r="AB886" t="str">
            <v>88-03-02</v>
          </cell>
          <cell r="AG886" t="str">
            <v>KIA</v>
          </cell>
          <cell r="AI886" t="str">
            <v>일석산업</v>
          </cell>
          <cell r="AJ886" t="str">
            <v>서진산업</v>
          </cell>
        </row>
        <row r="887">
          <cell r="A887">
            <v>721</v>
          </cell>
          <cell r="E887" t="str">
            <v>기아모텍</v>
          </cell>
          <cell r="F887" t="str">
            <v>A</v>
          </cell>
          <cell r="G887" t="str">
            <v>CERES</v>
          </cell>
          <cell r="H887" t="str">
            <v>041102031922</v>
          </cell>
          <cell r="I887" t="str">
            <v>K675 70 064</v>
          </cell>
          <cell r="J887" t="str">
            <v>FIXING PLATE</v>
          </cell>
          <cell r="K887" t="str">
            <v>금형</v>
          </cell>
          <cell r="L887" t="str">
            <v>BL</v>
          </cell>
          <cell r="M887">
            <v>1</v>
          </cell>
          <cell r="N887">
            <v>3780000</v>
          </cell>
          <cell r="Y887" t="str">
            <v>STEEL</v>
          </cell>
          <cell r="Z887">
            <v>0.67775251499999989</v>
          </cell>
          <cell r="AA887" t="str">
            <v>990x570x255</v>
          </cell>
          <cell r="AB887" t="str">
            <v>87-5</v>
          </cell>
          <cell r="AG887" t="str">
            <v>새서울</v>
          </cell>
          <cell r="AI887" t="str">
            <v>한우정공</v>
          </cell>
          <cell r="AJ887" t="str">
            <v>문화산업</v>
          </cell>
        </row>
        <row r="888">
          <cell r="A888">
            <v>722</v>
          </cell>
          <cell r="E888" t="str">
            <v>기아모텍</v>
          </cell>
          <cell r="F888" t="str">
            <v>A</v>
          </cell>
          <cell r="G888" t="str">
            <v>CERES</v>
          </cell>
          <cell r="H888" t="str">
            <v>041102031922</v>
          </cell>
          <cell r="I888" t="str">
            <v>K675 70 064</v>
          </cell>
          <cell r="J888" t="str">
            <v>FIXING PLATE</v>
          </cell>
          <cell r="K888" t="str">
            <v>금형</v>
          </cell>
          <cell r="L888" t="str">
            <v>TR &amp; PIE</v>
          </cell>
          <cell r="M888">
            <v>1</v>
          </cell>
          <cell r="N888">
            <v>5775000</v>
          </cell>
          <cell r="Y888" t="str">
            <v>STEEL</v>
          </cell>
          <cell r="Z888">
            <v>0.83849303999999991</v>
          </cell>
          <cell r="AA888" t="str">
            <v>1190x440x340</v>
          </cell>
          <cell r="AB888" t="str">
            <v>87-5</v>
          </cell>
          <cell r="AG888" t="str">
            <v>새서울</v>
          </cell>
          <cell r="AI888" t="str">
            <v>한우정공</v>
          </cell>
          <cell r="AJ888" t="str">
            <v>문화산업</v>
          </cell>
        </row>
        <row r="889">
          <cell r="A889">
            <v>723</v>
          </cell>
          <cell r="E889" t="str">
            <v>기아모텍</v>
          </cell>
          <cell r="F889" t="str">
            <v>A</v>
          </cell>
          <cell r="G889" t="str">
            <v>CERES</v>
          </cell>
          <cell r="H889" t="str">
            <v>041102031922</v>
          </cell>
          <cell r="I889" t="str">
            <v>K675 70 064</v>
          </cell>
          <cell r="J889" t="str">
            <v>FIXING PLATE</v>
          </cell>
          <cell r="K889" t="str">
            <v>금형</v>
          </cell>
          <cell r="L889" t="str">
            <v>DR</v>
          </cell>
          <cell r="M889">
            <v>1</v>
          </cell>
          <cell r="N889">
            <v>11025000</v>
          </cell>
          <cell r="Y889" t="str">
            <v>STEEL</v>
          </cell>
          <cell r="Z889">
            <v>0.72533999999999998</v>
          </cell>
          <cell r="AA889" t="str">
            <v>1100x500x280</v>
          </cell>
          <cell r="AB889" t="str">
            <v>87-5</v>
          </cell>
          <cell r="AG889" t="str">
            <v>새서울</v>
          </cell>
          <cell r="AI889" t="str">
            <v>한우정공</v>
          </cell>
          <cell r="AJ889" t="str">
            <v>문화산업</v>
          </cell>
        </row>
        <row r="890">
          <cell r="A890">
            <v>724</v>
          </cell>
          <cell r="E890" t="str">
            <v>기아모텍</v>
          </cell>
          <cell r="F890" t="str">
            <v>C4</v>
          </cell>
          <cell r="G890" t="str">
            <v>CERES</v>
          </cell>
          <cell r="H890" t="str">
            <v>041102130309</v>
          </cell>
          <cell r="I890" t="str">
            <v>K675 70 601</v>
          </cell>
          <cell r="J890" t="str">
            <v>ROOF PAN</v>
          </cell>
          <cell r="K890" t="str">
            <v>금형</v>
          </cell>
          <cell r="L890" t="str">
            <v>1/3-3/3</v>
          </cell>
          <cell r="M890">
            <v>1</v>
          </cell>
          <cell r="N890">
            <v>176371353</v>
          </cell>
          <cell r="Z890">
            <v>0</v>
          </cell>
          <cell r="AA890" t="str">
            <v>xx</v>
          </cell>
          <cell r="AB890" t="str">
            <v>87-08-21</v>
          </cell>
          <cell r="AG890" t="str">
            <v>서해공업㈜ 반　</v>
          </cell>
          <cell r="AK890" t="str">
            <v>당사품이 아님</v>
          </cell>
        </row>
        <row r="891">
          <cell r="A891">
            <v>725</v>
          </cell>
          <cell r="E891" t="str">
            <v>기아모텍</v>
          </cell>
          <cell r="F891" t="str">
            <v>C4</v>
          </cell>
          <cell r="G891" t="str">
            <v>CERES</v>
          </cell>
          <cell r="I891" t="str">
            <v>K677 70 621</v>
          </cell>
          <cell r="J891" t="str">
            <v>FRT CROSS M/B A</v>
          </cell>
          <cell r="K891" t="str">
            <v>금형</v>
          </cell>
          <cell r="L891" t="str">
            <v>PIE</v>
          </cell>
          <cell r="M891">
            <v>1</v>
          </cell>
          <cell r="N891">
            <v>4500000</v>
          </cell>
          <cell r="Z891">
            <v>0</v>
          </cell>
          <cell r="AA891" t="str">
            <v>xx</v>
          </cell>
          <cell r="AB891" t="str">
            <v>91-10-17</v>
          </cell>
          <cell r="AG891" t="str">
            <v>KIA</v>
          </cell>
          <cell r="AJ891" t="str">
            <v>금성공업</v>
          </cell>
          <cell r="AK891" t="str">
            <v>금성공업 이관시 분실</v>
          </cell>
        </row>
        <row r="892">
          <cell r="A892">
            <v>726</v>
          </cell>
          <cell r="E892" t="str">
            <v>기아모텍</v>
          </cell>
          <cell r="F892" t="str">
            <v>C4</v>
          </cell>
          <cell r="G892" t="str">
            <v>CERES RHD</v>
          </cell>
          <cell r="H892" t="str">
            <v>041101220191</v>
          </cell>
          <cell r="I892" t="str">
            <v>K677 70 821</v>
          </cell>
          <cell r="J892" t="str">
            <v>PLATE-LWR</v>
          </cell>
          <cell r="K892" t="str">
            <v>금형</v>
          </cell>
          <cell r="M892">
            <v>2</v>
          </cell>
          <cell r="N892">
            <v>1487085</v>
          </cell>
          <cell r="Y892" t="str">
            <v>STEEL</v>
          </cell>
          <cell r="AA892" t="str">
            <v>xx</v>
          </cell>
          <cell r="AB892" t="str">
            <v>94-01-31</v>
          </cell>
          <cell r="AG892" t="str">
            <v>대한금형</v>
          </cell>
          <cell r="AI892" t="str">
            <v>대륭강업</v>
          </cell>
          <cell r="AJ892" t="str">
            <v>서진산업</v>
          </cell>
          <cell r="AK892" t="str">
            <v>금성공업 이관시 분실</v>
          </cell>
        </row>
        <row r="893">
          <cell r="A893">
            <v>727</v>
          </cell>
          <cell r="E893" t="str">
            <v>기아모텍</v>
          </cell>
          <cell r="F893" t="str">
            <v>C4</v>
          </cell>
          <cell r="G893" t="str">
            <v>CERES</v>
          </cell>
          <cell r="I893" t="str">
            <v>K677 70 826</v>
          </cell>
          <cell r="J893" t="str">
            <v>REINF LOWER</v>
          </cell>
          <cell r="K893" t="str">
            <v>금형</v>
          </cell>
          <cell r="L893" t="str">
            <v>BL,BE</v>
          </cell>
          <cell r="M893">
            <v>2</v>
          </cell>
          <cell r="N893">
            <v>430000</v>
          </cell>
          <cell r="Z893">
            <v>0</v>
          </cell>
          <cell r="AA893" t="str">
            <v>xx</v>
          </cell>
          <cell r="AB893" t="str">
            <v>83-11-30</v>
          </cell>
          <cell r="AJ893" t="str">
            <v>금성공업</v>
          </cell>
          <cell r="AK893" t="str">
            <v>금성공업 이관시 분실</v>
          </cell>
        </row>
        <row r="894">
          <cell r="A894">
            <v>728</v>
          </cell>
          <cell r="E894" t="str">
            <v>기아모텍</v>
          </cell>
          <cell r="F894" t="str">
            <v>C4</v>
          </cell>
          <cell r="G894" t="str">
            <v>CERES RHD</v>
          </cell>
          <cell r="H894" t="str">
            <v>041101117091</v>
          </cell>
          <cell r="I894" t="str">
            <v>K677 70 831</v>
          </cell>
          <cell r="J894" t="str">
            <v>REINF ASSY NO.2</v>
          </cell>
          <cell r="K894" t="str">
            <v>금형</v>
          </cell>
          <cell r="M894">
            <v>9</v>
          </cell>
          <cell r="N894">
            <v>1386269</v>
          </cell>
          <cell r="Y894" t="str">
            <v>STEEL</v>
          </cell>
          <cell r="AA894" t="str">
            <v>xx</v>
          </cell>
          <cell r="AB894" t="str">
            <v>94-01-31</v>
          </cell>
          <cell r="AG894" t="str">
            <v>상신산업</v>
          </cell>
          <cell r="AI894" t="str">
            <v>대륭강업</v>
          </cell>
          <cell r="AJ894" t="str">
            <v>서진산업</v>
          </cell>
          <cell r="AK894" t="str">
            <v>금성공업 이관시 분실</v>
          </cell>
        </row>
        <row r="895">
          <cell r="A895">
            <v>729</v>
          </cell>
          <cell r="E895" t="str">
            <v>기아모텍</v>
          </cell>
          <cell r="F895" t="str">
            <v>C4</v>
          </cell>
          <cell r="G895" t="str">
            <v>CERES</v>
          </cell>
          <cell r="I895" t="str">
            <v>K677 70 832</v>
          </cell>
          <cell r="J895" t="str">
            <v>REINF B NO.2</v>
          </cell>
          <cell r="K895" t="str">
            <v>금형</v>
          </cell>
          <cell r="M895">
            <v>4</v>
          </cell>
          <cell r="N895">
            <v>191000</v>
          </cell>
          <cell r="Z895">
            <v>0</v>
          </cell>
          <cell r="AA895" t="str">
            <v>xx</v>
          </cell>
          <cell r="AB895" t="str">
            <v>83-11-30</v>
          </cell>
          <cell r="AJ895" t="str">
            <v>금성공업</v>
          </cell>
          <cell r="AK895" t="str">
            <v>금성공업 이관시 분실</v>
          </cell>
        </row>
        <row r="896">
          <cell r="A896">
            <v>730</v>
          </cell>
          <cell r="E896" t="str">
            <v>기아모텍</v>
          </cell>
          <cell r="F896" t="str">
            <v>C4</v>
          </cell>
          <cell r="G896" t="str">
            <v>CERES RHD</v>
          </cell>
          <cell r="H896" t="str">
            <v>041101770041</v>
          </cell>
          <cell r="I896" t="str">
            <v>K677 70 841</v>
          </cell>
          <cell r="J896" t="str">
            <v>PLATE-GLOVE BOX</v>
          </cell>
          <cell r="K896" t="str">
            <v>금형</v>
          </cell>
          <cell r="M896">
            <v>7</v>
          </cell>
          <cell r="N896">
            <v>661743</v>
          </cell>
          <cell r="Y896" t="str">
            <v>STEEL</v>
          </cell>
          <cell r="AA896" t="str">
            <v>xx</v>
          </cell>
          <cell r="AB896" t="str">
            <v>94-01-31</v>
          </cell>
          <cell r="AG896" t="str">
            <v>삼원정밀</v>
          </cell>
          <cell r="AI896" t="str">
            <v>대륭강업</v>
          </cell>
          <cell r="AJ896" t="str">
            <v>서진산업</v>
          </cell>
          <cell r="AK896" t="str">
            <v>금성공업 이관시 분실</v>
          </cell>
        </row>
        <row r="897">
          <cell r="A897">
            <v>731</v>
          </cell>
          <cell r="E897" t="str">
            <v>기아모텍</v>
          </cell>
          <cell r="F897" t="str">
            <v>A</v>
          </cell>
          <cell r="G897" t="str">
            <v>CERES</v>
          </cell>
          <cell r="H897" t="str">
            <v>041102140792</v>
          </cell>
          <cell r="I897" t="str">
            <v>K677 70/71 211</v>
          </cell>
          <cell r="J897" t="str">
            <v>A PILLAR OUT</v>
          </cell>
          <cell r="K897" t="str">
            <v>금형</v>
          </cell>
          <cell r="L897" t="str">
            <v>CAM PIE 6/6</v>
          </cell>
          <cell r="M897">
            <v>1</v>
          </cell>
          <cell r="N897">
            <v>5518922</v>
          </cell>
          <cell r="Y897" t="str">
            <v>주물</v>
          </cell>
          <cell r="Z897">
            <v>0.37680000000000002</v>
          </cell>
          <cell r="AA897" t="str">
            <v>400x400x500</v>
          </cell>
          <cell r="AB897" t="str">
            <v>88-07-31</v>
          </cell>
          <cell r="AG897" t="str">
            <v>KIA</v>
          </cell>
          <cell r="AI897" t="str">
            <v>영재정공</v>
          </cell>
        </row>
        <row r="898">
          <cell r="A898">
            <v>732</v>
          </cell>
          <cell r="E898" t="str">
            <v>기아모텍</v>
          </cell>
          <cell r="F898" t="str">
            <v>B</v>
          </cell>
          <cell r="G898" t="str">
            <v>CERES RHD</v>
          </cell>
          <cell r="H898" t="str">
            <v>041102551441</v>
          </cell>
          <cell r="I898" t="str">
            <v>K677 70/71 631A</v>
          </cell>
          <cell r="J898" t="str">
            <v>LAMP HOUSING R/L</v>
          </cell>
          <cell r="K898" t="str">
            <v>금형</v>
          </cell>
          <cell r="M898">
            <v>5</v>
          </cell>
          <cell r="N898">
            <v>4555332</v>
          </cell>
          <cell r="Y898" t="str">
            <v>주물</v>
          </cell>
          <cell r="Z898">
            <v>0</v>
          </cell>
          <cell r="AA898" t="str">
            <v>xx</v>
          </cell>
          <cell r="AB898" t="str">
            <v>93-09-14</v>
          </cell>
          <cell r="AG898" t="str">
            <v>동양공업</v>
          </cell>
          <cell r="AI898" t="str">
            <v>영재정공</v>
          </cell>
        </row>
        <row r="899">
          <cell r="A899">
            <v>732.0999755859375</v>
          </cell>
          <cell r="E899" t="str">
            <v>기아모텍</v>
          </cell>
          <cell r="F899" t="str">
            <v>B</v>
          </cell>
          <cell r="G899" t="str">
            <v>CERES RHD</v>
          </cell>
          <cell r="H899" t="str">
            <v>041102551441</v>
          </cell>
          <cell r="I899" t="str">
            <v>K677 70/71 631A</v>
          </cell>
          <cell r="J899" t="str">
            <v>LAMP HOUSING R/L</v>
          </cell>
          <cell r="K899" t="str">
            <v>금형</v>
          </cell>
          <cell r="L899" t="str">
            <v>1ST DR</v>
          </cell>
          <cell r="M899">
            <v>1</v>
          </cell>
          <cell r="Y899" t="str">
            <v>주물</v>
          </cell>
          <cell r="Z899">
            <v>2.0672189999999997</v>
          </cell>
          <cell r="AA899" t="str">
            <v>1000x770x570</v>
          </cell>
          <cell r="AB899" t="str">
            <v>93-09-14</v>
          </cell>
          <cell r="AG899" t="str">
            <v>동양공업</v>
          </cell>
          <cell r="AI899" t="str">
            <v>영재정공</v>
          </cell>
        </row>
        <row r="900">
          <cell r="A900">
            <v>732.20001220703125</v>
          </cell>
          <cell r="E900" t="str">
            <v>기아모텍</v>
          </cell>
          <cell r="F900" t="str">
            <v>B</v>
          </cell>
          <cell r="G900" t="str">
            <v>CERES RHD</v>
          </cell>
          <cell r="H900" t="str">
            <v>041102551441</v>
          </cell>
          <cell r="I900" t="str">
            <v>K677 70/71 631A</v>
          </cell>
          <cell r="J900" t="str">
            <v>LAMP HOUSING R/L</v>
          </cell>
          <cell r="K900" t="str">
            <v>금형</v>
          </cell>
          <cell r="L900" t="str">
            <v>2ND DR</v>
          </cell>
          <cell r="M900">
            <v>1</v>
          </cell>
          <cell r="Y900" t="str">
            <v>주물</v>
          </cell>
          <cell r="Z900">
            <v>2.0672189999999997</v>
          </cell>
          <cell r="AA900" t="str">
            <v>1000x770x570</v>
          </cell>
          <cell r="AB900" t="str">
            <v>93-09-14</v>
          </cell>
          <cell r="AG900" t="str">
            <v>동양공업</v>
          </cell>
          <cell r="AI900" t="str">
            <v>영재정공</v>
          </cell>
        </row>
        <row r="901">
          <cell r="A901">
            <v>732.29998779296875</v>
          </cell>
          <cell r="E901" t="str">
            <v>기아모텍</v>
          </cell>
          <cell r="F901" t="str">
            <v>B</v>
          </cell>
          <cell r="G901" t="str">
            <v>CERES RHD</v>
          </cell>
          <cell r="H901" t="str">
            <v>041102551441</v>
          </cell>
          <cell r="I901" t="str">
            <v>K677 70/71 631A</v>
          </cell>
          <cell r="J901" t="str">
            <v>LAMP HOUSING R/L</v>
          </cell>
          <cell r="K901" t="str">
            <v>금형</v>
          </cell>
          <cell r="L901" t="str">
            <v>TR</v>
          </cell>
          <cell r="M901">
            <v>1</v>
          </cell>
          <cell r="Y901" t="str">
            <v>주물</v>
          </cell>
          <cell r="Z901">
            <v>2.0672189999999997</v>
          </cell>
          <cell r="AA901" t="str">
            <v>1000x770x570</v>
          </cell>
          <cell r="AB901" t="str">
            <v>93-09-14</v>
          </cell>
          <cell r="AG901" t="str">
            <v>동양공업</v>
          </cell>
          <cell r="AI901" t="str">
            <v>영재정공</v>
          </cell>
        </row>
        <row r="902">
          <cell r="A902">
            <v>732.4000244140625</v>
          </cell>
          <cell r="E902" t="str">
            <v>기아모텍</v>
          </cell>
          <cell r="F902" t="str">
            <v>B</v>
          </cell>
          <cell r="G902" t="str">
            <v>CERES RHD</v>
          </cell>
          <cell r="H902" t="str">
            <v>041102551441</v>
          </cell>
          <cell r="I902" t="str">
            <v>K677 70/71 631A</v>
          </cell>
          <cell r="J902" t="str">
            <v>LAMP HOUSING R/L</v>
          </cell>
          <cell r="K902" t="str">
            <v>금형</v>
          </cell>
          <cell r="L902" t="str">
            <v>FL</v>
          </cell>
          <cell r="M902">
            <v>1</v>
          </cell>
          <cell r="Y902" t="str">
            <v>주물</v>
          </cell>
          <cell r="Z902">
            <v>2.0672189999999997</v>
          </cell>
          <cell r="AA902" t="str">
            <v>1000x770x570</v>
          </cell>
          <cell r="AB902" t="str">
            <v>93-09-14</v>
          </cell>
          <cell r="AG902" t="str">
            <v>동양공업</v>
          </cell>
          <cell r="AI902" t="str">
            <v>영재정공</v>
          </cell>
        </row>
        <row r="903">
          <cell r="A903">
            <v>732.5</v>
          </cell>
          <cell r="E903" t="str">
            <v>기아모텍</v>
          </cell>
          <cell r="F903" t="str">
            <v>B</v>
          </cell>
          <cell r="G903" t="str">
            <v>CERES RHD</v>
          </cell>
          <cell r="H903" t="str">
            <v>041102551441</v>
          </cell>
          <cell r="I903" t="str">
            <v>K677 70/71 631A</v>
          </cell>
          <cell r="J903" t="str">
            <v>LAMP HOUSING R/L</v>
          </cell>
          <cell r="K903" t="str">
            <v>금형</v>
          </cell>
          <cell r="L903" t="str">
            <v>PI</v>
          </cell>
          <cell r="M903">
            <v>1</v>
          </cell>
          <cell r="Y903" t="str">
            <v>주물</v>
          </cell>
          <cell r="Z903">
            <v>1.500135</v>
          </cell>
          <cell r="AA903" t="str">
            <v>700x700x650</v>
          </cell>
          <cell r="AB903" t="str">
            <v>93-09-14</v>
          </cell>
          <cell r="AG903" t="str">
            <v>동양공업</v>
          </cell>
          <cell r="AI903" t="str">
            <v>영재정공</v>
          </cell>
        </row>
        <row r="904">
          <cell r="A904">
            <v>733</v>
          </cell>
          <cell r="E904" t="str">
            <v>기아모텍</v>
          </cell>
          <cell r="F904" t="str">
            <v>C1</v>
          </cell>
          <cell r="G904" t="str">
            <v>CERES RHD 4*2</v>
          </cell>
          <cell r="H904" t="str">
            <v>041102332001</v>
          </cell>
          <cell r="I904" t="str">
            <v>K678 53 121</v>
          </cell>
          <cell r="J904" t="str">
            <v>REINF-CHANGE LEVER</v>
          </cell>
          <cell r="K904" t="str">
            <v>금형</v>
          </cell>
          <cell r="M904">
            <v>2</v>
          </cell>
          <cell r="N904">
            <v>2718417</v>
          </cell>
          <cell r="AA904" t="str">
            <v>xx</v>
          </cell>
          <cell r="AB904" t="str">
            <v>93-09-14</v>
          </cell>
          <cell r="AI904" t="str">
            <v>대륭강업</v>
          </cell>
        </row>
        <row r="905">
          <cell r="A905">
            <v>734</v>
          </cell>
          <cell r="E905" t="str">
            <v>기아모텍</v>
          </cell>
          <cell r="F905" t="str">
            <v>C1</v>
          </cell>
          <cell r="G905" t="str">
            <v>CERES MMO</v>
          </cell>
          <cell r="H905" t="str">
            <v>041101113264</v>
          </cell>
          <cell r="I905" t="str">
            <v>K68A 70 041</v>
          </cell>
          <cell r="J905" t="str">
            <v>A-PILLAR</v>
          </cell>
          <cell r="K905" t="str">
            <v>금형</v>
          </cell>
          <cell r="L905" t="str">
            <v>PI</v>
          </cell>
          <cell r="M905">
            <v>1</v>
          </cell>
          <cell r="N905">
            <v>979000</v>
          </cell>
          <cell r="Y905" t="str">
            <v>주물</v>
          </cell>
          <cell r="Z905">
            <v>8.8171200000000005E-2</v>
          </cell>
          <cell r="AA905" t="str">
            <v>400x180x260</v>
          </cell>
          <cell r="AB905" t="str">
            <v>96-4</v>
          </cell>
          <cell r="AG905" t="str">
            <v>금성공업</v>
          </cell>
          <cell r="AI905" t="str">
            <v>영재정공</v>
          </cell>
        </row>
        <row r="906">
          <cell r="A906">
            <v>735</v>
          </cell>
          <cell r="E906" t="str">
            <v>기아모텍</v>
          </cell>
          <cell r="F906" t="str">
            <v>A</v>
          </cell>
          <cell r="G906" t="str">
            <v>CERES MMO</v>
          </cell>
          <cell r="H906" t="str">
            <v>041101113094</v>
          </cell>
          <cell r="I906" t="str">
            <v>K68A 70 611</v>
          </cell>
          <cell r="J906" t="str">
            <v>FRT PNL</v>
          </cell>
          <cell r="K906" t="str">
            <v>금형</v>
          </cell>
          <cell r="L906" t="str">
            <v>FL&amp;C/FO</v>
          </cell>
          <cell r="M906">
            <v>1</v>
          </cell>
          <cell r="N906">
            <v>51714000</v>
          </cell>
          <cell r="Y906" t="str">
            <v>주물</v>
          </cell>
          <cell r="Z906">
            <v>16.122066239999999</v>
          </cell>
          <cell r="AA906" t="str">
            <v>2360x1480x980</v>
          </cell>
          <cell r="AB906" t="str">
            <v>96-4</v>
          </cell>
          <cell r="AG906" t="str">
            <v>기아모텍</v>
          </cell>
          <cell r="AI906" t="str">
            <v>KMO 안산2공장</v>
          </cell>
        </row>
        <row r="907">
          <cell r="A907">
            <v>736</v>
          </cell>
          <cell r="E907" t="str">
            <v>기아모텍</v>
          </cell>
          <cell r="F907" t="str">
            <v>A</v>
          </cell>
          <cell r="G907" t="str">
            <v>CERES MMO</v>
          </cell>
          <cell r="H907" t="str">
            <v>041101113094</v>
          </cell>
          <cell r="I907" t="str">
            <v>K68A 70 611</v>
          </cell>
          <cell r="J907" t="str">
            <v>FRT PNL</v>
          </cell>
          <cell r="K907" t="str">
            <v>금형</v>
          </cell>
          <cell r="L907" t="str">
            <v>TR/PI</v>
          </cell>
          <cell r="M907">
            <v>1</v>
          </cell>
          <cell r="N907">
            <v>57137000</v>
          </cell>
          <cell r="Y907" t="str">
            <v>주물</v>
          </cell>
          <cell r="Z907">
            <v>18.515951999999999</v>
          </cell>
          <cell r="AA907" t="str">
            <v>2600x1400x1080</v>
          </cell>
          <cell r="AB907" t="str">
            <v>96-4</v>
          </cell>
          <cell r="AG907" t="str">
            <v>기아모텍</v>
          </cell>
          <cell r="AI907" t="str">
            <v>KMO 안산2공장</v>
          </cell>
        </row>
        <row r="908">
          <cell r="A908">
            <v>737</v>
          </cell>
          <cell r="E908" t="str">
            <v>기아모텍</v>
          </cell>
          <cell r="F908" t="str">
            <v>A</v>
          </cell>
          <cell r="G908" t="str">
            <v>CERES MMO</v>
          </cell>
          <cell r="H908" t="str">
            <v>041101113094</v>
          </cell>
          <cell r="I908" t="str">
            <v>K68A 70 611</v>
          </cell>
          <cell r="J908" t="str">
            <v>FRT PNL</v>
          </cell>
          <cell r="K908" t="str">
            <v>금형</v>
          </cell>
          <cell r="L908" t="str">
            <v>C/FO</v>
          </cell>
          <cell r="M908">
            <v>1</v>
          </cell>
          <cell r="N908">
            <v>62141000</v>
          </cell>
          <cell r="Y908" t="str">
            <v>주물</v>
          </cell>
          <cell r="Z908">
            <v>20.678784</v>
          </cell>
          <cell r="AA908" t="str">
            <v>2800x1600x980</v>
          </cell>
          <cell r="AB908" t="str">
            <v>96-4</v>
          </cell>
          <cell r="AG908" t="str">
            <v>기아모텍</v>
          </cell>
          <cell r="AI908" t="str">
            <v>KMO 안산2공장</v>
          </cell>
        </row>
        <row r="909">
          <cell r="A909">
            <v>738</v>
          </cell>
          <cell r="E909" t="str">
            <v>기아모텍</v>
          </cell>
          <cell r="F909" t="str">
            <v>A</v>
          </cell>
          <cell r="G909" t="str">
            <v>CERES MMO</v>
          </cell>
          <cell r="H909" t="str">
            <v>041101113094</v>
          </cell>
          <cell r="I909" t="str">
            <v>K68A 70 611</v>
          </cell>
          <cell r="J909" t="str">
            <v>FRT PNL</v>
          </cell>
          <cell r="K909" t="str">
            <v>금형</v>
          </cell>
          <cell r="L909" t="str">
            <v>C/CUT&amp;PI</v>
          </cell>
          <cell r="M909">
            <v>1</v>
          </cell>
          <cell r="N909">
            <v>62721000</v>
          </cell>
          <cell r="Y909" t="str">
            <v>주물</v>
          </cell>
          <cell r="Z909">
            <v>20.499803999999997</v>
          </cell>
          <cell r="AA909" t="str">
            <v>2600x1550x1080</v>
          </cell>
          <cell r="AB909" t="str">
            <v>96-4</v>
          </cell>
          <cell r="AG909" t="str">
            <v>기아모텍</v>
          </cell>
          <cell r="AI909" t="str">
            <v>KMO 안산2공장</v>
          </cell>
        </row>
        <row r="910">
          <cell r="A910">
            <v>739</v>
          </cell>
          <cell r="E910" t="str">
            <v>기아모텍</v>
          </cell>
          <cell r="F910" t="str">
            <v>A</v>
          </cell>
          <cell r="G910" t="str">
            <v>CERES MMO</v>
          </cell>
          <cell r="H910" t="str">
            <v>041101113094</v>
          </cell>
          <cell r="I910" t="str">
            <v>K68A 70 611</v>
          </cell>
          <cell r="J910" t="str">
            <v>FRT PNL</v>
          </cell>
          <cell r="K910" t="str">
            <v>금형</v>
          </cell>
          <cell r="L910" t="str">
            <v>DR</v>
          </cell>
          <cell r="M910">
            <v>1</v>
          </cell>
          <cell r="N910">
            <v>90476000</v>
          </cell>
          <cell r="Y910" t="str">
            <v>주물</v>
          </cell>
          <cell r="Z910">
            <v>19.617149999999999</v>
          </cell>
          <cell r="AA910" t="str">
            <v>2500x1700x980</v>
          </cell>
          <cell r="AB910" t="str">
            <v>96-4</v>
          </cell>
          <cell r="AG910" t="str">
            <v>기아모텍</v>
          </cell>
          <cell r="AI910" t="str">
            <v>KMO 안산2공장</v>
          </cell>
        </row>
        <row r="911">
          <cell r="A911">
            <v>740</v>
          </cell>
          <cell r="E911" t="str">
            <v>기아모텍</v>
          </cell>
          <cell r="F911" t="str">
            <v>A</v>
          </cell>
          <cell r="G911" t="str">
            <v>CERES MMO</v>
          </cell>
          <cell r="H911" t="str">
            <v>041101113134</v>
          </cell>
          <cell r="I911" t="str">
            <v>K68A 70 621</v>
          </cell>
          <cell r="J911" t="str">
            <v>CROSS M/B FRT A</v>
          </cell>
          <cell r="K911" t="str">
            <v>금형</v>
          </cell>
          <cell r="L911" t="str">
            <v>PI</v>
          </cell>
          <cell r="M911">
            <v>1</v>
          </cell>
          <cell r="N911">
            <v>11302000</v>
          </cell>
          <cell r="Y911" t="str">
            <v>STEEL</v>
          </cell>
          <cell r="Z911">
            <v>3.9934771199999997</v>
          </cell>
          <cell r="AA911" t="str">
            <v>1840x640x720</v>
          </cell>
          <cell r="AB911" t="str">
            <v>96-4</v>
          </cell>
          <cell r="AG911" t="str">
            <v>태진정밀</v>
          </cell>
          <cell r="AI911" t="str">
            <v>대륭강업</v>
          </cell>
        </row>
        <row r="912">
          <cell r="A912">
            <v>741</v>
          </cell>
          <cell r="E912" t="str">
            <v>기아모텍</v>
          </cell>
          <cell r="F912" t="str">
            <v>A</v>
          </cell>
          <cell r="G912" t="str">
            <v>CERES MMO</v>
          </cell>
          <cell r="H912" t="str">
            <v>041101113134</v>
          </cell>
          <cell r="I912" t="str">
            <v>K68A 70 621</v>
          </cell>
          <cell r="J912" t="str">
            <v>CROSS M/B FRT A</v>
          </cell>
          <cell r="K912" t="str">
            <v>금형</v>
          </cell>
          <cell r="L912" t="str">
            <v>RE</v>
          </cell>
          <cell r="M912">
            <v>1</v>
          </cell>
          <cell r="N912">
            <v>15467000</v>
          </cell>
          <cell r="Y912" t="str">
            <v>STEEL</v>
          </cell>
          <cell r="Z912">
            <v>4.4153424000000001</v>
          </cell>
          <cell r="AA912" t="str">
            <v>1860x700x720</v>
          </cell>
          <cell r="AB912" t="str">
            <v>96-4</v>
          </cell>
          <cell r="AG912" t="str">
            <v>태진정밀</v>
          </cell>
          <cell r="AI912" t="str">
            <v>대륭강업</v>
          </cell>
        </row>
        <row r="913">
          <cell r="A913">
            <v>742</v>
          </cell>
          <cell r="E913" t="str">
            <v>기아모텍</v>
          </cell>
          <cell r="F913" t="str">
            <v>A</v>
          </cell>
          <cell r="G913" t="str">
            <v>CERES MMO</v>
          </cell>
          <cell r="H913" t="str">
            <v>041101113134</v>
          </cell>
          <cell r="I913" t="str">
            <v>K68A 70 621</v>
          </cell>
          <cell r="J913" t="str">
            <v>CROSS M/B FRT A</v>
          </cell>
          <cell r="K913" t="str">
            <v>금형</v>
          </cell>
          <cell r="L913" t="str">
            <v>TR</v>
          </cell>
          <cell r="M913">
            <v>1</v>
          </cell>
          <cell r="N913">
            <v>17503000</v>
          </cell>
          <cell r="Y913" t="str">
            <v>STEEL</v>
          </cell>
          <cell r="Z913">
            <v>5.2139700000000007</v>
          </cell>
          <cell r="AA913" t="str">
            <v>2050x750x720</v>
          </cell>
          <cell r="AB913" t="str">
            <v>96-4</v>
          </cell>
          <cell r="AG913" t="str">
            <v>태진정밀</v>
          </cell>
          <cell r="AI913" t="str">
            <v>대륭강업</v>
          </cell>
        </row>
        <row r="914">
          <cell r="A914">
            <v>743</v>
          </cell>
          <cell r="E914" t="str">
            <v>기아모텍</v>
          </cell>
          <cell r="F914" t="str">
            <v>A</v>
          </cell>
          <cell r="G914" t="str">
            <v>CERES MMO</v>
          </cell>
          <cell r="H914" t="str">
            <v>041101113134</v>
          </cell>
          <cell r="I914" t="str">
            <v>K68A 70 621</v>
          </cell>
          <cell r="J914" t="str">
            <v>CROSS M/B FRT A</v>
          </cell>
          <cell r="K914" t="str">
            <v>금형</v>
          </cell>
          <cell r="L914" t="str">
            <v>DR</v>
          </cell>
          <cell r="M914">
            <v>1</v>
          </cell>
          <cell r="N914">
            <v>18802000</v>
          </cell>
          <cell r="Y914" t="str">
            <v>STEEL</v>
          </cell>
          <cell r="Z914">
            <v>5.5181606399999996</v>
          </cell>
          <cell r="AA914" t="str">
            <v>2260x720x720</v>
          </cell>
          <cell r="AB914" t="str">
            <v>96-4</v>
          </cell>
          <cell r="AG914" t="str">
            <v>태진정밀</v>
          </cell>
          <cell r="AI914" t="str">
            <v>대륭강업</v>
          </cell>
        </row>
        <row r="915">
          <cell r="A915">
            <v>744</v>
          </cell>
          <cell r="E915" t="str">
            <v>기아모텍</v>
          </cell>
          <cell r="F915" t="str">
            <v>A</v>
          </cell>
          <cell r="G915" t="str">
            <v>CERES MMO</v>
          </cell>
          <cell r="H915" t="str">
            <v>041101113114</v>
          </cell>
          <cell r="I915" t="str">
            <v>K68A 70 622</v>
          </cell>
          <cell r="J915" t="str">
            <v>CROSS M/B FRT B</v>
          </cell>
          <cell r="K915" t="str">
            <v>금형</v>
          </cell>
          <cell r="L915" t="str">
            <v>RE</v>
          </cell>
          <cell r="M915">
            <v>1</v>
          </cell>
          <cell r="N915">
            <v>6343000</v>
          </cell>
          <cell r="Y915" t="str">
            <v>STEEL</v>
          </cell>
          <cell r="Z915">
            <v>1.0582804799999999</v>
          </cell>
          <cell r="AA915" t="str">
            <v>1510x310x480</v>
          </cell>
          <cell r="AB915" t="str">
            <v>96-4</v>
          </cell>
          <cell r="AG915" t="str">
            <v>태진정밀</v>
          </cell>
          <cell r="AI915" t="str">
            <v>대륭강업</v>
          </cell>
        </row>
        <row r="916">
          <cell r="A916">
            <v>745</v>
          </cell>
          <cell r="E916" t="str">
            <v>기아모텍</v>
          </cell>
          <cell r="F916" t="str">
            <v>A</v>
          </cell>
          <cell r="G916" t="str">
            <v>CERES MMO</v>
          </cell>
          <cell r="H916" t="str">
            <v>041101113114</v>
          </cell>
          <cell r="I916" t="str">
            <v>K68A 70 622</v>
          </cell>
          <cell r="J916" t="str">
            <v>CROSS M/B FRT B</v>
          </cell>
          <cell r="K916" t="str">
            <v>금형</v>
          </cell>
          <cell r="L916" t="str">
            <v>TR</v>
          </cell>
          <cell r="M916">
            <v>1</v>
          </cell>
          <cell r="N916">
            <v>11534000</v>
          </cell>
          <cell r="Y916" t="str">
            <v>STEEL</v>
          </cell>
          <cell r="Z916">
            <v>2.0369807999999998</v>
          </cell>
          <cell r="AA916" t="str">
            <v>1700x530x480</v>
          </cell>
          <cell r="AB916" t="str">
            <v>96-4</v>
          </cell>
          <cell r="AG916" t="str">
            <v>태진정밀</v>
          </cell>
          <cell r="AI916" t="str">
            <v>대륭강업</v>
          </cell>
        </row>
        <row r="917">
          <cell r="A917">
            <v>746</v>
          </cell>
          <cell r="E917" t="str">
            <v>기아모텍</v>
          </cell>
          <cell r="F917" t="str">
            <v>A</v>
          </cell>
          <cell r="G917" t="str">
            <v>CERES MMO</v>
          </cell>
          <cell r="H917" t="str">
            <v>041101113114</v>
          </cell>
          <cell r="I917" t="str">
            <v>K68A 70 622</v>
          </cell>
          <cell r="J917" t="str">
            <v>CROSS M/B FRT B</v>
          </cell>
          <cell r="K917" t="str">
            <v>금형</v>
          </cell>
          <cell r="L917" t="str">
            <v>DR</v>
          </cell>
          <cell r="M917">
            <v>1</v>
          </cell>
          <cell r="N917">
            <v>12758000</v>
          </cell>
          <cell r="Y917" t="str">
            <v>STEEL</v>
          </cell>
          <cell r="Z917">
            <v>1.4197824000000001</v>
          </cell>
          <cell r="AA917" t="str">
            <v>1570x400x480</v>
          </cell>
          <cell r="AB917" t="str">
            <v>96-4</v>
          </cell>
          <cell r="AG917" t="str">
            <v>태진정밀</v>
          </cell>
          <cell r="AI917" t="str">
            <v>대륭강업</v>
          </cell>
        </row>
        <row r="918">
          <cell r="A918">
            <v>747</v>
          </cell>
          <cell r="E918" t="str">
            <v>기아모텍</v>
          </cell>
          <cell r="F918" t="str">
            <v>A</v>
          </cell>
          <cell r="G918" t="str">
            <v>CERES MMO</v>
          </cell>
          <cell r="H918" t="str">
            <v>041101113194</v>
          </cell>
          <cell r="I918" t="str">
            <v>K68A 70 801</v>
          </cell>
          <cell r="J918" t="str">
            <v>AUDIO NO.1</v>
          </cell>
          <cell r="K918" t="str">
            <v>금형</v>
          </cell>
          <cell r="L918" t="str">
            <v>BE</v>
          </cell>
          <cell r="M918">
            <v>1</v>
          </cell>
          <cell r="N918">
            <v>1414000</v>
          </cell>
          <cell r="Y918" t="str">
            <v>STEEL</v>
          </cell>
          <cell r="Z918">
            <v>0.19782</v>
          </cell>
          <cell r="AA918" t="str">
            <v>500x350x240</v>
          </cell>
          <cell r="AB918" t="str">
            <v>96-4</v>
          </cell>
          <cell r="AG918" t="str">
            <v>금성공업</v>
          </cell>
          <cell r="AI918" t="str">
            <v>대륭강업</v>
          </cell>
        </row>
        <row r="919">
          <cell r="A919">
            <v>748</v>
          </cell>
          <cell r="E919" t="str">
            <v>기아모텍</v>
          </cell>
          <cell r="F919" t="str">
            <v>A</v>
          </cell>
          <cell r="G919" t="str">
            <v>CERES MMO</v>
          </cell>
          <cell r="H919" t="str">
            <v>041101113194</v>
          </cell>
          <cell r="I919" t="str">
            <v>K68A 70 801</v>
          </cell>
          <cell r="J919" t="str">
            <v>AUDIO NO.1</v>
          </cell>
          <cell r="K919" t="str">
            <v>금형</v>
          </cell>
          <cell r="L919" t="str">
            <v>BE</v>
          </cell>
          <cell r="M919">
            <v>1</v>
          </cell>
          <cell r="N919">
            <v>1440000</v>
          </cell>
          <cell r="Y919" t="str">
            <v>STEEL</v>
          </cell>
          <cell r="Z919">
            <v>0.25316250000000001</v>
          </cell>
          <cell r="AA919" t="str">
            <v>500x430x250</v>
          </cell>
          <cell r="AB919" t="str">
            <v>96-4</v>
          </cell>
          <cell r="AG919" t="str">
            <v>금성공업</v>
          </cell>
          <cell r="AI919" t="str">
            <v>대륭강업</v>
          </cell>
        </row>
        <row r="920">
          <cell r="A920">
            <v>749</v>
          </cell>
          <cell r="E920" t="str">
            <v>기아모텍</v>
          </cell>
          <cell r="F920" t="str">
            <v>A</v>
          </cell>
          <cell r="G920" t="str">
            <v>CERES MMO</v>
          </cell>
          <cell r="H920" t="str">
            <v>041101113194</v>
          </cell>
          <cell r="I920" t="str">
            <v>K68A 70 801</v>
          </cell>
          <cell r="J920" t="str">
            <v>AUDIO NO.1</v>
          </cell>
          <cell r="K920" t="str">
            <v>금형</v>
          </cell>
          <cell r="L920" t="str">
            <v>FL</v>
          </cell>
          <cell r="M920">
            <v>1</v>
          </cell>
          <cell r="N920">
            <v>2113000</v>
          </cell>
          <cell r="Y920" t="str">
            <v>STEEL</v>
          </cell>
          <cell r="Z920">
            <v>0.35442749999999995</v>
          </cell>
          <cell r="AA920" t="str">
            <v>500x430x350</v>
          </cell>
          <cell r="AB920" t="str">
            <v>96-4</v>
          </cell>
          <cell r="AG920" t="str">
            <v>금성공업</v>
          </cell>
          <cell r="AI920" t="str">
            <v>대륭강업</v>
          </cell>
        </row>
        <row r="921">
          <cell r="A921">
            <v>750</v>
          </cell>
          <cell r="E921" t="str">
            <v>기아모텍</v>
          </cell>
          <cell r="F921" t="str">
            <v>A</v>
          </cell>
          <cell r="G921" t="str">
            <v>CERES MMO</v>
          </cell>
          <cell r="H921" t="str">
            <v>041101113194</v>
          </cell>
          <cell r="I921" t="str">
            <v>K68A 70 801</v>
          </cell>
          <cell r="J921" t="str">
            <v>AUDIO NO.1</v>
          </cell>
          <cell r="K921" t="str">
            <v>금형</v>
          </cell>
          <cell r="L921" t="str">
            <v>BL</v>
          </cell>
          <cell r="M921">
            <v>1</v>
          </cell>
          <cell r="N921">
            <v>2203000</v>
          </cell>
          <cell r="Y921" t="str">
            <v>STEEL</v>
          </cell>
          <cell r="Z921">
            <v>0.32096295000000002</v>
          </cell>
          <cell r="AA921" t="str">
            <v>590x350x330</v>
          </cell>
          <cell r="AB921" t="str">
            <v>96-4</v>
          </cell>
          <cell r="AG921" t="str">
            <v>금성공업</v>
          </cell>
          <cell r="AI921" t="str">
            <v>대륭강업</v>
          </cell>
        </row>
        <row r="922">
          <cell r="A922">
            <v>751</v>
          </cell>
          <cell r="E922" t="str">
            <v>기아모텍</v>
          </cell>
          <cell r="F922" t="str">
            <v>A</v>
          </cell>
          <cell r="G922" t="str">
            <v>CERES MMO</v>
          </cell>
          <cell r="H922" t="str">
            <v>041101113204</v>
          </cell>
          <cell r="I922" t="str">
            <v>K68A 70 802</v>
          </cell>
          <cell r="J922" t="str">
            <v>AUDIO NO.2</v>
          </cell>
          <cell r="K922" t="str">
            <v>금형</v>
          </cell>
          <cell r="L922" t="str">
            <v>BE</v>
          </cell>
          <cell r="M922">
            <v>1</v>
          </cell>
          <cell r="N922">
            <v>798000</v>
          </cell>
          <cell r="Y922" t="str">
            <v>STEEL</v>
          </cell>
          <cell r="Z922">
            <v>3.5324999999999995E-2</v>
          </cell>
          <cell r="AA922" t="str">
            <v>250x200x150</v>
          </cell>
          <cell r="AB922" t="str">
            <v>96-4</v>
          </cell>
          <cell r="AG922" t="str">
            <v>금성공업</v>
          </cell>
          <cell r="AI922" t="str">
            <v>대륭강업</v>
          </cell>
        </row>
        <row r="923">
          <cell r="A923">
            <v>752</v>
          </cell>
          <cell r="E923" t="str">
            <v>기아모텍</v>
          </cell>
          <cell r="F923" t="str">
            <v>A</v>
          </cell>
          <cell r="G923" t="str">
            <v>CERES MMO</v>
          </cell>
          <cell r="H923" t="str">
            <v>041101113204</v>
          </cell>
          <cell r="I923" t="str">
            <v>K68A 70 802</v>
          </cell>
          <cell r="J923" t="str">
            <v>AUDIO NO.2</v>
          </cell>
          <cell r="K923" t="str">
            <v>금형</v>
          </cell>
          <cell r="L923" t="str">
            <v>FL</v>
          </cell>
          <cell r="M923">
            <v>1</v>
          </cell>
          <cell r="N923">
            <v>1213000</v>
          </cell>
          <cell r="Y923" t="str">
            <v>STEEL</v>
          </cell>
          <cell r="Z923">
            <v>0.14506799999999997</v>
          </cell>
          <cell r="AA923" t="str">
            <v>500x220x280</v>
          </cell>
          <cell r="AB923" t="str">
            <v>96-4</v>
          </cell>
          <cell r="AG923" t="str">
            <v>금성공업</v>
          </cell>
          <cell r="AI923" t="str">
            <v>대륭강업</v>
          </cell>
        </row>
        <row r="924">
          <cell r="A924">
            <v>753</v>
          </cell>
          <cell r="E924" t="str">
            <v>기아모텍</v>
          </cell>
          <cell r="F924" t="str">
            <v>A</v>
          </cell>
          <cell r="G924" t="str">
            <v>CERES MMO</v>
          </cell>
          <cell r="H924" t="str">
            <v>041101113204</v>
          </cell>
          <cell r="I924" t="str">
            <v>K68A 70 802</v>
          </cell>
          <cell r="J924" t="str">
            <v>AUDIO NO.2</v>
          </cell>
          <cell r="K924" t="str">
            <v>금형</v>
          </cell>
          <cell r="L924" t="str">
            <v>BE</v>
          </cell>
          <cell r="M924">
            <v>1</v>
          </cell>
          <cell r="N924">
            <v>1426000</v>
          </cell>
          <cell r="Y924" t="str">
            <v>STEEL</v>
          </cell>
          <cell r="Z924">
            <v>0.20017499999999999</v>
          </cell>
          <cell r="AA924" t="str">
            <v>500x250x340</v>
          </cell>
          <cell r="AB924" t="str">
            <v>96-4</v>
          </cell>
          <cell r="AG924" t="str">
            <v>금성공업</v>
          </cell>
          <cell r="AI924" t="str">
            <v>대륭강업</v>
          </cell>
        </row>
        <row r="925">
          <cell r="A925">
            <v>754</v>
          </cell>
          <cell r="E925" t="str">
            <v>기아모텍</v>
          </cell>
          <cell r="F925" t="str">
            <v>A</v>
          </cell>
          <cell r="G925" t="str">
            <v>CERES MMO</v>
          </cell>
          <cell r="H925" t="str">
            <v>041101113204</v>
          </cell>
          <cell r="I925" t="str">
            <v>K68A 70 802</v>
          </cell>
          <cell r="J925" t="str">
            <v>AUDIO NO.2</v>
          </cell>
          <cell r="K925" t="str">
            <v>금형</v>
          </cell>
          <cell r="L925" t="str">
            <v>BL/PI</v>
          </cell>
          <cell r="M925">
            <v>1</v>
          </cell>
          <cell r="N925">
            <v>2290000</v>
          </cell>
          <cell r="Y925" t="str">
            <v>STEEL</v>
          </cell>
          <cell r="Z925">
            <v>0.23549999999999999</v>
          </cell>
          <cell r="AA925" t="str">
            <v>500x400x250</v>
          </cell>
          <cell r="AB925" t="str">
            <v>96-4</v>
          </cell>
          <cell r="AG925" t="str">
            <v>금성공업</v>
          </cell>
          <cell r="AI925" t="str">
            <v>대륭강업</v>
          </cell>
        </row>
        <row r="926">
          <cell r="A926">
            <v>755</v>
          </cell>
          <cell r="E926" t="str">
            <v>기아모텍</v>
          </cell>
          <cell r="F926" t="str">
            <v>A</v>
          </cell>
          <cell r="G926" t="str">
            <v>CERES MMO</v>
          </cell>
          <cell r="H926" t="str">
            <v>041101113274</v>
          </cell>
          <cell r="I926" t="str">
            <v>K68A 70 827</v>
          </cell>
          <cell r="J926" t="str">
            <v>B/K</v>
          </cell>
          <cell r="K926" t="str">
            <v>금형</v>
          </cell>
          <cell r="L926" t="str">
            <v>BE</v>
          </cell>
          <cell r="M926">
            <v>1</v>
          </cell>
          <cell r="N926">
            <v>1462000</v>
          </cell>
          <cell r="Y926" t="str">
            <v>STEEL</v>
          </cell>
          <cell r="Z926">
            <v>0.13541249999999999</v>
          </cell>
          <cell r="AA926" t="str">
            <v>500x230x250</v>
          </cell>
          <cell r="AB926" t="str">
            <v>96-4</v>
          </cell>
          <cell r="AG926" t="str">
            <v>금성공업</v>
          </cell>
          <cell r="AI926" t="str">
            <v>대륭강업</v>
          </cell>
        </row>
        <row r="927">
          <cell r="A927">
            <v>756</v>
          </cell>
          <cell r="E927" t="str">
            <v>기아모텍</v>
          </cell>
          <cell r="F927" t="str">
            <v>A</v>
          </cell>
          <cell r="G927" t="str">
            <v>CERES MMO</v>
          </cell>
          <cell r="H927" t="str">
            <v>041101113274</v>
          </cell>
          <cell r="I927" t="str">
            <v>K68A 70 827</v>
          </cell>
          <cell r="J927" t="str">
            <v>B/K</v>
          </cell>
          <cell r="K927" t="str">
            <v>금형</v>
          </cell>
          <cell r="L927" t="str">
            <v>BL/PI</v>
          </cell>
          <cell r="M927">
            <v>1</v>
          </cell>
          <cell r="N927">
            <v>2347000</v>
          </cell>
          <cell r="Y927" t="str">
            <v>STEEL</v>
          </cell>
          <cell r="Z927">
            <v>0.23903249999999998</v>
          </cell>
          <cell r="AA927" t="str">
            <v>580x350x250</v>
          </cell>
          <cell r="AB927" t="str">
            <v>96-4</v>
          </cell>
          <cell r="AG927" t="str">
            <v>금성공업</v>
          </cell>
          <cell r="AI927" t="str">
            <v>대륭강업</v>
          </cell>
        </row>
        <row r="928">
          <cell r="A928">
            <v>757</v>
          </cell>
          <cell r="E928" t="str">
            <v>기아모텍</v>
          </cell>
          <cell r="F928" t="str">
            <v>A</v>
          </cell>
          <cell r="G928" t="str">
            <v>CERES MMO</v>
          </cell>
          <cell r="H928" t="str">
            <v>041101113104</v>
          </cell>
          <cell r="I928" t="str">
            <v>K68A 70 831</v>
          </cell>
          <cell r="J928" t="str">
            <v>REINF IN PNL NO.2</v>
          </cell>
          <cell r="K928" t="str">
            <v>금형</v>
          </cell>
          <cell r="L928" t="str">
            <v>PI</v>
          </cell>
          <cell r="M928">
            <v>1</v>
          </cell>
          <cell r="N928">
            <v>1598000</v>
          </cell>
          <cell r="Y928" t="str">
            <v>STEEL</v>
          </cell>
          <cell r="Z928">
            <v>0.34288799999999997</v>
          </cell>
          <cell r="AA928" t="str">
            <v>700x400x260</v>
          </cell>
          <cell r="AB928" t="str">
            <v>96-4</v>
          </cell>
          <cell r="AG928" t="str">
            <v>태진정밀</v>
          </cell>
          <cell r="AI928" t="str">
            <v>대륭강업</v>
          </cell>
        </row>
        <row r="929">
          <cell r="A929">
            <v>758</v>
          </cell>
          <cell r="E929" t="str">
            <v>기아모텍</v>
          </cell>
          <cell r="F929" t="str">
            <v>A</v>
          </cell>
          <cell r="G929" t="str">
            <v>CERES MMO</v>
          </cell>
          <cell r="H929" t="str">
            <v>041101113104</v>
          </cell>
          <cell r="I929" t="str">
            <v>K68A 70 831</v>
          </cell>
          <cell r="J929" t="str">
            <v>REINF IN PNL NO.2</v>
          </cell>
          <cell r="K929" t="str">
            <v>금형</v>
          </cell>
          <cell r="L929" t="str">
            <v>RE</v>
          </cell>
          <cell r="M929">
            <v>1</v>
          </cell>
          <cell r="N929">
            <v>2042000</v>
          </cell>
          <cell r="Y929" t="str">
            <v>STEEL</v>
          </cell>
          <cell r="Z929">
            <v>0.34288799999999997</v>
          </cell>
          <cell r="AA929" t="str">
            <v>700x400x260</v>
          </cell>
          <cell r="AB929" t="str">
            <v>96-4</v>
          </cell>
          <cell r="AG929" t="str">
            <v>태진정밀</v>
          </cell>
          <cell r="AI929" t="str">
            <v>대륭강업</v>
          </cell>
        </row>
        <row r="930">
          <cell r="A930">
            <v>759</v>
          </cell>
          <cell r="E930" t="str">
            <v>기아모텍</v>
          </cell>
          <cell r="F930" t="str">
            <v>A</v>
          </cell>
          <cell r="G930" t="str">
            <v>CERES MMO</v>
          </cell>
          <cell r="H930" t="str">
            <v>041101113104</v>
          </cell>
          <cell r="I930" t="str">
            <v>K68A 70 831</v>
          </cell>
          <cell r="J930" t="str">
            <v>REINF IN PNL NO.2</v>
          </cell>
          <cell r="K930" t="str">
            <v>금형</v>
          </cell>
          <cell r="L930" t="str">
            <v>BE</v>
          </cell>
          <cell r="M930">
            <v>1</v>
          </cell>
          <cell r="N930">
            <v>2206000</v>
          </cell>
          <cell r="Y930" t="str">
            <v>STEEL</v>
          </cell>
          <cell r="Z930">
            <v>0.39677039999999997</v>
          </cell>
          <cell r="AA930" t="str">
            <v>810x400x260</v>
          </cell>
          <cell r="AB930" t="str">
            <v>96-4</v>
          </cell>
          <cell r="AG930" t="str">
            <v>태진정밀</v>
          </cell>
          <cell r="AI930" t="str">
            <v>대륭강업</v>
          </cell>
        </row>
        <row r="931">
          <cell r="A931">
            <v>760</v>
          </cell>
          <cell r="E931" t="str">
            <v>기아모텍</v>
          </cell>
          <cell r="F931" t="str">
            <v>A</v>
          </cell>
          <cell r="G931" t="str">
            <v>CERES MMO</v>
          </cell>
          <cell r="H931" t="str">
            <v>041101113104</v>
          </cell>
          <cell r="I931" t="str">
            <v>K68A 70 831</v>
          </cell>
          <cell r="J931" t="str">
            <v>REINF IN PNL NO.2</v>
          </cell>
          <cell r="K931" t="str">
            <v>금형</v>
          </cell>
          <cell r="L931" t="str">
            <v>BE</v>
          </cell>
          <cell r="M931">
            <v>1</v>
          </cell>
          <cell r="N931">
            <v>2978000</v>
          </cell>
          <cell r="Y931" t="str">
            <v>STEEL</v>
          </cell>
          <cell r="Z931">
            <v>0.75310073999999994</v>
          </cell>
          <cell r="AA931" t="str">
            <v>810x420x470</v>
          </cell>
          <cell r="AB931" t="str">
            <v>96-4</v>
          </cell>
          <cell r="AG931" t="str">
            <v>태진정밀</v>
          </cell>
          <cell r="AI931" t="str">
            <v>대륭강업</v>
          </cell>
        </row>
        <row r="932">
          <cell r="A932">
            <v>761</v>
          </cell>
          <cell r="E932" t="str">
            <v>기아모텍</v>
          </cell>
          <cell r="F932" t="str">
            <v>A</v>
          </cell>
          <cell r="G932" t="str">
            <v>CERES MMO</v>
          </cell>
          <cell r="H932" t="str">
            <v>041101113104</v>
          </cell>
          <cell r="I932" t="str">
            <v>K68A 70 831</v>
          </cell>
          <cell r="J932" t="str">
            <v>REINF IN PNL NO.2</v>
          </cell>
          <cell r="K932" t="str">
            <v>금형</v>
          </cell>
          <cell r="L932" t="str">
            <v>RE/FL</v>
          </cell>
          <cell r="M932">
            <v>1</v>
          </cell>
          <cell r="N932">
            <v>3819000</v>
          </cell>
          <cell r="Y932" t="str">
            <v>STEEL</v>
          </cell>
          <cell r="Z932">
            <v>0.69331200000000004</v>
          </cell>
          <cell r="AA932" t="str">
            <v>800x400x460</v>
          </cell>
          <cell r="AB932" t="str">
            <v>96-4</v>
          </cell>
          <cell r="AG932" t="str">
            <v>태진정밀</v>
          </cell>
          <cell r="AI932" t="str">
            <v>대륭강업</v>
          </cell>
        </row>
        <row r="933">
          <cell r="A933">
            <v>762</v>
          </cell>
          <cell r="E933" t="str">
            <v>기아모텍</v>
          </cell>
          <cell r="F933" t="str">
            <v>A</v>
          </cell>
          <cell r="G933" t="str">
            <v>CERES MMO</v>
          </cell>
          <cell r="H933" t="str">
            <v>041101113104</v>
          </cell>
          <cell r="I933" t="str">
            <v>K68A 70 831</v>
          </cell>
          <cell r="J933" t="str">
            <v>REINF IN PNL NO.2</v>
          </cell>
          <cell r="K933" t="str">
            <v>금형</v>
          </cell>
          <cell r="L933" t="str">
            <v>BL/PI</v>
          </cell>
          <cell r="M933">
            <v>1</v>
          </cell>
          <cell r="N933">
            <v>5266000</v>
          </cell>
          <cell r="Y933" t="str">
            <v>STEEL</v>
          </cell>
          <cell r="Z933">
            <v>0.76655249999999997</v>
          </cell>
          <cell r="AA933" t="str">
            <v>930x500x350</v>
          </cell>
          <cell r="AB933" t="str">
            <v>96-4</v>
          </cell>
          <cell r="AG933" t="str">
            <v>태진정밀</v>
          </cell>
          <cell r="AI933" t="str">
            <v>대륭강업</v>
          </cell>
        </row>
        <row r="934">
          <cell r="A934">
            <v>763</v>
          </cell>
          <cell r="E934" t="str">
            <v>기아모텍</v>
          </cell>
          <cell r="F934" t="str">
            <v>A</v>
          </cell>
          <cell r="G934" t="str">
            <v>CERES MMO</v>
          </cell>
          <cell r="H934" t="str">
            <v>041101113234</v>
          </cell>
          <cell r="I934" t="str">
            <v>K68A 70 832</v>
          </cell>
          <cell r="J934" t="str">
            <v>R/F I/P</v>
          </cell>
          <cell r="K934" t="str">
            <v>금형</v>
          </cell>
          <cell r="L934" t="str">
            <v>BE</v>
          </cell>
          <cell r="M934">
            <v>1</v>
          </cell>
          <cell r="N934">
            <v>881000</v>
          </cell>
          <cell r="Y934" t="str">
            <v>STEEL</v>
          </cell>
          <cell r="Z934">
            <v>4.87485E-2</v>
          </cell>
          <cell r="AA934" t="str">
            <v>250x230x180</v>
          </cell>
          <cell r="AB934" t="str">
            <v>96-4</v>
          </cell>
          <cell r="AG934" t="str">
            <v>금성공업</v>
          </cell>
          <cell r="AI934" t="str">
            <v>대륭강업</v>
          </cell>
        </row>
        <row r="935">
          <cell r="A935">
            <v>764</v>
          </cell>
          <cell r="E935" t="str">
            <v>기아모텍</v>
          </cell>
          <cell r="F935" t="str">
            <v>A</v>
          </cell>
          <cell r="G935" t="str">
            <v>CERES MMO</v>
          </cell>
          <cell r="H935" t="str">
            <v>041101113234</v>
          </cell>
          <cell r="I935" t="str">
            <v>K68A 70 832</v>
          </cell>
          <cell r="J935" t="str">
            <v>R/F I/P</v>
          </cell>
          <cell r="K935" t="str">
            <v>금형</v>
          </cell>
          <cell r="L935" t="str">
            <v>PI</v>
          </cell>
          <cell r="M935">
            <v>1</v>
          </cell>
          <cell r="N935">
            <v>1049000</v>
          </cell>
          <cell r="Y935" t="str">
            <v>STEEL</v>
          </cell>
          <cell r="Z935">
            <v>4.2389999999999997E-2</v>
          </cell>
          <cell r="AA935" t="str">
            <v>300x200x150</v>
          </cell>
          <cell r="AB935" t="str">
            <v>96-4</v>
          </cell>
          <cell r="AG935" t="str">
            <v>금성공업</v>
          </cell>
          <cell r="AI935" t="str">
            <v>대륭강업</v>
          </cell>
        </row>
        <row r="936">
          <cell r="A936">
            <v>765</v>
          </cell>
          <cell r="E936" t="str">
            <v>기아모텍</v>
          </cell>
          <cell r="F936" t="str">
            <v>A</v>
          </cell>
          <cell r="G936" t="str">
            <v>CERES MMO</v>
          </cell>
          <cell r="H936" t="str">
            <v>041101113234</v>
          </cell>
          <cell r="I936" t="str">
            <v>K68A 70 832</v>
          </cell>
          <cell r="J936" t="str">
            <v>R/F I/P</v>
          </cell>
          <cell r="K936" t="str">
            <v>금형</v>
          </cell>
          <cell r="L936" t="str">
            <v>FL</v>
          </cell>
          <cell r="M936">
            <v>1</v>
          </cell>
          <cell r="N936">
            <v>1434000</v>
          </cell>
          <cell r="Y936" t="str">
            <v>STEEL</v>
          </cell>
          <cell r="Z936">
            <v>0.13022208000000002</v>
          </cell>
          <cell r="AA936" t="str">
            <v>480x320x180</v>
          </cell>
          <cell r="AB936" t="str">
            <v>96-4</v>
          </cell>
          <cell r="AG936" t="str">
            <v>금성공업</v>
          </cell>
          <cell r="AI936" t="str">
            <v>대륭강업</v>
          </cell>
        </row>
        <row r="937">
          <cell r="A937">
            <v>766</v>
          </cell>
          <cell r="E937" t="str">
            <v>기아모텍</v>
          </cell>
          <cell r="F937" t="str">
            <v>A</v>
          </cell>
          <cell r="G937" t="str">
            <v>CERES MMO</v>
          </cell>
          <cell r="H937" t="str">
            <v>041101113234</v>
          </cell>
          <cell r="I937" t="str">
            <v>K68A 70 832</v>
          </cell>
          <cell r="J937" t="str">
            <v>R/F I/P</v>
          </cell>
          <cell r="K937" t="str">
            <v>금형</v>
          </cell>
          <cell r="L937" t="str">
            <v>BL</v>
          </cell>
          <cell r="M937">
            <v>1</v>
          </cell>
          <cell r="N937">
            <v>1514000</v>
          </cell>
          <cell r="Y937" t="str">
            <v>STEEL</v>
          </cell>
          <cell r="Z937">
            <v>0.14506799999999997</v>
          </cell>
          <cell r="AA937" t="str">
            <v>500x220x280</v>
          </cell>
          <cell r="AB937" t="str">
            <v>96-4</v>
          </cell>
          <cell r="AG937" t="str">
            <v>금성공업</v>
          </cell>
          <cell r="AI937" t="str">
            <v>대륭강업</v>
          </cell>
        </row>
        <row r="938">
          <cell r="A938">
            <v>767</v>
          </cell>
          <cell r="E938" t="str">
            <v>기아모텍</v>
          </cell>
          <cell r="F938" t="str">
            <v>A</v>
          </cell>
          <cell r="G938" t="str">
            <v>CERES MMO</v>
          </cell>
          <cell r="H938" t="str">
            <v>041101113244</v>
          </cell>
          <cell r="I938" t="str">
            <v>K68A 70 860</v>
          </cell>
          <cell r="J938" t="str">
            <v>SIDE PNL</v>
          </cell>
          <cell r="K938" t="str">
            <v>금형</v>
          </cell>
          <cell r="L938" t="str">
            <v>PI</v>
          </cell>
          <cell r="M938">
            <v>1</v>
          </cell>
          <cell r="N938">
            <v>1783000</v>
          </cell>
          <cell r="Y938" t="str">
            <v>주물</v>
          </cell>
          <cell r="Z938">
            <v>0.23549999999999999</v>
          </cell>
          <cell r="AA938" t="str">
            <v>500x400x250</v>
          </cell>
          <cell r="AB938" t="str">
            <v>96-4</v>
          </cell>
          <cell r="AG938" t="str">
            <v>금성공업</v>
          </cell>
          <cell r="AI938" t="str">
            <v>KMO 안산2공장</v>
          </cell>
        </row>
        <row r="939">
          <cell r="A939">
            <v>768</v>
          </cell>
          <cell r="E939" t="str">
            <v>기아모텍</v>
          </cell>
          <cell r="F939" t="str">
            <v>A</v>
          </cell>
          <cell r="G939" t="str">
            <v>CERES MMO</v>
          </cell>
          <cell r="H939" t="str">
            <v>041101113244</v>
          </cell>
          <cell r="I939" t="str">
            <v>K68A 70 860</v>
          </cell>
          <cell r="J939" t="str">
            <v>SIDE PNL</v>
          </cell>
          <cell r="K939" t="str">
            <v>금형</v>
          </cell>
          <cell r="L939" t="str">
            <v>BL</v>
          </cell>
          <cell r="M939">
            <v>1</v>
          </cell>
          <cell r="N939">
            <v>1795000</v>
          </cell>
          <cell r="Y939" t="str">
            <v>주물</v>
          </cell>
          <cell r="Z939">
            <v>0.180864</v>
          </cell>
          <cell r="AA939" t="str">
            <v>500x320x240</v>
          </cell>
          <cell r="AB939" t="str">
            <v>96-4</v>
          </cell>
          <cell r="AG939" t="str">
            <v>금성공업</v>
          </cell>
          <cell r="AI939" t="str">
            <v>KMO 안산2공장</v>
          </cell>
        </row>
        <row r="940">
          <cell r="A940">
            <v>769</v>
          </cell>
          <cell r="E940" t="str">
            <v>기아모텍</v>
          </cell>
          <cell r="F940" t="str">
            <v>A</v>
          </cell>
          <cell r="G940" t="str">
            <v>CERES MMO</v>
          </cell>
          <cell r="H940" t="str">
            <v>041101113244</v>
          </cell>
          <cell r="I940" t="str">
            <v>K68A 70 860</v>
          </cell>
          <cell r="J940" t="str">
            <v>SIDE PNL</v>
          </cell>
          <cell r="K940" t="str">
            <v>금형</v>
          </cell>
          <cell r="L940" t="str">
            <v>BE</v>
          </cell>
          <cell r="M940">
            <v>1</v>
          </cell>
          <cell r="N940">
            <v>1824000</v>
          </cell>
          <cell r="Y940" t="str">
            <v>주물</v>
          </cell>
          <cell r="Z940">
            <v>0.27039168000000002</v>
          </cell>
          <cell r="AA940" t="str">
            <v>520x460x240</v>
          </cell>
          <cell r="AB940" t="str">
            <v>96-4</v>
          </cell>
          <cell r="AG940" t="str">
            <v>금성공업</v>
          </cell>
          <cell r="AI940" t="str">
            <v>KMO 안산2공장</v>
          </cell>
        </row>
        <row r="941">
          <cell r="A941">
            <v>770</v>
          </cell>
          <cell r="E941" t="str">
            <v>기아모텍</v>
          </cell>
          <cell r="F941" t="str">
            <v>A</v>
          </cell>
          <cell r="G941" t="str">
            <v>CERES MMO</v>
          </cell>
          <cell r="H941" t="str">
            <v>041101113254</v>
          </cell>
          <cell r="I941" t="str">
            <v>K68A 70 871</v>
          </cell>
          <cell r="J941" t="str">
            <v>B/K WIPER</v>
          </cell>
          <cell r="K941" t="str">
            <v>금형</v>
          </cell>
          <cell r="L941" t="str">
            <v>PG</v>
          </cell>
          <cell r="M941">
            <v>1</v>
          </cell>
          <cell r="N941">
            <v>1861000</v>
          </cell>
          <cell r="Y941" t="str">
            <v>STEEL</v>
          </cell>
          <cell r="Z941">
            <v>0.10009691999999999</v>
          </cell>
          <cell r="AA941" t="str">
            <v>330x280x230</v>
          </cell>
          <cell r="AB941" t="str">
            <v>96-4</v>
          </cell>
          <cell r="AG941" t="str">
            <v>금성공업</v>
          </cell>
          <cell r="AI941" t="str">
            <v>대륭강업</v>
          </cell>
        </row>
        <row r="942">
          <cell r="A942">
            <v>771</v>
          </cell>
          <cell r="E942" t="str">
            <v>기아모텍</v>
          </cell>
          <cell r="F942" t="str">
            <v>A</v>
          </cell>
          <cell r="G942" t="str">
            <v>CERES MMO</v>
          </cell>
          <cell r="H942" t="str">
            <v>041101113184</v>
          </cell>
          <cell r="I942" t="str">
            <v>K68A 70/71 623</v>
          </cell>
          <cell r="J942" t="str">
            <v>CROSS M/B C</v>
          </cell>
          <cell r="K942" t="str">
            <v>금형</v>
          </cell>
          <cell r="L942" t="str">
            <v>BE</v>
          </cell>
          <cell r="M942">
            <v>2</v>
          </cell>
          <cell r="N942">
            <v>1980000</v>
          </cell>
          <cell r="Y942" t="str">
            <v>STEEL</v>
          </cell>
          <cell r="Z942">
            <v>7.2741239999999985E-2</v>
          </cell>
          <cell r="AA942" t="str">
            <v>270x220x260</v>
          </cell>
          <cell r="AB942" t="str">
            <v>96-4</v>
          </cell>
          <cell r="AG942" t="str">
            <v>금성공업</v>
          </cell>
          <cell r="AI942" t="str">
            <v>대륭강업</v>
          </cell>
        </row>
        <row r="943">
          <cell r="A943">
            <v>772</v>
          </cell>
          <cell r="E943" t="str">
            <v>기아모텍</v>
          </cell>
          <cell r="F943" t="str">
            <v>A</v>
          </cell>
          <cell r="G943" t="str">
            <v>CERES MMO</v>
          </cell>
          <cell r="H943" t="str">
            <v>041101113184</v>
          </cell>
          <cell r="I943" t="str">
            <v>K68A 70/71 623</v>
          </cell>
          <cell r="J943" t="str">
            <v>CROSS M/B C</v>
          </cell>
          <cell r="K943" t="str">
            <v>금형</v>
          </cell>
          <cell r="L943" t="str">
            <v>BE</v>
          </cell>
          <cell r="M943">
            <v>2</v>
          </cell>
          <cell r="N943">
            <v>2009000</v>
          </cell>
          <cell r="Y943" t="str">
            <v>STEEL</v>
          </cell>
          <cell r="Z943">
            <v>7.2741239999999985E-2</v>
          </cell>
          <cell r="AA943" t="str">
            <v>270x220x260</v>
          </cell>
          <cell r="AB943" t="str">
            <v>96-4</v>
          </cell>
          <cell r="AG943" t="str">
            <v>금성공업</v>
          </cell>
          <cell r="AI943" t="str">
            <v>대륭강업</v>
          </cell>
        </row>
        <row r="944">
          <cell r="A944">
            <v>773</v>
          </cell>
          <cell r="E944" t="str">
            <v>기아모텍</v>
          </cell>
          <cell r="F944" t="str">
            <v>A</v>
          </cell>
          <cell r="G944" t="str">
            <v>CERES MMO</v>
          </cell>
          <cell r="H944" t="str">
            <v>041101113184</v>
          </cell>
          <cell r="I944" t="str">
            <v>K68A 70/71 623</v>
          </cell>
          <cell r="J944" t="str">
            <v>CROSS M/B C</v>
          </cell>
          <cell r="K944" t="str">
            <v>금형</v>
          </cell>
          <cell r="L944" t="str">
            <v>PI</v>
          </cell>
          <cell r="M944">
            <v>2</v>
          </cell>
          <cell r="N944">
            <v>2811000</v>
          </cell>
          <cell r="Y944" t="str">
            <v>STEEL</v>
          </cell>
          <cell r="Z944">
            <v>0.12363749999999998</v>
          </cell>
          <cell r="AA944" t="str">
            <v>350x300x250</v>
          </cell>
          <cell r="AB944" t="str">
            <v>96-4</v>
          </cell>
          <cell r="AG944" t="str">
            <v>금성공업</v>
          </cell>
          <cell r="AI944" t="str">
            <v>대륭강업</v>
          </cell>
        </row>
        <row r="945">
          <cell r="A945">
            <v>774</v>
          </cell>
          <cell r="E945" t="str">
            <v>기아모텍</v>
          </cell>
          <cell r="F945" t="str">
            <v>A</v>
          </cell>
          <cell r="G945" t="str">
            <v>CERES MMO</v>
          </cell>
          <cell r="H945" t="str">
            <v>041101113184</v>
          </cell>
          <cell r="I945" t="str">
            <v>K68A 70/71 623</v>
          </cell>
          <cell r="J945" t="str">
            <v>CROSS M/B C</v>
          </cell>
          <cell r="K945" t="str">
            <v>금형</v>
          </cell>
          <cell r="L945" t="str">
            <v>BL</v>
          </cell>
          <cell r="M945">
            <v>2</v>
          </cell>
          <cell r="N945">
            <v>2986000</v>
          </cell>
          <cell r="Y945" t="str">
            <v>STEEL</v>
          </cell>
          <cell r="Z945">
            <v>0.12363749999999998</v>
          </cell>
          <cell r="AA945" t="str">
            <v>350x300x250</v>
          </cell>
          <cell r="AB945" t="str">
            <v>96-4</v>
          </cell>
          <cell r="AG945" t="str">
            <v>금성공업</v>
          </cell>
          <cell r="AI945" t="str">
            <v>대륭강업</v>
          </cell>
        </row>
        <row r="946">
          <cell r="A946">
            <v>775</v>
          </cell>
          <cell r="E946" t="str">
            <v>기아모텍</v>
          </cell>
          <cell r="F946" t="str">
            <v>A</v>
          </cell>
          <cell r="G946" t="str">
            <v>CERES MMO</v>
          </cell>
          <cell r="H946" t="str">
            <v>041101113174</v>
          </cell>
          <cell r="I946" t="str">
            <v>K68A 70/71 631</v>
          </cell>
          <cell r="J946" t="str">
            <v>HSG LAMP R/L</v>
          </cell>
          <cell r="K946" t="str">
            <v>금형</v>
          </cell>
          <cell r="L946" t="str">
            <v>SEP/PI</v>
          </cell>
          <cell r="M946">
            <v>1</v>
          </cell>
          <cell r="N946">
            <v>11281000</v>
          </cell>
          <cell r="Y946" t="str">
            <v>주물</v>
          </cell>
          <cell r="Z946">
            <v>4.2484953599999997</v>
          </cell>
          <cell r="AA946" t="str">
            <v>1740x720x720</v>
          </cell>
          <cell r="AB946" t="str">
            <v>96-4</v>
          </cell>
          <cell r="AG946" t="str">
            <v>태진정밀</v>
          </cell>
          <cell r="AI946" t="str">
            <v>대륭강업</v>
          </cell>
        </row>
        <row r="947">
          <cell r="A947">
            <v>776</v>
          </cell>
          <cell r="E947" t="str">
            <v>기아모텍</v>
          </cell>
          <cell r="F947" t="str">
            <v>A</v>
          </cell>
          <cell r="G947" t="str">
            <v>CERES MMO</v>
          </cell>
          <cell r="H947" t="str">
            <v>041101113174</v>
          </cell>
          <cell r="I947" t="str">
            <v>K68A 70/71 631</v>
          </cell>
          <cell r="J947" t="str">
            <v>HSG LAMP R/L</v>
          </cell>
          <cell r="K947" t="str">
            <v>금형</v>
          </cell>
          <cell r="L947" t="str">
            <v>FL/BU</v>
          </cell>
          <cell r="M947">
            <v>1</v>
          </cell>
          <cell r="N947">
            <v>18901000</v>
          </cell>
          <cell r="Y947" t="str">
            <v>주물</v>
          </cell>
          <cell r="Z947">
            <v>5.2495775999999994</v>
          </cell>
          <cell r="AA947" t="str">
            <v>1720x900x720</v>
          </cell>
          <cell r="AB947" t="str">
            <v>96-4</v>
          </cell>
          <cell r="AG947" t="str">
            <v>태진정밀</v>
          </cell>
          <cell r="AI947" t="str">
            <v>대륭강업</v>
          </cell>
        </row>
        <row r="948">
          <cell r="A948">
            <v>777</v>
          </cell>
          <cell r="E948" t="str">
            <v>기아모텍</v>
          </cell>
          <cell r="F948" t="str">
            <v>A</v>
          </cell>
          <cell r="G948" t="str">
            <v>CERES MMO</v>
          </cell>
          <cell r="H948" t="str">
            <v>041101113174</v>
          </cell>
          <cell r="I948" t="str">
            <v>K68A 70/71 631</v>
          </cell>
          <cell r="J948" t="str">
            <v>HSG LAMP R/L</v>
          </cell>
          <cell r="K948" t="str">
            <v>금형</v>
          </cell>
          <cell r="L948" t="str">
            <v>TR/PI</v>
          </cell>
          <cell r="M948">
            <v>1</v>
          </cell>
          <cell r="N948">
            <v>21279000</v>
          </cell>
          <cell r="Y948" t="str">
            <v>주물</v>
          </cell>
          <cell r="Z948">
            <v>5.3038367999999991</v>
          </cell>
          <cell r="AA948" t="str">
            <v>1700x920x720</v>
          </cell>
          <cell r="AB948" t="str">
            <v>96-4</v>
          </cell>
          <cell r="AG948" t="str">
            <v>태진정밀</v>
          </cell>
          <cell r="AI948" t="str">
            <v>대륭강업</v>
          </cell>
        </row>
        <row r="949">
          <cell r="A949">
            <v>778</v>
          </cell>
          <cell r="E949" t="str">
            <v>기아모텍</v>
          </cell>
          <cell r="F949" t="str">
            <v>A</v>
          </cell>
          <cell r="G949" t="str">
            <v>CERES MMO</v>
          </cell>
          <cell r="H949" t="str">
            <v>041101113174</v>
          </cell>
          <cell r="I949" t="str">
            <v>K68A 70/71 631</v>
          </cell>
          <cell r="J949" t="str">
            <v>HSG LAMP R/L</v>
          </cell>
          <cell r="K949" t="str">
            <v>금형</v>
          </cell>
          <cell r="L949" t="str">
            <v>DR</v>
          </cell>
          <cell r="M949">
            <v>2</v>
          </cell>
          <cell r="N949">
            <v>48849000</v>
          </cell>
          <cell r="Y949" t="str">
            <v>주물</v>
          </cell>
          <cell r="Z949">
            <v>5.3662348800000004</v>
          </cell>
          <cell r="AA949" t="str">
            <v>1720x920x720</v>
          </cell>
          <cell r="AB949" t="str">
            <v>96-4</v>
          </cell>
          <cell r="AG949" t="str">
            <v>태진정밀</v>
          </cell>
          <cell r="AI949" t="str">
            <v>대륭강업</v>
          </cell>
        </row>
        <row r="950">
          <cell r="A950">
            <v>778.0999755859375</v>
          </cell>
          <cell r="E950" t="str">
            <v>기아모텍</v>
          </cell>
          <cell r="F950" t="str">
            <v>A</v>
          </cell>
          <cell r="G950" t="str">
            <v>CERES MMO</v>
          </cell>
          <cell r="H950" t="str">
            <v>041101113174</v>
          </cell>
          <cell r="I950" t="str">
            <v>K68A 70/71 631</v>
          </cell>
          <cell r="J950" t="str">
            <v>HSG LAMP R/L</v>
          </cell>
          <cell r="K950" t="str">
            <v>금형</v>
          </cell>
          <cell r="L950" t="str">
            <v>DR</v>
          </cell>
          <cell r="M950">
            <v>1</v>
          </cell>
          <cell r="Y950" t="str">
            <v>주물</v>
          </cell>
          <cell r="Z950">
            <v>5.3662348800000004</v>
          </cell>
          <cell r="AA950" t="str">
            <v>1720x920x720</v>
          </cell>
          <cell r="AB950" t="str">
            <v>96-4</v>
          </cell>
          <cell r="AG950" t="str">
            <v>태진정밀</v>
          </cell>
          <cell r="AI950" t="str">
            <v>대륭강업</v>
          </cell>
        </row>
        <row r="951">
          <cell r="A951">
            <v>778.20001220703125</v>
          </cell>
          <cell r="E951" t="str">
            <v>기아모텍</v>
          </cell>
          <cell r="F951" t="str">
            <v>A</v>
          </cell>
          <cell r="G951" t="str">
            <v>CERES MMO</v>
          </cell>
          <cell r="H951" t="str">
            <v>041101113174</v>
          </cell>
          <cell r="I951" t="str">
            <v>K68A 70/71 631</v>
          </cell>
          <cell r="J951" t="str">
            <v>HSG LAMP R/L</v>
          </cell>
          <cell r="K951" t="str">
            <v>금형</v>
          </cell>
          <cell r="L951" t="str">
            <v>DR</v>
          </cell>
          <cell r="M951">
            <v>1</v>
          </cell>
          <cell r="Y951" t="str">
            <v>주물</v>
          </cell>
          <cell r="Z951">
            <v>5.3662348800000004</v>
          </cell>
          <cell r="AA951" t="str">
            <v>1720x920x720</v>
          </cell>
          <cell r="AB951" t="str">
            <v>96-4</v>
          </cell>
          <cell r="AG951" t="str">
            <v>태진정밀</v>
          </cell>
          <cell r="AI951" t="str">
            <v>대륭강업</v>
          </cell>
        </row>
        <row r="952">
          <cell r="A952">
            <v>779</v>
          </cell>
          <cell r="E952" t="str">
            <v>기아모텍</v>
          </cell>
          <cell r="F952" t="str">
            <v>A</v>
          </cell>
          <cell r="G952" t="str">
            <v>CERES MMO</v>
          </cell>
          <cell r="H952" t="str">
            <v>041101113214</v>
          </cell>
          <cell r="I952" t="str">
            <v>K68A 71 812</v>
          </cell>
          <cell r="J952" t="str">
            <v>SIDE PNL LH</v>
          </cell>
          <cell r="K952" t="str">
            <v>금형</v>
          </cell>
          <cell r="L952" t="str">
            <v>PI</v>
          </cell>
          <cell r="M952">
            <v>1</v>
          </cell>
          <cell r="N952">
            <v>1621000</v>
          </cell>
          <cell r="Y952" t="str">
            <v>주물</v>
          </cell>
          <cell r="Z952">
            <v>0.23549999999999999</v>
          </cell>
          <cell r="AA952" t="str">
            <v>500x400x250</v>
          </cell>
          <cell r="AB952" t="str">
            <v>96-4</v>
          </cell>
          <cell r="AG952" t="str">
            <v>금성공업</v>
          </cell>
          <cell r="AI952" t="str">
            <v>대륭강업</v>
          </cell>
        </row>
        <row r="953">
          <cell r="A953">
            <v>780</v>
          </cell>
          <cell r="E953" t="str">
            <v>기아모텍</v>
          </cell>
          <cell r="F953" t="str">
            <v>A</v>
          </cell>
          <cell r="G953" t="str">
            <v>CERES MMO</v>
          </cell>
          <cell r="H953" t="str">
            <v>041101113214</v>
          </cell>
          <cell r="I953" t="str">
            <v>K68A 71 812</v>
          </cell>
          <cell r="J953" t="str">
            <v>SIDE PNL LH</v>
          </cell>
          <cell r="K953" t="str">
            <v>금형</v>
          </cell>
          <cell r="L953" t="str">
            <v>BL</v>
          </cell>
          <cell r="M953">
            <v>1</v>
          </cell>
          <cell r="N953">
            <v>1682000</v>
          </cell>
          <cell r="Y953" t="str">
            <v>STEEL</v>
          </cell>
          <cell r="Z953">
            <v>0.17521199999999998</v>
          </cell>
          <cell r="AA953" t="str">
            <v>500x310x240</v>
          </cell>
          <cell r="AB953" t="str">
            <v>96-4</v>
          </cell>
          <cell r="AG953" t="str">
            <v>금성공업</v>
          </cell>
          <cell r="AI953" t="str">
            <v>대륭강업</v>
          </cell>
        </row>
        <row r="954">
          <cell r="A954">
            <v>781</v>
          </cell>
          <cell r="E954" t="str">
            <v>기아모텍</v>
          </cell>
          <cell r="F954" t="str">
            <v>A</v>
          </cell>
          <cell r="G954" t="str">
            <v>CERES MMO</v>
          </cell>
          <cell r="H954" t="str">
            <v>041101113214</v>
          </cell>
          <cell r="I954" t="str">
            <v>K68A 71 812</v>
          </cell>
          <cell r="J954" t="str">
            <v>SIDE PNL LH</v>
          </cell>
          <cell r="K954" t="str">
            <v>금형</v>
          </cell>
          <cell r="L954" t="str">
            <v>BE</v>
          </cell>
          <cell r="M954">
            <v>1</v>
          </cell>
          <cell r="N954">
            <v>1878000</v>
          </cell>
          <cell r="Y954" t="str">
            <v>STEEL</v>
          </cell>
          <cell r="Z954">
            <v>0.292491</v>
          </cell>
          <cell r="AA954" t="str">
            <v>540x460x250</v>
          </cell>
          <cell r="AB954" t="str">
            <v>96-4</v>
          </cell>
          <cell r="AG954" t="str">
            <v>금성공업</v>
          </cell>
          <cell r="AI954" t="str">
            <v>대륭강업</v>
          </cell>
        </row>
        <row r="955">
          <cell r="A955">
            <v>782</v>
          </cell>
          <cell r="E955" t="str">
            <v>기아모텍</v>
          </cell>
          <cell r="F955" t="str">
            <v>A</v>
          </cell>
          <cell r="G955" t="str">
            <v>CERES MMO</v>
          </cell>
          <cell r="H955" t="str">
            <v>041101113224</v>
          </cell>
          <cell r="I955" t="str">
            <v>K68A 71 816</v>
          </cell>
          <cell r="J955" t="str">
            <v>R/F I/P</v>
          </cell>
          <cell r="K955" t="str">
            <v>금형</v>
          </cell>
          <cell r="L955" t="str">
            <v>BE</v>
          </cell>
          <cell r="M955">
            <v>1</v>
          </cell>
          <cell r="N955">
            <v>1651000</v>
          </cell>
          <cell r="Y955" t="str">
            <v>STEEL</v>
          </cell>
          <cell r="Z955">
            <v>0.24463739999999998</v>
          </cell>
          <cell r="AA955" t="str">
            <v>530x280x350</v>
          </cell>
          <cell r="AB955" t="str">
            <v>96-4</v>
          </cell>
          <cell r="AG955" t="str">
            <v>금성공업</v>
          </cell>
          <cell r="AI955" t="str">
            <v>대륭강업</v>
          </cell>
        </row>
        <row r="956">
          <cell r="A956">
            <v>783</v>
          </cell>
          <cell r="E956" t="str">
            <v>기아모텍</v>
          </cell>
          <cell r="F956" t="str">
            <v>A</v>
          </cell>
          <cell r="G956" t="str">
            <v>CERES MMO</v>
          </cell>
          <cell r="H956" t="str">
            <v>041101113224</v>
          </cell>
          <cell r="I956" t="str">
            <v>K68A 71 816</v>
          </cell>
          <cell r="J956" t="str">
            <v>R/F I/P</v>
          </cell>
          <cell r="K956" t="str">
            <v>금형</v>
          </cell>
          <cell r="L956" t="str">
            <v>BL/PI</v>
          </cell>
          <cell r="M956">
            <v>1</v>
          </cell>
          <cell r="N956">
            <v>1970000</v>
          </cell>
          <cell r="Y956" t="str">
            <v>STEEL</v>
          </cell>
          <cell r="Z956">
            <v>0.180864</v>
          </cell>
          <cell r="AA956" t="str">
            <v>500x320x240</v>
          </cell>
          <cell r="AB956" t="str">
            <v>96-4</v>
          </cell>
          <cell r="AG956" t="str">
            <v>금성공업</v>
          </cell>
          <cell r="AI956" t="str">
            <v>대륭강업</v>
          </cell>
        </row>
        <row r="957">
          <cell r="A957">
            <v>784</v>
          </cell>
          <cell r="E957" t="str">
            <v>기아모텍</v>
          </cell>
          <cell r="F957" t="str">
            <v>A</v>
          </cell>
          <cell r="G957" t="str">
            <v>CERES MMO</v>
          </cell>
          <cell r="H957" t="str">
            <v>041101113164</v>
          </cell>
          <cell r="I957" t="str">
            <v>K68A/KW50 70 811</v>
          </cell>
          <cell r="J957" t="str">
            <v>PLATE UP</v>
          </cell>
          <cell r="K957" t="str">
            <v>금형</v>
          </cell>
          <cell r="L957" t="str">
            <v>FL</v>
          </cell>
          <cell r="M957">
            <v>2</v>
          </cell>
          <cell r="N957">
            <v>26381000</v>
          </cell>
          <cell r="Y957" t="str">
            <v>주물</v>
          </cell>
          <cell r="Z957">
            <v>3.8825471999999999</v>
          </cell>
          <cell r="AA957" t="str">
            <v>1840x640x700</v>
          </cell>
          <cell r="AB957" t="str">
            <v>96-4</v>
          </cell>
          <cell r="AG957" t="str">
            <v>동풍금형</v>
          </cell>
          <cell r="AI957" t="str">
            <v>대륭강업</v>
          </cell>
        </row>
        <row r="958">
          <cell r="A958">
            <v>784.0999755859375</v>
          </cell>
          <cell r="E958" t="str">
            <v>기아모텍</v>
          </cell>
          <cell r="F958" t="str">
            <v>A</v>
          </cell>
          <cell r="G958" t="str">
            <v>CERES MMO</v>
          </cell>
          <cell r="H958" t="str">
            <v>041101113164</v>
          </cell>
          <cell r="I958" t="str">
            <v>K68A/KW50 70 811</v>
          </cell>
          <cell r="J958" t="str">
            <v>PLATE UP</v>
          </cell>
          <cell r="K958" t="str">
            <v>금형</v>
          </cell>
          <cell r="L958" t="str">
            <v>FL</v>
          </cell>
          <cell r="M958">
            <v>1</v>
          </cell>
          <cell r="Y958" t="str">
            <v>주물</v>
          </cell>
          <cell r="Z958">
            <v>3.8825471999999999</v>
          </cell>
          <cell r="AA958" t="str">
            <v>1840x640x700</v>
          </cell>
          <cell r="AB958" t="str">
            <v>96-4</v>
          </cell>
          <cell r="AG958" t="str">
            <v>동풍금형</v>
          </cell>
          <cell r="AI958" t="str">
            <v>대륭강업</v>
          </cell>
        </row>
        <row r="959">
          <cell r="A959">
            <v>784.20001220703125</v>
          </cell>
          <cell r="E959" t="str">
            <v>기아모텍</v>
          </cell>
          <cell r="F959" t="str">
            <v>A</v>
          </cell>
          <cell r="G959" t="str">
            <v>CERES MMO</v>
          </cell>
          <cell r="H959" t="str">
            <v>041101113164</v>
          </cell>
          <cell r="I959" t="str">
            <v>K68A/KW50 70 811</v>
          </cell>
          <cell r="J959" t="str">
            <v>PLATE UP</v>
          </cell>
          <cell r="K959" t="str">
            <v>금형</v>
          </cell>
          <cell r="L959" t="str">
            <v>FL</v>
          </cell>
          <cell r="M959">
            <v>1</v>
          </cell>
          <cell r="Y959" t="str">
            <v>주물</v>
          </cell>
          <cell r="Z959">
            <v>3.8825471999999999</v>
          </cell>
          <cell r="AA959" t="str">
            <v>1840x640x700</v>
          </cell>
          <cell r="AB959" t="str">
            <v>96-4</v>
          </cell>
          <cell r="AG959" t="str">
            <v>동풍금형</v>
          </cell>
          <cell r="AI959" t="str">
            <v>대륭강업</v>
          </cell>
        </row>
        <row r="960">
          <cell r="A960">
            <v>785</v>
          </cell>
          <cell r="E960" t="str">
            <v>기아모텍</v>
          </cell>
          <cell r="F960" t="str">
            <v>A</v>
          </cell>
          <cell r="G960" t="str">
            <v>CERES MMO</v>
          </cell>
          <cell r="H960" t="str">
            <v>041101113164</v>
          </cell>
          <cell r="I960" t="str">
            <v>K68A/KW50 70 811</v>
          </cell>
          <cell r="J960" t="str">
            <v>PLATE UP</v>
          </cell>
          <cell r="K960" t="str">
            <v>금형</v>
          </cell>
          <cell r="L960" t="str">
            <v>FL/BU</v>
          </cell>
          <cell r="M960">
            <v>2</v>
          </cell>
          <cell r="N960">
            <v>29597000</v>
          </cell>
          <cell r="Y960" t="str">
            <v>주물</v>
          </cell>
          <cell r="Z960">
            <v>4.3850100000000003</v>
          </cell>
          <cell r="AA960" t="str">
            <v>1900x700x700</v>
          </cell>
          <cell r="AB960" t="str">
            <v>96-4</v>
          </cell>
          <cell r="AG960" t="str">
            <v>동풍금형</v>
          </cell>
          <cell r="AI960" t="str">
            <v>대륭강업</v>
          </cell>
        </row>
        <row r="961">
          <cell r="A961">
            <v>785.0999755859375</v>
          </cell>
          <cell r="E961" t="str">
            <v>기아모텍</v>
          </cell>
          <cell r="F961" t="str">
            <v>A</v>
          </cell>
          <cell r="G961" t="str">
            <v>CERES MMO</v>
          </cell>
          <cell r="H961" t="str">
            <v>041101113164</v>
          </cell>
          <cell r="I961" t="str">
            <v>K68A/KW50 70 811</v>
          </cell>
          <cell r="J961" t="str">
            <v>PLATE UP</v>
          </cell>
          <cell r="K961" t="str">
            <v>금형</v>
          </cell>
          <cell r="L961" t="str">
            <v>FL/BU</v>
          </cell>
          <cell r="M961">
            <v>1</v>
          </cell>
          <cell r="Y961" t="str">
            <v>주물</v>
          </cell>
          <cell r="Z961">
            <v>4.3850100000000003</v>
          </cell>
          <cell r="AA961" t="str">
            <v>1900x700x700</v>
          </cell>
          <cell r="AB961" t="str">
            <v>96-4</v>
          </cell>
          <cell r="AG961" t="str">
            <v>동풍금형</v>
          </cell>
          <cell r="AI961" t="str">
            <v>대륭강업</v>
          </cell>
        </row>
        <row r="962">
          <cell r="A962">
            <v>785.20001220703125</v>
          </cell>
          <cell r="E962" t="str">
            <v>기아모텍</v>
          </cell>
          <cell r="F962" t="str">
            <v>A</v>
          </cell>
          <cell r="G962" t="str">
            <v>CERES MMO</v>
          </cell>
          <cell r="H962" t="str">
            <v>041101113164</v>
          </cell>
          <cell r="I962" t="str">
            <v>K68A/KW50 70 811</v>
          </cell>
          <cell r="J962" t="str">
            <v>PLATE UP</v>
          </cell>
          <cell r="K962" t="str">
            <v>금형</v>
          </cell>
          <cell r="L962" t="str">
            <v>FL/BU</v>
          </cell>
          <cell r="M962">
            <v>1</v>
          </cell>
          <cell r="Y962" t="str">
            <v>주물</v>
          </cell>
          <cell r="Z962">
            <v>4.3850100000000003</v>
          </cell>
          <cell r="AA962" t="str">
            <v>1900x700x700</v>
          </cell>
          <cell r="AB962" t="str">
            <v>96-4</v>
          </cell>
          <cell r="AG962" t="str">
            <v>동풍금형</v>
          </cell>
          <cell r="AI962" t="str">
            <v>대륭강업</v>
          </cell>
        </row>
        <row r="963">
          <cell r="A963">
            <v>786</v>
          </cell>
          <cell r="E963" t="str">
            <v>기아모텍</v>
          </cell>
          <cell r="F963" t="str">
            <v>A</v>
          </cell>
          <cell r="G963" t="str">
            <v>CERES MMO</v>
          </cell>
          <cell r="H963" t="str">
            <v>041101113164</v>
          </cell>
          <cell r="I963" t="str">
            <v>K68A/KW50 70 811</v>
          </cell>
          <cell r="J963" t="str">
            <v>PLATE UP</v>
          </cell>
          <cell r="K963" t="str">
            <v>금형</v>
          </cell>
          <cell r="L963" t="str">
            <v>C/PI</v>
          </cell>
          <cell r="M963">
            <v>2</v>
          </cell>
          <cell r="N963">
            <v>31327000</v>
          </cell>
          <cell r="Y963" t="str">
            <v>주물</v>
          </cell>
          <cell r="Z963">
            <v>5.0114399999999995</v>
          </cell>
          <cell r="AA963" t="str">
            <v>1900x800x700</v>
          </cell>
          <cell r="AB963" t="str">
            <v>96-4</v>
          </cell>
          <cell r="AG963" t="str">
            <v>동풍금형</v>
          </cell>
          <cell r="AI963" t="str">
            <v>대륭강업</v>
          </cell>
        </row>
        <row r="964">
          <cell r="A964">
            <v>786.0999755859375</v>
          </cell>
          <cell r="E964" t="str">
            <v>기아모텍</v>
          </cell>
          <cell r="F964" t="str">
            <v>A</v>
          </cell>
          <cell r="G964" t="str">
            <v>CERES MMO</v>
          </cell>
          <cell r="H964" t="str">
            <v>041101113164</v>
          </cell>
          <cell r="I964" t="str">
            <v>K68A/KW50 70 811</v>
          </cell>
          <cell r="J964" t="str">
            <v>PLATE UP</v>
          </cell>
          <cell r="K964" t="str">
            <v>금형</v>
          </cell>
          <cell r="L964" t="str">
            <v>C/PI</v>
          </cell>
          <cell r="M964">
            <v>1</v>
          </cell>
          <cell r="Y964" t="str">
            <v>주물</v>
          </cell>
          <cell r="Z964">
            <v>5.0114399999999995</v>
          </cell>
          <cell r="AA964" t="str">
            <v>1900x800x700</v>
          </cell>
          <cell r="AB964" t="str">
            <v>96-4</v>
          </cell>
          <cell r="AG964" t="str">
            <v>동풍금형</v>
          </cell>
          <cell r="AI964" t="str">
            <v>대륭강업</v>
          </cell>
        </row>
        <row r="965">
          <cell r="A965">
            <v>786.20001220703125</v>
          </cell>
          <cell r="E965" t="str">
            <v>기아모텍</v>
          </cell>
          <cell r="F965" t="str">
            <v>A</v>
          </cell>
          <cell r="G965" t="str">
            <v>CERES MMO</v>
          </cell>
          <cell r="H965" t="str">
            <v>041101113164</v>
          </cell>
          <cell r="I965" t="str">
            <v>K68A/KW50 70 811</v>
          </cell>
          <cell r="J965" t="str">
            <v>PLATE UP</v>
          </cell>
          <cell r="K965" t="str">
            <v>금형</v>
          </cell>
          <cell r="L965" t="str">
            <v>C/PI</v>
          </cell>
          <cell r="M965">
            <v>1</v>
          </cell>
          <cell r="Y965" t="str">
            <v>주물</v>
          </cell>
          <cell r="Z965">
            <v>5.0114399999999995</v>
          </cell>
          <cell r="AA965" t="str">
            <v>1900x800x700</v>
          </cell>
          <cell r="AB965" t="str">
            <v>96-4</v>
          </cell>
          <cell r="AG965" t="str">
            <v>동풍금형</v>
          </cell>
          <cell r="AI965" t="str">
            <v>대륭강업</v>
          </cell>
        </row>
        <row r="966">
          <cell r="A966">
            <v>787</v>
          </cell>
          <cell r="E966" t="str">
            <v>기아모텍</v>
          </cell>
          <cell r="F966" t="str">
            <v>A</v>
          </cell>
          <cell r="G966" t="str">
            <v>CERES MMO</v>
          </cell>
          <cell r="H966" t="str">
            <v>041101113164</v>
          </cell>
          <cell r="I966" t="str">
            <v>K68A/KW50 70 811</v>
          </cell>
          <cell r="J966" t="str">
            <v>PLATE UP</v>
          </cell>
          <cell r="K966" t="str">
            <v>금형</v>
          </cell>
          <cell r="L966" t="str">
            <v>DR</v>
          </cell>
          <cell r="M966">
            <v>2</v>
          </cell>
          <cell r="N966">
            <v>34388000</v>
          </cell>
          <cell r="Y966" t="str">
            <v>주물</v>
          </cell>
          <cell r="Z966">
            <v>4.6817399999999996</v>
          </cell>
          <cell r="AA966" t="str">
            <v>2000x710x700</v>
          </cell>
          <cell r="AB966" t="str">
            <v>96-4</v>
          </cell>
          <cell r="AG966" t="str">
            <v>동풍금형</v>
          </cell>
          <cell r="AI966" t="str">
            <v>대륭강업</v>
          </cell>
        </row>
        <row r="967">
          <cell r="A967">
            <v>787.0999755859375</v>
          </cell>
          <cell r="E967" t="str">
            <v>기아모텍</v>
          </cell>
          <cell r="F967" t="str">
            <v>A</v>
          </cell>
          <cell r="G967" t="str">
            <v>CERES MMO</v>
          </cell>
          <cell r="H967" t="str">
            <v>041101113164</v>
          </cell>
          <cell r="I967" t="str">
            <v>K68A/KW50 70 811</v>
          </cell>
          <cell r="J967" t="str">
            <v>PLATE UP</v>
          </cell>
          <cell r="K967" t="str">
            <v>금형</v>
          </cell>
          <cell r="L967" t="str">
            <v>DR</v>
          </cell>
          <cell r="M967">
            <v>1</v>
          </cell>
          <cell r="Y967" t="str">
            <v>주물</v>
          </cell>
          <cell r="Z967">
            <v>4.6817399999999996</v>
          </cell>
          <cell r="AA967" t="str">
            <v>2000x710x700</v>
          </cell>
          <cell r="AB967" t="str">
            <v>96-4</v>
          </cell>
          <cell r="AG967" t="str">
            <v>동풍금형</v>
          </cell>
          <cell r="AI967" t="str">
            <v>대륭강업</v>
          </cell>
        </row>
        <row r="968">
          <cell r="A968">
            <v>787.20001220703125</v>
          </cell>
          <cell r="E968" t="str">
            <v>기아모텍</v>
          </cell>
          <cell r="F968" t="str">
            <v>A</v>
          </cell>
          <cell r="G968" t="str">
            <v>CERES MMO</v>
          </cell>
          <cell r="H968" t="str">
            <v>041101113164</v>
          </cell>
          <cell r="I968" t="str">
            <v>K68A/KW50 70 811</v>
          </cell>
          <cell r="J968" t="str">
            <v>PLATE UP</v>
          </cell>
          <cell r="K968" t="str">
            <v>금형</v>
          </cell>
          <cell r="L968" t="str">
            <v>DR</v>
          </cell>
          <cell r="M968">
            <v>1</v>
          </cell>
          <cell r="Y968" t="str">
            <v>주물</v>
          </cell>
          <cell r="Z968">
            <v>4.6817399999999996</v>
          </cell>
          <cell r="AA968" t="str">
            <v>2000x710x700</v>
          </cell>
          <cell r="AB968" t="str">
            <v>96-4</v>
          </cell>
          <cell r="AG968" t="str">
            <v>동풍금형</v>
          </cell>
          <cell r="AI968" t="str">
            <v>대륭강업</v>
          </cell>
        </row>
        <row r="969">
          <cell r="A969">
            <v>788</v>
          </cell>
          <cell r="E969" t="str">
            <v>기아모텍</v>
          </cell>
          <cell r="F969" t="str">
            <v>A</v>
          </cell>
          <cell r="G969" t="str">
            <v>CERES MMO</v>
          </cell>
          <cell r="H969" t="str">
            <v>041101113164</v>
          </cell>
          <cell r="I969" t="str">
            <v>K68A/KW50 70 811</v>
          </cell>
          <cell r="J969" t="str">
            <v>PLATE UP</v>
          </cell>
          <cell r="K969" t="str">
            <v>금형</v>
          </cell>
          <cell r="L969" t="str">
            <v>TR/PI</v>
          </cell>
          <cell r="M969">
            <v>2</v>
          </cell>
          <cell r="N969">
            <v>36132000</v>
          </cell>
          <cell r="Y969" t="str">
            <v>주물</v>
          </cell>
          <cell r="Z969">
            <v>4.6355820000000003</v>
          </cell>
          <cell r="AA969" t="str">
            <v>1900x740x700</v>
          </cell>
          <cell r="AB969" t="str">
            <v>96-4</v>
          </cell>
          <cell r="AG969" t="str">
            <v>동풍금형</v>
          </cell>
          <cell r="AI969" t="str">
            <v>대륭강업</v>
          </cell>
        </row>
        <row r="970">
          <cell r="A970">
            <v>788.0999755859375</v>
          </cell>
          <cell r="E970" t="str">
            <v>기아모텍</v>
          </cell>
          <cell r="F970" t="str">
            <v>A</v>
          </cell>
          <cell r="G970" t="str">
            <v>CERES MMO</v>
          </cell>
          <cell r="H970" t="str">
            <v>041101113164</v>
          </cell>
          <cell r="I970" t="str">
            <v>K68A/KW50 70 811</v>
          </cell>
          <cell r="J970" t="str">
            <v>PLATE UP</v>
          </cell>
          <cell r="K970" t="str">
            <v>금형</v>
          </cell>
          <cell r="L970" t="str">
            <v>TR/PI</v>
          </cell>
          <cell r="M970">
            <v>1</v>
          </cell>
          <cell r="Y970" t="str">
            <v>주물</v>
          </cell>
          <cell r="Z970">
            <v>4.6355820000000003</v>
          </cell>
          <cell r="AA970" t="str">
            <v>1900x740x700</v>
          </cell>
          <cell r="AB970" t="str">
            <v>96-4</v>
          </cell>
          <cell r="AG970" t="str">
            <v>동풍금형</v>
          </cell>
          <cell r="AI970" t="str">
            <v>대륭강업</v>
          </cell>
        </row>
        <row r="971">
          <cell r="A971">
            <v>788.20001220703125</v>
          </cell>
          <cell r="E971" t="str">
            <v>기아모텍</v>
          </cell>
          <cell r="F971" t="str">
            <v>A</v>
          </cell>
          <cell r="G971" t="str">
            <v>CERES MMO</v>
          </cell>
          <cell r="H971" t="str">
            <v>041101113164</v>
          </cell>
          <cell r="I971" t="str">
            <v>K68A/KW50 70 811</v>
          </cell>
          <cell r="J971" t="str">
            <v>PLATE UP</v>
          </cell>
          <cell r="K971" t="str">
            <v>금형</v>
          </cell>
          <cell r="L971" t="str">
            <v>TR/PI</v>
          </cell>
          <cell r="M971">
            <v>1</v>
          </cell>
          <cell r="Y971" t="str">
            <v>주물</v>
          </cell>
          <cell r="Z971">
            <v>4.6355820000000003</v>
          </cell>
          <cell r="AA971" t="str">
            <v>1900x740x700</v>
          </cell>
          <cell r="AB971" t="str">
            <v>96-4</v>
          </cell>
          <cell r="AG971" t="str">
            <v>동풍금형</v>
          </cell>
          <cell r="AI971" t="str">
            <v>대륭강업</v>
          </cell>
        </row>
        <row r="972">
          <cell r="A972">
            <v>789</v>
          </cell>
          <cell r="E972" t="str">
            <v>기아모텍</v>
          </cell>
          <cell r="F972" t="str">
            <v>A</v>
          </cell>
          <cell r="G972" t="str">
            <v>CERES MMO</v>
          </cell>
          <cell r="H972" t="str">
            <v>041101113144</v>
          </cell>
          <cell r="I972" t="str">
            <v>K68A/KW50 70 821</v>
          </cell>
          <cell r="J972" t="str">
            <v>PLATE LWR</v>
          </cell>
          <cell r="K972" t="str">
            <v>금형</v>
          </cell>
          <cell r="L972" t="str">
            <v>BE</v>
          </cell>
          <cell r="M972">
            <v>2</v>
          </cell>
          <cell r="N972">
            <v>18573000</v>
          </cell>
          <cell r="Y972" t="str">
            <v>주물</v>
          </cell>
          <cell r="Z972">
            <v>1.6658092500000001</v>
          </cell>
          <cell r="AA972" t="str">
            <v>1750x470x430</v>
          </cell>
          <cell r="AB972" t="str">
            <v>96-4</v>
          </cell>
          <cell r="AG972" t="str">
            <v>동풍금형</v>
          </cell>
          <cell r="AI972" t="str">
            <v>대륭강업</v>
          </cell>
        </row>
        <row r="973">
          <cell r="A973">
            <v>789.0999755859375</v>
          </cell>
          <cell r="E973" t="str">
            <v>기아모텍</v>
          </cell>
          <cell r="F973" t="str">
            <v>A</v>
          </cell>
          <cell r="G973" t="str">
            <v>CERES MMO</v>
          </cell>
          <cell r="H973" t="str">
            <v>041101113144</v>
          </cell>
          <cell r="I973" t="str">
            <v>K68A/KW50 70 821</v>
          </cell>
          <cell r="J973" t="str">
            <v>PLATE LWR</v>
          </cell>
          <cell r="K973" t="str">
            <v>금형</v>
          </cell>
          <cell r="L973" t="str">
            <v>BE</v>
          </cell>
          <cell r="M973">
            <v>1</v>
          </cell>
          <cell r="Y973" t="str">
            <v>주물</v>
          </cell>
          <cell r="Z973">
            <v>1.6658092500000001</v>
          </cell>
          <cell r="AA973" t="str">
            <v>1750x470x430</v>
          </cell>
          <cell r="AB973" t="str">
            <v>96-4</v>
          </cell>
          <cell r="AG973" t="str">
            <v>동풍금형</v>
          </cell>
          <cell r="AI973" t="str">
            <v>대륭강업</v>
          </cell>
        </row>
        <row r="974">
          <cell r="A974">
            <v>789.20001220703125</v>
          </cell>
          <cell r="E974" t="str">
            <v>기아모텍</v>
          </cell>
          <cell r="F974" t="str">
            <v>A</v>
          </cell>
          <cell r="G974" t="str">
            <v>CERES MMO</v>
          </cell>
          <cell r="H974" t="str">
            <v>041101113144</v>
          </cell>
          <cell r="I974" t="str">
            <v>K68A/KW50 70 821</v>
          </cell>
          <cell r="J974" t="str">
            <v>PLATE LWR</v>
          </cell>
          <cell r="K974" t="str">
            <v>금형</v>
          </cell>
          <cell r="L974" t="str">
            <v>BE</v>
          </cell>
          <cell r="M974">
            <v>1</v>
          </cell>
          <cell r="Y974" t="str">
            <v>주물</v>
          </cell>
          <cell r="Z974">
            <v>1.6658092500000001</v>
          </cell>
          <cell r="AA974" t="str">
            <v>1750x470x430</v>
          </cell>
          <cell r="AB974" t="str">
            <v>96-4</v>
          </cell>
          <cell r="AG974" t="str">
            <v>동풍금형</v>
          </cell>
          <cell r="AI974" t="str">
            <v>대륭강업</v>
          </cell>
        </row>
        <row r="975">
          <cell r="A975">
            <v>790</v>
          </cell>
          <cell r="E975" t="str">
            <v>기아모텍</v>
          </cell>
          <cell r="F975" t="str">
            <v>A</v>
          </cell>
          <cell r="G975" t="str">
            <v>CERES MMO</v>
          </cell>
          <cell r="H975" t="str">
            <v>041101113144</v>
          </cell>
          <cell r="I975" t="str">
            <v>K68A/KW50 70 821</v>
          </cell>
          <cell r="J975" t="str">
            <v>PLATE LWR</v>
          </cell>
          <cell r="K975" t="str">
            <v>금형</v>
          </cell>
          <cell r="L975" t="str">
            <v>RE/FL</v>
          </cell>
          <cell r="M975">
            <v>2</v>
          </cell>
          <cell r="N975">
            <v>19365000</v>
          </cell>
          <cell r="Y975" t="str">
            <v>주물</v>
          </cell>
          <cell r="Z975">
            <v>1.701252</v>
          </cell>
          <cell r="AA975" t="str">
            <v>1750x480x430</v>
          </cell>
          <cell r="AB975" t="str">
            <v>96-4</v>
          </cell>
          <cell r="AG975" t="str">
            <v>동풍금형</v>
          </cell>
          <cell r="AI975" t="str">
            <v>대륭강업</v>
          </cell>
        </row>
        <row r="976">
          <cell r="A976">
            <v>790.0999755859375</v>
          </cell>
          <cell r="E976" t="str">
            <v>기아모텍</v>
          </cell>
          <cell r="F976" t="str">
            <v>A</v>
          </cell>
          <cell r="G976" t="str">
            <v>CERES MMO</v>
          </cell>
          <cell r="H976" t="str">
            <v>041101113144</v>
          </cell>
          <cell r="I976" t="str">
            <v>K68A/KW50 70 821</v>
          </cell>
          <cell r="J976" t="str">
            <v>PLATE LWR</v>
          </cell>
          <cell r="K976" t="str">
            <v>금형</v>
          </cell>
          <cell r="L976" t="str">
            <v>RE/FL</v>
          </cell>
          <cell r="M976">
            <v>1</v>
          </cell>
          <cell r="Y976" t="str">
            <v>주물</v>
          </cell>
          <cell r="Z976">
            <v>1.701252</v>
          </cell>
          <cell r="AA976" t="str">
            <v>1750x480x430</v>
          </cell>
          <cell r="AB976" t="str">
            <v>96-4</v>
          </cell>
          <cell r="AG976" t="str">
            <v>동풍금형</v>
          </cell>
          <cell r="AI976" t="str">
            <v>대륭강업</v>
          </cell>
        </row>
        <row r="977">
          <cell r="A977">
            <v>790.20001220703125</v>
          </cell>
          <cell r="E977" t="str">
            <v>기아모텍</v>
          </cell>
          <cell r="F977" t="str">
            <v>A</v>
          </cell>
          <cell r="G977" t="str">
            <v>CERES MMO</v>
          </cell>
          <cell r="H977" t="str">
            <v>041101113144</v>
          </cell>
          <cell r="I977" t="str">
            <v>K68A/KW50 70 821</v>
          </cell>
          <cell r="J977" t="str">
            <v>PLATE LWR</v>
          </cell>
          <cell r="K977" t="str">
            <v>금형</v>
          </cell>
          <cell r="L977" t="str">
            <v>RE/FL</v>
          </cell>
          <cell r="M977">
            <v>1</v>
          </cell>
          <cell r="Y977" t="str">
            <v>주물</v>
          </cell>
          <cell r="Z977">
            <v>1.701252</v>
          </cell>
          <cell r="AA977" t="str">
            <v>1750x480x430</v>
          </cell>
          <cell r="AB977" t="str">
            <v>96-4</v>
          </cell>
          <cell r="AG977" t="str">
            <v>동풍금형</v>
          </cell>
          <cell r="AI977" t="str">
            <v>대륭강업</v>
          </cell>
        </row>
        <row r="978">
          <cell r="A978">
            <v>791</v>
          </cell>
          <cell r="E978" t="str">
            <v>기아모텍</v>
          </cell>
          <cell r="F978" t="str">
            <v>A</v>
          </cell>
          <cell r="G978" t="str">
            <v>CERES MMO</v>
          </cell>
          <cell r="H978" t="str">
            <v>041101113144</v>
          </cell>
          <cell r="I978" t="str">
            <v>K68A/KW50 70 821</v>
          </cell>
          <cell r="J978" t="str">
            <v>PLATE LWR</v>
          </cell>
          <cell r="K978" t="str">
            <v>금형</v>
          </cell>
          <cell r="L978" t="str">
            <v>BE</v>
          </cell>
          <cell r="M978">
            <v>2</v>
          </cell>
          <cell r="N978">
            <v>19904000</v>
          </cell>
          <cell r="Y978" t="str">
            <v>주물</v>
          </cell>
          <cell r="Z978">
            <v>1.9961356799999999</v>
          </cell>
          <cell r="AA978" t="str">
            <v>1760x560x430</v>
          </cell>
          <cell r="AB978" t="str">
            <v>96-4</v>
          </cell>
          <cell r="AG978" t="str">
            <v>동풍금형</v>
          </cell>
          <cell r="AI978" t="str">
            <v>대륭강업</v>
          </cell>
        </row>
        <row r="979">
          <cell r="A979">
            <v>791.0999755859375</v>
          </cell>
          <cell r="E979" t="str">
            <v>기아모텍</v>
          </cell>
          <cell r="F979" t="str">
            <v>A</v>
          </cell>
          <cell r="G979" t="str">
            <v>CERES MMO</v>
          </cell>
          <cell r="H979" t="str">
            <v>041101113144</v>
          </cell>
          <cell r="I979" t="str">
            <v>K68A/KW50 70 821</v>
          </cell>
          <cell r="J979" t="str">
            <v>PLATE LWR</v>
          </cell>
          <cell r="K979" t="str">
            <v>금형</v>
          </cell>
          <cell r="L979" t="str">
            <v>BE</v>
          </cell>
          <cell r="M979">
            <v>1</v>
          </cell>
          <cell r="Y979" t="str">
            <v>주물</v>
          </cell>
          <cell r="Z979">
            <v>1.9961356799999999</v>
          </cell>
          <cell r="AA979" t="str">
            <v>1760x560x430</v>
          </cell>
          <cell r="AB979" t="str">
            <v>96-4</v>
          </cell>
          <cell r="AG979" t="str">
            <v>동풍금형</v>
          </cell>
          <cell r="AI979" t="str">
            <v>대륭강업</v>
          </cell>
        </row>
        <row r="980">
          <cell r="A980">
            <v>791.20001220703125</v>
          </cell>
          <cell r="E980" t="str">
            <v>기아모텍</v>
          </cell>
          <cell r="F980" t="str">
            <v>A</v>
          </cell>
          <cell r="G980" t="str">
            <v>CERES MMO</v>
          </cell>
          <cell r="H980" t="str">
            <v>041101113144</v>
          </cell>
          <cell r="I980" t="str">
            <v>K68A/KW50 70 821</v>
          </cell>
          <cell r="J980" t="str">
            <v>PLATE LWR</v>
          </cell>
          <cell r="K980" t="str">
            <v>금형</v>
          </cell>
          <cell r="L980" t="str">
            <v>BE</v>
          </cell>
          <cell r="M980">
            <v>1</v>
          </cell>
          <cell r="Y980" t="str">
            <v>주물</v>
          </cell>
          <cell r="Z980">
            <v>1.9961356799999999</v>
          </cell>
          <cell r="AA980" t="str">
            <v>1760x560x430</v>
          </cell>
          <cell r="AB980" t="str">
            <v>96-4</v>
          </cell>
          <cell r="AG980" t="str">
            <v>동풍금형</v>
          </cell>
          <cell r="AI980" t="str">
            <v>대륭강업</v>
          </cell>
        </row>
        <row r="981">
          <cell r="A981">
            <v>792</v>
          </cell>
          <cell r="E981" t="str">
            <v>기아모텍</v>
          </cell>
          <cell r="F981" t="str">
            <v>A</v>
          </cell>
          <cell r="G981" t="str">
            <v>CERES MMO</v>
          </cell>
          <cell r="H981" t="str">
            <v>041101113144</v>
          </cell>
          <cell r="I981" t="str">
            <v>K68A/KW50 70 821</v>
          </cell>
          <cell r="J981" t="str">
            <v>PLATE LWR</v>
          </cell>
          <cell r="K981" t="str">
            <v>금형</v>
          </cell>
          <cell r="L981" t="str">
            <v>BL/PI</v>
          </cell>
          <cell r="M981">
            <v>2</v>
          </cell>
          <cell r="N981">
            <v>27943000</v>
          </cell>
          <cell r="Y981" t="str">
            <v>주물</v>
          </cell>
          <cell r="Z981">
            <v>2.3079000000000001</v>
          </cell>
          <cell r="AA981" t="str">
            <v>1750x560x500</v>
          </cell>
          <cell r="AB981" t="str">
            <v>96-4</v>
          </cell>
          <cell r="AG981" t="str">
            <v>동풍금형</v>
          </cell>
          <cell r="AI981" t="str">
            <v>대륭강업</v>
          </cell>
        </row>
        <row r="982">
          <cell r="A982">
            <v>792.0999755859375</v>
          </cell>
          <cell r="E982" t="str">
            <v>기아모텍</v>
          </cell>
          <cell r="F982" t="str">
            <v>A</v>
          </cell>
          <cell r="G982" t="str">
            <v>CERES MMO</v>
          </cell>
          <cell r="H982" t="str">
            <v>041101113144</v>
          </cell>
          <cell r="I982" t="str">
            <v>K68A/KW50 70 821</v>
          </cell>
          <cell r="J982" t="str">
            <v>PLATE LWR</v>
          </cell>
          <cell r="K982" t="str">
            <v>금형</v>
          </cell>
          <cell r="L982" t="str">
            <v>BL/PI</v>
          </cell>
          <cell r="M982">
            <v>1</v>
          </cell>
          <cell r="Y982" t="str">
            <v>주물</v>
          </cell>
          <cell r="Z982">
            <v>2.3079000000000001</v>
          </cell>
          <cell r="AA982" t="str">
            <v>1750x560x500</v>
          </cell>
          <cell r="AB982" t="str">
            <v>96-4</v>
          </cell>
          <cell r="AG982" t="str">
            <v>동풍금형</v>
          </cell>
          <cell r="AI982" t="str">
            <v>대륭강업</v>
          </cell>
        </row>
        <row r="983">
          <cell r="A983">
            <v>792.20001220703125</v>
          </cell>
          <cell r="E983" t="str">
            <v>기아모텍</v>
          </cell>
          <cell r="F983" t="str">
            <v>A</v>
          </cell>
          <cell r="G983" t="str">
            <v>CERES MMO</v>
          </cell>
          <cell r="H983" t="str">
            <v>041101113144</v>
          </cell>
          <cell r="I983" t="str">
            <v>K68A/KW50 70 821</v>
          </cell>
          <cell r="J983" t="str">
            <v>PLATE LWR</v>
          </cell>
          <cell r="K983" t="str">
            <v>금형</v>
          </cell>
          <cell r="L983" t="str">
            <v>BL/PI</v>
          </cell>
          <cell r="M983">
            <v>1</v>
          </cell>
          <cell r="Y983" t="str">
            <v>주물</v>
          </cell>
          <cell r="Z983">
            <v>2.3079000000000001</v>
          </cell>
          <cell r="AA983" t="str">
            <v>1750x560x500</v>
          </cell>
          <cell r="AB983" t="str">
            <v>96-4</v>
          </cell>
          <cell r="AG983" t="str">
            <v>동풍금형</v>
          </cell>
          <cell r="AI983" t="str">
            <v>대륭강업</v>
          </cell>
        </row>
        <row r="984">
          <cell r="A984">
            <v>793</v>
          </cell>
          <cell r="E984" t="str">
            <v>기아모텍</v>
          </cell>
          <cell r="F984" t="str">
            <v>B</v>
          </cell>
          <cell r="G984" t="str">
            <v>BESTA,W/BONGO F/L</v>
          </cell>
          <cell r="H984" t="str">
            <v>041401013929</v>
          </cell>
          <cell r="I984" t="str">
            <v>K705 50 031</v>
          </cell>
          <cell r="J984" t="str">
            <v>FRT. BUMPER</v>
          </cell>
          <cell r="K984" t="str">
            <v>금형</v>
          </cell>
          <cell r="M984">
            <v>1</v>
          </cell>
          <cell r="N984">
            <v>199444541</v>
          </cell>
          <cell r="Y984" t="str">
            <v>주물</v>
          </cell>
          <cell r="Z984">
            <v>0</v>
          </cell>
          <cell r="AA984" t="str">
            <v>xx</v>
          </cell>
          <cell r="AB984" t="str">
            <v>90-12-31</v>
          </cell>
          <cell r="AG984" t="str">
            <v>프라코</v>
          </cell>
          <cell r="AI984" t="str">
            <v>대륭강업</v>
          </cell>
        </row>
        <row r="985">
          <cell r="A985">
            <v>794</v>
          </cell>
          <cell r="E985" t="str">
            <v>기아모텍</v>
          </cell>
          <cell r="F985" t="str">
            <v>A</v>
          </cell>
          <cell r="G985" t="str">
            <v>BESTA,W/BONGO F/L</v>
          </cell>
          <cell r="H985" t="str">
            <v>044201012063</v>
          </cell>
          <cell r="I985" t="str">
            <v>K705 50 031</v>
          </cell>
          <cell r="J985" t="str">
            <v>FRT. BUMPER</v>
          </cell>
          <cell r="K985" t="str">
            <v>검사구</v>
          </cell>
          <cell r="M985">
            <v>1</v>
          </cell>
          <cell r="N985">
            <v>9070000</v>
          </cell>
          <cell r="Y985" t="str">
            <v>수지</v>
          </cell>
          <cell r="Z985">
            <v>0</v>
          </cell>
          <cell r="AA985" t="str">
            <v>xx</v>
          </cell>
          <cell r="AB985" t="str">
            <v>90-12-31</v>
          </cell>
          <cell r="AG985" t="str">
            <v>영광정밀</v>
          </cell>
          <cell r="AI985" t="str">
            <v>대부정공</v>
          </cell>
        </row>
        <row r="986">
          <cell r="A986">
            <v>795</v>
          </cell>
          <cell r="E986" t="str">
            <v>기아모텍</v>
          </cell>
          <cell r="F986" t="str">
            <v>A</v>
          </cell>
          <cell r="G986" t="str">
            <v>BESTA,W/BONGO F/L</v>
          </cell>
          <cell r="H986" t="str">
            <v>044102012485</v>
          </cell>
          <cell r="I986" t="str">
            <v>K705 50 070</v>
          </cell>
          <cell r="J986" t="str">
            <v>REINF BUMPER</v>
          </cell>
          <cell r="K986" t="str">
            <v>검사구</v>
          </cell>
          <cell r="M986">
            <v>1</v>
          </cell>
          <cell r="N986">
            <v>5880000</v>
          </cell>
          <cell r="Y986" t="str">
            <v>수지</v>
          </cell>
          <cell r="Z986">
            <v>0</v>
          </cell>
          <cell r="AA986" t="str">
            <v>xx</v>
          </cell>
          <cell r="AB986" t="str">
            <v>90-06-21</v>
          </cell>
          <cell r="AG986" t="str">
            <v>학림모델</v>
          </cell>
          <cell r="AI986" t="str">
            <v>대륭강업</v>
          </cell>
        </row>
        <row r="987">
          <cell r="A987">
            <v>796</v>
          </cell>
          <cell r="E987" t="str">
            <v>기아모텍</v>
          </cell>
          <cell r="F987" t="str">
            <v>B</v>
          </cell>
          <cell r="G987" t="str">
            <v>W/BONGO</v>
          </cell>
          <cell r="H987" t="str">
            <v>041102017261</v>
          </cell>
          <cell r="I987" t="str">
            <v>K705 50 071</v>
          </cell>
          <cell r="J987" t="str">
            <v>REINF BUMPER No.1</v>
          </cell>
          <cell r="K987" t="str">
            <v>금형</v>
          </cell>
          <cell r="M987">
            <v>5</v>
          </cell>
          <cell r="N987">
            <v>15075200</v>
          </cell>
          <cell r="Y987" t="str">
            <v>주물</v>
          </cell>
          <cell r="Z987">
            <v>0</v>
          </cell>
          <cell r="AA987" t="str">
            <v>xx</v>
          </cell>
          <cell r="AB987" t="str">
            <v>93-12-16</v>
          </cell>
          <cell r="AG987" t="str">
            <v>광성기업</v>
          </cell>
          <cell r="AI987" t="str">
            <v>대륭강업</v>
          </cell>
        </row>
        <row r="988">
          <cell r="A988">
            <v>797</v>
          </cell>
          <cell r="E988" t="str">
            <v>기아모텍</v>
          </cell>
          <cell r="F988" t="str">
            <v>B</v>
          </cell>
          <cell r="G988" t="str">
            <v>W/BONGO F/L</v>
          </cell>
          <cell r="H988" t="str">
            <v>041102017271</v>
          </cell>
          <cell r="I988" t="str">
            <v>K705 50 081/086</v>
          </cell>
          <cell r="J988" t="str">
            <v>STAY No.1 R/L</v>
          </cell>
          <cell r="K988" t="str">
            <v>금형</v>
          </cell>
          <cell r="M988">
            <v>7</v>
          </cell>
          <cell r="N988">
            <v>3058300</v>
          </cell>
          <cell r="Y988" t="str">
            <v>STEEL</v>
          </cell>
          <cell r="Z988">
            <v>0</v>
          </cell>
          <cell r="AA988" t="str">
            <v>xx</v>
          </cell>
          <cell r="AB988" t="str">
            <v>93-12-16</v>
          </cell>
          <cell r="AG988" t="str">
            <v>광성기업</v>
          </cell>
          <cell r="AI988" t="str">
            <v>대륭강업</v>
          </cell>
        </row>
        <row r="989">
          <cell r="A989">
            <v>797.0999755859375</v>
          </cell>
          <cell r="E989" t="str">
            <v>기아모텍</v>
          </cell>
          <cell r="F989" t="str">
            <v>B</v>
          </cell>
          <cell r="G989" t="str">
            <v>W/BONGO F/L</v>
          </cell>
          <cell r="H989" t="str">
            <v>041102017271</v>
          </cell>
          <cell r="I989" t="str">
            <v>K705 50 081/086</v>
          </cell>
          <cell r="J989" t="str">
            <v>STAY No.1 R/L</v>
          </cell>
          <cell r="K989" t="str">
            <v>금형</v>
          </cell>
          <cell r="M989">
            <v>1</v>
          </cell>
          <cell r="Y989" t="str">
            <v>STEEL</v>
          </cell>
          <cell r="Z989">
            <v>0</v>
          </cell>
          <cell r="AA989" t="str">
            <v>xx</v>
          </cell>
          <cell r="AB989" t="str">
            <v>93-12-16</v>
          </cell>
          <cell r="AG989" t="str">
            <v>광성기업</v>
          </cell>
          <cell r="AI989" t="str">
            <v>대륭강업</v>
          </cell>
        </row>
        <row r="990">
          <cell r="A990">
            <v>797.20001220703125</v>
          </cell>
          <cell r="E990" t="str">
            <v>기아모텍</v>
          </cell>
          <cell r="F990" t="str">
            <v>B</v>
          </cell>
          <cell r="G990" t="str">
            <v>W/BONGO F/L</v>
          </cell>
          <cell r="H990" t="str">
            <v>041102017271</v>
          </cell>
          <cell r="I990" t="str">
            <v>K705 50 081/086</v>
          </cell>
          <cell r="J990" t="str">
            <v>STAY No.1 R/L</v>
          </cell>
          <cell r="K990" t="str">
            <v>금형</v>
          </cell>
          <cell r="M990">
            <v>1</v>
          </cell>
          <cell r="Y990" t="str">
            <v>STEEL</v>
          </cell>
          <cell r="Z990">
            <v>0</v>
          </cell>
          <cell r="AA990" t="str">
            <v>xx</v>
          </cell>
          <cell r="AB990" t="str">
            <v>93-12-16</v>
          </cell>
          <cell r="AG990" t="str">
            <v>광성기업</v>
          </cell>
          <cell r="AI990" t="str">
            <v>대륭강업</v>
          </cell>
        </row>
        <row r="991">
          <cell r="A991">
            <v>797.29998779296875</v>
          </cell>
          <cell r="E991" t="str">
            <v>기아모텍</v>
          </cell>
          <cell r="F991" t="str">
            <v>B</v>
          </cell>
          <cell r="G991" t="str">
            <v>W/BONGO F/L</v>
          </cell>
          <cell r="H991" t="str">
            <v>041102017271</v>
          </cell>
          <cell r="I991" t="str">
            <v>K705 50 081/086</v>
          </cell>
          <cell r="J991" t="str">
            <v>STAY No.1 R/L</v>
          </cell>
          <cell r="K991" t="str">
            <v>금형</v>
          </cell>
          <cell r="M991">
            <v>1</v>
          </cell>
          <cell r="Y991" t="str">
            <v>STEEL</v>
          </cell>
          <cell r="Z991">
            <v>0</v>
          </cell>
          <cell r="AA991" t="str">
            <v>xx</v>
          </cell>
          <cell r="AB991" t="str">
            <v>93-12-16</v>
          </cell>
          <cell r="AG991" t="str">
            <v>광성기업</v>
          </cell>
          <cell r="AI991" t="str">
            <v>대륭강업</v>
          </cell>
        </row>
        <row r="992">
          <cell r="A992">
            <v>797.4000244140625</v>
          </cell>
          <cell r="E992" t="str">
            <v>기아모텍</v>
          </cell>
          <cell r="F992" t="str">
            <v>B</v>
          </cell>
          <cell r="G992" t="str">
            <v>W/BONGO F/L</v>
          </cell>
          <cell r="H992" t="str">
            <v>041102017271</v>
          </cell>
          <cell r="I992" t="str">
            <v>K705 50 081/086</v>
          </cell>
          <cell r="J992" t="str">
            <v>STAY No.1 R/L</v>
          </cell>
          <cell r="K992" t="str">
            <v>금형</v>
          </cell>
          <cell r="M992">
            <v>1</v>
          </cell>
          <cell r="Y992" t="str">
            <v>STEEL</v>
          </cell>
          <cell r="Z992">
            <v>0</v>
          </cell>
          <cell r="AA992" t="str">
            <v>xx</v>
          </cell>
          <cell r="AB992" t="str">
            <v>93-12-16</v>
          </cell>
          <cell r="AG992" t="str">
            <v>광성기업</v>
          </cell>
          <cell r="AI992" t="str">
            <v>대륭강업</v>
          </cell>
        </row>
        <row r="993">
          <cell r="A993">
            <v>797.5</v>
          </cell>
          <cell r="E993" t="str">
            <v>기아모텍</v>
          </cell>
          <cell r="F993" t="str">
            <v>B</v>
          </cell>
          <cell r="G993" t="str">
            <v>W/BONGO F/L</v>
          </cell>
          <cell r="H993" t="str">
            <v>041102017271</v>
          </cell>
          <cell r="I993" t="str">
            <v>K705 50 081/086</v>
          </cell>
          <cell r="J993" t="str">
            <v>STAY No.1 R/L</v>
          </cell>
          <cell r="K993" t="str">
            <v>금형</v>
          </cell>
          <cell r="M993">
            <v>1</v>
          </cell>
          <cell r="Y993" t="str">
            <v>STEEL</v>
          </cell>
          <cell r="Z993">
            <v>0</v>
          </cell>
          <cell r="AA993" t="str">
            <v>xx</v>
          </cell>
          <cell r="AB993" t="str">
            <v>93-12-16</v>
          </cell>
          <cell r="AG993" t="str">
            <v>광성기업</v>
          </cell>
          <cell r="AI993" t="str">
            <v>대륭강업</v>
          </cell>
        </row>
        <row r="994">
          <cell r="A994">
            <v>797.5999755859375</v>
          </cell>
          <cell r="E994" t="str">
            <v>기아모텍</v>
          </cell>
          <cell r="F994" t="str">
            <v>B</v>
          </cell>
          <cell r="G994" t="str">
            <v>W/BONGO F/L</v>
          </cell>
          <cell r="H994" t="str">
            <v>041102017271</v>
          </cell>
          <cell r="I994" t="str">
            <v>K705 50 081/086</v>
          </cell>
          <cell r="J994" t="str">
            <v>STAY No.1 R/L</v>
          </cell>
          <cell r="K994" t="str">
            <v>금형</v>
          </cell>
          <cell r="M994">
            <v>1</v>
          </cell>
          <cell r="Y994" t="str">
            <v>STEEL</v>
          </cell>
          <cell r="Z994">
            <v>0</v>
          </cell>
          <cell r="AA994" t="str">
            <v>xx</v>
          </cell>
          <cell r="AB994" t="str">
            <v>93-12-16</v>
          </cell>
          <cell r="AG994" t="str">
            <v>광성기업</v>
          </cell>
          <cell r="AI994" t="str">
            <v>대륭강업</v>
          </cell>
        </row>
        <row r="995">
          <cell r="A995">
            <v>798</v>
          </cell>
          <cell r="E995" t="str">
            <v>기아모텍</v>
          </cell>
          <cell r="F995" t="str">
            <v>B</v>
          </cell>
          <cell r="G995" t="str">
            <v>W/BONGO F/L</v>
          </cell>
          <cell r="H995" t="str">
            <v>041102017281</v>
          </cell>
          <cell r="I995" t="str">
            <v>K705 50 089/096</v>
          </cell>
          <cell r="J995" t="str">
            <v>STAY No.2 R/L</v>
          </cell>
          <cell r="K995" t="str">
            <v>금형</v>
          </cell>
          <cell r="M995">
            <v>7</v>
          </cell>
          <cell r="N995">
            <v>3581400</v>
          </cell>
          <cell r="Y995" t="str">
            <v>STEEL</v>
          </cell>
          <cell r="Z995">
            <v>0</v>
          </cell>
          <cell r="AA995" t="str">
            <v>xx</v>
          </cell>
          <cell r="AB995" t="str">
            <v>93-12-16</v>
          </cell>
          <cell r="AG995" t="str">
            <v>광성기업</v>
          </cell>
          <cell r="AI995" t="str">
            <v>대륭강업</v>
          </cell>
        </row>
        <row r="996">
          <cell r="A996">
            <v>798.0999755859375</v>
          </cell>
          <cell r="E996" t="str">
            <v>기아모텍</v>
          </cell>
          <cell r="F996" t="str">
            <v>B</v>
          </cell>
          <cell r="G996" t="str">
            <v>W/BONGO F/L</v>
          </cell>
          <cell r="H996" t="str">
            <v>041102017281</v>
          </cell>
          <cell r="I996" t="str">
            <v>K705 50 089/096</v>
          </cell>
          <cell r="J996" t="str">
            <v>STAY No.2 R/L</v>
          </cell>
          <cell r="K996" t="str">
            <v>금형</v>
          </cell>
          <cell r="M996">
            <v>1</v>
          </cell>
          <cell r="Y996" t="str">
            <v>STEEL</v>
          </cell>
          <cell r="Z996">
            <v>0</v>
          </cell>
          <cell r="AA996" t="str">
            <v>xx</v>
          </cell>
          <cell r="AB996" t="str">
            <v>93-12-16</v>
          </cell>
          <cell r="AG996" t="str">
            <v>광성기업</v>
          </cell>
          <cell r="AI996" t="str">
            <v>대륭강업</v>
          </cell>
        </row>
        <row r="997">
          <cell r="A997">
            <v>798.20001220703125</v>
          </cell>
          <cell r="E997" t="str">
            <v>기아모텍</v>
          </cell>
          <cell r="F997" t="str">
            <v>B</v>
          </cell>
          <cell r="G997" t="str">
            <v>W/BONGO F/L</v>
          </cell>
          <cell r="H997" t="str">
            <v>041102017281</v>
          </cell>
          <cell r="I997" t="str">
            <v>K705 50 089/096</v>
          </cell>
          <cell r="J997" t="str">
            <v>STAY No.2 R/L</v>
          </cell>
          <cell r="K997" t="str">
            <v>금형</v>
          </cell>
          <cell r="M997">
            <v>1</v>
          </cell>
          <cell r="Y997" t="str">
            <v>STEEL</v>
          </cell>
          <cell r="Z997">
            <v>0</v>
          </cell>
          <cell r="AA997" t="str">
            <v>xx</v>
          </cell>
          <cell r="AB997" t="str">
            <v>93-12-16</v>
          </cell>
          <cell r="AG997" t="str">
            <v>광성기업</v>
          </cell>
          <cell r="AI997" t="str">
            <v>대륭강업</v>
          </cell>
        </row>
        <row r="998">
          <cell r="A998">
            <v>798.29998779296875</v>
          </cell>
          <cell r="E998" t="str">
            <v>기아모텍</v>
          </cell>
          <cell r="F998" t="str">
            <v>B</v>
          </cell>
          <cell r="G998" t="str">
            <v>W/BONGO F/L</v>
          </cell>
          <cell r="H998" t="str">
            <v>041102017281</v>
          </cell>
          <cell r="I998" t="str">
            <v>K705 50 089/096</v>
          </cell>
          <cell r="J998" t="str">
            <v>STAY No.2 R/L</v>
          </cell>
          <cell r="K998" t="str">
            <v>금형</v>
          </cell>
          <cell r="M998">
            <v>1</v>
          </cell>
          <cell r="Y998" t="str">
            <v>STEEL</v>
          </cell>
          <cell r="Z998">
            <v>0</v>
          </cell>
          <cell r="AA998" t="str">
            <v>xx</v>
          </cell>
          <cell r="AB998" t="str">
            <v>93-12-16</v>
          </cell>
          <cell r="AG998" t="str">
            <v>광성기업</v>
          </cell>
          <cell r="AI998" t="str">
            <v>대륭강업</v>
          </cell>
        </row>
        <row r="999">
          <cell r="A999">
            <v>798.4000244140625</v>
          </cell>
          <cell r="E999" t="str">
            <v>기아모텍</v>
          </cell>
          <cell r="F999" t="str">
            <v>B</v>
          </cell>
          <cell r="G999" t="str">
            <v>W/BONGO F/L</v>
          </cell>
          <cell r="H999" t="str">
            <v>041102017281</v>
          </cell>
          <cell r="I999" t="str">
            <v>K705 50 089/096</v>
          </cell>
          <cell r="J999" t="str">
            <v>STAY No.2 R/L</v>
          </cell>
          <cell r="K999" t="str">
            <v>금형</v>
          </cell>
          <cell r="M999">
            <v>1</v>
          </cell>
          <cell r="Y999" t="str">
            <v>STEEL</v>
          </cell>
          <cell r="Z999">
            <v>0</v>
          </cell>
          <cell r="AA999" t="str">
            <v>xx</v>
          </cell>
          <cell r="AB999" t="str">
            <v>93-12-16</v>
          </cell>
          <cell r="AG999" t="str">
            <v>광성기업</v>
          </cell>
          <cell r="AI999" t="str">
            <v>대륭강업</v>
          </cell>
        </row>
        <row r="1000">
          <cell r="A1000">
            <v>798.5</v>
          </cell>
          <cell r="E1000" t="str">
            <v>기아모텍</v>
          </cell>
          <cell r="F1000" t="str">
            <v>B</v>
          </cell>
          <cell r="G1000" t="str">
            <v>W/BONGO F/L</v>
          </cell>
          <cell r="H1000" t="str">
            <v>041102017281</v>
          </cell>
          <cell r="I1000" t="str">
            <v>K705 50 089/096</v>
          </cell>
          <cell r="J1000" t="str">
            <v>STAY No.2 R/L</v>
          </cell>
          <cell r="K1000" t="str">
            <v>금형</v>
          </cell>
          <cell r="M1000">
            <v>1</v>
          </cell>
          <cell r="Y1000" t="str">
            <v>STEEL</v>
          </cell>
          <cell r="Z1000">
            <v>0</v>
          </cell>
          <cell r="AA1000" t="str">
            <v>xx</v>
          </cell>
          <cell r="AB1000" t="str">
            <v>93-12-16</v>
          </cell>
          <cell r="AG1000" t="str">
            <v>광성기업</v>
          </cell>
          <cell r="AI1000" t="str">
            <v>대륭강업</v>
          </cell>
        </row>
        <row r="1001">
          <cell r="A1001">
            <v>799</v>
          </cell>
          <cell r="E1001" t="str">
            <v>기아모텍</v>
          </cell>
          <cell r="F1001" t="str">
            <v>B</v>
          </cell>
          <cell r="G1001" t="str">
            <v>BESTA MMO-2</v>
          </cell>
          <cell r="H1001" t="str">
            <v>044102013185</v>
          </cell>
          <cell r="I1001" t="str">
            <v>K70A 58 010</v>
          </cell>
          <cell r="J1001" t="str">
            <v>FRT. DOOR IN ASSY RH</v>
          </cell>
          <cell r="K1001" t="str">
            <v>검사구</v>
          </cell>
          <cell r="M1001">
            <v>1</v>
          </cell>
          <cell r="N1001">
            <v>5300000</v>
          </cell>
          <cell r="Y1001" t="str">
            <v>수지</v>
          </cell>
          <cell r="Z1001">
            <v>0</v>
          </cell>
          <cell r="AA1001" t="str">
            <v>xx</v>
          </cell>
          <cell r="AB1001" t="str">
            <v>91-08-27</v>
          </cell>
          <cell r="AG1001" t="str">
            <v>동아</v>
          </cell>
          <cell r="AI1001" t="str">
            <v>KMO 안산2공장</v>
          </cell>
        </row>
        <row r="1002">
          <cell r="A1002">
            <v>800</v>
          </cell>
          <cell r="E1002" t="str">
            <v>기아모텍</v>
          </cell>
          <cell r="F1002" t="str">
            <v>B</v>
          </cell>
          <cell r="G1002" t="str">
            <v>BESTA MMO-2</v>
          </cell>
          <cell r="H1002" t="str">
            <v>044201013453</v>
          </cell>
          <cell r="I1002" t="str">
            <v>K70A 58 010</v>
          </cell>
          <cell r="J1002" t="str">
            <v>FRT. DOOR IN ASSY RH</v>
          </cell>
          <cell r="K1002" t="str">
            <v>검사구</v>
          </cell>
          <cell r="M1002">
            <v>1</v>
          </cell>
          <cell r="N1002">
            <v>9600000</v>
          </cell>
          <cell r="Y1002" t="str">
            <v>수지</v>
          </cell>
          <cell r="Z1002">
            <v>0</v>
          </cell>
          <cell r="AA1002" t="str">
            <v>xx</v>
          </cell>
          <cell r="AB1002" t="str">
            <v>91-09-27</v>
          </cell>
          <cell r="AG1002" t="str">
            <v>세원정밀</v>
          </cell>
          <cell r="AI1002" t="str">
            <v>KMO 안산2공장</v>
          </cell>
        </row>
        <row r="1003">
          <cell r="A1003">
            <v>801</v>
          </cell>
          <cell r="E1003" t="str">
            <v>기아모텍</v>
          </cell>
          <cell r="F1003" t="str">
            <v>B</v>
          </cell>
          <cell r="G1003" t="str">
            <v>BESTA MMO-2</v>
          </cell>
          <cell r="H1003" t="str">
            <v>044102013195</v>
          </cell>
          <cell r="I1003" t="str">
            <v>K70A 59 010</v>
          </cell>
          <cell r="J1003" t="str">
            <v>FRT. DOOR IN ASSY LH</v>
          </cell>
          <cell r="K1003" t="str">
            <v>검사구</v>
          </cell>
          <cell r="M1003">
            <v>1</v>
          </cell>
          <cell r="N1003">
            <v>5300000</v>
          </cell>
          <cell r="Y1003" t="str">
            <v>수지</v>
          </cell>
          <cell r="Z1003">
            <v>0</v>
          </cell>
          <cell r="AA1003" t="str">
            <v>xx</v>
          </cell>
          <cell r="AB1003" t="str">
            <v>91-08-27</v>
          </cell>
          <cell r="AG1003" t="str">
            <v>동아</v>
          </cell>
          <cell r="AI1003" t="str">
            <v>KMO 안산2공장</v>
          </cell>
        </row>
        <row r="1004">
          <cell r="A1004">
            <v>802</v>
          </cell>
          <cell r="E1004" t="str">
            <v>기아모텍</v>
          </cell>
          <cell r="F1004" t="str">
            <v>B</v>
          </cell>
          <cell r="G1004" t="str">
            <v>BESTA MMO-2</v>
          </cell>
          <cell r="H1004" t="str">
            <v>044201013463</v>
          </cell>
          <cell r="I1004" t="str">
            <v>K70A 59 010</v>
          </cell>
          <cell r="J1004" t="str">
            <v>FRT. DOOR IN ASSY LH</v>
          </cell>
          <cell r="K1004" t="str">
            <v>검사구</v>
          </cell>
          <cell r="M1004">
            <v>1</v>
          </cell>
          <cell r="N1004">
            <v>9600000</v>
          </cell>
          <cell r="Y1004" t="str">
            <v>수지</v>
          </cell>
          <cell r="Z1004">
            <v>0</v>
          </cell>
          <cell r="AA1004" t="str">
            <v>xx</v>
          </cell>
          <cell r="AB1004" t="str">
            <v>91-09-27</v>
          </cell>
          <cell r="AG1004" t="str">
            <v>세원정밀</v>
          </cell>
          <cell r="AI1004" t="str">
            <v>KMO 안산2공장</v>
          </cell>
        </row>
        <row r="1005">
          <cell r="A1005">
            <v>803</v>
          </cell>
          <cell r="E1005" t="str">
            <v>기아모텍</v>
          </cell>
          <cell r="F1005" t="str">
            <v>B</v>
          </cell>
          <cell r="G1005" t="str">
            <v>BESTA MMO-2</v>
          </cell>
          <cell r="H1005" t="str">
            <v>044102013165</v>
          </cell>
          <cell r="I1005" t="str">
            <v>K70A 62 010</v>
          </cell>
          <cell r="J1005" t="str">
            <v>BACK DOOR ASSY</v>
          </cell>
          <cell r="K1005" t="str">
            <v>검사구</v>
          </cell>
          <cell r="M1005">
            <v>1</v>
          </cell>
          <cell r="N1005">
            <v>1800000</v>
          </cell>
          <cell r="Y1005" t="str">
            <v>수지</v>
          </cell>
          <cell r="Z1005">
            <v>0</v>
          </cell>
          <cell r="AA1005" t="str">
            <v>xx</v>
          </cell>
          <cell r="AB1005" t="str">
            <v>91-08-27</v>
          </cell>
          <cell r="AG1005" t="str">
            <v>영광</v>
          </cell>
          <cell r="AI1005" t="str">
            <v>KMO 안산2공장</v>
          </cell>
        </row>
        <row r="1006">
          <cell r="A1006">
            <v>804</v>
          </cell>
          <cell r="E1006" t="str">
            <v>기아모텍</v>
          </cell>
          <cell r="F1006" t="str">
            <v>B</v>
          </cell>
          <cell r="G1006" t="str">
            <v>BESTA MMO-2</v>
          </cell>
          <cell r="H1006" t="str">
            <v>044102013205</v>
          </cell>
          <cell r="I1006" t="str">
            <v>K70A 62 111</v>
          </cell>
          <cell r="J1006" t="str">
            <v>BRKT LAMP No1. RH</v>
          </cell>
          <cell r="K1006" t="str">
            <v>검사구</v>
          </cell>
          <cell r="M1006">
            <v>1</v>
          </cell>
          <cell r="N1006">
            <v>2200000</v>
          </cell>
          <cell r="Y1006" t="str">
            <v>수지</v>
          </cell>
          <cell r="Z1006">
            <v>2.8260000000000004E-2</v>
          </cell>
          <cell r="AA1006" t="str">
            <v>400x300x150</v>
          </cell>
          <cell r="AB1006" t="str">
            <v>91-08-27</v>
          </cell>
          <cell r="AG1006" t="str">
            <v>동아</v>
          </cell>
          <cell r="AI1006" t="str">
            <v>구동산업</v>
          </cell>
        </row>
        <row r="1007">
          <cell r="A1007">
            <v>805</v>
          </cell>
          <cell r="E1007" t="str">
            <v>기아모텍</v>
          </cell>
          <cell r="F1007" t="str">
            <v>B</v>
          </cell>
          <cell r="G1007" t="str">
            <v>BESTA MMO-2</v>
          </cell>
          <cell r="H1007" t="str">
            <v>044102013215</v>
          </cell>
          <cell r="I1007" t="str">
            <v>K70A 63 111</v>
          </cell>
          <cell r="J1007" t="str">
            <v>BRKT LAMP No1. LH</v>
          </cell>
          <cell r="K1007" t="str">
            <v>검사구</v>
          </cell>
          <cell r="M1007">
            <v>1</v>
          </cell>
          <cell r="N1007">
            <v>2200000</v>
          </cell>
          <cell r="Y1007" t="str">
            <v>수지</v>
          </cell>
          <cell r="Z1007">
            <v>2.8260000000000004E-2</v>
          </cell>
          <cell r="AA1007" t="str">
            <v>400x300x150</v>
          </cell>
          <cell r="AB1007" t="str">
            <v>91-08-27</v>
          </cell>
          <cell r="AG1007" t="str">
            <v>동아</v>
          </cell>
          <cell r="AI1007" t="str">
            <v>구동산업</v>
          </cell>
        </row>
        <row r="1008">
          <cell r="A1008">
            <v>806</v>
          </cell>
          <cell r="E1008" t="str">
            <v>기아모텍</v>
          </cell>
          <cell r="F1008" t="str">
            <v>C4</v>
          </cell>
          <cell r="G1008" t="str">
            <v>BESTA RFA E/G</v>
          </cell>
          <cell r="H1008" t="str">
            <v>044102013235</v>
          </cell>
          <cell r="I1008" t="str">
            <v>K70A 68 680B</v>
          </cell>
          <cell r="J1008" t="str">
            <v>SCUFF PLATE RH</v>
          </cell>
          <cell r="K1008" t="str">
            <v>검사구</v>
          </cell>
          <cell r="M1008">
            <v>1</v>
          </cell>
          <cell r="N1008">
            <v>2000000</v>
          </cell>
          <cell r="Y1008" t="str">
            <v>수지</v>
          </cell>
          <cell r="AA1008" t="str">
            <v>xx</v>
          </cell>
          <cell r="AB1008" t="str">
            <v>91-08-27</v>
          </cell>
          <cell r="AG1008" t="str">
            <v>삼협</v>
          </cell>
          <cell r="AI1008" t="str">
            <v>태광공업</v>
          </cell>
        </row>
        <row r="1009">
          <cell r="A1009">
            <v>807</v>
          </cell>
          <cell r="E1009" t="str">
            <v>기아모텍</v>
          </cell>
          <cell r="F1009" t="str">
            <v>B</v>
          </cell>
          <cell r="G1009" t="str">
            <v>BESTA RFA E/G</v>
          </cell>
          <cell r="I1009" t="str">
            <v>K70A 68 680B/690</v>
          </cell>
          <cell r="J1009" t="str">
            <v>SCUFF PLATE R/L</v>
          </cell>
          <cell r="K1009" t="str">
            <v>금형</v>
          </cell>
          <cell r="M1009">
            <v>1</v>
          </cell>
          <cell r="N1009">
            <v>60000000</v>
          </cell>
          <cell r="Y1009" t="str">
            <v>주물</v>
          </cell>
          <cell r="Z1009">
            <v>6.8099534999999998</v>
          </cell>
          <cell r="AA1009" t="str">
            <v>1350x1020x700</v>
          </cell>
          <cell r="AB1009" t="str">
            <v>92-06-30</v>
          </cell>
          <cell r="AG1009" t="str">
            <v>대성P/L</v>
          </cell>
          <cell r="AI1009" t="str">
            <v>태광공업</v>
          </cell>
        </row>
        <row r="1010">
          <cell r="A1010">
            <v>808</v>
          </cell>
          <cell r="E1010" t="str">
            <v>기아모텍</v>
          </cell>
          <cell r="F1010" t="str">
            <v>C4</v>
          </cell>
          <cell r="G1010" t="str">
            <v>BESTA RFA E/G</v>
          </cell>
          <cell r="H1010" t="str">
            <v>044102013245</v>
          </cell>
          <cell r="I1010" t="str">
            <v>K70A 68 690</v>
          </cell>
          <cell r="J1010" t="str">
            <v>SCUFF PLATE LH</v>
          </cell>
          <cell r="K1010" t="str">
            <v>검사구</v>
          </cell>
          <cell r="M1010">
            <v>1</v>
          </cell>
          <cell r="N1010">
            <v>2000000</v>
          </cell>
          <cell r="Y1010" t="str">
            <v>수지</v>
          </cell>
          <cell r="AA1010" t="str">
            <v>xx</v>
          </cell>
          <cell r="AB1010" t="str">
            <v>91-08-27</v>
          </cell>
          <cell r="AG1010" t="str">
            <v>삼협</v>
          </cell>
          <cell r="AI1010" t="str">
            <v>태광공업</v>
          </cell>
        </row>
        <row r="1011">
          <cell r="A1011">
            <v>809</v>
          </cell>
          <cell r="E1011" t="str">
            <v>기아모텍</v>
          </cell>
          <cell r="F1011" t="str">
            <v>B</v>
          </cell>
          <cell r="G1011" t="str">
            <v>BESTA</v>
          </cell>
          <cell r="H1011" t="str">
            <v>041102030172</v>
          </cell>
          <cell r="I1011" t="str">
            <v>K710 50 020A</v>
          </cell>
          <cell r="J1011" t="str">
            <v>FRT BUMPER</v>
          </cell>
          <cell r="K1011" t="str">
            <v>금형</v>
          </cell>
          <cell r="L1011" t="str">
            <v>DR,TR/PIE,C/</v>
          </cell>
          <cell r="M1011">
            <v>3</v>
          </cell>
          <cell r="N1011">
            <v>74740000</v>
          </cell>
          <cell r="Y1011" t="str">
            <v>주물</v>
          </cell>
          <cell r="Z1011">
            <v>0</v>
          </cell>
          <cell r="AA1011" t="str">
            <v>xx</v>
          </cell>
          <cell r="AB1011" t="str">
            <v>85-03-31</v>
          </cell>
          <cell r="AG1011" t="str">
            <v>ASIA</v>
          </cell>
          <cell r="AI1011" t="str">
            <v>대륭강업</v>
          </cell>
        </row>
        <row r="1012">
          <cell r="A1012">
            <v>810</v>
          </cell>
          <cell r="E1012" t="str">
            <v>기아모텍</v>
          </cell>
          <cell r="F1012" t="str">
            <v>B</v>
          </cell>
          <cell r="G1012" t="str">
            <v>BESTA</v>
          </cell>
          <cell r="H1012" t="str">
            <v>041102110645</v>
          </cell>
          <cell r="I1012" t="str">
            <v>K710 50 050/060</v>
          </cell>
          <cell r="J1012" t="str">
            <v>PROTECTOR BUMPER R/L</v>
          </cell>
          <cell r="K1012" t="str">
            <v>금형</v>
          </cell>
          <cell r="M1012">
            <v>1</v>
          </cell>
          <cell r="N1012">
            <v>11880000</v>
          </cell>
          <cell r="Y1012" t="str">
            <v>주물</v>
          </cell>
          <cell r="Z1012">
            <v>0</v>
          </cell>
          <cell r="AA1012" t="str">
            <v>xx</v>
          </cell>
          <cell r="AB1012" t="str">
            <v>85-08-31</v>
          </cell>
          <cell r="AG1012" t="str">
            <v>D.P.I</v>
          </cell>
          <cell r="AI1012" t="str">
            <v>대륭강업</v>
          </cell>
        </row>
        <row r="1013">
          <cell r="A1013">
            <v>811</v>
          </cell>
          <cell r="E1013" t="str">
            <v>기아모텍</v>
          </cell>
          <cell r="F1013" t="str">
            <v>C4</v>
          </cell>
          <cell r="G1013" t="str">
            <v>BESTA</v>
          </cell>
          <cell r="H1013" t="str">
            <v>041102030182</v>
          </cell>
          <cell r="I1013" t="str">
            <v>K710 50 210A</v>
          </cell>
          <cell r="J1013" t="str">
            <v>Rr BUMPER</v>
          </cell>
          <cell r="K1013" t="str">
            <v>금형</v>
          </cell>
          <cell r="L1013" t="str">
            <v>DR,TR/PIE,C/</v>
          </cell>
          <cell r="M1013">
            <v>3</v>
          </cell>
          <cell r="N1013">
            <v>79940000</v>
          </cell>
          <cell r="Z1013">
            <v>0</v>
          </cell>
          <cell r="AA1013" t="str">
            <v>xx</v>
          </cell>
          <cell r="AB1013" t="str">
            <v>85-03-31</v>
          </cell>
          <cell r="AG1013" t="str">
            <v>ASIA</v>
          </cell>
          <cell r="AJ1013" t="str">
            <v>남진금속</v>
          </cell>
          <cell r="AK1013" t="str">
            <v>확인 불가</v>
          </cell>
        </row>
        <row r="1014">
          <cell r="A1014">
            <v>812</v>
          </cell>
          <cell r="E1014" t="str">
            <v>기아모텍</v>
          </cell>
          <cell r="F1014" t="str">
            <v>C4</v>
          </cell>
          <cell r="G1014" t="str">
            <v>BESTA</v>
          </cell>
          <cell r="I1014" t="str">
            <v>K710 50 210A</v>
          </cell>
          <cell r="J1014" t="str">
            <v>Rr BUMPER ASSY</v>
          </cell>
          <cell r="K1014" t="str">
            <v>검사구</v>
          </cell>
          <cell r="M1014">
            <v>1</v>
          </cell>
          <cell r="N1014">
            <v>1517000</v>
          </cell>
          <cell r="Z1014">
            <v>0</v>
          </cell>
          <cell r="AA1014" t="str">
            <v>xx</v>
          </cell>
          <cell r="AB1014" t="str">
            <v>85-08-31</v>
          </cell>
          <cell r="AG1014" t="str">
            <v>ASIA</v>
          </cell>
          <cell r="AJ1014" t="str">
            <v>남진금속</v>
          </cell>
          <cell r="AK1014" t="str">
            <v>확인 불가</v>
          </cell>
        </row>
        <row r="1015">
          <cell r="A1015">
            <v>813</v>
          </cell>
          <cell r="E1015" t="str">
            <v>기아모텍</v>
          </cell>
          <cell r="F1015" t="str">
            <v>C4</v>
          </cell>
          <cell r="G1015" t="str">
            <v>BESTA</v>
          </cell>
          <cell r="H1015" t="str">
            <v>041102020120</v>
          </cell>
          <cell r="I1015" t="str">
            <v>K710 50 250/260A</v>
          </cell>
          <cell r="J1015" t="str">
            <v>PROTECTOR BUMPER R/L</v>
          </cell>
          <cell r="K1015" t="str">
            <v>금형</v>
          </cell>
          <cell r="M1015">
            <v>2</v>
          </cell>
          <cell r="N1015">
            <v>11880000</v>
          </cell>
          <cell r="Z1015">
            <v>0</v>
          </cell>
          <cell r="AA1015" t="str">
            <v>xx</v>
          </cell>
          <cell r="AB1015" t="str">
            <v>85-08-31</v>
          </cell>
          <cell r="AG1015" t="str">
            <v>D.P.I</v>
          </cell>
          <cell r="AJ1015" t="str">
            <v>남진금속</v>
          </cell>
          <cell r="AK1015" t="str">
            <v>확인 불가</v>
          </cell>
        </row>
        <row r="1016">
          <cell r="A1016">
            <v>814</v>
          </cell>
          <cell r="E1016" t="str">
            <v>기아모텍</v>
          </cell>
          <cell r="F1016" t="str">
            <v>B</v>
          </cell>
          <cell r="G1016" t="str">
            <v>BESTA</v>
          </cell>
          <cell r="H1016" t="str">
            <v>041102110305</v>
          </cell>
          <cell r="I1016" t="str">
            <v>K710 58 020</v>
          </cell>
          <cell r="J1016" t="str">
            <v>DOOR ASSY FRT RH</v>
          </cell>
          <cell r="K1016" t="str">
            <v>금형</v>
          </cell>
          <cell r="L1016" t="str">
            <v>HEM</v>
          </cell>
          <cell r="M1016">
            <v>1</v>
          </cell>
          <cell r="N1016">
            <v>40866000</v>
          </cell>
          <cell r="Y1016" t="str">
            <v>주물</v>
          </cell>
          <cell r="AA1016" t="str">
            <v>xx</v>
          </cell>
          <cell r="AB1016" t="str">
            <v>85-05-31</v>
          </cell>
          <cell r="AG1016" t="str">
            <v>FUJI</v>
          </cell>
          <cell r="AI1016" t="str">
            <v>KMO 안산2공장</v>
          </cell>
        </row>
        <row r="1017">
          <cell r="A1017">
            <v>815</v>
          </cell>
          <cell r="E1017" t="str">
            <v>기아모텍</v>
          </cell>
          <cell r="F1017" t="str">
            <v>B</v>
          </cell>
          <cell r="G1017" t="str">
            <v>BESTA</v>
          </cell>
          <cell r="H1017" t="str">
            <v>041102140182</v>
          </cell>
          <cell r="I1017" t="str">
            <v>K710 58 031</v>
          </cell>
          <cell r="J1017" t="str">
            <v>FRT DOOR OUT RH</v>
          </cell>
          <cell r="K1017" t="str">
            <v>금형</v>
          </cell>
          <cell r="L1017" t="str">
            <v>DR 1/4</v>
          </cell>
          <cell r="M1017">
            <v>1</v>
          </cell>
          <cell r="N1017">
            <v>17639207</v>
          </cell>
          <cell r="Y1017" t="str">
            <v>주물</v>
          </cell>
          <cell r="Z1017">
            <v>6.2906759999999995</v>
          </cell>
          <cell r="AA1017" t="str">
            <v>1800x1400x530</v>
          </cell>
          <cell r="AB1017" t="str">
            <v>85-12-02</v>
          </cell>
          <cell r="AG1017" t="str">
            <v>KIA</v>
          </cell>
          <cell r="AI1017" t="str">
            <v>KMO 안산2공장</v>
          </cell>
        </row>
        <row r="1018">
          <cell r="A1018">
            <v>816</v>
          </cell>
          <cell r="E1018" t="str">
            <v>기아모텍</v>
          </cell>
          <cell r="F1018" t="str">
            <v>B</v>
          </cell>
          <cell r="G1018" t="str">
            <v>BESTA</v>
          </cell>
          <cell r="H1018" t="str">
            <v>041102140192</v>
          </cell>
          <cell r="I1018" t="str">
            <v>K710 58 031</v>
          </cell>
          <cell r="J1018" t="str">
            <v>FRT DOOR OUT RH</v>
          </cell>
          <cell r="K1018" t="str">
            <v>금형</v>
          </cell>
          <cell r="L1018" t="str">
            <v>TR/PIE 2/4</v>
          </cell>
          <cell r="M1018">
            <v>1</v>
          </cell>
          <cell r="N1018">
            <v>16709485</v>
          </cell>
          <cell r="Y1018" t="str">
            <v>주물</v>
          </cell>
          <cell r="Z1018">
            <v>9.0229658400000012</v>
          </cell>
          <cell r="AA1018" t="str">
            <v>1810x1440x735</v>
          </cell>
          <cell r="AB1018" t="str">
            <v>85-12-02</v>
          </cell>
          <cell r="AG1018" t="str">
            <v>KIA</v>
          </cell>
          <cell r="AI1018" t="str">
            <v>KMO 안산2공장</v>
          </cell>
        </row>
        <row r="1019">
          <cell r="A1019">
            <v>817</v>
          </cell>
          <cell r="E1019" t="str">
            <v>기아모텍</v>
          </cell>
          <cell r="F1019" t="str">
            <v>B</v>
          </cell>
          <cell r="G1019" t="str">
            <v>BESTA</v>
          </cell>
          <cell r="H1019" t="str">
            <v>041102140202</v>
          </cell>
          <cell r="I1019" t="str">
            <v>K710 58 031</v>
          </cell>
          <cell r="J1019" t="str">
            <v>FRT DOOR OUT RH</v>
          </cell>
          <cell r="K1019" t="str">
            <v>금형</v>
          </cell>
          <cell r="L1019" t="str">
            <v>FL 3/4</v>
          </cell>
          <cell r="M1019">
            <v>1</v>
          </cell>
          <cell r="N1019">
            <v>16600456</v>
          </cell>
          <cell r="Y1019" t="str">
            <v>주물</v>
          </cell>
          <cell r="Z1019">
            <v>9.1596311999999998</v>
          </cell>
          <cell r="AA1019" t="str">
            <v>1800x1480x730</v>
          </cell>
          <cell r="AB1019" t="str">
            <v>85-12-02</v>
          </cell>
          <cell r="AG1019" t="str">
            <v>KIA</v>
          </cell>
          <cell r="AI1019" t="str">
            <v>KMO 안산2공장</v>
          </cell>
        </row>
        <row r="1020">
          <cell r="A1020">
            <v>818</v>
          </cell>
          <cell r="E1020" t="str">
            <v>기아모텍</v>
          </cell>
          <cell r="F1020" t="str">
            <v>B</v>
          </cell>
          <cell r="G1020" t="str">
            <v>BESTA</v>
          </cell>
          <cell r="H1020" t="str">
            <v>041102440232</v>
          </cell>
          <cell r="I1020" t="str">
            <v>K710 58 031</v>
          </cell>
          <cell r="J1020" t="str">
            <v>FRT DOOR OUT RH</v>
          </cell>
          <cell r="K1020" t="str">
            <v>금형</v>
          </cell>
          <cell r="L1020" t="str">
            <v>FL/PLE 4/4</v>
          </cell>
          <cell r="M1020">
            <v>1</v>
          </cell>
          <cell r="N1020">
            <v>15078087</v>
          </cell>
          <cell r="Y1020" t="str">
            <v>주물</v>
          </cell>
          <cell r="Z1020">
            <v>9.4105799999999995</v>
          </cell>
          <cell r="AA1020" t="str">
            <v>1800x1500x740</v>
          </cell>
          <cell r="AB1020" t="str">
            <v>85-12-02</v>
          </cell>
          <cell r="AG1020" t="str">
            <v>KIA</v>
          </cell>
          <cell r="AI1020" t="str">
            <v>KMO 안산2공장</v>
          </cell>
        </row>
        <row r="1021">
          <cell r="A1021">
            <v>819</v>
          </cell>
          <cell r="E1021" t="str">
            <v>기아모텍</v>
          </cell>
          <cell r="F1021" t="str">
            <v>B</v>
          </cell>
          <cell r="G1021" t="str">
            <v>BESTA</v>
          </cell>
          <cell r="H1021" t="str">
            <v>041102150074</v>
          </cell>
          <cell r="I1021" t="str">
            <v>K710 58 071</v>
          </cell>
          <cell r="J1021" t="str">
            <v>FRT DOOR IN RH</v>
          </cell>
          <cell r="K1021" t="str">
            <v>금형</v>
          </cell>
          <cell r="L1021" t="str">
            <v>DR 1/5</v>
          </cell>
          <cell r="M1021">
            <v>1</v>
          </cell>
          <cell r="N1021">
            <v>22644456</v>
          </cell>
          <cell r="Y1021" t="str">
            <v>주물</v>
          </cell>
          <cell r="Z1021">
            <v>11.063790000000001</v>
          </cell>
          <cell r="AA1021" t="str">
            <v>1800x1500x870</v>
          </cell>
          <cell r="AB1021" t="str">
            <v>85-12-02</v>
          </cell>
          <cell r="AG1021" t="str">
            <v>KIA</v>
          </cell>
          <cell r="AI1021" t="str">
            <v>KMO 안산2공장</v>
          </cell>
        </row>
        <row r="1022">
          <cell r="A1022">
            <v>820</v>
          </cell>
          <cell r="E1022" t="str">
            <v>기아모텍</v>
          </cell>
          <cell r="F1022" t="str">
            <v>B</v>
          </cell>
          <cell r="G1022" t="str">
            <v>BESTA</v>
          </cell>
          <cell r="H1022" t="str">
            <v>041102250071</v>
          </cell>
          <cell r="I1022" t="str">
            <v>K710 58 071</v>
          </cell>
          <cell r="J1022" t="str">
            <v>FRT DOOR IN RH</v>
          </cell>
          <cell r="K1022" t="str">
            <v>금형</v>
          </cell>
          <cell r="L1022" t="str">
            <v>REST 2/5</v>
          </cell>
          <cell r="M1022">
            <v>1</v>
          </cell>
          <cell r="N1022">
            <v>14613157</v>
          </cell>
          <cell r="Y1022" t="str">
            <v>주물</v>
          </cell>
          <cell r="Z1022">
            <v>9.9879318000000001</v>
          </cell>
          <cell r="AA1022" t="str">
            <v>1870x1260x900</v>
          </cell>
          <cell r="AB1022" t="str">
            <v>85-12-02</v>
          </cell>
          <cell r="AG1022" t="str">
            <v>KIA</v>
          </cell>
          <cell r="AI1022" t="str">
            <v>KMO 안산2공장</v>
          </cell>
        </row>
        <row r="1023">
          <cell r="A1023">
            <v>821</v>
          </cell>
          <cell r="E1023" t="str">
            <v>기아모텍</v>
          </cell>
          <cell r="F1023" t="str">
            <v>B</v>
          </cell>
          <cell r="G1023" t="str">
            <v>BESTA</v>
          </cell>
          <cell r="H1023" t="str">
            <v>041102350078</v>
          </cell>
          <cell r="I1023" t="str">
            <v>K710 58 071</v>
          </cell>
          <cell r="J1023" t="str">
            <v>FRT DOOR IN RH</v>
          </cell>
          <cell r="K1023" t="str">
            <v>금형</v>
          </cell>
          <cell r="L1023" t="str">
            <v>TR/PIE 3/5</v>
          </cell>
          <cell r="M1023">
            <v>1</v>
          </cell>
          <cell r="N1023">
            <v>18511707</v>
          </cell>
          <cell r="Y1023" t="str">
            <v>주물</v>
          </cell>
          <cell r="Z1023">
            <v>4.5371430000000004</v>
          </cell>
          <cell r="AA1023" t="str">
            <v>1900x1300x390</v>
          </cell>
          <cell r="AB1023" t="str">
            <v>85-12-02</v>
          </cell>
          <cell r="AG1023" t="str">
            <v>KIA</v>
          </cell>
          <cell r="AI1023" t="str">
            <v>KMO 안산2공장</v>
          </cell>
        </row>
        <row r="1024">
          <cell r="A1024">
            <v>822</v>
          </cell>
          <cell r="E1024" t="str">
            <v>기아모텍</v>
          </cell>
          <cell r="F1024" t="str">
            <v>B</v>
          </cell>
          <cell r="G1024" t="str">
            <v>BESTA</v>
          </cell>
          <cell r="H1024" t="str">
            <v>041102450084</v>
          </cell>
          <cell r="I1024" t="str">
            <v>K710 58 071</v>
          </cell>
          <cell r="J1024" t="str">
            <v>FRT DOOR IN RH</v>
          </cell>
          <cell r="K1024" t="str">
            <v>금형</v>
          </cell>
          <cell r="L1024" t="str">
            <v>FL/PIE 4/5</v>
          </cell>
          <cell r="M1024">
            <v>1</v>
          </cell>
          <cell r="N1024">
            <v>21326437</v>
          </cell>
          <cell r="Y1024" t="str">
            <v>주물</v>
          </cell>
          <cell r="Z1024">
            <v>4.6696824000000001</v>
          </cell>
          <cell r="AA1024" t="str">
            <v>720x1530x900</v>
          </cell>
          <cell r="AB1024" t="str">
            <v>85-12-02</v>
          </cell>
          <cell r="AI1024" t="str">
            <v>KMO 안산2공장</v>
          </cell>
        </row>
        <row r="1025">
          <cell r="A1025">
            <v>823</v>
          </cell>
          <cell r="E1025" t="str">
            <v>기아모텍</v>
          </cell>
          <cell r="F1025" t="str">
            <v>B</v>
          </cell>
          <cell r="G1025" t="str">
            <v>BESTA</v>
          </cell>
          <cell r="H1025" t="str">
            <v>041102550091</v>
          </cell>
          <cell r="I1025" t="str">
            <v>K710 58 071</v>
          </cell>
          <cell r="J1025" t="str">
            <v>FRT DOOR IN RH</v>
          </cell>
          <cell r="K1025" t="str">
            <v>금형</v>
          </cell>
          <cell r="L1025" t="str">
            <v>RE/BED 5/5</v>
          </cell>
          <cell r="M1025">
            <v>1</v>
          </cell>
          <cell r="N1025">
            <v>18471098</v>
          </cell>
          <cell r="Y1025" t="str">
            <v>주물</v>
          </cell>
          <cell r="Z1025">
            <v>13.228392959999999</v>
          </cell>
          <cell r="AA1025" t="str">
            <v>2120x1440x920</v>
          </cell>
          <cell r="AB1025" t="str">
            <v>85-12-02</v>
          </cell>
          <cell r="AI1025" t="str">
            <v>KMO 안산2공장</v>
          </cell>
        </row>
        <row r="1026">
          <cell r="A1026">
            <v>824</v>
          </cell>
          <cell r="E1026" t="str">
            <v>기아모텍</v>
          </cell>
          <cell r="F1026" t="str">
            <v>B</v>
          </cell>
          <cell r="G1026" t="str">
            <v>BESTA</v>
          </cell>
          <cell r="H1026" t="str">
            <v>044901010950</v>
          </cell>
          <cell r="I1026" t="str">
            <v>K710 58/59 071</v>
          </cell>
          <cell r="J1026" t="str">
            <v>FRT DOOR ASSY INSPECTION</v>
          </cell>
          <cell r="K1026" t="str">
            <v>검사구</v>
          </cell>
          <cell r="M1026">
            <v>1</v>
          </cell>
          <cell r="N1026">
            <v>51149000</v>
          </cell>
          <cell r="Y1026" t="str">
            <v>수지</v>
          </cell>
          <cell r="Z1026">
            <v>0</v>
          </cell>
          <cell r="AA1026" t="str">
            <v>xx</v>
          </cell>
          <cell r="AB1026" t="str">
            <v>85-05-31</v>
          </cell>
          <cell r="AG1026" t="str">
            <v>FUJI</v>
          </cell>
          <cell r="AI1026" t="str">
            <v>KMO 안산2공장</v>
          </cell>
        </row>
        <row r="1027">
          <cell r="A1027">
            <v>824.0999755859375</v>
          </cell>
          <cell r="E1027" t="str">
            <v>기아모텍</v>
          </cell>
          <cell r="F1027" t="str">
            <v>B</v>
          </cell>
          <cell r="G1027" t="str">
            <v>BESTA</v>
          </cell>
          <cell r="H1027" t="str">
            <v>044901010950</v>
          </cell>
          <cell r="I1027" t="str">
            <v>K710 58/59 071</v>
          </cell>
          <cell r="J1027" t="str">
            <v>FRT DOOR ASSY INSPECTION</v>
          </cell>
          <cell r="K1027" t="str">
            <v>검사구</v>
          </cell>
          <cell r="M1027">
            <v>1</v>
          </cell>
          <cell r="N1027">
            <v>51149000</v>
          </cell>
          <cell r="Y1027" t="str">
            <v>수지</v>
          </cell>
          <cell r="Z1027">
            <v>0</v>
          </cell>
          <cell r="AA1027" t="str">
            <v>xx</v>
          </cell>
          <cell r="AB1027" t="str">
            <v>85-05-31</v>
          </cell>
          <cell r="AG1027" t="str">
            <v>FUJI</v>
          </cell>
          <cell r="AI1027" t="str">
            <v>KMO 안산2공장</v>
          </cell>
        </row>
        <row r="1028">
          <cell r="A1028">
            <v>824.20001220703125</v>
          </cell>
          <cell r="E1028" t="str">
            <v>기아모텍</v>
          </cell>
          <cell r="F1028" t="str">
            <v>B</v>
          </cell>
          <cell r="G1028" t="str">
            <v>BESTA</v>
          </cell>
          <cell r="H1028" t="str">
            <v>044901010950</v>
          </cell>
          <cell r="I1028" t="str">
            <v>K710 58/59 071</v>
          </cell>
          <cell r="J1028" t="str">
            <v>FRT DOOR ASSY INSPECTION</v>
          </cell>
          <cell r="K1028" t="str">
            <v>검사구</v>
          </cell>
          <cell r="M1028">
            <v>1</v>
          </cell>
          <cell r="N1028">
            <v>51149000</v>
          </cell>
          <cell r="Y1028" t="str">
            <v>수지</v>
          </cell>
          <cell r="Z1028">
            <v>0</v>
          </cell>
          <cell r="AA1028" t="str">
            <v>xx</v>
          </cell>
          <cell r="AB1028" t="str">
            <v>85-05-31</v>
          </cell>
          <cell r="AG1028" t="str">
            <v>FUJI</v>
          </cell>
          <cell r="AI1028" t="str">
            <v>KMO 안산2공장</v>
          </cell>
        </row>
        <row r="1029">
          <cell r="A1029">
            <v>825</v>
          </cell>
          <cell r="E1029" t="str">
            <v>기아모텍</v>
          </cell>
          <cell r="F1029" t="str">
            <v>B</v>
          </cell>
          <cell r="G1029" t="str">
            <v>BESTA</v>
          </cell>
          <cell r="H1029" t="str">
            <v>041102110315</v>
          </cell>
          <cell r="I1029" t="str">
            <v>K710 59 020</v>
          </cell>
          <cell r="J1029" t="str">
            <v>DOOR ASSY FRT LH</v>
          </cell>
          <cell r="K1029" t="str">
            <v>금형</v>
          </cell>
          <cell r="L1029" t="str">
            <v>HEM</v>
          </cell>
          <cell r="M1029">
            <v>1</v>
          </cell>
          <cell r="N1029">
            <v>40866000</v>
          </cell>
          <cell r="Y1029" t="str">
            <v>주물</v>
          </cell>
          <cell r="AA1029" t="str">
            <v>xx</v>
          </cell>
          <cell r="AB1029" t="str">
            <v>85-05-31</v>
          </cell>
          <cell r="AG1029" t="str">
            <v>FUJI</v>
          </cell>
          <cell r="AI1029" t="str">
            <v>KMO 안산2공장</v>
          </cell>
        </row>
        <row r="1030">
          <cell r="A1030">
            <v>826</v>
          </cell>
          <cell r="E1030" t="str">
            <v>기아모텍</v>
          </cell>
          <cell r="F1030" t="str">
            <v>B</v>
          </cell>
          <cell r="G1030" t="str">
            <v>BESTA</v>
          </cell>
          <cell r="H1030" t="str">
            <v>041102040295</v>
          </cell>
          <cell r="I1030" t="str">
            <v>K710 59 031</v>
          </cell>
          <cell r="J1030" t="str">
            <v>FRT DOOR OUT LH</v>
          </cell>
          <cell r="K1030" t="str">
            <v>금형</v>
          </cell>
          <cell r="L1030" t="str">
            <v>DR,TR/P,FL,F</v>
          </cell>
          <cell r="M1030">
            <v>4</v>
          </cell>
          <cell r="N1030">
            <v>129768000</v>
          </cell>
          <cell r="Y1030" t="str">
            <v>주물</v>
          </cell>
          <cell r="AA1030" t="str">
            <v>xx</v>
          </cell>
          <cell r="AB1030" t="str">
            <v>85-05-31</v>
          </cell>
          <cell r="AG1030" t="str">
            <v>FUJI</v>
          </cell>
          <cell r="AI1030" t="str">
            <v>KMO 안산2공장</v>
          </cell>
        </row>
        <row r="1031">
          <cell r="A1031">
            <v>826.0999755859375</v>
          </cell>
          <cell r="E1031" t="str">
            <v>기아모텍</v>
          </cell>
          <cell r="F1031" t="str">
            <v>B</v>
          </cell>
          <cell r="G1031" t="str">
            <v>BESTA</v>
          </cell>
          <cell r="H1031" t="str">
            <v>041102040295</v>
          </cell>
          <cell r="I1031" t="str">
            <v>K710 59 031</v>
          </cell>
          <cell r="J1031" t="str">
            <v>FRT DOOR OUT LH</v>
          </cell>
          <cell r="K1031" t="str">
            <v>금형</v>
          </cell>
          <cell r="L1031" t="str">
            <v>DR</v>
          </cell>
          <cell r="M1031">
            <v>1</v>
          </cell>
          <cell r="Y1031" t="str">
            <v>주물</v>
          </cell>
          <cell r="AA1031" t="str">
            <v>xx</v>
          </cell>
          <cell r="AB1031" t="str">
            <v>85-05-31</v>
          </cell>
          <cell r="AG1031" t="str">
            <v>FUJI</v>
          </cell>
          <cell r="AI1031" t="str">
            <v>KMO 안산2공장</v>
          </cell>
        </row>
        <row r="1032">
          <cell r="A1032">
            <v>826.20001220703125</v>
          </cell>
          <cell r="E1032" t="str">
            <v>기아모텍</v>
          </cell>
          <cell r="F1032" t="str">
            <v>B</v>
          </cell>
          <cell r="G1032" t="str">
            <v>BESTA</v>
          </cell>
          <cell r="H1032" t="str">
            <v>041102040295</v>
          </cell>
          <cell r="I1032" t="str">
            <v>K710 59 031</v>
          </cell>
          <cell r="J1032" t="str">
            <v>FRT DOOR OUT LH</v>
          </cell>
          <cell r="K1032" t="str">
            <v>금형</v>
          </cell>
          <cell r="L1032" t="str">
            <v>TR/P</v>
          </cell>
          <cell r="M1032">
            <v>1</v>
          </cell>
          <cell r="Y1032" t="str">
            <v>주물</v>
          </cell>
          <cell r="AA1032" t="str">
            <v>xx</v>
          </cell>
          <cell r="AB1032" t="str">
            <v>85-05-31</v>
          </cell>
          <cell r="AG1032" t="str">
            <v>FUJI</v>
          </cell>
          <cell r="AI1032" t="str">
            <v>KMO 안산2공장</v>
          </cell>
        </row>
        <row r="1033">
          <cell r="A1033">
            <v>826.29998779296875</v>
          </cell>
          <cell r="E1033" t="str">
            <v>기아모텍</v>
          </cell>
          <cell r="F1033" t="str">
            <v>B</v>
          </cell>
          <cell r="G1033" t="str">
            <v>BESTA</v>
          </cell>
          <cell r="H1033" t="str">
            <v>041102040295</v>
          </cell>
          <cell r="I1033" t="str">
            <v>K710 59 031</v>
          </cell>
          <cell r="J1033" t="str">
            <v>FRT DOOR OUT LH</v>
          </cell>
          <cell r="K1033" t="str">
            <v>금형</v>
          </cell>
          <cell r="L1033" t="str">
            <v>FL</v>
          </cell>
          <cell r="M1033">
            <v>1</v>
          </cell>
          <cell r="Y1033" t="str">
            <v>주물</v>
          </cell>
          <cell r="AA1033" t="str">
            <v>xx</v>
          </cell>
          <cell r="AB1033" t="str">
            <v>85-05-31</v>
          </cell>
          <cell r="AG1033" t="str">
            <v>FUJI</v>
          </cell>
          <cell r="AI1033" t="str">
            <v>KMO 안산2공장</v>
          </cell>
        </row>
        <row r="1034">
          <cell r="A1034">
            <v>826.4000244140625</v>
          </cell>
          <cell r="E1034" t="str">
            <v>기아모텍</v>
          </cell>
          <cell r="F1034" t="str">
            <v>B</v>
          </cell>
          <cell r="G1034" t="str">
            <v>BESTA</v>
          </cell>
          <cell r="H1034" t="str">
            <v>041102040295</v>
          </cell>
          <cell r="I1034" t="str">
            <v>K710 59 031</v>
          </cell>
          <cell r="J1034" t="str">
            <v>FRT DOOR OUT LH</v>
          </cell>
          <cell r="K1034" t="str">
            <v>금형</v>
          </cell>
          <cell r="L1034" t="str">
            <v>FL</v>
          </cell>
          <cell r="M1034">
            <v>1</v>
          </cell>
          <cell r="Y1034" t="str">
            <v>주물</v>
          </cell>
          <cell r="AA1034" t="str">
            <v>xx</v>
          </cell>
          <cell r="AB1034" t="str">
            <v>85-05-31</v>
          </cell>
          <cell r="AG1034" t="str">
            <v>FUJI</v>
          </cell>
          <cell r="AI1034" t="str">
            <v>KMO 안산2공장</v>
          </cell>
        </row>
        <row r="1035">
          <cell r="A1035">
            <v>827</v>
          </cell>
          <cell r="E1035" t="str">
            <v>기아모텍</v>
          </cell>
          <cell r="F1035" t="str">
            <v>B</v>
          </cell>
          <cell r="G1035" t="str">
            <v>BESTA</v>
          </cell>
          <cell r="H1035" t="str">
            <v>041102050117</v>
          </cell>
          <cell r="I1035" t="str">
            <v>K710 59 071</v>
          </cell>
          <cell r="J1035" t="str">
            <v>FRT DOOR IN LH</v>
          </cell>
          <cell r="K1035" t="str">
            <v>금형</v>
          </cell>
          <cell r="L1035" t="str">
            <v>D,RE,TR/P,FL</v>
          </cell>
          <cell r="M1035">
            <v>5</v>
          </cell>
          <cell r="N1035">
            <v>207146000</v>
          </cell>
          <cell r="Y1035" t="str">
            <v>주물</v>
          </cell>
          <cell r="AA1035" t="str">
            <v>xx</v>
          </cell>
          <cell r="AB1035" t="str">
            <v>85-05-31</v>
          </cell>
          <cell r="AG1035" t="str">
            <v>FUJI</v>
          </cell>
          <cell r="AI1035" t="str">
            <v>KMO 안산2공장</v>
          </cell>
        </row>
        <row r="1036">
          <cell r="A1036">
            <v>827.0999755859375</v>
          </cell>
          <cell r="E1036" t="str">
            <v>기아모텍</v>
          </cell>
          <cell r="F1036" t="str">
            <v>B</v>
          </cell>
          <cell r="G1036" t="str">
            <v>BESTA</v>
          </cell>
          <cell r="H1036" t="str">
            <v>041102050117</v>
          </cell>
          <cell r="I1036" t="str">
            <v>K710 59 071</v>
          </cell>
          <cell r="J1036" t="str">
            <v>FRT DOOR IN LH</v>
          </cell>
          <cell r="K1036" t="str">
            <v>금형</v>
          </cell>
          <cell r="L1036" t="str">
            <v>DR</v>
          </cell>
          <cell r="M1036">
            <v>1</v>
          </cell>
          <cell r="Y1036" t="str">
            <v>주물</v>
          </cell>
          <cell r="AA1036" t="str">
            <v>xx</v>
          </cell>
          <cell r="AB1036" t="str">
            <v>85-05-31</v>
          </cell>
          <cell r="AG1036" t="str">
            <v>FUJI</v>
          </cell>
          <cell r="AI1036" t="str">
            <v>KMO 안산2공장</v>
          </cell>
        </row>
        <row r="1037">
          <cell r="A1037">
            <v>827.20001220703125</v>
          </cell>
          <cell r="E1037" t="str">
            <v>기아모텍</v>
          </cell>
          <cell r="F1037" t="str">
            <v>B</v>
          </cell>
          <cell r="G1037" t="str">
            <v>BESTA</v>
          </cell>
          <cell r="H1037" t="str">
            <v>041102050117</v>
          </cell>
          <cell r="I1037" t="str">
            <v>K710 59 071</v>
          </cell>
          <cell r="J1037" t="str">
            <v>FRT DOOR IN LH</v>
          </cell>
          <cell r="K1037" t="str">
            <v>금형</v>
          </cell>
          <cell r="L1037" t="str">
            <v>RE</v>
          </cell>
          <cell r="M1037">
            <v>1</v>
          </cell>
          <cell r="Y1037" t="str">
            <v>주물</v>
          </cell>
          <cell r="AA1037" t="str">
            <v>xx</v>
          </cell>
          <cell r="AB1037" t="str">
            <v>85-05-31</v>
          </cell>
          <cell r="AG1037" t="str">
            <v>FUJI</v>
          </cell>
          <cell r="AI1037" t="str">
            <v>KMO 안산2공장</v>
          </cell>
        </row>
        <row r="1038">
          <cell r="A1038">
            <v>827.29998779296875</v>
          </cell>
          <cell r="E1038" t="str">
            <v>기아모텍</v>
          </cell>
          <cell r="F1038" t="str">
            <v>B</v>
          </cell>
          <cell r="G1038" t="str">
            <v>BESTA</v>
          </cell>
          <cell r="H1038" t="str">
            <v>041102050117</v>
          </cell>
          <cell r="I1038" t="str">
            <v>K710 59 071</v>
          </cell>
          <cell r="J1038" t="str">
            <v>FRT DOOR IN LH</v>
          </cell>
          <cell r="K1038" t="str">
            <v>금형</v>
          </cell>
          <cell r="L1038" t="str">
            <v>TR</v>
          </cell>
          <cell r="M1038">
            <v>1</v>
          </cell>
          <cell r="Y1038" t="str">
            <v>주물</v>
          </cell>
          <cell r="AA1038" t="str">
            <v>xx</v>
          </cell>
          <cell r="AB1038" t="str">
            <v>85-05-31</v>
          </cell>
          <cell r="AG1038" t="str">
            <v>FUJI</v>
          </cell>
          <cell r="AI1038" t="str">
            <v>KMO 안산2공장</v>
          </cell>
        </row>
        <row r="1039">
          <cell r="A1039">
            <v>827.4000244140625</v>
          </cell>
          <cell r="E1039" t="str">
            <v>기아모텍</v>
          </cell>
          <cell r="F1039" t="str">
            <v>B</v>
          </cell>
          <cell r="G1039" t="str">
            <v>BESTA</v>
          </cell>
          <cell r="H1039" t="str">
            <v>041102050117</v>
          </cell>
          <cell r="I1039" t="str">
            <v>K710 59 071</v>
          </cell>
          <cell r="J1039" t="str">
            <v>FRT DOOR IN LH</v>
          </cell>
          <cell r="K1039" t="str">
            <v>금형</v>
          </cell>
          <cell r="L1039" t="str">
            <v>PI</v>
          </cell>
          <cell r="M1039">
            <v>1</v>
          </cell>
          <cell r="Y1039" t="str">
            <v>주물</v>
          </cell>
          <cell r="AA1039" t="str">
            <v>xx</v>
          </cell>
          <cell r="AB1039" t="str">
            <v>85-05-31</v>
          </cell>
          <cell r="AG1039" t="str">
            <v>FUJI</v>
          </cell>
          <cell r="AI1039" t="str">
            <v>KMO 안산2공장</v>
          </cell>
        </row>
        <row r="1040">
          <cell r="A1040">
            <v>827.5</v>
          </cell>
          <cell r="E1040" t="str">
            <v>기아모텍</v>
          </cell>
          <cell r="F1040" t="str">
            <v>B</v>
          </cell>
          <cell r="G1040" t="str">
            <v>BESTA</v>
          </cell>
          <cell r="H1040" t="str">
            <v>041102050117</v>
          </cell>
          <cell r="I1040" t="str">
            <v>K710 59 071</v>
          </cell>
          <cell r="J1040" t="str">
            <v>FRT DOOR IN LH</v>
          </cell>
          <cell r="K1040" t="str">
            <v>금형</v>
          </cell>
          <cell r="L1040" t="str">
            <v>FL</v>
          </cell>
          <cell r="M1040">
            <v>1</v>
          </cell>
          <cell r="Y1040" t="str">
            <v>주물</v>
          </cell>
          <cell r="AA1040" t="str">
            <v>xx</v>
          </cell>
          <cell r="AB1040" t="str">
            <v>85-05-31</v>
          </cell>
          <cell r="AG1040" t="str">
            <v>FUJI</v>
          </cell>
          <cell r="AI1040" t="str">
            <v>KMO 안산2공장</v>
          </cell>
        </row>
        <row r="1041">
          <cell r="A1041">
            <v>828</v>
          </cell>
          <cell r="E1041" t="str">
            <v>기아모텍</v>
          </cell>
          <cell r="F1041" t="str">
            <v>B</v>
          </cell>
          <cell r="G1041" t="str">
            <v>BESTA</v>
          </cell>
          <cell r="H1041" t="str">
            <v>044901010960</v>
          </cell>
          <cell r="I1041" t="str">
            <v>K710 62 010</v>
          </cell>
          <cell r="J1041" t="str">
            <v>BACK DOOR</v>
          </cell>
          <cell r="K1041" t="str">
            <v>검사구</v>
          </cell>
          <cell r="M1041">
            <v>1</v>
          </cell>
          <cell r="N1041">
            <v>23555000</v>
          </cell>
          <cell r="Y1041" t="str">
            <v>수지</v>
          </cell>
          <cell r="Z1041">
            <v>0</v>
          </cell>
          <cell r="AA1041" t="str">
            <v>xx</v>
          </cell>
          <cell r="AB1041" t="str">
            <v>85-05-31</v>
          </cell>
          <cell r="AG1041" t="str">
            <v>MC</v>
          </cell>
          <cell r="AI1041" t="str">
            <v>KMO 안산2공장</v>
          </cell>
        </row>
        <row r="1042">
          <cell r="A1042">
            <v>829</v>
          </cell>
          <cell r="E1042" t="str">
            <v>기아모텍</v>
          </cell>
          <cell r="F1042" t="str">
            <v>B</v>
          </cell>
          <cell r="G1042" t="str">
            <v>BESTA</v>
          </cell>
          <cell r="H1042" t="str">
            <v>041102040485</v>
          </cell>
          <cell r="I1042" t="str">
            <v>K710 62 031A</v>
          </cell>
          <cell r="J1042" t="str">
            <v>BACK DOOR OUT</v>
          </cell>
          <cell r="K1042" t="str">
            <v>금형</v>
          </cell>
          <cell r="L1042" t="str">
            <v>D,TR/P,RE/FL</v>
          </cell>
          <cell r="M1042">
            <v>4</v>
          </cell>
          <cell r="N1042">
            <v>296869000</v>
          </cell>
          <cell r="Y1042" t="str">
            <v>주물</v>
          </cell>
          <cell r="AA1042" t="str">
            <v>xx</v>
          </cell>
          <cell r="AB1042" t="str">
            <v>88-08-26</v>
          </cell>
          <cell r="AG1042" t="str">
            <v>MC</v>
          </cell>
          <cell r="AI1042" t="str">
            <v>KMO 안산2공장</v>
          </cell>
        </row>
        <row r="1043">
          <cell r="A1043">
            <v>829.0999755859375</v>
          </cell>
          <cell r="E1043" t="str">
            <v>기아모텍</v>
          </cell>
          <cell r="F1043" t="str">
            <v>B</v>
          </cell>
          <cell r="G1043" t="str">
            <v>BESTA</v>
          </cell>
          <cell r="H1043" t="str">
            <v>041102040485</v>
          </cell>
          <cell r="I1043" t="str">
            <v>K710 62 031A</v>
          </cell>
          <cell r="J1043" t="str">
            <v>BACK DOOR OUT</v>
          </cell>
          <cell r="K1043" t="str">
            <v>금형</v>
          </cell>
          <cell r="L1043" t="str">
            <v>DR</v>
          </cell>
          <cell r="M1043">
            <v>1</v>
          </cell>
          <cell r="Y1043" t="str">
            <v>주물</v>
          </cell>
          <cell r="Z1043">
            <v>18.897085199999999</v>
          </cell>
          <cell r="AA1043" t="str">
            <v>2300x1780x980</v>
          </cell>
          <cell r="AB1043" t="str">
            <v>88-08-26</v>
          </cell>
          <cell r="AG1043" t="str">
            <v>MC</v>
          </cell>
          <cell r="AI1043" t="str">
            <v>KMO 안산2공장</v>
          </cell>
        </row>
        <row r="1044">
          <cell r="A1044">
            <v>829.20001220703125</v>
          </cell>
          <cell r="E1044" t="str">
            <v>기아모텍</v>
          </cell>
          <cell r="F1044" t="str">
            <v>B</v>
          </cell>
          <cell r="G1044" t="str">
            <v>BESTA</v>
          </cell>
          <cell r="H1044" t="str">
            <v>041102040485</v>
          </cell>
          <cell r="I1044" t="str">
            <v>K710 62 031A</v>
          </cell>
          <cell r="J1044" t="str">
            <v>BACK DOOR OUT</v>
          </cell>
          <cell r="K1044" t="str">
            <v>금형</v>
          </cell>
          <cell r="L1044" t="str">
            <v>TR</v>
          </cell>
          <cell r="M1044">
            <v>1</v>
          </cell>
          <cell r="Y1044" t="str">
            <v>주물</v>
          </cell>
          <cell r="Z1044">
            <v>20.983049999999999</v>
          </cell>
          <cell r="AA1044" t="str">
            <v>2500x1800x990</v>
          </cell>
          <cell r="AB1044" t="str">
            <v>88-08-26</v>
          </cell>
          <cell r="AG1044" t="str">
            <v>MC</v>
          </cell>
          <cell r="AI1044" t="str">
            <v>KMO 안산2공장</v>
          </cell>
        </row>
        <row r="1045">
          <cell r="A1045">
            <v>829.29998779296875</v>
          </cell>
          <cell r="E1045" t="str">
            <v>기아모텍</v>
          </cell>
          <cell r="F1045" t="str">
            <v>B</v>
          </cell>
          <cell r="G1045" t="str">
            <v>BESTA</v>
          </cell>
          <cell r="H1045" t="str">
            <v>041102040485</v>
          </cell>
          <cell r="I1045" t="str">
            <v>K710 62 031A</v>
          </cell>
          <cell r="J1045" t="str">
            <v>BACK DOOR OUT</v>
          </cell>
          <cell r="K1045" t="str">
            <v>금형</v>
          </cell>
          <cell r="L1045" t="str">
            <v>PI</v>
          </cell>
          <cell r="M1045">
            <v>1</v>
          </cell>
          <cell r="Y1045" t="str">
            <v>주물</v>
          </cell>
          <cell r="Z1045">
            <v>20.008080000000003</v>
          </cell>
          <cell r="AA1045" t="str">
            <v>2360x1800x1000</v>
          </cell>
          <cell r="AB1045" t="str">
            <v>88-08-26</v>
          </cell>
          <cell r="AG1045" t="str">
            <v>MC</v>
          </cell>
          <cell r="AI1045" t="str">
            <v>KMO 안산2공장</v>
          </cell>
        </row>
        <row r="1046">
          <cell r="A1046">
            <v>829.4000244140625</v>
          </cell>
          <cell r="E1046" t="str">
            <v>기아모텍</v>
          </cell>
          <cell r="F1046" t="str">
            <v>B</v>
          </cell>
          <cell r="G1046" t="str">
            <v>BESTA</v>
          </cell>
          <cell r="H1046" t="str">
            <v>041102040485</v>
          </cell>
          <cell r="I1046" t="str">
            <v>K710 62 031A</v>
          </cell>
          <cell r="J1046" t="str">
            <v>BACK DOOR OUT</v>
          </cell>
          <cell r="K1046" t="str">
            <v>금형</v>
          </cell>
          <cell r="L1046" t="str">
            <v>RE/FL</v>
          </cell>
          <cell r="M1046">
            <v>1</v>
          </cell>
          <cell r="Y1046" t="str">
            <v>주물</v>
          </cell>
          <cell r="Z1046">
            <v>23.590035</v>
          </cell>
          <cell r="AA1046" t="str">
            <v>2700x1750x1060</v>
          </cell>
          <cell r="AB1046" t="str">
            <v>88-08-26</v>
          </cell>
          <cell r="AG1046" t="str">
            <v>MC</v>
          </cell>
          <cell r="AI1046" t="str">
            <v>KMO 안산2공장</v>
          </cell>
        </row>
        <row r="1047">
          <cell r="A1047">
            <v>830</v>
          </cell>
          <cell r="E1047" t="str">
            <v>기아모텍</v>
          </cell>
          <cell r="F1047" t="str">
            <v>B</v>
          </cell>
          <cell r="G1047" t="str">
            <v>BESTA</v>
          </cell>
          <cell r="H1047" t="str">
            <v>041102040495</v>
          </cell>
          <cell r="I1047" t="str">
            <v>K710 62 071A</v>
          </cell>
          <cell r="J1047" t="str">
            <v>BACK DOOR IN</v>
          </cell>
          <cell r="K1047" t="str">
            <v>금형</v>
          </cell>
          <cell r="L1047" t="str">
            <v>D,TR/P/RE,C/</v>
          </cell>
          <cell r="M1047">
            <v>4</v>
          </cell>
          <cell r="N1047">
            <v>309160800</v>
          </cell>
          <cell r="Y1047" t="str">
            <v>주물</v>
          </cell>
          <cell r="Z1047">
            <v>0</v>
          </cell>
          <cell r="AA1047" t="str">
            <v>xx</v>
          </cell>
          <cell r="AB1047" t="str">
            <v>88-08-25</v>
          </cell>
          <cell r="AG1047" t="str">
            <v>MC</v>
          </cell>
          <cell r="AI1047" t="str">
            <v>KMO 안산2공장</v>
          </cell>
        </row>
        <row r="1048">
          <cell r="A1048">
            <v>830.0999755859375</v>
          </cell>
          <cell r="E1048" t="str">
            <v>기아모텍</v>
          </cell>
          <cell r="F1048" t="str">
            <v>B</v>
          </cell>
          <cell r="G1048" t="str">
            <v>BESTA</v>
          </cell>
          <cell r="H1048" t="str">
            <v>041102040495</v>
          </cell>
          <cell r="I1048" t="str">
            <v>K710 62 071A</v>
          </cell>
          <cell r="J1048" t="str">
            <v>BACK DOOR IN</v>
          </cell>
          <cell r="K1048" t="str">
            <v>금형</v>
          </cell>
          <cell r="L1048" t="str">
            <v>DR</v>
          </cell>
          <cell r="M1048">
            <v>1</v>
          </cell>
          <cell r="Y1048" t="str">
            <v>주물</v>
          </cell>
          <cell r="Z1048">
            <v>21.048047999999998</v>
          </cell>
          <cell r="AA1048" t="str">
            <v>2280x2000x980</v>
          </cell>
          <cell r="AB1048" t="str">
            <v>88-08-25</v>
          </cell>
          <cell r="AG1048" t="str">
            <v>MC</v>
          </cell>
          <cell r="AI1048" t="str">
            <v>KMO 안산2공장</v>
          </cell>
        </row>
        <row r="1049">
          <cell r="A1049">
            <v>830.20001220703125</v>
          </cell>
          <cell r="E1049" t="str">
            <v>기아모텍</v>
          </cell>
          <cell r="F1049" t="str">
            <v>B</v>
          </cell>
          <cell r="G1049" t="str">
            <v>BESTA</v>
          </cell>
          <cell r="H1049" t="str">
            <v>041102040495</v>
          </cell>
          <cell r="I1049" t="str">
            <v>K710 62 071A</v>
          </cell>
          <cell r="J1049" t="str">
            <v>BACK DOOR IN</v>
          </cell>
          <cell r="K1049" t="str">
            <v>금형</v>
          </cell>
          <cell r="L1049" t="str">
            <v>TR/P</v>
          </cell>
          <cell r="M1049">
            <v>1</v>
          </cell>
          <cell r="Y1049" t="str">
            <v>주물</v>
          </cell>
          <cell r="Z1049">
            <v>19.807999200000001</v>
          </cell>
          <cell r="AA1049" t="str">
            <v>2360x1800x990</v>
          </cell>
          <cell r="AB1049" t="str">
            <v>88-08-25</v>
          </cell>
          <cell r="AG1049" t="str">
            <v>MC</v>
          </cell>
          <cell r="AI1049" t="str">
            <v>KMO 안산2공장</v>
          </cell>
        </row>
        <row r="1050">
          <cell r="A1050">
            <v>830.29998779296875</v>
          </cell>
          <cell r="E1050" t="str">
            <v>기아모텍</v>
          </cell>
          <cell r="F1050" t="str">
            <v>B</v>
          </cell>
          <cell r="G1050" t="str">
            <v>BESTA</v>
          </cell>
          <cell r="H1050" t="str">
            <v>041102040495</v>
          </cell>
          <cell r="I1050" t="str">
            <v>K710 62 071A</v>
          </cell>
          <cell r="J1050" t="str">
            <v>BACK DOOR IN</v>
          </cell>
          <cell r="K1050" t="str">
            <v>금형</v>
          </cell>
          <cell r="L1050" t="str">
            <v>RE</v>
          </cell>
          <cell r="M1050">
            <v>1</v>
          </cell>
          <cell r="Y1050" t="str">
            <v>주물</v>
          </cell>
          <cell r="Z1050">
            <v>22.53735</v>
          </cell>
          <cell r="AA1050" t="str">
            <v>2750x1740x1000</v>
          </cell>
          <cell r="AB1050" t="str">
            <v>88-08-25</v>
          </cell>
          <cell r="AG1050" t="str">
            <v>MC</v>
          </cell>
          <cell r="AI1050" t="str">
            <v>KMO 안산2공장</v>
          </cell>
        </row>
        <row r="1051">
          <cell r="A1051">
            <v>830.4000244140625</v>
          </cell>
          <cell r="E1051" t="str">
            <v>기아모텍</v>
          </cell>
          <cell r="F1051" t="str">
            <v>B</v>
          </cell>
          <cell r="G1051" t="str">
            <v>BESTA</v>
          </cell>
          <cell r="H1051" t="str">
            <v>041102040495</v>
          </cell>
          <cell r="I1051" t="str">
            <v>K710 62 071A</v>
          </cell>
          <cell r="J1051" t="str">
            <v>BACK DOOR IN</v>
          </cell>
          <cell r="K1051" t="str">
            <v>금형</v>
          </cell>
          <cell r="L1051" t="str">
            <v>C/PI</v>
          </cell>
          <cell r="M1051">
            <v>1</v>
          </cell>
          <cell r="Y1051" t="str">
            <v>주물</v>
          </cell>
          <cell r="Z1051">
            <v>20.008080000000003</v>
          </cell>
          <cell r="AA1051" t="str">
            <v>2400x1770x1000</v>
          </cell>
          <cell r="AB1051" t="str">
            <v>88-08-25</v>
          </cell>
          <cell r="AG1051" t="str">
            <v>MC</v>
          </cell>
          <cell r="AI1051" t="str">
            <v>KMO 안산2공장</v>
          </cell>
        </row>
        <row r="1052">
          <cell r="A1052">
            <v>831</v>
          </cell>
          <cell r="E1052" t="str">
            <v>기아모텍</v>
          </cell>
          <cell r="F1052" t="str">
            <v>B</v>
          </cell>
          <cell r="G1052" t="str">
            <v>BESTA</v>
          </cell>
          <cell r="H1052" t="str">
            <v>041102040175</v>
          </cell>
          <cell r="I1052" t="str">
            <v>K710 62/63 061</v>
          </cell>
          <cell r="J1052" t="str">
            <v>REINF IN R/L</v>
          </cell>
          <cell r="K1052" t="str">
            <v>금형</v>
          </cell>
          <cell r="L1052" t="str">
            <v>D,SEP/P,C/P,</v>
          </cell>
          <cell r="M1052">
            <v>4</v>
          </cell>
          <cell r="N1052">
            <v>56480000</v>
          </cell>
          <cell r="Y1052" t="str">
            <v>주물</v>
          </cell>
          <cell r="Z1052">
            <v>0</v>
          </cell>
          <cell r="AA1052" t="str">
            <v>xx</v>
          </cell>
          <cell r="AB1052" t="str">
            <v>85-03-31</v>
          </cell>
          <cell r="AG1052" t="str">
            <v>서해공업㈜ 반　</v>
          </cell>
          <cell r="AI1052" t="str">
            <v>영재정공</v>
          </cell>
        </row>
        <row r="1053">
          <cell r="A1053">
            <v>831.0999755859375</v>
          </cell>
          <cell r="E1053" t="str">
            <v>기아모텍</v>
          </cell>
          <cell r="F1053" t="str">
            <v>B</v>
          </cell>
          <cell r="G1053" t="str">
            <v>BESTA</v>
          </cell>
          <cell r="H1053" t="str">
            <v>041102040175</v>
          </cell>
          <cell r="I1053" t="str">
            <v>K710 62/63 061</v>
          </cell>
          <cell r="J1053" t="str">
            <v>REINF IN R/L</v>
          </cell>
          <cell r="K1053" t="str">
            <v>금형</v>
          </cell>
          <cell r="L1053" t="str">
            <v>DR</v>
          </cell>
          <cell r="M1053">
            <v>1</v>
          </cell>
          <cell r="Y1053" t="str">
            <v>주물</v>
          </cell>
          <cell r="Z1053">
            <v>1.1170236</v>
          </cell>
          <cell r="AA1053" t="str">
            <v>1540x700x220</v>
          </cell>
          <cell r="AB1053" t="str">
            <v>85-03-31</v>
          </cell>
          <cell r="AG1053" t="str">
            <v>서해공업㈜ 반　</v>
          </cell>
          <cell r="AI1053" t="str">
            <v>영재정공</v>
          </cell>
        </row>
        <row r="1054">
          <cell r="A1054">
            <v>831.20001220703125</v>
          </cell>
          <cell r="E1054" t="str">
            <v>기아모텍</v>
          </cell>
          <cell r="F1054" t="str">
            <v>B</v>
          </cell>
          <cell r="G1054" t="str">
            <v>BESTA</v>
          </cell>
          <cell r="H1054" t="str">
            <v>041102040175</v>
          </cell>
          <cell r="I1054" t="str">
            <v>K710 62/63 061</v>
          </cell>
          <cell r="J1054" t="str">
            <v>REINF IN R/L</v>
          </cell>
          <cell r="K1054" t="str">
            <v>금형</v>
          </cell>
          <cell r="L1054" t="str">
            <v>TR</v>
          </cell>
          <cell r="M1054">
            <v>1</v>
          </cell>
          <cell r="Y1054" t="str">
            <v>주물</v>
          </cell>
          <cell r="Z1054">
            <v>1.1170236</v>
          </cell>
          <cell r="AA1054" t="str">
            <v>1540x700x220</v>
          </cell>
          <cell r="AB1054" t="str">
            <v>85-03-31</v>
          </cell>
          <cell r="AG1054" t="str">
            <v>서해공업㈜ 반　</v>
          </cell>
          <cell r="AI1054" t="str">
            <v>영재정공</v>
          </cell>
        </row>
        <row r="1055">
          <cell r="A1055">
            <v>831.29998779296875</v>
          </cell>
          <cell r="E1055" t="str">
            <v>기아모텍</v>
          </cell>
          <cell r="F1055" t="str">
            <v>B</v>
          </cell>
          <cell r="G1055" t="str">
            <v>BESTA</v>
          </cell>
          <cell r="H1055" t="str">
            <v>041102040175</v>
          </cell>
          <cell r="I1055" t="str">
            <v>K710 62/63 061</v>
          </cell>
          <cell r="J1055" t="str">
            <v>REINF IN R/L</v>
          </cell>
          <cell r="K1055" t="str">
            <v>금형</v>
          </cell>
          <cell r="L1055" t="str">
            <v>SEP/P</v>
          </cell>
          <cell r="M1055">
            <v>1</v>
          </cell>
          <cell r="Y1055" t="str">
            <v>주물</v>
          </cell>
          <cell r="Z1055">
            <v>1.1170236</v>
          </cell>
          <cell r="AA1055" t="str">
            <v>1540x700x220</v>
          </cell>
          <cell r="AB1055" t="str">
            <v>85-03-31</v>
          </cell>
          <cell r="AG1055" t="str">
            <v>서해공업㈜ 반　</v>
          </cell>
          <cell r="AI1055" t="str">
            <v>영재정공</v>
          </cell>
        </row>
        <row r="1056">
          <cell r="A1056">
            <v>831.4000244140625</v>
          </cell>
          <cell r="E1056" t="str">
            <v>기아모텍</v>
          </cell>
          <cell r="F1056" t="str">
            <v>B</v>
          </cell>
          <cell r="G1056" t="str">
            <v>BESTA</v>
          </cell>
          <cell r="H1056" t="str">
            <v>041102040175</v>
          </cell>
          <cell r="I1056" t="str">
            <v>K710 62/63 061</v>
          </cell>
          <cell r="J1056" t="str">
            <v>REINF IN R/L</v>
          </cell>
          <cell r="K1056" t="str">
            <v>금형</v>
          </cell>
          <cell r="L1056" t="str">
            <v>C/P</v>
          </cell>
          <cell r="M1056">
            <v>1</v>
          </cell>
          <cell r="Y1056" t="str">
            <v>주물</v>
          </cell>
          <cell r="Z1056">
            <v>1.1170236</v>
          </cell>
          <cell r="AA1056" t="str">
            <v>1540x700x220</v>
          </cell>
          <cell r="AB1056" t="str">
            <v>85-03-31</v>
          </cell>
          <cell r="AG1056" t="str">
            <v>서해공업㈜ 반　</v>
          </cell>
          <cell r="AI1056" t="str">
            <v>영재정공</v>
          </cell>
        </row>
        <row r="1057">
          <cell r="A1057">
            <v>832</v>
          </cell>
          <cell r="E1057" t="str">
            <v>기아모텍</v>
          </cell>
          <cell r="F1057" t="str">
            <v>C4</v>
          </cell>
          <cell r="G1057" t="str">
            <v>BESTA</v>
          </cell>
          <cell r="I1057" t="str">
            <v>K710 62/63 061</v>
          </cell>
          <cell r="J1057" t="str">
            <v>REINF IN R/L</v>
          </cell>
          <cell r="K1057" t="str">
            <v>검사구</v>
          </cell>
          <cell r="M1057">
            <v>2</v>
          </cell>
          <cell r="N1057">
            <v>277000</v>
          </cell>
          <cell r="AA1057" t="str">
            <v>xx</v>
          </cell>
          <cell r="AB1057" t="str">
            <v>85-06-30</v>
          </cell>
          <cell r="AG1057" t="str">
            <v>효진기기</v>
          </cell>
          <cell r="AI1057" t="str">
            <v>영재정공</v>
          </cell>
          <cell r="AJ1057" t="str">
            <v>동양공업</v>
          </cell>
          <cell r="AK1057" t="str">
            <v>분실</v>
          </cell>
        </row>
        <row r="1058">
          <cell r="A1058">
            <v>833</v>
          </cell>
          <cell r="E1058" t="str">
            <v>기아모텍</v>
          </cell>
          <cell r="F1058" t="str">
            <v>B</v>
          </cell>
          <cell r="G1058" t="str">
            <v>BESTA</v>
          </cell>
          <cell r="H1058" t="str">
            <v>044901015490</v>
          </cell>
          <cell r="I1058" t="str">
            <v>K710 72/73 071</v>
          </cell>
          <cell r="J1058" t="str">
            <v>RR.DOOR ASSY INSPECTION</v>
          </cell>
          <cell r="K1058" t="str">
            <v>검사구</v>
          </cell>
          <cell r="M1058">
            <v>1</v>
          </cell>
          <cell r="N1058">
            <v>25573610</v>
          </cell>
          <cell r="Y1058" t="str">
            <v>수지</v>
          </cell>
          <cell r="Z1058">
            <v>0</v>
          </cell>
          <cell r="AA1058" t="str">
            <v>xx</v>
          </cell>
          <cell r="AB1058" t="str">
            <v>85-11-30</v>
          </cell>
          <cell r="AG1058" t="str">
            <v>MC</v>
          </cell>
          <cell r="AI1058" t="str">
            <v>KMO 안산2공장</v>
          </cell>
        </row>
        <row r="1059">
          <cell r="A1059">
            <v>834</v>
          </cell>
          <cell r="E1059" t="str">
            <v>기아모텍</v>
          </cell>
          <cell r="F1059" t="str">
            <v>B</v>
          </cell>
          <cell r="G1059" t="str">
            <v>BESTA</v>
          </cell>
          <cell r="H1059" t="str">
            <v>041102031312</v>
          </cell>
          <cell r="I1059" t="str">
            <v>K712 72 071</v>
          </cell>
          <cell r="J1059" t="str">
            <v>RR. DOOR IN LH</v>
          </cell>
          <cell r="K1059" t="str">
            <v>금형</v>
          </cell>
          <cell r="L1059" t="str">
            <v>TR/PIE 2/4</v>
          </cell>
          <cell r="M1059">
            <v>1</v>
          </cell>
          <cell r="N1059">
            <v>40503893</v>
          </cell>
          <cell r="Y1059" t="str">
            <v>주물</v>
          </cell>
          <cell r="Z1059">
            <v>16.022006999999999</v>
          </cell>
          <cell r="AA1059" t="str">
            <v>2300x1700x870</v>
          </cell>
          <cell r="AB1059" t="str">
            <v>88-05-31</v>
          </cell>
          <cell r="AG1059" t="str">
            <v>KIA</v>
          </cell>
          <cell r="AI1059" t="str">
            <v>KMO 안산2공장</v>
          </cell>
        </row>
        <row r="1060">
          <cell r="A1060">
            <v>835</v>
          </cell>
          <cell r="E1060" t="str">
            <v>기아모텍</v>
          </cell>
          <cell r="F1060" t="str">
            <v>B</v>
          </cell>
          <cell r="G1060" t="str">
            <v>BESTA</v>
          </cell>
          <cell r="H1060" t="str">
            <v>041102031322</v>
          </cell>
          <cell r="I1060" t="str">
            <v>K712 72 071</v>
          </cell>
          <cell r="J1060" t="str">
            <v>RR. DOOR IN LH</v>
          </cell>
          <cell r="K1060" t="str">
            <v>금형</v>
          </cell>
          <cell r="L1060" t="str">
            <v>TR/PIE 3/4</v>
          </cell>
          <cell r="M1060">
            <v>1</v>
          </cell>
          <cell r="N1060">
            <v>34840988</v>
          </cell>
          <cell r="Y1060" t="str">
            <v>주물</v>
          </cell>
          <cell r="Z1060">
            <v>18.96246</v>
          </cell>
          <cell r="AA1060" t="str">
            <v>2500x1830x880</v>
          </cell>
          <cell r="AB1060" t="str">
            <v>88-05-31</v>
          </cell>
          <cell r="AG1060" t="str">
            <v>KIA</v>
          </cell>
          <cell r="AI1060" t="str">
            <v>KMO 안산2공장</v>
          </cell>
        </row>
        <row r="1061">
          <cell r="A1061">
            <v>836</v>
          </cell>
          <cell r="E1061" t="str">
            <v>기아모텍</v>
          </cell>
          <cell r="F1061" t="str">
            <v>B</v>
          </cell>
          <cell r="G1061" t="str">
            <v>BESTA</v>
          </cell>
          <cell r="H1061" t="str">
            <v>041102031332</v>
          </cell>
          <cell r="I1061" t="str">
            <v>K712 72 071</v>
          </cell>
          <cell r="J1061" t="str">
            <v>RR. DOOR IN LH</v>
          </cell>
          <cell r="K1061" t="str">
            <v>금형</v>
          </cell>
          <cell r="L1061" t="str">
            <v>TR/PIE 4/4</v>
          </cell>
          <cell r="M1061">
            <v>1</v>
          </cell>
          <cell r="N1061">
            <v>31374924</v>
          </cell>
          <cell r="Y1061" t="str">
            <v>주물</v>
          </cell>
          <cell r="Z1061">
            <v>16.197049439999997</v>
          </cell>
          <cell r="AA1061" t="str">
            <v>2340x1670x880</v>
          </cell>
          <cell r="AB1061" t="str">
            <v>88-05-31</v>
          </cell>
          <cell r="AG1061" t="str">
            <v>KIA</v>
          </cell>
          <cell r="AI1061" t="str">
            <v>KMO 안산2공장</v>
          </cell>
        </row>
        <row r="1062">
          <cell r="A1062">
            <v>837</v>
          </cell>
          <cell r="E1062" t="str">
            <v>기아모텍</v>
          </cell>
          <cell r="F1062" t="str">
            <v>B</v>
          </cell>
          <cell r="G1062" t="str">
            <v>BESTA</v>
          </cell>
          <cell r="H1062" t="str">
            <v>041102041095</v>
          </cell>
          <cell r="I1062" t="str">
            <v>K712 72 071</v>
          </cell>
          <cell r="J1062" t="str">
            <v>RR. DOOR IN LH</v>
          </cell>
          <cell r="K1062" t="str">
            <v>금형</v>
          </cell>
          <cell r="L1062" t="str">
            <v>DR 1/4</v>
          </cell>
          <cell r="M1062">
            <v>1</v>
          </cell>
          <cell r="N1062">
            <v>23870051</v>
          </cell>
          <cell r="Y1062" t="str">
            <v>주물</v>
          </cell>
          <cell r="Z1062">
            <v>16.50348675</v>
          </cell>
          <cell r="AA1062" t="str">
            <v>2250x1790x870</v>
          </cell>
          <cell r="AB1062" t="str">
            <v>88-05-31</v>
          </cell>
          <cell r="AG1062" t="str">
            <v>KIA</v>
          </cell>
          <cell r="AI1062" t="str">
            <v>KMO 안산2공장</v>
          </cell>
        </row>
        <row r="1063">
          <cell r="A1063">
            <v>838</v>
          </cell>
          <cell r="E1063" t="str">
            <v>기아모텍</v>
          </cell>
          <cell r="F1063" t="str">
            <v>B</v>
          </cell>
          <cell r="G1063" t="str">
            <v>BESTA 5DOOR</v>
          </cell>
          <cell r="H1063" t="str">
            <v>044101014146</v>
          </cell>
          <cell r="I1063" t="str">
            <v>K712 73 071</v>
          </cell>
          <cell r="J1063" t="str">
            <v>Rr DOOR INNER</v>
          </cell>
          <cell r="K1063" t="str">
            <v>검사구</v>
          </cell>
          <cell r="M1063">
            <v>1</v>
          </cell>
          <cell r="N1063">
            <v>12745626</v>
          </cell>
          <cell r="Y1063" t="str">
            <v>수지</v>
          </cell>
          <cell r="Z1063">
            <v>0</v>
          </cell>
          <cell r="AA1063" t="str">
            <v>xx</v>
          </cell>
          <cell r="AB1063" t="str">
            <v>88-02-29</v>
          </cell>
          <cell r="AG1063" t="str">
            <v>KIA</v>
          </cell>
          <cell r="AI1063" t="str">
            <v>KMO 안산2공장</v>
          </cell>
        </row>
        <row r="1064">
          <cell r="A1064">
            <v>839</v>
          </cell>
          <cell r="E1064" t="str">
            <v>기아모텍</v>
          </cell>
          <cell r="F1064" t="str">
            <v>A</v>
          </cell>
          <cell r="G1064" t="str">
            <v>PREGIO</v>
          </cell>
          <cell r="H1064" t="str">
            <v>041101112201</v>
          </cell>
          <cell r="I1064" t="str">
            <v>K72A 52 300</v>
          </cell>
          <cell r="J1064" t="str">
            <v>BONNET HEMMING 1/1</v>
          </cell>
          <cell r="K1064" t="str">
            <v>금형</v>
          </cell>
          <cell r="M1064">
            <v>1</v>
          </cell>
          <cell r="N1064">
            <v>62609955</v>
          </cell>
          <cell r="Y1064" t="str">
            <v>주물</v>
          </cell>
          <cell r="AA1064" t="str">
            <v>xx</v>
          </cell>
          <cell r="AI1064" t="str">
            <v>KMO 안산2공장</v>
          </cell>
        </row>
        <row r="1065">
          <cell r="A1065">
            <v>840</v>
          </cell>
          <cell r="E1065" t="str">
            <v>기아모텍</v>
          </cell>
          <cell r="F1065" t="str">
            <v>C4</v>
          </cell>
          <cell r="G1065" t="str">
            <v>PREGIO</v>
          </cell>
          <cell r="H1065" t="str">
            <v>041110011685</v>
          </cell>
          <cell r="I1065" t="str">
            <v>K72A 52 300</v>
          </cell>
          <cell r="J1065" t="str">
            <v>HINGE</v>
          </cell>
          <cell r="K1065" t="str">
            <v>금형</v>
          </cell>
          <cell r="M1065">
            <v>16</v>
          </cell>
          <cell r="N1065">
            <v>8632000</v>
          </cell>
          <cell r="Y1065" t="str">
            <v>주물</v>
          </cell>
          <cell r="AA1065" t="str">
            <v>xx</v>
          </cell>
          <cell r="AB1065" t="str">
            <v>85-01-23</v>
          </cell>
          <cell r="AK1065" t="str">
            <v>당사품이 아님</v>
          </cell>
        </row>
        <row r="1066">
          <cell r="A1066">
            <v>841</v>
          </cell>
          <cell r="E1066" t="str">
            <v>기아모텍</v>
          </cell>
          <cell r="F1066" t="str">
            <v>A</v>
          </cell>
          <cell r="G1066" t="str">
            <v>PREGIO</v>
          </cell>
          <cell r="H1066" t="str">
            <v>041101111281</v>
          </cell>
          <cell r="I1066" t="str">
            <v>K72A 52 311</v>
          </cell>
          <cell r="J1066" t="str">
            <v>BONNET OUT 1/4</v>
          </cell>
          <cell r="K1066" t="str">
            <v>금형</v>
          </cell>
          <cell r="M1066">
            <v>1</v>
          </cell>
          <cell r="N1066">
            <v>70603966</v>
          </cell>
          <cell r="Y1066" t="str">
            <v>주물</v>
          </cell>
          <cell r="Z1066">
            <v>9.5860934399999991</v>
          </cell>
          <cell r="AA1066" t="str">
            <v>2360x880x980</v>
          </cell>
          <cell r="AG1066" t="str">
            <v>KIA</v>
          </cell>
          <cell r="AI1066" t="str">
            <v>KMO 안산2공장</v>
          </cell>
        </row>
        <row r="1067">
          <cell r="A1067">
            <v>842</v>
          </cell>
          <cell r="E1067" t="str">
            <v>기아모텍</v>
          </cell>
          <cell r="F1067" t="str">
            <v>A</v>
          </cell>
          <cell r="G1067" t="str">
            <v>PREGIO</v>
          </cell>
          <cell r="H1067" t="str">
            <v>041101111291</v>
          </cell>
          <cell r="I1067" t="str">
            <v>K72A 52 311</v>
          </cell>
          <cell r="J1067" t="str">
            <v>BONNET OUT 2/4</v>
          </cell>
          <cell r="K1067" t="str">
            <v>금형</v>
          </cell>
          <cell r="M1067">
            <v>1</v>
          </cell>
          <cell r="N1067">
            <v>76945467</v>
          </cell>
          <cell r="Y1067" t="str">
            <v>주물</v>
          </cell>
          <cell r="Z1067">
            <v>8.4930719999999997</v>
          </cell>
          <cell r="AA1067" t="str">
            <v>2300x800x980</v>
          </cell>
          <cell r="AG1067" t="str">
            <v>KIA</v>
          </cell>
          <cell r="AI1067" t="str">
            <v>KMO 안산2공장</v>
          </cell>
        </row>
        <row r="1068">
          <cell r="A1068">
            <v>843</v>
          </cell>
          <cell r="E1068" t="str">
            <v>기아모텍</v>
          </cell>
          <cell r="F1068" t="str">
            <v>A</v>
          </cell>
          <cell r="G1068" t="str">
            <v>PREGIO</v>
          </cell>
          <cell r="H1068" t="str">
            <v>041101111301</v>
          </cell>
          <cell r="I1068" t="str">
            <v>K72A 52 311</v>
          </cell>
          <cell r="J1068" t="str">
            <v>BONNET OUT 3/4</v>
          </cell>
          <cell r="K1068" t="str">
            <v>금형</v>
          </cell>
          <cell r="M1068">
            <v>1</v>
          </cell>
          <cell r="N1068">
            <v>65744858</v>
          </cell>
          <cell r="Y1068" t="str">
            <v>주물</v>
          </cell>
          <cell r="Z1068">
            <v>8.4930719999999997</v>
          </cell>
          <cell r="AA1068" t="str">
            <v>2300x800x980</v>
          </cell>
          <cell r="AG1068" t="str">
            <v>KIA</v>
          </cell>
          <cell r="AI1068" t="str">
            <v>KMO 안산2공장</v>
          </cell>
        </row>
        <row r="1069">
          <cell r="A1069">
            <v>844</v>
          </cell>
          <cell r="E1069" t="str">
            <v>기아모텍</v>
          </cell>
          <cell r="F1069" t="str">
            <v>A</v>
          </cell>
          <cell r="G1069" t="str">
            <v>PREGIO</v>
          </cell>
          <cell r="H1069" t="str">
            <v>041101111311</v>
          </cell>
          <cell r="I1069" t="str">
            <v>K72A 52 311</v>
          </cell>
          <cell r="J1069" t="str">
            <v>BONNET OUT 4/4</v>
          </cell>
          <cell r="K1069" t="str">
            <v>금형</v>
          </cell>
          <cell r="M1069">
            <v>1</v>
          </cell>
          <cell r="N1069">
            <v>76747071</v>
          </cell>
          <cell r="Y1069" t="str">
            <v>주물</v>
          </cell>
          <cell r="Z1069">
            <v>11.764751039999998</v>
          </cell>
          <cell r="AA1069" t="str">
            <v>2360x1080x980</v>
          </cell>
          <cell r="AG1069" t="str">
            <v>KIA</v>
          </cell>
          <cell r="AI1069" t="str">
            <v>KMO 안산2공장</v>
          </cell>
        </row>
        <row r="1070">
          <cell r="A1070">
            <v>845</v>
          </cell>
          <cell r="E1070" t="str">
            <v>기아모텍</v>
          </cell>
          <cell r="F1070" t="str">
            <v>A</v>
          </cell>
          <cell r="G1070" t="str">
            <v>PREGIO</v>
          </cell>
          <cell r="H1070" t="str">
            <v>041101111321</v>
          </cell>
          <cell r="I1070" t="str">
            <v>K72A 52 321</v>
          </cell>
          <cell r="J1070" t="str">
            <v>BONNET REINF1/4</v>
          </cell>
          <cell r="K1070" t="str">
            <v>금형</v>
          </cell>
          <cell r="M1070">
            <v>1</v>
          </cell>
          <cell r="N1070">
            <v>79121999</v>
          </cell>
          <cell r="Y1070" t="str">
            <v>주물</v>
          </cell>
          <cell r="Z1070">
            <v>7.4772191999999995</v>
          </cell>
          <cell r="AA1070" t="str">
            <v>2200x820x880</v>
          </cell>
          <cell r="AG1070" t="str">
            <v>KIA</v>
          </cell>
          <cell r="AI1070" t="str">
            <v>KMO 안산2공장</v>
          </cell>
        </row>
        <row r="1071">
          <cell r="A1071">
            <v>846</v>
          </cell>
          <cell r="E1071" t="str">
            <v>기아모텍</v>
          </cell>
          <cell r="F1071" t="str">
            <v>A</v>
          </cell>
          <cell r="G1071" t="str">
            <v>PREGIO</v>
          </cell>
          <cell r="H1071" t="str">
            <v>041101111331</v>
          </cell>
          <cell r="I1071" t="str">
            <v>K72A 52 321</v>
          </cell>
          <cell r="J1071" t="str">
            <v>BONNET REINF 2/4</v>
          </cell>
          <cell r="K1071" t="str">
            <v>금형</v>
          </cell>
          <cell r="M1071">
            <v>1</v>
          </cell>
          <cell r="N1071">
            <v>54185435</v>
          </cell>
          <cell r="Y1071" t="str">
            <v>주물</v>
          </cell>
          <cell r="Z1071">
            <v>7.0958975999999989</v>
          </cell>
          <cell r="AA1071" t="str">
            <v>2140x800x880</v>
          </cell>
          <cell r="AG1071" t="str">
            <v>KIA</v>
          </cell>
          <cell r="AI1071" t="str">
            <v>KMO 안산2공장</v>
          </cell>
        </row>
        <row r="1072">
          <cell r="A1072">
            <v>847</v>
          </cell>
          <cell r="E1072" t="str">
            <v>기아모텍</v>
          </cell>
          <cell r="F1072" t="str">
            <v>A</v>
          </cell>
          <cell r="G1072" t="str">
            <v>PREGIO</v>
          </cell>
          <cell r="H1072" t="str">
            <v>041101111341</v>
          </cell>
          <cell r="I1072" t="str">
            <v>K72A 52 321</v>
          </cell>
          <cell r="J1072" t="str">
            <v>BONNET REINF 3/4</v>
          </cell>
          <cell r="K1072" t="str">
            <v>금형</v>
          </cell>
          <cell r="M1072">
            <v>1</v>
          </cell>
          <cell r="N1072">
            <v>60148467</v>
          </cell>
          <cell r="Y1072" t="str">
            <v>주물</v>
          </cell>
          <cell r="Z1072">
            <v>8.6037758399999991</v>
          </cell>
          <cell r="AA1072" t="str">
            <v>2140x970x880</v>
          </cell>
          <cell r="AG1072" t="str">
            <v>KIA</v>
          </cell>
          <cell r="AI1072" t="str">
            <v>KMO 안산2공장</v>
          </cell>
        </row>
        <row r="1073">
          <cell r="A1073">
            <v>848</v>
          </cell>
          <cell r="E1073" t="str">
            <v>기아모텍</v>
          </cell>
          <cell r="F1073" t="str">
            <v>A</v>
          </cell>
          <cell r="G1073" t="str">
            <v>PREGIO</v>
          </cell>
          <cell r="H1073" t="str">
            <v>041101111351</v>
          </cell>
          <cell r="I1073" t="str">
            <v>K72A 52 321</v>
          </cell>
          <cell r="J1073" t="str">
            <v>BONNET REINF 4/4</v>
          </cell>
          <cell r="K1073" t="str">
            <v>금형</v>
          </cell>
          <cell r="M1073">
            <v>1</v>
          </cell>
          <cell r="N1073">
            <v>34322285</v>
          </cell>
          <cell r="Y1073" t="str">
            <v>주물</v>
          </cell>
          <cell r="Z1073">
            <v>6.5653632000000011</v>
          </cell>
          <cell r="AA1073" t="str">
            <v>2200x720x880</v>
          </cell>
          <cell r="AG1073" t="str">
            <v>KIA</v>
          </cell>
          <cell r="AI1073" t="str">
            <v>KMO 안산2공장</v>
          </cell>
        </row>
        <row r="1074">
          <cell r="A1074">
            <v>849</v>
          </cell>
          <cell r="E1074" t="str">
            <v>기아모텍</v>
          </cell>
          <cell r="F1074" t="str">
            <v>A</v>
          </cell>
          <cell r="G1074" t="str">
            <v>PREGIO</v>
          </cell>
          <cell r="I1074" t="str">
            <v>K72A 52 331/341</v>
          </cell>
          <cell r="J1074" t="str">
            <v>R/F HINGE</v>
          </cell>
          <cell r="K1074" t="str">
            <v>금형</v>
          </cell>
          <cell r="L1074" t="str">
            <v>PRESS</v>
          </cell>
          <cell r="M1074">
            <v>2</v>
          </cell>
          <cell r="N1074">
            <v>1623000</v>
          </cell>
          <cell r="Y1074" t="str">
            <v>STEEL</v>
          </cell>
          <cell r="AA1074" t="str">
            <v>xx</v>
          </cell>
          <cell r="AB1074" t="str">
            <v>98-2</v>
          </cell>
          <cell r="AG1074" t="str">
            <v>한우정공</v>
          </cell>
          <cell r="AI1074" t="str">
            <v>한우정공</v>
          </cell>
        </row>
        <row r="1075">
          <cell r="A1075">
            <v>849.0999755859375</v>
          </cell>
          <cell r="E1075" t="str">
            <v>기아모텍</v>
          </cell>
          <cell r="F1075" t="str">
            <v>A</v>
          </cell>
          <cell r="G1075" t="str">
            <v>PREGIO</v>
          </cell>
          <cell r="I1075" t="str">
            <v>K72A 52 331/341</v>
          </cell>
          <cell r="J1075" t="str">
            <v>R/F HINGE</v>
          </cell>
          <cell r="K1075" t="str">
            <v>금형</v>
          </cell>
          <cell r="L1075" t="str">
            <v>BL</v>
          </cell>
          <cell r="M1075">
            <v>1</v>
          </cell>
          <cell r="Y1075" t="str">
            <v>STEEL</v>
          </cell>
          <cell r="Z1075">
            <v>6.2643000000000004E-2</v>
          </cell>
          <cell r="AA1075" t="str">
            <v>380x200x175</v>
          </cell>
          <cell r="AB1075" t="str">
            <v>98-2</v>
          </cell>
          <cell r="AG1075" t="str">
            <v>한우정공</v>
          </cell>
          <cell r="AI1075" t="str">
            <v>한우정공</v>
          </cell>
        </row>
        <row r="1076">
          <cell r="A1076">
            <v>849.20001220703125</v>
          </cell>
          <cell r="E1076" t="str">
            <v>기아모텍</v>
          </cell>
          <cell r="F1076" t="str">
            <v>A</v>
          </cell>
          <cell r="G1076" t="str">
            <v>PREGIO</v>
          </cell>
          <cell r="I1076" t="str">
            <v>K72A 52 331/341</v>
          </cell>
          <cell r="J1076" t="str">
            <v>R/F HINGE</v>
          </cell>
          <cell r="K1076" t="str">
            <v>금형</v>
          </cell>
          <cell r="L1076" t="str">
            <v>BE&amp;PI</v>
          </cell>
          <cell r="M1076">
            <v>1</v>
          </cell>
          <cell r="Y1076" t="str">
            <v>STEEL</v>
          </cell>
          <cell r="Z1076">
            <v>6.9802199999999995E-2</v>
          </cell>
          <cell r="AA1076" t="str">
            <v>300x260x190</v>
          </cell>
          <cell r="AB1076" t="str">
            <v>98-2</v>
          </cell>
          <cell r="AG1076" t="str">
            <v>한우정공</v>
          </cell>
          <cell r="AI1076" t="str">
            <v>한우정공</v>
          </cell>
        </row>
        <row r="1077">
          <cell r="A1077">
            <v>850</v>
          </cell>
          <cell r="E1077" t="str">
            <v>기아모텍</v>
          </cell>
          <cell r="F1077" t="str">
            <v>A</v>
          </cell>
          <cell r="G1077" t="str">
            <v>PREGIO</v>
          </cell>
          <cell r="I1077" t="str">
            <v>K72A 52 351</v>
          </cell>
          <cell r="J1077" t="str">
            <v>STRIKER R/F</v>
          </cell>
          <cell r="K1077" t="str">
            <v>금형</v>
          </cell>
          <cell r="L1077" t="str">
            <v>PRESS</v>
          </cell>
          <cell r="M1077">
            <v>2</v>
          </cell>
          <cell r="N1077">
            <v>1786000</v>
          </cell>
          <cell r="Y1077" t="str">
            <v>STEEL</v>
          </cell>
          <cell r="Z1077">
            <v>0.13352849999999999</v>
          </cell>
          <cell r="AA1077" t="str">
            <v>350x300x270</v>
          </cell>
          <cell r="AB1077" t="str">
            <v>98-2</v>
          </cell>
          <cell r="AG1077" t="str">
            <v>한우정공</v>
          </cell>
          <cell r="AI1077" t="str">
            <v>한우정공</v>
          </cell>
        </row>
        <row r="1078">
          <cell r="A1078">
            <v>850.0999755859375</v>
          </cell>
          <cell r="E1078" t="str">
            <v>기아모텍</v>
          </cell>
          <cell r="F1078" t="str">
            <v>A</v>
          </cell>
          <cell r="G1078" t="str">
            <v>PREGIO</v>
          </cell>
          <cell r="I1078" t="str">
            <v>K72A 52 351</v>
          </cell>
          <cell r="J1078" t="str">
            <v>STRIKER R/F</v>
          </cell>
          <cell r="K1078" t="str">
            <v>금형</v>
          </cell>
          <cell r="L1078" t="str">
            <v>BL</v>
          </cell>
          <cell r="M1078">
            <v>1</v>
          </cell>
          <cell r="Y1078" t="str">
            <v>STEEL</v>
          </cell>
          <cell r="Z1078">
            <v>9.5217360000000001E-2</v>
          </cell>
          <cell r="AA1078" t="str">
            <v>380x280x190</v>
          </cell>
          <cell r="AB1078" t="str">
            <v>98-2</v>
          </cell>
          <cell r="AG1078" t="str">
            <v>한우정공</v>
          </cell>
          <cell r="AI1078" t="str">
            <v>현우</v>
          </cell>
        </row>
        <row r="1079">
          <cell r="A1079">
            <v>850.20001220703125</v>
          </cell>
          <cell r="E1079" t="str">
            <v>기아모텍</v>
          </cell>
          <cell r="F1079" t="str">
            <v>A</v>
          </cell>
          <cell r="G1079" t="str">
            <v>PREGIO</v>
          </cell>
          <cell r="I1079" t="str">
            <v>K72A 52 351</v>
          </cell>
          <cell r="J1079" t="str">
            <v>STRIKER R/F</v>
          </cell>
          <cell r="K1079" t="str">
            <v>금형</v>
          </cell>
          <cell r="L1079" t="str">
            <v>BE&amp;PI</v>
          </cell>
          <cell r="M1079">
            <v>1</v>
          </cell>
          <cell r="Y1079" t="str">
            <v>STEEL</v>
          </cell>
          <cell r="Z1079">
            <v>7.5171599999999991E-2</v>
          </cell>
          <cell r="AA1079" t="str">
            <v>280x285x200</v>
          </cell>
          <cell r="AB1079" t="str">
            <v>98-2</v>
          </cell>
          <cell r="AG1079" t="str">
            <v>한우정공</v>
          </cell>
          <cell r="AI1079" t="str">
            <v>현우</v>
          </cell>
        </row>
        <row r="1080">
          <cell r="A1080">
            <v>851</v>
          </cell>
          <cell r="E1080" t="str">
            <v>기아모텍</v>
          </cell>
          <cell r="F1080" t="str">
            <v>A</v>
          </cell>
          <cell r="G1080" t="str">
            <v>PREGIO</v>
          </cell>
          <cell r="I1080" t="str">
            <v>K72A 52 352</v>
          </cell>
          <cell r="J1080" t="str">
            <v>STRIKER R/F</v>
          </cell>
          <cell r="K1080" t="str">
            <v>금형</v>
          </cell>
          <cell r="L1080" t="str">
            <v>PRESS</v>
          </cell>
          <cell r="M1080">
            <v>6</v>
          </cell>
          <cell r="N1080">
            <v>1786000</v>
          </cell>
          <cell r="Y1080" t="str">
            <v>STEEL</v>
          </cell>
          <cell r="Z1080">
            <v>0</v>
          </cell>
          <cell r="AA1080" t="str">
            <v>xx</v>
          </cell>
          <cell r="AB1080" t="str">
            <v>98-2</v>
          </cell>
          <cell r="AG1080" t="str">
            <v>한우정공</v>
          </cell>
          <cell r="AI1080" t="str">
            <v>현우</v>
          </cell>
        </row>
        <row r="1081">
          <cell r="A1081">
            <v>851.0999755859375</v>
          </cell>
          <cell r="E1081" t="str">
            <v>기아모텍</v>
          </cell>
          <cell r="F1081" t="str">
            <v>A</v>
          </cell>
          <cell r="G1081" t="str">
            <v>PREGIO</v>
          </cell>
          <cell r="I1081" t="str">
            <v>K72A 52 352</v>
          </cell>
          <cell r="J1081" t="str">
            <v>STRIKER R/F</v>
          </cell>
          <cell r="K1081" t="str">
            <v>금형</v>
          </cell>
          <cell r="L1081" t="str">
            <v>CUT</v>
          </cell>
          <cell r="M1081">
            <v>1</v>
          </cell>
          <cell r="Y1081" t="str">
            <v>STEEL</v>
          </cell>
          <cell r="Z1081">
            <v>4.32378E-2</v>
          </cell>
          <cell r="AA1081" t="str">
            <v>300x170x180</v>
          </cell>
          <cell r="AB1081" t="str">
            <v>98-2</v>
          </cell>
          <cell r="AG1081" t="str">
            <v>한우정공</v>
          </cell>
          <cell r="AI1081" t="str">
            <v>현우</v>
          </cell>
        </row>
        <row r="1082">
          <cell r="A1082">
            <v>851.20001220703125</v>
          </cell>
          <cell r="E1082" t="str">
            <v>기아모텍</v>
          </cell>
          <cell r="F1082" t="str">
            <v>A</v>
          </cell>
          <cell r="G1082" t="str">
            <v>PREGIO</v>
          </cell>
          <cell r="I1082" t="str">
            <v>K72A 52 352</v>
          </cell>
          <cell r="J1082" t="str">
            <v>STRIKER R/F</v>
          </cell>
          <cell r="K1082" t="str">
            <v>금형</v>
          </cell>
          <cell r="L1082" t="str">
            <v>단조</v>
          </cell>
          <cell r="M1082">
            <v>1</v>
          </cell>
          <cell r="Y1082" t="str">
            <v>STEEL</v>
          </cell>
          <cell r="Z1082">
            <v>3.3911999999999998E-2</v>
          </cell>
          <cell r="AA1082" t="str">
            <v>200x200x180</v>
          </cell>
          <cell r="AB1082" t="str">
            <v>98-2</v>
          </cell>
          <cell r="AG1082" t="str">
            <v>한우정공</v>
          </cell>
          <cell r="AI1082" t="str">
            <v>현우</v>
          </cell>
        </row>
        <row r="1083">
          <cell r="A1083">
            <v>851.29998779296875</v>
          </cell>
          <cell r="E1083" t="str">
            <v>기아모텍</v>
          </cell>
          <cell r="F1083" t="str">
            <v>A</v>
          </cell>
          <cell r="G1083" t="str">
            <v>PREGIO</v>
          </cell>
          <cell r="I1083" t="str">
            <v>K72A 52 352</v>
          </cell>
          <cell r="J1083" t="str">
            <v>STRIKER R/F</v>
          </cell>
          <cell r="K1083" t="str">
            <v>금형</v>
          </cell>
          <cell r="L1083" t="str">
            <v>1ST BE</v>
          </cell>
          <cell r="M1083">
            <v>1</v>
          </cell>
          <cell r="Y1083" t="str">
            <v>STEEL</v>
          </cell>
          <cell r="Z1083">
            <v>3.3911999999999998E-2</v>
          </cell>
          <cell r="AA1083" t="str">
            <v>200x200x180</v>
          </cell>
          <cell r="AB1083" t="str">
            <v>98-2</v>
          </cell>
          <cell r="AG1083" t="str">
            <v>한우정공</v>
          </cell>
          <cell r="AI1083" t="str">
            <v>현우</v>
          </cell>
        </row>
        <row r="1084">
          <cell r="A1084">
            <v>851.4000244140625</v>
          </cell>
          <cell r="E1084" t="str">
            <v>기아모텍</v>
          </cell>
          <cell r="F1084" t="str">
            <v>A</v>
          </cell>
          <cell r="G1084" t="str">
            <v>PREGIO</v>
          </cell>
          <cell r="I1084" t="str">
            <v>K72A 52 352</v>
          </cell>
          <cell r="J1084" t="str">
            <v>STRIKER R/F</v>
          </cell>
          <cell r="K1084" t="str">
            <v>금형</v>
          </cell>
          <cell r="L1084" t="str">
            <v>단조</v>
          </cell>
          <cell r="M1084">
            <v>1</v>
          </cell>
          <cell r="Y1084" t="str">
            <v>STEEL</v>
          </cell>
          <cell r="Z1084">
            <v>5.0868000000000003E-2</v>
          </cell>
          <cell r="AA1084" t="str">
            <v>200x200x270</v>
          </cell>
          <cell r="AB1084" t="str">
            <v>98-2</v>
          </cell>
          <cell r="AG1084" t="str">
            <v>한우정공</v>
          </cell>
          <cell r="AI1084" t="str">
            <v>현우</v>
          </cell>
        </row>
        <row r="1085">
          <cell r="A1085">
            <v>851.5</v>
          </cell>
          <cell r="E1085" t="str">
            <v>기아모텍</v>
          </cell>
          <cell r="F1085" t="str">
            <v>A</v>
          </cell>
          <cell r="G1085" t="str">
            <v>PREGIO</v>
          </cell>
          <cell r="I1085" t="str">
            <v>K72A 52 352</v>
          </cell>
          <cell r="J1085" t="str">
            <v>STRIKER R/F</v>
          </cell>
          <cell r="K1085" t="str">
            <v>금형</v>
          </cell>
          <cell r="L1085" t="str">
            <v>2ND BE</v>
          </cell>
          <cell r="M1085">
            <v>1</v>
          </cell>
          <cell r="Y1085" t="str">
            <v>STEEL</v>
          </cell>
          <cell r="Z1085">
            <v>2.826E-2</v>
          </cell>
          <cell r="AA1085" t="str">
            <v>200x150x200</v>
          </cell>
          <cell r="AB1085" t="str">
            <v>98-2</v>
          </cell>
          <cell r="AG1085" t="str">
            <v>한우정공</v>
          </cell>
          <cell r="AI1085" t="str">
            <v>현우</v>
          </cell>
        </row>
        <row r="1086">
          <cell r="A1086">
            <v>851.5999755859375</v>
          </cell>
          <cell r="E1086" t="str">
            <v>기아모텍</v>
          </cell>
          <cell r="F1086" t="str">
            <v>A</v>
          </cell>
          <cell r="G1086" t="str">
            <v>PREGIO</v>
          </cell>
          <cell r="I1086" t="str">
            <v>K72A 52 352</v>
          </cell>
          <cell r="J1086" t="str">
            <v>STRIKER R/F</v>
          </cell>
          <cell r="K1086" t="str">
            <v>금형</v>
          </cell>
          <cell r="L1086" t="str">
            <v>V BE</v>
          </cell>
          <cell r="M1086">
            <v>1</v>
          </cell>
          <cell r="Y1086" t="str">
            <v>STEEL</v>
          </cell>
          <cell r="Z1086">
            <v>3.1839600000000003E-2</v>
          </cell>
          <cell r="AA1086" t="str">
            <v>200x130x260</v>
          </cell>
          <cell r="AB1086" t="str">
            <v>98-2</v>
          </cell>
          <cell r="AG1086" t="str">
            <v>한우정공</v>
          </cell>
          <cell r="AI1086" t="str">
            <v>현우</v>
          </cell>
        </row>
        <row r="1087">
          <cell r="A1087">
            <v>852</v>
          </cell>
          <cell r="E1087" t="str">
            <v>기아모텍</v>
          </cell>
          <cell r="F1087" t="str">
            <v>A</v>
          </cell>
          <cell r="G1087" t="str">
            <v>PREGIO</v>
          </cell>
          <cell r="I1087" t="str">
            <v>K72A 52 381/391</v>
          </cell>
          <cell r="J1087" t="str">
            <v>HINGE B/K B</v>
          </cell>
          <cell r="K1087" t="str">
            <v>금형</v>
          </cell>
          <cell r="L1087" t="str">
            <v>PRESS</v>
          </cell>
          <cell r="M1087">
            <v>2</v>
          </cell>
          <cell r="N1087">
            <v>1287000</v>
          </cell>
          <cell r="Y1087" t="str">
            <v>STEEL</v>
          </cell>
          <cell r="Z1087">
            <v>0</v>
          </cell>
          <cell r="AA1087" t="str">
            <v>xx</v>
          </cell>
          <cell r="AB1087" t="str">
            <v>98-2</v>
          </cell>
          <cell r="AG1087" t="str">
            <v>한우정공</v>
          </cell>
          <cell r="AI1087" t="str">
            <v>경은공업</v>
          </cell>
        </row>
        <row r="1088">
          <cell r="A1088">
            <v>852.0999755859375</v>
          </cell>
          <cell r="E1088" t="str">
            <v>기아모텍</v>
          </cell>
          <cell r="F1088" t="str">
            <v>A</v>
          </cell>
          <cell r="G1088" t="str">
            <v>PREGIO</v>
          </cell>
          <cell r="I1088" t="str">
            <v>K72A 52 381/391</v>
          </cell>
          <cell r="J1088" t="str">
            <v>HINGE B/K B</v>
          </cell>
          <cell r="K1088" t="str">
            <v>금형</v>
          </cell>
          <cell r="L1088" t="str">
            <v>BL</v>
          </cell>
          <cell r="M1088">
            <v>1</v>
          </cell>
          <cell r="Y1088" t="str">
            <v>STEEL</v>
          </cell>
          <cell r="Z1088">
            <v>5.8554719999999998E-2</v>
          </cell>
          <cell r="AA1088" t="str">
            <v>320x210x185</v>
          </cell>
          <cell r="AB1088" t="str">
            <v>98-2</v>
          </cell>
          <cell r="AG1088" t="str">
            <v>한우정공</v>
          </cell>
          <cell r="AI1088" t="str">
            <v>경은공업</v>
          </cell>
        </row>
        <row r="1089">
          <cell r="A1089">
            <v>852.20001220703125</v>
          </cell>
          <cell r="E1089" t="str">
            <v>기아모텍</v>
          </cell>
          <cell r="F1089" t="str">
            <v>A</v>
          </cell>
          <cell r="G1089" t="str">
            <v>PREGIO</v>
          </cell>
          <cell r="I1089" t="str">
            <v>K72A 52 381/391</v>
          </cell>
          <cell r="J1089" t="str">
            <v>HINGE B/K B</v>
          </cell>
          <cell r="K1089" t="str">
            <v>금형</v>
          </cell>
          <cell r="L1089" t="str">
            <v>BE&amp;PI</v>
          </cell>
          <cell r="M1089">
            <v>1</v>
          </cell>
          <cell r="Y1089" t="str">
            <v>STEEL</v>
          </cell>
          <cell r="Z1089">
            <v>3.5607599999999996E-2</v>
          </cell>
          <cell r="AA1089" t="str">
            <v>200x180x210</v>
          </cell>
          <cell r="AB1089" t="str">
            <v>98-2</v>
          </cell>
          <cell r="AG1089" t="str">
            <v>한우정공</v>
          </cell>
          <cell r="AI1089" t="str">
            <v>경은공업</v>
          </cell>
        </row>
        <row r="1090">
          <cell r="A1090">
            <v>853</v>
          </cell>
          <cell r="E1090" t="str">
            <v>기아모텍</v>
          </cell>
          <cell r="F1090" t="str">
            <v>A</v>
          </cell>
          <cell r="G1090" t="str">
            <v>PREGIO</v>
          </cell>
          <cell r="I1090" t="str">
            <v>K72A 52 412/422</v>
          </cell>
          <cell r="J1090" t="str">
            <v>HINGE B/K A</v>
          </cell>
          <cell r="K1090" t="str">
            <v>금형</v>
          </cell>
          <cell r="L1090" t="str">
            <v>PRESS</v>
          </cell>
          <cell r="M1090">
            <v>4</v>
          </cell>
          <cell r="N1090">
            <v>2150000</v>
          </cell>
          <cell r="Z1090">
            <v>0</v>
          </cell>
          <cell r="AA1090" t="str">
            <v>xx</v>
          </cell>
          <cell r="AB1090" t="str">
            <v>98-2</v>
          </cell>
          <cell r="AG1090" t="str">
            <v>한우정공</v>
          </cell>
          <cell r="AI1090" t="str">
            <v>창대공업</v>
          </cell>
        </row>
        <row r="1091">
          <cell r="A1091">
            <v>853.0999755859375</v>
          </cell>
          <cell r="E1091" t="str">
            <v>기아모텍</v>
          </cell>
          <cell r="F1091" t="str">
            <v>A</v>
          </cell>
          <cell r="G1091" t="str">
            <v>PREGIO</v>
          </cell>
          <cell r="I1091" t="str">
            <v>K72A 52 412/422</v>
          </cell>
          <cell r="J1091" t="str">
            <v>HINGE B/K A</v>
          </cell>
          <cell r="K1091" t="str">
            <v>금형</v>
          </cell>
          <cell r="L1091" t="str">
            <v>DR</v>
          </cell>
          <cell r="M1091">
            <v>1</v>
          </cell>
          <cell r="Y1091" t="str">
            <v>STEEL</v>
          </cell>
          <cell r="Z1091">
            <v>0.17426999999999998</v>
          </cell>
          <cell r="AA1091" t="str">
            <v>500x370x200</v>
          </cell>
          <cell r="AB1091" t="str">
            <v>98-2</v>
          </cell>
          <cell r="AG1091" t="str">
            <v>한우정공</v>
          </cell>
          <cell r="AI1091" t="str">
            <v>창대공업</v>
          </cell>
        </row>
        <row r="1092">
          <cell r="A1092">
            <v>853.20001220703125</v>
          </cell>
          <cell r="E1092" t="str">
            <v>기아모텍</v>
          </cell>
          <cell r="F1092" t="str">
            <v>A</v>
          </cell>
          <cell r="G1092" t="str">
            <v>PREGIO</v>
          </cell>
          <cell r="I1092" t="str">
            <v>K72A 52 412/422</v>
          </cell>
          <cell r="J1092" t="str">
            <v>HINGE B/K A</v>
          </cell>
          <cell r="K1092" t="str">
            <v>금형</v>
          </cell>
          <cell r="L1092" t="str">
            <v>BE</v>
          </cell>
          <cell r="M1092">
            <v>1</v>
          </cell>
          <cell r="Y1092" t="str">
            <v>STEEL</v>
          </cell>
          <cell r="Z1092">
            <v>0.116150955</v>
          </cell>
          <cell r="AA1092" t="str">
            <v>370x310x215</v>
          </cell>
          <cell r="AB1092" t="str">
            <v>98-2</v>
          </cell>
          <cell r="AG1092" t="str">
            <v>한우정공</v>
          </cell>
          <cell r="AI1092" t="str">
            <v>창대공업</v>
          </cell>
        </row>
        <row r="1093">
          <cell r="A1093">
            <v>853.29998779296875</v>
          </cell>
          <cell r="E1093" t="str">
            <v>기아모텍</v>
          </cell>
          <cell r="F1093" t="str">
            <v>A</v>
          </cell>
          <cell r="G1093" t="str">
            <v>PREGIO</v>
          </cell>
          <cell r="I1093" t="str">
            <v>K72A 52 412/422</v>
          </cell>
          <cell r="J1093" t="str">
            <v>HINGE B/K A</v>
          </cell>
          <cell r="K1093" t="str">
            <v>금형</v>
          </cell>
          <cell r="L1093" t="str">
            <v>FL</v>
          </cell>
          <cell r="M1093">
            <v>1</v>
          </cell>
          <cell r="Y1093" t="str">
            <v>STEEL</v>
          </cell>
          <cell r="Z1093">
            <v>0.18651599999999999</v>
          </cell>
          <cell r="AA1093" t="str">
            <v>500x360x220</v>
          </cell>
          <cell r="AB1093" t="str">
            <v>98-2</v>
          </cell>
          <cell r="AG1093" t="str">
            <v>한우정공</v>
          </cell>
          <cell r="AI1093" t="str">
            <v>창대공업</v>
          </cell>
        </row>
        <row r="1094">
          <cell r="A1094">
            <v>853.4000244140625</v>
          </cell>
          <cell r="E1094" t="str">
            <v>기아모텍</v>
          </cell>
          <cell r="F1094" t="str">
            <v>A</v>
          </cell>
          <cell r="G1094" t="str">
            <v>PREGIO</v>
          </cell>
          <cell r="I1094" t="str">
            <v>K72A 52 412/422</v>
          </cell>
          <cell r="J1094" t="str">
            <v>HINGE B/K A</v>
          </cell>
          <cell r="K1094" t="str">
            <v>금형</v>
          </cell>
          <cell r="L1094" t="str">
            <v>PI</v>
          </cell>
          <cell r="M1094">
            <v>1</v>
          </cell>
          <cell r="Y1094" t="str">
            <v>STEEL</v>
          </cell>
          <cell r="Z1094">
            <v>4.0270500000000008E-2</v>
          </cell>
          <cell r="AA1094" t="str">
            <v>300x150x190</v>
          </cell>
          <cell r="AB1094" t="str">
            <v>98-2</v>
          </cell>
          <cell r="AG1094" t="str">
            <v>한우정공</v>
          </cell>
          <cell r="AI1094" t="str">
            <v>창대공업</v>
          </cell>
        </row>
        <row r="1095">
          <cell r="A1095">
            <v>854</v>
          </cell>
          <cell r="E1095" t="str">
            <v>기아모텍</v>
          </cell>
          <cell r="F1095" t="str">
            <v>A</v>
          </cell>
          <cell r="G1095" t="str">
            <v>PREGIO</v>
          </cell>
          <cell r="H1095" t="str">
            <v>041110011705</v>
          </cell>
          <cell r="I1095" t="str">
            <v>K72A 58 221</v>
          </cell>
          <cell r="J1095" t="str">
            <v>HINGE MALE</v>
          </cell>
          <cell r="K1095" t="str">
            <v>금형</v>
          </cell>
          <cell r="L1095" t="str">
            <v>BE</v>
          </cell>
          <cell r="M1095">
            <v>1</v>
          </cell>
          <cell r="N1095">
            <v>351000</v>
          </cell>
          <cell r="Y1095" t="str">
            <v>STEEL</v>
          </cell>
          <cell r="Z1095">
            <v>0.15260399999999999</v>
          </cell>
          <cell r="AA1095" t="str">
            <v>450x200x360</v>
          </cell>
          <cell r="AB1095" t="str">
            <v>98-2</v>
          </cell>
          <cell r="AG1095" t="str">
            <v>일석산업</v>
          </cell>
          <cell r="AI1095" t="str">
            <v>일석산업</v>
          </cell>
          <cell r="AK1095" t="str">
            <v>KMC 광주 이관</v>
          </cell>
        </row>
        <row r="1096">
          <cell r="A1096">
            <v>855</v>
          </cell>
          <cell r="E1096" t="str">
            <v>기아모텍</v>
          </cell>
          <cell r="F1096" t="str">
            <v>A</v>
          </cell>
          <cell r="G1096" t="str">
            <v>PREGIO</v>
          </cell>
          <cell r="H1096" t="str">
            <v>041110011705</v>
          </cell>
          <cell r="I1096" t="str">
            <v>K72A 58 221</v>
          </cell>
          <cell r="J1096" t="str">
            <v>HINGE MALE</v>
          </cell>
          <cell r="K1096" t="str">
            <v>금형</v>
          </cell>
          <cell r="L1096" t="str">
            <v>RE</v>
          </cell>
          <cell r="M1096">
            <v>1</v>
          </cell>
          <cell r="N1096">
            <v>351000</v>
          </cell>
          <cell r="Y1096" t="str">
            <v>STEEL</v>
          </cell>
          <cell r="Z1096">
            <v>9.7497E-2</v>
          </cell>
          <cell r="AA1096" t="str">
            <v>450x200x230</v>
          </cell>
          <cell r="AB1096" t="str">
            <v>98-2</v>
          </cell>
          <cell r="AG1096" t="str">
            <v>일석산업</v>
          </cell>
          <cell r="AI1096" t="str">
            <v>일석산업</v>
          </cell>
          <cell r="AK1096" t="str">
            <v>KMC 광주 이관</v>
          </cell>
        </row>
        <row r="1097">
          <cell r="A1097">
            <v>856</v>
          </cell>
          <cell r="E1097" t="str">
            <v>기아모텍</v>
          </cell>
          <cell r="F1097" t="str">
            <v>A</v>
          </cell>
          <cell r="G1097" t="str">
            <v>PREGIO</v>
          </cell>
          <cell r="H1097" t="str">
            <v>041110011705</v>
          </cell>
          <cell r="I1097" t="str">
            <v>K72A 58 221</v>
          </cell>
          <cell r="J1097" t="str">
            <v>HINGE MALE</v>
          </cell>
          <cell r="K1097" t="str">
            <v>금형</v>
          </cell>
          <cell r="L1097" t="str">
            <v>PI</v>
          </cell>
          <cell r="M1097">
            <v>1</v>
          </cell>
          <cell r="N1097">
            <v>395000</v>
          </cell>
          <cell r="Y1097" t="str">
            <v>STEEL</v>
          </cell>
          <cell r="Z1097">
            <v>9.4200000000000006E-2</v>
          </cell>
          <cell r="AA1097" t="str">
            <v>400x200x250</v>
          </cell>
          <cell r="AB1097" t="str">
            <v>98-2</v>
          </cell>
          <cell r="AG1097" t="str">
            <v>일석산업</v>
          </cell>
          <cell r="AI1097" t="str">
            <v>일석산업</v>
          </cell>
          <cell r="AK1097" t="str">
            <v>KMC 광주 이관</v>
          </cell>
        </row>
        <row r="1098">
          <cell r="A1098">
            <v>857</v>
          </cell>
          <cell r="E1098" t="str">
            <v>기아모텍</v>
          </cell>
          <cell r="F1098" t="str">
            <v>A</v>
          </cell>
          <cell r="G1098" t="str">
            <v>PREGIO</v>
          </cell>
          <cell r="H1098" t="str">
            <v>041110011705</v>
          </cell>
          <cell r="I1098" t="str">
            <v>K72A 58 221</v>
          </cell>
          <cell r="J1098" t="str">
            <v>HINGE MALE</v>
          </cell>
          <cell r="K1098" t="str">
            <v>금형</v>
          </cell>
          <cell r="L1098" t="str">
            <v>BL</v>
          </cell>
          <cell r="M1098">
            <v>1</v>
          </cell>
          <cell r="N1098">
            <v>632000</v>
          </cell>
          <cell r="Y1098" t="str">
            <v>STEEL</v>
          </cell>
          <cell r="Z1098">
            <v>0.15896250000000001</v>
          </cell>
          <cell r="AA1098" t="str">
            <v>500x270x250</v>
          </cell>
          <cell r="AB1098" t="str">
            <v>98-2</v>
          </cell>
          <cell r="AG1098" t="str">
            <v>일석산업</v>
          </cell>
          <cell r="AI1098" t="str">
            <v>일석산업</v>
          </cell>
          <cell r="AK1098" t="str">
            <v>KMC 광주 이관</v>
          </cell>
        </row>
        <row r="1099">
          <cell r="A1099">
            <v>858</v>
          </cell>
          <cell r="E1099" t="str">
            <v>기아모텍</v>
          </cell>
          <cell r="F1099" t="str">
            <v>A</v>
          </cell>
          <cell r="G1099" t="str">
            <v>PREGIO</v>
          </cell>
          <cell r="H1099" t="str">
            <v>041110011705</v>
          </cell>
          <cell r="I1099" t="str">
            <v>K72A 58 221</v>
          </cell>
          <cell r="J1099" t="str">
            <v>HINGE MALE</v>
          </cell>
          <cell r="K1099" t="str">
            <v>금형</v>
          </cell>
          <cell r="L1099" t="str">
            <v>C/PI</v>
          </cell>
          <cell r="M1099">
            <v>1</v>
          </cell>
          <cell r="N1099">
            <v>825000</v>
          </cell>
          <cell r="Y1099" t="str">
            <v>STEEL</v>
          </cell>
          <cell r="Z1099">
            <v>0.2000808</v>
          </cell>
          <cell r="AA1099" t="str">
            <v>590x300x240</v>
          </cell>
          <cell r="AB1099" t="str">
            <v>98-2</v>
          </cell>
          <cell r="AG1099" t="str">
            <v>일석산업</v>
          </cell>
          <cell r="AI1099" t="str">
            <v>일석산업</v>
          </cell>
          <cell r="AK1099" t="str">
            <v>KMC 광주 이관</v>
          </cell>
        </row>
        <row r="1100">
          <cell r="A1100">
            <v>859</v>
          </cell>
          <cell r="E1100" t="str">
            <v>기아모텍</v>
          </cell>
          <cell r="F1100" t="str">
            <v>A</v>
          </cell>
          <cell r="G1100" t="str">
            <v>PREGIO</v>
          </cell>
          <cell r="H1100" t="str">
            <v>041110011705</v>
          </cell>
          <cell r="I1100" t="str">
            <v>K72A 58 241</v>
          </cell>
          <cell r="J1100" t="str">
            <v>HINGE FEMALE</v>
          </cell>
          <cell r="K1100" t="str">
            <v>금형</v>
          </cell>
          <cell r="L1100" t="str">
            <v>BL</v>
          </cell>
          <cell r="M1100">
            <v>1</v>
          </cell>
          <cell r="N1100">
            <v>1047000</v>
          </cell>
          <cell r="Y1100" t="str">
            <v>STEEL</v>
          </cell>
          <cell r="Z1100">
            <v>0.2000808</v>
          </cell>
          <cell r="AA1100" t="str">
            <v>590x300x240</v>
          </cell>
          <cell r="AB1100" t="str">
            <v>98-2</v>
          </cell>
          <cell r="AG1100" t="str">
            <v>일석산업</v>
          </cell>
          <cell r="AI1100" t="str">
            <v>일석산업</v>
          </cell>
          <cell r="AK1100" t="str">
            <v>KMC 광주 이관</v>
          </cell>
        </row>
        <row r="1101">
          <cell r="A1101">
            <v>860</v>
          </cell>
          <cell r="E1101" t="str">
            <v>기아모텍</v>
          </cell>
          <cell r="F1101" t="str">
            <v>A</v>
          </cell>
          <cell r="G1101" t="str">
            <v>PREGIO</v>
          </cell>
          <cell r="H1101" t="str">
            <v>041110011705</v>
          </cell>
          <cell r="I1101" t="str">
            <v>K72A 58 241</v>
          </cell>
          <cell r="J1101" t="str">
            <v>HINGE FEMALE</v>
          </cell>
          <cell r="K1101" t="str">
            <v>금형</v>
          </cell>
          <cell r="L1101" t="str">
            <v>BE</v>
          </cell>
          <cell r="M1101">
            <v>1</v>
          </cell>
          <cell r="N1101">
            <v>1063000</v>
          </cell>
          <cell r="Y1101" t="str">
            <v>STEEL</v>
          </cell>
          <cell r="Z1101">
            <v>0.21667883999999998</v>
          </cell>
          <cell r="AA1101" t="str">
            <v>530x310x280</v>
          </cell>
          <cell r="AB1101" t="str">
            <v>98-2</v>
          </cell>
          <cell r="AG1101" t="str">
            <v>일석산업</v>
          </cell>
          <cell r="AI1101" t="str">
            <v>일석산업</v>
          </cell>
          <cell r="AK1101" t="str">
            <v>KMC 광주 이관</v>
          </cell>
        </row>
        <row r="1102">
          <cell r="A1102">
            <v>861</v>
          </cell>
          <cell r="E1102" t="str">
            <v>기아모텍</v>
          </cell>
          <cell r="F1102" t="str">
            <v>A</v>
          </cell>
          <cell r="G1102" t="str">
            <v>PREGIO</v>
          </cell>
          <cell r="H1102" t="str">
            <v>041110011705</v>
          </cell>
          <cell r="I1102" t="str">
            <v>K72A 58 241</v>
          </cell>
          <cell r="J1102" t="str">
            <v>HINGE FEMALE</v>
          </cell>
          <cell r="K1102" t="str">
            <v>금형</v>
          </cell>
          <cell r="L1102" t="str">
            <v>PI/C-PI</v>
          </cell>
          <cell r="M1102">
            <v>1</v>
          </cell>
          <cell r="N1102">
            <v>1299000</v>
          </cell>
          <cell r="Y1102" t="str">
            <v>STEEL</v>
          </cell>
          <cell r="Z1102">
            <v>0.45216000000000001</v>
          </cell>
          <cell r="AA1102" t="str">
            <v>600x400x400</v>
          </cell>
          <cell r="AB1102" t="str">
            <v>98-2</v>
          </cell>
          <cell r="AG1102" t="str">
            <v>일석산업</v>
          </cell>
          <cell r="AI1102" t="str">
            <v>일석산업</v>
          </cell>
          <cell r="AK1102" t="str">
            <v>KMC 광주 이관</v>
          </cell>
        </row>
        <row r="1103">
          <cell r="A1103">
            <v>862</v>
          </cell>
          <cell r="E1103" t="str">
            <v>기아모텍</v>
          </cell>
          <cell r="F1103" t="str">
            <v>A</v>
          </cell>
          <cell r="G1103" t="str">
            <v>PREGIO</v>
          </cell>
          <cell r="H1103" t="str">
            <v>041101113064</v>
          </cell>
          <cell r="I1103" t="str">
            <v>K72A 60 401</v>
          </cell>
          <cell r="J1103" t="str">
            <v>INST PNL CORE</v>
          </cell>
          <cell r="K1103" t="str">
            <v>금형</v>
          </cell>
          <cell r="L1103" t="str">
            <v>INJ</v>
          </cell>
          <cell r="M1103">
            <v>1</v>
          </cell>
          <cell r="N1103">
            <v>309000000</v>
          </cell>
          <cell r="Y1103" t="str">
            <v>주물</v>
          </cell>
          <cell r="Z1103">
            <v>11.26</v>
          </cell>
          <cell r="AA1103" t="str">
            <v>xx</v>
          </cell>
          <cell r="AB1103" t="str">
            <v>96-4</v>
          </cell>
          <cell r="AG1103" t="str">
            <v>도입</v>
          </cell>
          <cell r="AI1103" t="str">
            <v>KMO 광주공장</v>
          </cell>
        </row>
        <row r="1104">
          <cell r="A1104">
            <v>863</v>
          </cell>
          <cell r="E1104" t="str">
            <v>기아모텍</v>
          </cell>
          <cell r="F1104" t="str">
            <v>C1</v>
          </cell>
          <cell r="G1104" t="str">
            <v>BESTA BECA</v>
          </cell>
          <cell r="H1104" t="str">
            <v>041102330923</v>
          </cell>
          <cell r="I1104" t="str">
            <v>K742 50 111</v>
          </cell>
          <cell r="J1104" t="str">
            <v>REINF-FRT. BUMPER NO.1</v>
          </cell>
          <cell r="K1104" t="str">
            <v>금형</v>
          </cell>
          <cell r="L1104" t="str">
            <v>CUT</v>
          </cell>
          <cell r="M1104">
            <v>1</v>
          </cell>
          <cell r="N1104">
            <v>17160000</v>
          </cell>
          <cell r="Y1104" t="str">
            <v>주물</v>
          </cell>
          <cell r="Z1104">
            <v>5.0325407999999996</v>
          </cell>
          <cell r="AA1104" t="str">
            <v>2120x700x720</v>
          </cell>
          <cell r="AB1104" t="str">
            <v>87-3</v>
          </cell>
          <cell r="AG1104" t="str">
            <v>광성</v>
          </cell>
          <cell r="AI1104" t="str">
            <v>대륭강업</v>
          </cell>
        </row>
        <row r="1105">
          <cell r="A1105">
            <v>864</v>
          </cell>
          <cell r="E1105" t="str">
            <v>기아모텍</v>
          </cell>
          <cell r="F1105" t="str">
            <v>C1</v>
          </cell>
          <cell r="G1105" t="str">
            <v>BESTA BECA</v>
          </cell>
          <cell r="H1105" t="str">
            <v>041102330923</v>
          </cell>
          <cell r="I1105" t="str">
            <v>K742 50 111</v>
          </cell>
          <cell r="J1105" t="str">
            <v>REINF-FRT. BUMPER NO.1</v>
          </cell>
          <cell r="K1105" t="str">
            <v>금형</v>
          </cell>
          <cell r="L1105" t="str">
            <v>TR &amp; PIE</v>
          </cell>
          <cell r="M1105">
            <v>1</v>
          </cell>
          <cell r="N1105">
            <v>17160000</v>
          </cell>
          <cell r="Y1105" t="str">
            <v>주물</v>
          </cell>
          <cell r="Z1105">
            <v>5.1037560000000006</v>
          </cell>
          <cell r="AA1105" t="str">
            <v>2150x700x720</v>
          </cell>
          <cell r="AB1105" t="str">
            <v>87-3</v>
          </cell>
          <cell r="AG1105" t="str">
            <v>광성</v>
          </cell>
          <cell r="AI1105" t="str">
            <v>대륭강업</v>
          </cell>
        </row>
        <row r="1106">
          <cell r="A1106">
            <v>865</v>
          </cell>
          <cell r="E1106" t="str">
            <v>기아모텍</v>
          </cell>
          <cell r="F1106" t="str">
            <v>C1</v>
          </cell>
          <cell r="G1106" t="str">
            <v>BESTA BECA</v>
          </cell>
          <cell r="H1106" t="str">
            <v>041102330923</v>
          </cell>
          <cell r="I1106" t="str">
            <v>K742 50 111</v>
          </cell>
          <cell r="J1106" t="str">
            <v>REINF-FRT. BUMPER NO.1</v>
          </cell>
          <cell r="K1106" t="str">
            <v>금형</v>
          </cell>
          <cell r="L1106" t="str">
            <v>DR</v>
          </cell>
          <cell r="M1106">
            <v>1</v>
          </cell>
          <cell r="N1106">
            <v>20800000</v>
          </cell>
          <cell r="Y1106" t="str">
            <v>주물</v>
          </cell>
          <cell r="Z1106">
            <v>5.9474865600000006</v>
          </cell>
          <cell r="AA1106" t="str">
            <v>2370x740x720</v>
          </cell>
          <cell r="AB1106" t="str">
            <v>87-3</v>
          </cell>
          <cell r="AG1106" t="str">
            <v>광성</v>
          </cell>
          <cell r="AI1106" t="str">
            <v>대륭강업</v>
          </cell>
        </row>
        <row r="1107">
          <cell r="A1107">
            <v>866</v>
          </cell>
          <cell r="E1107" t="str">
            <v>기아모텍</v>
          </cell>
          <cell r="F1107" t="str">
            <v>C1</v>
          </cell>
          <cell r="G1107" t="str">
            <v>BESTA BECA</v>
          </cell>
          <cell r="H1107" t="str">
            <v>041102440992</v>
          </cell>
          <cell r="I1107" t="str">
            <v>K742 50 121A</v>
          </cell>
          <cell r="J1107" t="str">
            <v>REINF-FRT. BUMPER NO.2</v>
          </cell>
          <cell r="K1107" t="str">
            <v>금형</v>
          </cell>
          <cell r="L1107" t="str">
            <v>FL &amp; RE</v>
          </cell>
          <cell r="M1107">
            <v>1</v>
          </cell>
          <cell r="N1107">
            <v>15970000</v>
          </cell>
          <cell r="Y1107" t="str">
            <v>주물</v>
          </cell>
          <cell r="Z1107">
            <v>4.5984672</v>
          </cell>
          <cell r="AA1107" t="str">
            <v>2260x600x720</v>
          </cell>
          <cell r="AB1107" t="str">
            <v>87-2</v>
          </cell>
          <cell r="AG1107" t="str">
            <v>광성</v>
          </cell>
          <cell r="AI1107" t="str">
            <v>대륭강업</v>
          </cell>
        </row>
        <row r="1108">
          <cell r="A1108">
            <v>867</v>
          </cell>
          <cell r="E1108" t="str">
            <v>기아모텍</v>
          </cell>
          <cell r="F1108" t="str">
            <v>C1</v>
          </cell>
          <cell r="G1108" t="str">
            <v>BESTA BECA</v>
          </cell>
          <cell r="H1108" t="str">
            <v>041102440992</v>
          </cell>
          <cell r="I1108" t="str">
            <v>K742 50 121A</v>
          </cell>
          <cell r="J1108" t="str">
            <v>REINF-FRT. BUMPER NO.2</v>
          </cell>
          <cell r="K1108" t="str">
            <v>금형</v>
          </cell>
          <cell r="L1108" t="str">
            <v>TR &amp; PIE</v>
          </cell>
          <cell r="M1108">
            <v>1</v>
          </cell>
          <cell r="N1108">
            <v>15970000</v>
          </cell>
          <cell r="Y1108" t="str">
            <v>주물</v>
          </cell>
          <cell r="Z1108">
            <v>4.5984672</v>
          </cell>
          <cell r="AA1108" t="str">
            <v>2260x600x720</v>
          </cell>
          <cell r="AB1108" t="str">
            <v>87-2</v>
          </cell>
          <cell r="AG1108" t="str">
            <v>광성</v>
          </cell>
          <cell r="AI1108" t="str">
            <v>대륭강업</v>
          </cell>
        </row>
        <row r="1109">
          <cell r="A1109">
            <v>868</v>
          </cell>
          <cell r="E1109" t="str">
            <v>기아모텍</v>
          </cell>
          <cell r="F1109" t="str">
            <v>C1</v>
          </cell>
          <cell r="G1109" t="str">
            <v>BESTA BECA</v>
          </cell>
          <cell r="H1109" t="str">
            <v>041102440992</v>
          </cell>
          <cell r="I1109" t="str">
            <v>K742 50 121A</v>
          </cell>
          <cell r="J1109" t="str">
            <v>REINF-FRT. BUMPER NO.2</v>
          </cell>
          <cell r="K1109" t="str">
            <v>금형</v>
          </cell>
          <cell r="L1109" t="str">
            <v>DR</v>
          </cell>
          <cell r="M1109">
            <v>1</v>
          </cell>
          <cell r="N1109">
            <v>19900000</v>
          </cell>
          <cell r="Y1109" t="str">
            <v>주물</v>
          </cell>
          <cell r="Z1109">
            <v>5.7514751999999998</v>
          </cell>
          <cell r="AA1109" t="str">
            <v>2120x800x720</v>
          </cell>
          <cell r="AB1109" t="str">
            <v>87-2</v>
          </cell>
          <cell r="AG1109" t="str">
            <v>광성</v>
          </cell>
          <cell r="AI1109" t="str">
            <v>대륭강업</v>
          </cell>
        </row>
        <row r="1110">
          <cell r="A1110">
            <v>869</v>
          </cell>
          <cell r="E1110" t="str">
            <v>기아모텍</v>
          </cell>
          <cell r="F1110" t="str">
            <v>C1</v>
          </cell>
          <cell r="G1110" t="str">
            <v>BESTA BECA</v>
          </cell>
          <cell r="H1110" t="str">
            <v>041102440992</v>
          </cell>
          <cell r="I1110" t="str">
            <v>K742 50 121A</v>
          </cell>
          <cell r="J1110" t="str">
            <v>REINF-FRT. BUMPER NO.2</v>
          </cell>
          <cell r="K1110" t="str">
            <v>금형</v>
          </cell>
          <cell r="L1110" t="str">
            <v>PIE&amp;C.PIE</v>
          </cell>
          <cell r="M1110">
            <v>1</v>
          </cell>
          <cell r="N1110">
            <v>33900000</v>
          </cell>
          <cell r="Y1110" t="str">
            <v>주물</v>
          </cell>
          <cell r="Z1110">
            <v>9.7870031999999991</v>
          </cell>
          <cell r="AA1110" t="str">
            <v>2220x1300x720</v>
          </cell>
          <cell r="AB1110" t="str">
            <v>87-2</v>
          </cell>
          <cell r="AG1110" t="str">
            <v>광성</v>
          </cell>
          <cell r="AI1110" t="str">
            <v>대륭강업</v>
          </cell>
        </row>
        <row r="1111">
          <cell r="A1111">
            <v>870</v>
          </cell>
          <cell r="E1111" t="str">
            <v>기아모텍</v>
          </cell>
          <cell r="F1111" t="str">
            <v>A</v>
          </cell>
          <cell r="G1111" t="str">
            <v>BESTA,W/BONGO</v>
          </cell>
          <cell r="H1111" t="str">
            <v>044101013916</v>
          </cell>
          <cell r="I1111" t="str">
            <v>K756 50 020</v>
          </cell>
          <cell r="J1111" t="str">
            <v>BUMPER ASSY - FRT</v>
          </cell>
          <cell r="K1111" t="str">
            <v>검사구</v>
          </cell>
          <cell r="M1111">
            <v>1</v>
          </cell>
          <cell r="N1111">
            <v>5300000</v>
          </cell>
          <cell r="Z1111">
            <v>0</v>
          </cell>
          <cell r="AA1111" t="str">
            <v>xx</v>
          </cell>
          <cell r="AB1111" t="str">
            <v>88-06-30</v>
          </cell>
          <cell r="AG1111" t="str">
            <v>영광정밀</v>
          </cell>
          <cell r="AI1111" t="str">
            <v>대륭강업</v>
          </cell>
        </row>
        <row r="1112">
          <cell r="A1112">
            <v>871</v>
          </cell>
          <cell r="E1112" t="str">
            <v>기아모텍</v>
          </cell>
          <cell r="F1112" t="str">
            <v>B</v>
          </cell>
          <cell r="G1112" t="str">
            <v>BESTA</v>
          </cell>
          <cell r="H1112" t="str">
            <v>041102010568</v>
          </cell>
          <cell r="I1112" t="str">
            <v>K758 50 010</v>
          </cell>
          <cell r="J1112" t="str">
            <v>FRT BUMPER (STEEL)</v>
          </cell>
          <cell r="K1112" t="str">
            <v>금형</v>
          </cell>
          <cell r="L1112" t="str">
            <v>1/4-4/4</v>
          </cell>
          <cell r="M1112">
            <v>4</v>
          </cell>
          <cell r="N1112">
            <v>194468244</v>
          </cell>
          <cell r="Y1112" t="str">
            <v>주물</v>
          </cell>
          <cell r="Z1112">
            <v>0</v>
          </cell>
          <cell r="AA1112" t="str">
            <v>xx</v>
          </cell>
          <cell r="AB1112" t="str">
            <v>90-05-31</v>
          </cell>
          <cell r="AG1112" t="str">
            <v>서해공업㈜ 반　</v>
          </cell>
          <cell r="AI1112" t="str">
            <v>대륭강업</v>
          </cell>
        </row>
        <row r="1113">
          <cell r="A1113">
            <v>872</v>
          </cell>
          <cell r="E1113" t="str">
            <v>기아모텍</v>
          </cell>
          <cell r="F1113" t="str">
            <v>B</v>
          </cell>
          <cell r="G1113" t="str">
            <v>BESTA,W/BONGO K/C</v>
          </cell>
          <cell r="H1113" t="str">
            <v>041104450021</v>
          </cell>
          <cell r="I1113" t="str">
            <v>K758 50 031</v>
          </cell>
          <cell r="J1113" t="str">
            <v>FRT. BUMPER FACE</v>
          </cell>
          <cell r="K1113" t="str">
            <v>금형</v>
          </cell>
          <cell r="L1113" t="str">
            <v>CAM&amp;CUT</v>
          </cell>
          <cell r="M1113">
            <v>1</v>
          </cell>
          <cell r="N1113">
            <v>2884850</v>
          </cell>
          <cell r="Y1113" t="str">
            <v>주물</v>
          </cell>
          <cell r="Z1113">
            <v>0</v>
          </cell>
          <cell r="AA1113" t="str">
            <v>xx</v>
          </cell>
          <cell r="AB1113" t="str">
            <v>93-06-28</v>
          </cell>
          <cell r="AG1113" t="str">
            <v>광성기업</v>
          </cell>
          <cell r="AI1113" t="str">
            <v>대부정공</v>
          </cell>
        </row>
        <row r="1114">
          <cell r="A1114">
            <v>873</v>
          </cell>
          <cell r="E1114" t="str">
            <v>기아모텍</v>
          </cell>
          <cell r="F1114" t="str">
            <v>B</v>
          </cell>
          <cell r="G1114" t="str">
            <v>BESTA,W/BONGO K/C</v>
          </cell>
          <cell r="H1114" t="str">
            <v>041105240121</v>
          </cell>
          <cell r="I1114" t="str">
            <v>K758 50 031</v>
          </cell>
          <cell r="J1114" t="str">
            <v>FRT. BUMPER FACE</v>
          </cell>
          <cell r="K1114" t="str">
            <v>금형</v>
          </cell>
          <cell r="L1114" t="str">
            <v>TR&amp;PIE</v>
          </cell>
          <cell r="M1114">
            <v>1</v>
          </cell>
          <cell r="N1114">
            <v>2884850</v>
          </cell>
          <cell r="Y1114" t="str">
            <v>주물</v>
          </cell>
          <cell r="Z1114">
            <v>0</v>
          </cell>
          <cell r="AA1114" t="str">
            <v>xx</v>
          </cell>
          <cell r="AB1114" t="str">
            <v>93-06-28</v>
          </cell>
          <cell r="AG1114" t="str">
            <v>광성기업</v>
          </cell>
          <cell r="AI1114" t="str">
            <v>대부정공</v>
          </cell>
        </row>
        <row r="1115">
          <cell r="A1115">
            <v>874</v>
          </cell>
          <cell r="E1115" t="str">
            <v>기아모텍</v>
          </cell>
          <cell r="F1115" t="str">
            <v>B</v>
          </cell>
          <cell r="G1115" t="str">
            <v>BESTA,W/BONGO K/C</v>
          </cell>
          <cell r="H1115" t="str">
            <v>041105350161</v>
          </cell>
          <cell r="I1115" t="str">
            <v>K758 50 031</v>
          </cell>
          <cell r="J1115" t="str">
            <v>FRT. BUMPER FACE</v>
          </cell>
          <cell r="K1115" t="str">
            <v>금형</v>
          </cell>
          <cell r="L1115" t="str">
            <v>RE&amp;FL</v>
          </cell>
          <cell r="M1115">
            <v>1</v>
          </cell>
          <cell r="N1115">
            <v>2884850</v>
          </cell>
          <cell r="Y1115" t="str">
            <v>주물</v>
          </cell>
          <cell r="Z1115">
            <v>0</v>
          </cell>
          <cell r="AA1115" t="str">
            <v>xx</v>
          </cell>
          <cell r="AB1115" t="str">
            <v>93-06-28</v>
          </cell>
          <cell r="AG1115" t="str">
            <v>광성기업</v>
          </cell>
          <cell r="AI1115" t="str">
            <v>대부정공</v>
          </cell>
        </row>
        <row r="1116">
          <cell r="A1116">
            <v>875</v>
          </cell>
          <cell r="E1116" t="str">
            <v>기아모텍</v>
          </cell>
          <cell r="F1116" t="str">
            <v>B</v>
          </cell>
          <cell r="G1116" t="str">
            <v>BESTA,W/BONGO K/C</v>
          </cell>
          <cell r="H1116" t="str">
            <v>041106140131</v>
          </cell>
          <cell r="I1116" t="str">
            <v>K758 50 031</v>
          </cell>
          <cell r="J1116" t="str">
            <v>FRT. BUMPER FACE</v>
          </cell>
          <cell r="K1116" t="str">
            <v>금형</v>
          </cell>
          <cell r="L1116" t="str">
            <v>DR</v>
          </cell>
          <cell r="M1116">
            <v>1</v>
          </cell>
          <cell r="N1116">
            <v>2884850</v>
          </cell>
          <cell r="Y1116" t="str">
            <v>주물</v>
          </cell>
          <cell r="Z1116">
            <v>0</v>
          </cell>
          <cell r="AA1116" t="str">
            <v>xx</v>
          </cell>
          <cell r="AB1116" t="str">
            <v>93-06-28</v>
          </cell>
          <cell r="AG1116" t="str">
            <v>광성기업</v>
          </cell>
          <cell r="AI1116" t="str">
            <v>대부정공</v>
          </cell>
        </row>
        <row r="1117">
          <cell r="A1117">
            <v>876</v>
          </cell>
          <cell r="E1117" t="str">
            <v>기아모텍</v>
          </cell>
          <cell r="F1117" t="str">
            <v>B</v>
          </cell>
          <cell r="G1117" t="str">
            <v>BESTA,W/BONGO K/C</v>
          </cell>
          <cell r="H1117" t="str">
            <v>041104140061</v>
          </cell>
          <cell r="I1117" t="str">
            <v>K758 50 051/061</v>
          </cell>
          <cell r="J1117" t="str">
            <v>STAY-BUMPER NO.2 R/L</v>
          </cell>
          <cell r="K1117" t="str">
            <v>금형</v>
          </cell>
          <cell r="L1117" t="str">
            <v>BL</v>
          </cell>
          <cell r="M1117">
            <v>1</v>
          </cell>
          <cell r="N1117">
            <v>657025</v>
          </cell>
          <cell r="Y1117" t="str">
            <v>STEEL</v>
          </cell>
          <cell r="Z1117">
            <v>0</v>
          </cell>
          <cell r="AA1117" t="str">
            <v>xx</v>
          </cell>
          <cell r="AB1117" t="str">
            <v>93-06-28</v>
          </cell>
          <cell r="AG1117" t="str">
            <v>광성기업</v>
          </cell>
          <cell r="AI1117" t="str">
            <v>대부정공</v>
          </cell>
        </row>
        <row r="1118">
          <cell r="A1118">
            <v>877</v>
          </cell>
          <cell r="E1118" t="str">
            <v>기아모텍</v>
          </cell>
          <cell r="F1118" t="str">
            <v>B</v>
          </cell>
          <cell r="G1118" t="str">
            <v>BESTA,W/BONGO K/C</v>
          </cell>
          <cell r="H1118" t="str">
            <v>041105240131</v>
          </cell>
          <cell r="I1118" t="str">
            <v>K758 50 051/061</v>
          </cell>
          <cell r="J1118" t="str">
            <v>STAY-BUMPER NO.2 R/L</v>
          </cell>
          <cell r="K1118" t="str">
            <v>금형</v>
          </cell>
          <cell r="L1118" t="str">
            <v>FL</v>
          </cell>
          <cell r="M1118">
            <v>2</v>
          </cell>
          <cell r="N1118">
            <v>657025</v>
          </cell>
          <cell r="Y1118" t="str">
            <v>STEEL</v>
          </cell>
          <cell r="Z1118">
            <v>0</v>
          </cell>
          <cell r="AA1118" t="str">
            <v>xx</v>
          </cell>
          <cell r="AB1118" t="str">
            <v>93-06-28</v>
          </cell>
          <cell r="AG1118" t="str">
            <v>광성기업</v>
          </cell>
          <cell r="AI1118" t="str">
            <v>대부정공</v>
          </cell>
        </row>
        <row r="1119">
          <cell r="A1119">
            <v>877.0999755859375</v>
          </cell>
          <cell r="E1119" t="str">
            <v>기아모텍</v>
          </cell>
          <cell r="F1119" t="str">
            <v>B</v>
          </cell>
          <cell r="G1119" t="str">
            <v>BESTA,W/BONGO K/C</v>
          </cell>
          <cell r="H1119" t="str">
            <v>041105240131</v>
          </cell>
          <cell r="I1119" t="str">
            <v>K758 50 051/061</v>
          </cell>
          <cell r="J1119" t="str">
            <v>STAY-BUMPER NO.2 R/L</v>
          </cell>
          <cell r="K1119" t="str">
            <v>금형</v>
          </cell>
          <cell r="L1119" t="str">
            <v>FL</v>
          </cell>
          <cell r="M1119">
            <v>1</v>
          </cell>
          <cell r="Y1119" t="str">
            <v>STEEL</v>
          </cell>
          <cell r="Z1119">
            <v>0</v>
          </cell>
          <cell r="AA1119" t="str">
            <v>xx</v>
          </cell>
          <cell r="AB1119" t="str">
            <v>93-06-28</v>
          </cell>
          <cell r="AG1119" t="str">
            <v>광성기업</v>
          </cell>
          <cell r="AI1119" t="str">
            <v>대부정공</v>
          </cell>
        </row>
        <row r="1120">
          <cell r="A1120">
            <v>877.20001220703125</v>
          </cell>
          <cell r="E1120" t="str">
            <v>기아모텍</v>
          </cell>
          <cell r="F1120" t="str">
            <v>B</v>
          </cell>
          <cell r="G1120" t="str">
            <v>BESTA,W/BONGO K/C</v>
          </cell>
          <cell r="H1120" t="str">
            <v>041105240131</v>
          </cell>
          <cell r="I1120" t="str">
            <v>K758 50 051/061</v>
          </cell>
          <cell r="J1120" t="str">
            <v>STAY-BUMPER NO.2 R/L</v>
          </cell>
          <cell r="K1120" t="str">
            <v>금형</v>
          </cell>
          <cell r="L1120" t="str">
            <v>FL</v>
          </cell>
          <cell r="M1120">
            <v>1</v>
          </cell>
          <cell r="Y1120" t="str">
            <v>STEEL</v>
          </cell>
          <cell r="Z1120">
            <v>0</v>
          </cell>
          <cell r="AA1120" t="str">
            <v>xx</v>
          </cell>
          <cell r="AB1120" t="str">
            <v>93-06-28</v>
          </cell>
          <cell r="AG1120" t="str">
            <v>광성기업</v>
          </cell>
          <cell r="AI1120" t="str">
            <v>대부정공</v>
          </cell>
        </row>
        <row r="1121">
          <cell r="A1121">
            <v>878</v>
          </cell>
          <cell r="E1121" t="str">
            <v>기아모텍</v>
          </cell>
          <cell r="F1121" t="str">
            <v>B</v>
          </cell>
          <cell r="G1121" t="str">
            <v>BESTA,W/BONGO K/C</v>
          </cell>
          <cell r="H1121" t="str">
            <v>041105340131</v>
          </cell>
          <cell r="I1121" t="str">
            <v>K758 50 051/061</v>
          </cell>
          <cell r="J1121" t="str">
            <v>STAY-BUMPER NO.2 R/L</v>
          </cell>
          <cell r="K1121" t="str">
            <v>금형</v>
          </cell>
          <cell r="L1121" t="str">
            <v>FL</v>
          </cell>
          <cell r="M1121">
            <v>2</v>
          </cell>
          <cell r="N1121">
            <v>657025</v>
          </cell>
          <cell r="Y1121" t="str">
            <v>STEEL</v>
          </cell>
          <cell r="Z1121">
            <v>0</v>
          </cell>
          <cell r="AA1121" t="str">
            <v>xx</v>
          </cell>
          <cell r="AB1121" t="str">
            <v>93-06-28</v>
          </cell>
          <cell r="AG1121" t="str">
            <v>광성기업</v>
          </cell>
          <cell r="AI1121" t="str">
            <v>대부정공</v>
          </cell>
        </row>
        <row r="1122">
          <cell r="A1122">
            <v>878.0999755859375</v>
          </cell>
          <cell r="E1122" t="str">
            <v>기아모텍</v>
          </cell>
          <cell r="F1122" t="str">
            <v>B</v>
          </cell>
          <cell r="G1122" t="str">
            <v>BESTA,W/BONGO K/C</v>
          </cell>
          <cell r="H1122" t="str">
            <v>041105340131</v>
          </cell>
          <cell r="I1122" t="str">
            <v>K758 50 051/061</v>
          </cell>
          <cell r="J1122" t="str">
            <v>STAY-BUMPER NO.2 R/L</v>
          </cell>
          <cell r="K1122" t="str">
            <v>금형</v>
          </cell>
          <cell r="L1122" t="str">
            <v>FL</v>
          </cell>
          <cell r="M1122">
            <v>1</v>
          </cell>
          <cell r="Y1122" t="str">
            <v>STEEL</v>
          </cell>
          <cell r="Z1122">
            <v>0</v>
          </cell>
          <cell r="AA1122" t="str">
            <v>xx</v>
          </cell>
          <cell r="AB1122" t="str">
            <v>93-06-28</v>
          </cell>
          <cell r="AG1122" t="str">
            <v>광성기업</v>
          </cell>
          <cell r="AI1122" t="str">
            <v>대부정공</v>
          </cell>
        </row>
        <row r="1123">
          <cell r="A1123">
            <v>878.20001220703125</v>
          </cell>
          <cell r="E1123" t="str">
            <v>기아모텍</v>
          </cell>
          <cell r="F1123" t="str">
            <v>B</v>
          </cell>
          <cell r="G1123" t="str">
            <v>BESTA,W/BONGO K/C</v>
          </cell>
          <cell r="H1123" t="str">
            <v>041105340131</v>
          </cell>
          <cell r="I1123" t="str">
            <v>K758 50 051/061</v>
          </cell>
          <cell r="J1123" t="str">
            <v>STAY-BUMPER NO.2 R/L</v>
          </cell>
          <cell r="K1123" t="str">
            <v>금형</v>
          </cell>
          <cell r="L1123" t="str">
            <v>FL</v>
          </cell>
          <cell r="M1123">
            <v>1</v>
          </cell>
          <cell r="Y1123" t="str">
            <v>STEEL</v>
          </cell>
          <cell r="Z1123">
            <v>0</v>
          </cell>
          <cell r="AA1123" t="str">
            <v>xx</v>
          </cell>
          <cell r="AB1123" t="str">
            <v>93-06-28</v>
          </cell>
          <cell r="AG1123" t="str">
            <v>광성기업</v>
          </cell>
          <cell r="AI1123" t="str">
            <v>대부정공</v>
          </cell>
        </row>
        <row r="1124">
          <cell r="A1124">
            <v>879</v>
          </cell>
          <cell r="E1124" t="str">
            <v>기아모텍</v>
          </cell>
          <cell r="F1124" t="str">
            <v>B</v>
          </cell>
          <cell r="G1124" t="str">
            <v>BESTA,W/BONGO K/C</v>
          </cell>
          <cell r="H1124" t="str">
            <v>041105440181</v>
          </cell>
          <cell r="I1124" t="str">
            <v>K758 50 051/061</v>
          </cell>
          <cell r="J1124" t="str">
            <v>STAY-BUMPER NO.2 R/L</v>
          </cell>
          <cell r="K1124" t="str">
            <v>금형</v>
          </cell>
          <cell r="L1124" t="str">
            <v>C.PIE</v>
          </cell>
          <cell r="M1124">
            <v>1</v>
          </cell>
          <cell r="N1124">
            <v>657025</v>
          </cell>
          <cell r="Y1124" t="str">
            <v>STEEL</v>
          </cell>
          <cell r="Z1124">
            <v>0</v>
          </cell>
          <cell r="AA1124" t="str">
            <v>xx</v>
          </cell>
          <cell r="AB1124" t="str">
            <v>93-06-28</v>
          </cell>
          <cell r="AG1124" t="str">
            <v>광성기업</v>
          </cell>
          <cell r="AI1124" t="str">
            <v>대부정공</v>
          </cell>
        </row>
        <row r="1125">
          <cell r="A1125">
            <v>880</v>
          </cell>
          <cell r="E1125" t="str">
            <v>기아모텍</v>
          </cell>
          <cell r="F1125" t="str">
            <v>C4</v>
          </cell>
          <cell r="G1125" t="str">
            <v>BESTA,W/BONGO K/C</v>
          </cell>
          <cell r="H1125" t="str">
            <v>041401014541</v>
          </cell>
          <cell r="I1125" t="str">
            <v>K758 50 055/065</v>
          </cell>
          <cell r="J1125" t="str">
            <v>BUMPER PROTECTOR R/L</v>
          </cell>
          <cell r="K1125" t="str">
            <v>금형</v>
          </cell>
          <cell r="L1125" t="str">
            <v>INJ.</v>
          </cell>
          <cell r="M1125">
            <v>1</v>
          </cell>
          <cell r="N1125">
            <v>2771600</v>
          </cell>
          <cell r="Y1125" t="str">
            <v>주물</v>
          </cell>
          <cell r="AA1125" t="str">
            <v>xx</v>
          </cell>
          <cell r="AB1125" t="str">
            <v>93-06-28</v>
          </cell>
          <cell r="AG1125" t="str">
            <v>서해공업㈜ 반　</v>
          </cell>
          <cell r="AI1125" t="str">
            <v>태광공업</v>
          </cell>
        </row>
        <row r="1126">
          <cell r="A1126">
            <v>881</v>
          </cell>
          <cell r="E1126" t="str">
            <v>기아모텍</v>
          </cell>
          <cell r="F1126" t="str">
            <v>B</v>
          </cell>
          <cell r="G1126" t="str">
            <v>BESTA,W/BONGO K/C</v>
          </cell>
          <cell r="H1126" t="str">
            <v>041104140071</v>
          </cell>
          <cell r="I1126" t="str">
            <v>K758 50 071/081</v>
          </cell>
          <cell r="J1126" t="str">
            <v>STAY-BUMPER NO.1 R/L</v>
          </cell>
          <cell r="K1126" t="str">
            <v>금형</v>
          </cell>
          <cell r="L1126" t="str">
            <v>CAM/PIE</v>
          </cell>
          <cell r="M1126">
            <v>1</v>
          </cell>
          <cell r="N1126">
            <v>593650</v>
          </cell>
          <cell r="Y1126" t="str">
            <v>STEEL</v>
          </cell>
          <cell r="Z1126">
            <v>0</v>
          </cell>
          <cell r="AA1126" t="str">
            <v>xx</v>
          </cell>
          <cell r="AB1126" t="str">
            <v>93-06-28</v>
          </cell>
          <cell r="AG1126" t="str">
            <v>광성기업</v>
          </cell>
          <cell r="AI1126" t="str">
            <v>대부정공</v>
          </cell>
        </row>
        <row r="1127">
          <cell r="A1127">
            <v>882</v>
          </cell>
          <cell r="E1127" t="str">
            <v>기아모텍</v>
          </cell>
          <cell r="F1127" t="str">
            <v>B</v>
          </cell>
          <cell r="G1127" t="str">
            <v>BESTA,W/BONGO K/C</v>
          </cell>
          <cell r="H1127" t="str">
            <v>041105240141</v>
          </cell>
          <cell r="I1127" t="str">
            <v>K758 50 071/081</v>
          </cell>
          <cell r="J1127" t="str">
            <v>STAY-BUMPER NO.1 R/L</v>
          </cell>
          <cell r="K1127" t="str">
            <v>금형</v>
          </cell>
          <cell r="L1127" t="str">
            <v>FL</v>
          </cell>
          <cell r="M1127">
            <v>2</v>
          </cell>
          <cell r="N1127">
            <v>593650</v>
          </cell>
          <cell r="Y1127" t="str">
            <v>STEEL</v>
          </cell>
          <cell r="Z1127">
            <v>0</v>
          </cell>
          <cell r="AA1127" t="str">
            <v>xx</v>
          </cell>
          <cell r="AB1127" t="str">
            <v>93-06-28</v>
          </cell>
          <cell r="AG1127" t="str">
            <v>광성기업</v>
          </cell>
          <cell r="AI1127" t="str">
            <v>대부정공</v>
          </cell>
        </row>
        <row r="1128">
          <cell r="A1128">
            <v>882.0999755859375</v>
          </cell>
          <cell r="E1128" t="str">
            <v>기아모텍</v>
          </cell>
          <cell r="F1128" t="str">
            <v>B</v>
          </cell>
          <cell r="G1128" t="str">
            <v>BESTA,W/BONGO K/C</v>
          </cell>
          <cell r="H1128" t="str">
            <v>041105240141</v>
          </cell>
          <cell r="I1128" t="str">
            <v>K758 50 071/081</v>
          </cell>
          <cell r="J1128" t="str">
            <v>STAY-BUMPER NO.1 R/L</v>
          </cell>
          <cell r="K1128" t="str">
            <v>금형</v>
          </cell>
          <cell r="L1128" t="str">
            <v>FL</v>
          </cell>
          <cell r="M1128">
            <v>1</v>
          </cell>
          <cell r="Y1128" t="str">
            <v>STEEL</v>
          </cell>
          <cell r="Z1128">
            <v>0</v>
          </cell>
          <cell r="AA1128" t="str">
            <v>xx</v>
          </cell>
          <cell r="AB1128" t="str">
            <v>93-06-28</v>
          </cell>
          <cell r="AG1128" t="str">
            <v>광성기업</v>
          </cell>
          <cell r="AI1128" t="str">
            <v>대부정공</v>
          </cell>
        </row>
        <row r="1129">
          <cell r="A1129">
            <v>882.20001220703125</v>
          </cell>
          <cell r="E1129" t="str">
            <v>기아모텍</v>
          </cell>
          <cell r="F1129" t="str">
            <v>B</v>
          </cell>
          <cell r="G1129" t="str">
            <v>BESTA,W/BONGO K/C</v>
          </cell>
          <cell r="H1129" t="str">
            <v>041105240141</v>
          </cell>
          <cell r="I1129" t="str">
            <v>K758 50 071/081</v>
          </cell>
          <cell r="J1129" t="str">
            <v>STAY-BUMPER NO.1 R/L</v>
          </cell>
          <cell r="K1129" t="str">
            <v>금형</v>
          </cell>
          <cell r="L1129" t="str">
            <v>FL</v>
          </cell>
          <cell r="M1129">
            <v>1</v>
          </cell>
          <cell r="Y1129" t="str">
            <v>STEEL</v>
          </cell>
          <cell r="Z1129">
            <v>0</v>
          </cell>
          <cell r="AA1129" t="str">
            <v>xx</v>
          </cell>
          <cell r="AB1129" t="str">
            <v>93-06-28</v>
          </cell>
          <cell r="AG1129" t="str">
            <v>광성기업</v>
          </cell>
          <cell r="AI1129" t="str">
            <v>대부정공</v>
          </cell>
        </row>
        <row r="1130">
          <cell r="A1130">
            <v>883</v>
          </cell>
          <cell r="E1130" t="str">
            <v>기아모텍</v>
          </cell>
          <cell r="F1130" t="str">
            <v>B</v>
          </cell>
          <cell r="G1130" t="str">
            <v>BESTA,W/BONGO K/C</v>
          </cell>
          <cell r="H1130" t="str">
            <v>041105340141</v>
          </cell>
          <cell r="I1130" t="str">
            <v>K758 50 071/081</v>
          </cell>
          <cell r="J1130" t="str">
            <v>STAY-BUMPER NO.1 R/L</v>
          </cell>
          <cell r="K1130" t="str">
            <v>금형</v>
          </cell>
          <cell r="L1130" t="str">
            <v>FL</v>
          </cell>
          <cell r="M1130">
            <v>2</v>
          </cell>
          <cell r="N1130">
            <v>593650</v>
          </cell>
          <cell r="Y1130" t="str">
            <v>STEEL</v>
          </cell>
          <cell r="Z1130">
            <v>0</v>
          </cell>
          <cell r="AA1130" t="str">
            <v>xx</v>
          </cell>
          <cell r="AB1130" t="str">
            <v>93-06-28</v>
          </cell>
          <cell r="AG1130" t="str">
            <v>광성기업</v>
          </cell>
          <cell r="AI1130" t="str">
            <v>대부정공</v>
          </cell>
        </row>
        <row r="1131">
          <cell r="A1131">
            <v>883.0999755859375</v>
          </cell>
          <cell r="E1131" t="str">
            <v>기아모텍</v>
          </cell>
          <cell r="F1131" t="str">
            <v>B</v>
          </cell>
          <cell r="G1131" t="str">
            <v>BESTA,W/BONGO K/C</v>
          </cell>
          <cell r="H1131" t="str">
            <v>041105340141</v>
          </cell>
          <cell r="I1131" t="str">
            <v>K758 50 071/081</v>
          </cell>
          <cell r="J1131" t="str">
            <v>STAY-BUMPER NO.1 R/L</v>
          </cell>
          <cell r="K1131" t="str">
            <v>금형</v>
          </cell>
          <cell r="L1131" t="str">
            <v>FL</v>
          </cell>
          <cell r="M1131">
            <v>1</v>
          </cell>
          <cell r="Y1131" t="str">
            <v>STEEL</v>
          </cell>
          <cell r="Z1131">
            <v>0</v>
          </cell>
          <cell r="AA1131" t="str">
            <v>xx</v>
          </cell>
          <cell r="AB1131" t="str">
            <v>93-06-28</v>
          </cell>
          <cell r="AG1131" t="str">
            <v>광성기업</v>
          </cell>
          <cell r="AI1131" t="str">
            <v>대부정공</v>
          </cell>
        </row>
        <row r="1132">
          <cell r="A1132">
            <v>883.20001220703125</v>
          </cell>
          <cell r="E1132" t="str">
            <v>기아모텍</v>
          </cell>
          <cell r="F1132" t="str">
            <v>B</v>
          </cell>
          <cell r="G1132" t="str">
            <v>BESTA,W/BONGO K/C</v>
          </cell>
          <cell r="H1132" t="str">
            <v>041105340141</v>
          </cell>
          <cell r="I1132" t="str">
            <v>K758 50 071/081</v>
          </cell>
          <cell r="J1132" t="str">
            <v>STAY-BUMPER NO.1 R/L</v>
          </cell>
          <cell r="K1132" t="str">
            <v>금형</v>
          </cell>
          <cell r="L1132" t="str">
            <v>FL</v>
          </cell>
          <cell r="M1132">
            <v>1</v>
          </cell>
          <cell r="Y1132" t="str">
            <v>STEEL</v>
          </cell>
          <cell r="Z1132">
            <v>0</v>
          </cell>
          <cell r="AA1132" t="str">
            <v>xx</v>
          </cell>
          <cell r="AB1132" t="str">
            <v>93-06-28</v>
          </cell>
          <cell r="AG1132" t="str">
            <v>광성기업</v>
          </cell>
          <cell r="AI1132" t="str">
            <v>대부정공</v>
          </cell>
        </row>
        <row r="1133">
          <cell r="A1133">
            <v>884</v>
          </cell>
          <cell r="E1133" t="str">
            <v>기아모텍</v>
          </cell>
          <cell r="F1133" t="str">
            <v>B</v>
          </cell>
          <cell r="G1133" t="str">
            <v>BESTA,W/BONGO K/C</v>
          </cell>
          <cell r="H1133" t="str">
            <v>041105440191</v>
          </cell>
          <cell r="I1133" t="str">
            <v>K758 50 071/081</v>
          </cell>
          <cell r="J1133" t="str">
            <v>STAY-BUMPER NO.1 R/L</v>
          </cell>
          <cell r="K1133" t="str">
            <v>금형</v>
          </cell>
          <cell r="L1133" t="str">
            <v>BL</v>
          </cell>
          <cell r="M1133">
            <v>1</v>
          </cell>
          <cell r="N1133">
            <v>593650</v>
          </cell>
          <cell r="Y1133" t="str">
            <v>STEEL</v>
          </cell>
          <cell r="Z1133">
            <v>0</v>
          </cell>
          <cell r="AA1133" t="str">
            <v>xx</v>
          </cell>
          <cell r="AB1133" t="str">
            <v>93-06-28</v>
          </cell>
          <cell r="AG1133" t="str">
            <v>광성기업</v>
          </cell>
          <cell r="AI1133" t="str">
            <v>대부정공</v>
          </cell>
        </row>
        <row r="1134">
          <cell r="A1134">
            <v>885</v>
          </cell>
          <cell r="E1134" t="str">
            <v>기아모텍</v>
          </cell>
          <cell r="F1134" t="str">
            <v>A</v>
          </cell>
          <cell r="G1134" t="str">
            <v>PREGIO 98MY</v>
          </cell>
          <cell r="H1134" t="str">
            <v>041110015375</v>
          </cell>
          <cell r="I1134" t="str">
            <v>K75B 50 221</v>
          </cell>
          <cell r="J1134" t="str">
            <v>RR BUMPER</v>
          </cell>
          <cell r="K1134" t="str">
            <v>금형</v>
          </cell>
          <cell r="L1134" t="str">
            <v>INJ</v>
          </cell>
          <cell r="M1134">
            <v>1</v>
          </cell>
          <cell r="N1134">
            <v>292839000</v>
          </cell>
          <cell r="Z1134">
            <v>21.12435</v>
          </cell>
          <cell r="AA1134" t="str">
            <v>2300x1500x1300</v>
          </cell>
          <cell r="AB1134" t="str">
            <v>98-3</v>
          </cell>
          <cell r="AG1134" t="str">
            <v>기아모텍</v>
          </cell>
          <cell r="AJ1134" t="str">
            <v>풍기정공</v>
          </cell>
          <cell r="AK1134" t="str">
            <v>KMC 사급</v>
          </cell>
        </row>
        <row r="1135">
          <cell r="A1135">
            <v>886</v>
          </cell>
          <cell r="E1135" t="str">
            <v>기아모텍</v>
          </cell>
          <cell r="F1135" t="str">
            <v>B</v>
          </cell>
          <cell r="G1135" t="str">
            <v>BESTA MMO</v>
          </cell>
          <cell r="H1135" t="str">
            <v>041101140103</v>
          </cell>
          <cell r="I1135" t="str">
            <v>K770 62 031</v>
          </cell>
          <cell r="J1135" t="str">
            <v>PANEL-BACK DOOR OUT</v>
          </cell>
          <cell r="K1135" t="str">
            <v>금형</v>
          </cell>
          <cell r="L1135" t="str">
            <v>1/4 DR</v>
          </cell>
          <cell r="M1135">
            <v>1</v>
          </cell>
          <cell r="N1135">
            <v>38501289</v>
          </cell>
          <cell r="Y1135" t="str">
            <v>주물</v>
          </cell>
          <cell r="AA1135" t="str">
            <v>xx</v>
          </cell>
          <cell r="AB1135" t="str">
            <v>90-06-03</v>
          </cell>
          <cell r="AG1135" t="str">
            <v>KIA</v>
          </cell>
          <cell r="AI1135" t="str">
            <v>KMO 안산2공장</v>
          </cell>
        </row>
        <row r="1136">
          <cell r="A1136">
            <v>887</v>
          </cell>
          <cell r="E1136" t="str">
            <v>기아모텍</v>
          </cell>
          <cell r="F1136" t="str">
            <v>B</v>
          </cell>
          <cell r="G1136" t="str">
            <v>BESTA MMO</v>
          </cell>
          <cell r="H1136" t="str">
            <v>041101240100</v>
          </cell>
          <cell r="I1136" t="str">
            <v>K770 62 031</v>
          </cell>
          <cell r="J1136" t="str">
            <v>PANEL-BACK DOOR OUT</v>
          </cell>
          <cell r="K1136" t="str">
            <v>금형</v>
          </cell>
          <cell r="L1136" t="str">
            <v>2/4 TR/PIE</v>
          </cell>
          <cell r="M1136">
            <v>1</v>
          </cell>
          <cell r="N1136">
            <v>46087134</v>
          </cell>
          <cell r="Y1136" t="str">
            <v>주물</v>
          </cell>
          <cell r="AA1136" t="str">
            <v>xx</v>
          </cell>
          <cell r="AB1136" t="str">
            <v>90-06-03</v>
          </cell>
          <cell r="AG1136" t="str">
            <v>KIA</v>
          </cell>
          <cell r="AI1136" t="str">
            <v>KMO 안산2공장</v>
          </cell>
        </row>
        <row r="1137">
          <cell r="A1137">
            <v>888</v>
          </cell>
          <cell r="E1137" t="str">
            <v>기아모텍</v>
          </cell>
          <cell r="F1137" t="str">
            <v>B</v>
          </cell>
          <cell r="G1137" t="str">
            <v>BESTA MMO</v>
          </cell>
          <cell r="H1137" t="str">
            <v>041101340067</v>
          </cell>
          <cell r="I1137" t="str">
            <v>K770 62 031</v>
          </cell>
          <cell r="J1137" t="str">
            <v>PANEL-BACK DOOR OUT</v>
          </cell>
          <cell r="K1137" t="str">
            <v>금형</v>
          </cell>
          <cell r="L1137" t="str">
            <v>3/4 FL/RE</v>
          </cell>
          <cell r="M1137">
            <v>1</v>
          </cell>
          <cell r="N1137">
            <v>37342012</v>
          </cell>
          <cell r="Y1137" t="str">
            <v>주물</v>
          </cell>
          <cell r="AA1137" t="str">
            <v>xx</v>
          </cell>
          <cell r="AB1137" t="str">
            <v>90-06-03</v>
          </cell>
          <cell r="AG1137" t="str">
            <v>KIA</v>
          </cell>
          <cell r="AI1137" t="str">
            <v>KMO 안산2공장</v>
          </cell>
        </row>
        <row r="1138">
          <cell r="A1138">
            <v>889</v>
          </cell>
          <cell r="E1138" t="str">
            <v>기아모텍</v>
          </cell>
          <cell r="F1138" t="str">
            <v>B</v>
          </cell>
          <cell r="G1138" t="str">
            <v>BESTA MMO</v>
          </cell>
          <cell r="H1138" t="str">
            <v>041101440283</v>
          </cell>
          <cell r="I1138" t="str">
            <v>K770 62 031</v>
          </cell>
          <cell r="J1138" t="str">
            <v>PANEL-BACK DOOR OUT</v>
          </cell>
          <cell r="K1138" t="str">
            <v>금형</v>
          </cell>
          <cell r="L1138" t="str">
            <v>4/4CAM/FL PI</v>
          </cell>
          <cell r="M1138">
            <v>1</v>
          </cell>
          <cell r="N1138">
            <v>54720094</v>
          </cell>
          <cell r="Y1138" t="str">
            <v>주물</v>
          </cell>
          <cell r="AA1138" t="str">
            <v>xx</v>
          </cell>
          <cell r="AB1138" t="str">
            <v>90-06-03</v>
          </cell>
          <cell r="AG1138" t="str">
            <v>KIA</v>
          </cell>
          <cell r="AI1138" t="str">
            <v>KMO 안산2공장</v>
          </cell>
        </row>
        <row r="1139">
          <cell r="A1139">
            <v>890</v>
          </cell>
          <cell r="E1139" t="str">
            <v>기아모텍</v>
          </cell>
          <cell r="F1139" t="str">
            <v>B</v>
          </cell>
          <cell r="G1139" t="str">
            <v>BESTA MMO</v>
          </cell>
          <cell r="H1139" t="str">
            <v>044102012085</v>
          </cell>
          <cell r="I1139" t="str">
            <v>K770 62/63 111</v>
          </cell>
          <cell r="J1139" t="str">
            <v>BRKT LAMP R/L</v>
          </cell>
          <cell r="K1139" t="str">
            <v>검사구</v>
          </cell>
          <cell r="M1139">
            <v>1</v>
          </cell>
          <cell r="N1139">
            <v>920000</v>
          </cell>
          <cell r="Y1139" t="str">
            <v>수지</v>
          </cell>
          <cell r="Z1139">
            <v>0.12668016000000001</v>
          </cell>
          <cell r="AA1139" t="str">
            <v>820x410x240</v>
          </cell>
          <cell r="AB1139" t="str">
            <v>89-10-20</v>
          </cell>
          <cell r="AG1139" t="str">
            <v>학림모델</v>
          </cell>
          <cell r="AI1139" t="str">
            <v>구동산업</v>
          </cell>
        </row>
        <row r="1140">
          <cell r="A1140">
            <v>891</v>
          </cell>
          <cell r="E1140" t="str">
            <v>기아모텍</v>
          </cell>
          <cell r="F1140" t="str">
            <v>B</v>
          </cell>
          <cell r="G1140" t="str">
            <v>BESTA MMO</v>
          </cell>
          <cell r="H1140" t="str">
            <v>041401013919</v>
          </cell>
          <cell r="I1140" t="str">
            <v>K771 50 031</v>
          </cell>
          <cell r="J1140" t="str">
            <v>FRT. BUMPER ( P.P )</v>
          </cell>
          <cell r="K1140" t="str">
            <v>금형</v>
          </cell>
          <cell r="M1140">
            <v>1</v>
          </cell>
          <cell r="N1140">
            <v>206874161</v>
          </cell>
          <cell r="Y1140" t="str">
            <v>주물</v>
          </cell>
          <cell r="Z1140">
            <v>0</v>
          </cell>
          <cell r="AA1140" t="str">
            <v>xx</v>
          </cell>
          <cell r="AB1140" t="str">
            <v>90-09-30</v>
          </cell>
          <cell r="AG1140" t="str">
            <v>프라코</v>
          </cell>
          <cell r="AI1140" t="str">
            <v>대륭강업</v>
          </cell>
        </row>
        <row r="1141">
          <cell r="A1141">
            <v>892</v>
          </cell>
          <cell r="E1141" t="str">
            <v>기아모텍</v>
          </cell>
          <cell r="F1141" t="str">
            <v>B</v>
          </cell>
          <cell r="G1141" t="str">
            <v>BESTA MMO</v>
          </cell>
          <cell r="H1141" t="str">
            <v>044101015006</v>
          </cell>
          <cell r="I1141" t="str">
            <v>K771 50 031</v>
          </cell>
          <cell r="J1141" t="str">
            <v>BUMPER FRT. FACE</v>
          </cell>
          <cell r="K1141" t="str">
            <v>검사구</v>
          </cell>
          <cell r="M1141">
            <v>1</v>
          </cell>
          <cell r="N1141">
            <v>9690000</v>
          </cell>
          <cell r="Y1141" t="str">
            <v>수지</v>
          </cell>
          <cell r="Z1141">
            <v>0</v>
          </cell>
          <cell r="AA1141" t="str">
            <v>xx</v>
          </cell>
          <cell r="AB1141" t="str">
            <v>89-10-22</v>
          </cell>
          <cell r="AG1141" t="str">
            <v>학림모델</v>
          </cell>
          <cell r="AI1141" t="str">
            <v>대륭강업</v>
          </cell>
        </row>
        <row r="1142">
          <cell r="A1142">
            <v>893</v>
          </cell>
          <cell r="E1142" t="str">
            <v>기아모텍</v>
          </cell>
          <cell r="F1142" t="str">
            <v>B</v>
          </cell>
          <cell r="G1142" t="str">
            <v>BESTA MMO</v>
          </cell>
          <cell r="H1142" t="str">
            <v>044101014996</v>
          </cell>
          <cell r="I1142" t="str">
            <v>K771 50 070</v>
          </cell>
          <cell r="J1142" t="str">
            <v>FRT BUMPER REINF</v>
          </cell>
          <cell r="K1142" t="str">
            <v>검사구</v>
          </cell>
          <cell r="M1142">
            <v>1</v>
          </cell>
          <cell r="N1142">
            <v>5200000</v>
          </cell>
          <cell r="Y1142" t="str">
            <v>수지</v>
          </cell>
          <cell r="Z1142">
            <v>0</v>
          </cell>
          <cell r="AA1142" t="str">
            <v>xx</v>
          </cell>
          <cell r="AB1142" t="str">
            <v>89-11-05</v>
          </cell>
          <cell r="AG1142" t="str">
            <v>학림모델</v>
          </cell>
          <cell r="AI1142" t="str">
            <v>대부정공</v>
          </cell>
        </row>
        <row r="1143">
          <cell r="A1143">
            <v>894</v>
          </cell>
          <cell r="E1143" t="str">
            <v>기아모텍</v>
          </cell>
          <cell r="F1143" t="str">
            <v>B</v>
          </cell>
          <cell r="G1143" t="str">
            <v>BESTA MMO</v>
          </cell>
          <cell r="H1143" t="str">
            <v>041101119741</v>
          </cell>
          <cell r="I1143" t="str">
            <v>K771 50 071</v>
          </cell>
          <cell r="J1143" t="str">
            <v>R/F N0.1</v>
          </cell>
          <cell r="K1143" t="str">
            <v>금형</v>
          </cell>
          <cell r="M1143">
            <v>4</v>
          </cell>
          <cell r="N1143">
            <v>10084600</v>
          </cell>
          <cell r="Y1143" t="str">
            <v>STEEL</v>
          </cell>
          <cell r="Z1143">
            <v>0</v>
          </cell>
          <cell r="AA1143" t="str">
            <v>xx</v>
          </cell>
          <cell r="AB1143" t="str">
            <v>94-04-08</v>
          </cell>
          <cell r="AI1143" t="str">
            <v>대부정공</v>
          </cell>
        </row>
        <row r="1144">
          <cell r="A1144">
            <v>894.0999755859375</v>
          </cell>
          <cell r="E1144" t="str">
            <v>기아모텍</v>
          </cell>
          <cell r="F1144" t="str">
            <v>B</v>
          </cell>
          <cell r="G1144" t="str">
            <v>BESTA MMO</v>
          </cell>
          <cell r="H1144" t="str">
            <v>041101119741</v>
          </cell>
          <cell r="I1144" t="str">
            <v>K771 50 071</v>
          </cell>
          <cell r="J1144" t="str">
            <v>R/F N0.1</v>
          </cell>
          <cell r="K1144" t="str">
            <v>금형</v>
          </cell>
          <cell r="M1144">
            <v>1</v>
          </cell>
          <cell r="Y1144" t="str">
            <v>STEEL</v>
          </cell>
          <cell r="Z1144">
            <v>0</v>
          </cell>
          <cell r="AA1144" t="str">
            <v>xx</v>
          </cell>
          <cell r="AB1144" t="str">
            <v>94-04-08</v>
          </cell>
          <cell r="AI1144" t="str">
            <v>대부정공</v>
          </cell>
        </row>
        <row r="1145">
          <cell r="A1145">
            <v>894.20001220703125</v>
          </cell>
          <cell r="E1145" t="str">
            <v>기아모텍</v>
          </cell>
          <cell r="F1145" t="str">
            <v>B</v>
          </cell>
          <cell r="G1145" t="str">
            <v>BESTA MMO</v>
          </cell>
          <cell r="H1145" t="str">
            <v>041101119741</v>
          </cell>
          <cell r="I1145" t="str">
            <v>K771 50 071</v>
          </cell>
          <cell r="J1145" t="str">
            <v>R/F N0.1</v>
          </cell>
          <cell r="K1145" t="str">
            <v>금형</v>
          </cell>
          <cell r="M1145">
            <v>1</v>
          </cell>
          <cell r="Y1145" t="str">
            <v>STEEL</v>
          </cell>
          <cell r="Z1145">
            <v>0</v>
          </cell>
          <cell r="AA1145" t="str">
            <v>xx</v>
          </cell>
          <cell r="AB1145" t="str">
            <v>94-04-08</v>
          </cell>
          <cell r="AI1145" t="str">
            <v>대부정공</v>
          </cell>
        </row>
        <row r="1146">
          <cell r="A1146">
            <v>894.29998779296875</v>
          </cell>
          <cell r="E1146" t="str">
            <v>기아모텍</v>
          </cell>
          <cell r="F1146" t="str">
            <v>B</v>
          </cell>
          <cell r="G1146" t="str">
            <v>BESTA MMO</v>
          </cell>
          <cell r="H1146" t="str">
            <v>041101119741</v>
          </cell>
          <cell r="I1146" t="str">
            <v>K771 50 071</v>
          </cell>
          <cell r="J1146" t="str">
            <v>R/F N0.1</v>
          </cell>
          <cell r="K1146" t="str">
            <v>금형</v>
          </cell>
          <cell r="M1146">
            <v>1</v>
          </cell>
          <cell r="Y1146" t="str">
            <v>STEEL</v>
          </cell>
          <cell r="Z1146">
            <v>0</v>
          </cell>
          <cell r="AA1146" t="str">
            <v>xx</v>
          </cell>
          <cell r="AB1146" t="str">
            <v>94-04-08</v>
          </cell>
          <cell r="AI1146" t="str">
            <v>대부정공</v>
          </cell>
        </row>
        <row r="1147">
          <cell r="A1147">
            <v>894.4000244140625</v>
          </cell>
          <cell r="E1147" t="str">
            <v>기아모텍</v>
          </cell>
          <cell r="F1147" t="str">
            <v>B</v>
          </cell>
          <cell r="G1147" t="str">
            <v>BESTA MMO</v>
          </cell>
          <cell r="H1147" t="str">
            <v>041101119741</v>
          </cell>
          <cell r="I1147" t="str">
            <v>K771 50 071</v>
          </cell>
          <cell r="J1147" t="str">
            <v>R/F N0.1</v>
          </cell>
          <cell r="K1147" t="str">
            <v>금형</v>
          </cell>
          <cell r="M1147">
            <v>1</v>
          </cell>
          <cell r="Y1147" t="str">
            <v>STEEL</v>
          </cell>
          <cell r="Z1147">
            <v>0</v>
          </cell>
          <cell r="AA1147" t="str">
            <v>xx</v>
          </cell>
          <cell r="AB1147" t="str">
            <v>94-04-08</v>
          </cell>
          <cell r="AI1147" t="str">
            <v>대부정공</v>
          </cell>
        </row>
        <row r="1148">
          <cell r="A1148">
            <v>895</v>
          </cell>
          <cell r="E1148" t="str">
            <v>기아모텍</v>
          </cell>
          <cell r="F1148" t="str">
            <v>B</v>
          </cell>
          <cell r="G1148" t="str">
            <v>BESTA MMO</v>
          </cell>
          <cell r="H1148" t="str">
            <v>041101119751</v>
          </cell>
          <cell r="I1148" t="str">
            <v>K771 50 076</v>
          </cell>
          <cell r="J1148" t="str">
            <v>R/F NO.2</v>
          </cell>
          <cell r="K1148" t="str">
            <v>금형</v>
          </cell>
          <cell r="M1148">
            <v>4</v>
          </cell>
          <cell r="N1148">
            <v>4165000</v>
          </cell>
          <cell r="Y1148" t="str">
            <v>STEEL</v>
          </cell>
          <cell r="Z1148">
            <v>0</v>
          </cell>
          <cell r="AA1148" t="str">
            <v>xx</v>
          </cell>
          <cell r="AB1148" t="str">
            <v>94-04-08</v>
          </cell>
          <cell r="AI1148" t="str">
            <v>대부정공</v>
          </cell>
        </row>
        <row r="1149">
          <cell r="A1149">
            <v>895.0999755859375</v>
          </cell>
          <cell r="E1149" t="str">
            <v>기아모텍</v>
          </cell>
          <cell r="F1149" t="str">
            <v>B</v>
          </cell>
          <cell r="G1149" t="str">
            <v>BESTA MMO</v>
          </cell>
          <cell r="H1149" t="str">
            <v>041101119751</v>
          </cell>
          <cell r="I1149" t="str">
            <v>K771 50 076</v>
          </cell>
          <cell r="J1149" t="str">
            <v>R/F NO.2</v>
          </cell>
          <cell r="K1149" t="str">
            <v>금형</v>
          </cell>
          <cell r="M1149">
            <v>1</v>
          </cell>
          <cell r="Y1149" t="str">
            <v>STEEL</v>
          </cell>
          <cell r="Z1149">
            <v>0</v>
          </cell>
          <cell r="AA1149" t="str">
            <v>xx</v>
          </cell>
          <cell r="AB1149" t="str">
            <v>94-04-08</v>
          </cell>
          <cell r="AI1149" t="str">
            <v>대부정공</v>
          </cell>
        </row>
        <row r="1150">
          <cell r="A1150">
            <v>895.20001220703125</v>
          </cell>
          <cell r="E1150" t="str">
            <v>기아모텍</v>
          </cell>
          <cell r="F1150" t="str">
            <v>B</v>
          </cell>
          <cell r="G1150" t="str">
            <v>BESTA MMO</v>
          </cell>
          <cell r="H1150" t="str">
            <v>041101119751</v>
          </cell>
          <cell r="I1150" t="str">
            <v>K771 50 076</v>
          </cell>
          <cell r="J1150" t="str">
            <v>R/F NO.2</v>
          </cell>
          <cell r="K1150" t="str">
            <v>금형</v>
          </cell>
          <cell r="M1150">
            <v>1</v>
          </cell>
          <cell r="Y1150" t="str">
            <v>STEEL</v>
          </cell>
          <cell r="Z1150">
            <v>0</v>
          </cell>
          <cell r="AA1150" t="str">
            <v>xx</v>
          </cell>
          <cell r="AB1150" t="str">
            <v>94-04-08</v>
          </cell>
          <cell r="AI1150" t="str">
            <v>대부정공</v>
          </cell>
        </row>
        <row r="1151">
          <cell r="A1151">
            <v>895.29998779296875</v>
          </cell>
          <cell r="E1151" t="str">
            <v>기아모텍</v>
          </cell>
          <cell r="F1151" t="str">
            <v>B</v>
          </cell>
          <cell r="G1151" t="str">
            <v>BESTA MMO</v>
          </cell>
          <cell r="H1151" t="str">
            <v>041101119751</v>
          </cell>
          <cell r="I1151" t="str">
            <v>K771 50 076</v>
          </cell>
          <cell r="J1151" t="str">
            <v>R/F NO.2</v>
          </cell>
          <cell r="K1151" t="str">
            <v>금형</v>
          </cell>
          <cell r="M1151">
            <v>1</v>
          </cell>
          <cell r="Y1151" t="str">
            <v>STEEL</v>
          </cell>
          <cell r="Z1151">
            <v>0</v>
          </cell>
          <cell r="AA1151" t="str">
            <v>xx</v>
          </cell>
          <cell r="AB1151" t="str">
            <v>94-04-08</v>
          </cell>
          <cell r="AI1151" t="str">
            <v>대부정공</v>
          </cell>
        </row>
        <row r="1152">
          <cell r="A1152">
            <v>895.4000244140625</v>
          </cell>
          <cell r="E1152" t="str">
            <v>기아모텍</v>
          </cell>
          <cell r="F1152" t="str">
            <v>B</v>
          </cell>
          <cell r="G1152" t="str">
            <v>BESTA MMO</v>
          </cell>
          <cell r="H1152" t="str">
            <v>041101119751</v>
          </cell>
          <cell r="I1152" t="str">
            <v>K771 50 076</v>
          </cell>
          <cell r="J1152" t="str">
            <v>R/F NO.2</v>
          </cell>
          <cell r="K1152" t="str">
            <v>금형</v>
          </cell>
          <cell r="M1152">
            <v>1</v>
          </cell>
          <cell r="Y1152" t="str">
            <v>STEEL</v>
          </cell>
          <cell r="Z1152">
            <v>0</v>
          </cell>
          <cell r="AA1152" t="str">
            <v>xx</v>
          </cell>
          <cell r="AB1152" t="str">
            <v>94-04-08</v>
          </cell>
          <cell r="AI1152" t="str">
            <v>대부정공</v>
          </cell>
        </row>
        <row r="1153">
          <cell r="A1153">
            <v>896</v>
          </cell>
          <cell r="E1153" t="str">
            <v>기아모텍</v>
          </cell>
          <cell r="F1153" t="str">
            <v>B</v>
          </cell>
          <cell r="G1153" t="str">
            <v>BESTA MMO</v>
          </cell>
          <cell r="H1153" t="str">
            <v>041401013909</v>
          </cell>
          <cell r="I1153" t="str">
            <v>K771 50 221</v>
          </cell>
          <cell r="J1153" t="str">
            <v>Rr. BUMPER ( P.P)</v>
          </cell>
          <cell r="K1153" t="str">
            <v>금형</v>
          </cell>
          <cell r="M1153">
            <v>1</v>
          </cell>
          <cell r="N1153">
            <v>159584912</v>
          </cell>
          <cell r="Y1153" t="str">
            <v>주물</v>
          </cell>
          <cell r="AA1153" t="str">
            <v>xx</v>
          </cell>
          <cell r="AB1153" t="str">
            <v>90-08-31</v>
          </cell>
          <cell r="AG1153" t="str">
            <v>한국금형</v>
          </cell>
          <cell r="AI1153" t="str">
            <v>KMO 광주공장</v>
          </cell>
        </row>
        <row r="1154">
          <cell r="A1154">
            <v>897</v>
          </cell>
          <cell r="E1154" t="str">
            <v>기아모텍</v>
          </cell>
          <cell r="F1154" t="str">
            <v>B</v>
          </cell>
          <cell r="G1154" t="str">
            <v>BESTA MMO</v>
          </cell>
          <cell r="H1154" t="str">
            <v>044101015096</v>
          </cell>
          <cell r="I1154" t="str">
            <v>K771 50 221</v>
          </cell>
          <cell r="J1154" t="str">
            <v>BUMPER RR. FACE</v>
          </cell>
          <cell r="K1154" t="str">
            <v>검사구</v>
          </cell>
          <cell r="M1154">
            <v>1</v>
          </cell>
          <cell r="N1154">
            <v>4860000</v>
          </cell>
          <cell r="Y1154" t="str">
            <v>수지</v>
          </cell>
          <cell r="AA1154" t="str">
            <v>xx</v>
          </cell>
          <cell r="AB1154" t="str">
            <v>89-10-20</v>
          </cell>
          <cell r="AG1154" t="str">
            <v>영광정밀</v>
          </cell>
          <cell r="AI1154" t="str">
            <v>KMO 광주공장</v>
          </cell>
        </row>
        <row r="1155">
          <cell r="A1155">
            <v>898</v>
          </cell>
          <cell r="E1155" t="str">
            <v>기아모텍</v>
          </cell>
          <cell r="F1155" t="str">
            <v>C4</v>
          </cell>
          <cell r="G1155" t="str">
            <v>BESTA MMO</v>
          </cell>
          <cell r="H1155" t="str">
            <v>044102015895</v>
          </cell>
          <cell r="I1155" t="str">
            <v>K771 50 230</v>
          </cell>
          <cell r="J1155" t="str">
            <v>STEP Rr BUMPER</v>
          </cell>
          <cell r="K1155" t="str">
            <v>검사구</v>
          </cell>
          <cell r="M1155">
            <v>1</v>
          </cell>
          <cell r="N1155">
            <v>2544000</v>
          </cell>
          <cell r="Z1155">
            <v>0</v>
          </cell>
          <cell r="AA1155" t="str">
            <v>xx</v>
          </cell>
          <cell r="AB1155" t="str">
            <v>89-10-20</v>
          </cell>
          <cell r="AG1155" t="str">
            <v>KIA</v>
          </cell>
          <cell r="AJ1155" t="str">
            <v>남진금속</v>
          </cell>
          <cell r="AK1155" t="str">
            <v>확인 불가</v>
          </cell>
        </row>
        <row r="1156">
          <cell r="A1156">
            <v>899</v>
          </cell>
          <cell r="E1156" t="str">
            <v>기아모텍</v>
          </cell>
          <cell r="F1156" t="str">
            <v>C4</v>
          </cell>
          <cell r="G1156" t="str">
            <v>BESTA MMO</v>
          </cell>
          <cell r="H1156" t="str">
            <v>044102012235</v>
          </cell>
          <cell r="I1156" t="str">
            <v>K771 50 260</v>
          </cell>
          <cell r="J1156" t="str">
            <v>Rr BUMPER REINF</v>
          </cell>
          <cell r="K1156" t="str">
            <v>검사구</v>
          </cell>
          <cell r="M1156">
            <v>1</v>
          </cell>
          <cell r="N1156">
            <v>5660000</v>
          </cell>
          <cell r="Y1156" t="str">
            <v>수지</v>
          </cell>
          <cell r="AA1156" t="str">
            <v>xx</v>
          </cell>
          <cell r="AB1156" t="str">
            <v>89-11-05</v>
          </cell>
          <cell r="AG1156" t="str">
            <v>학림모델</v>
          </cell>
          <cell r="AI1156" t="str">
            <v>일석산업</v>
          </cell>
          <cell r="AJ1156" t="str">
            <v>영재정공</v>
          </cell>
        </row>
        <row r="1157">
          <cell r="A1157">
            <v>900</v>
          </cell>
          <cell r="E1157" t="str">
            <v>기아모텍</v>
          </cell>
          <cell r="F1157" t="str">
            <v>C</v>
          </cell>
          <cell r="G1157" t="str">
            <v>BESTA MMO</v>
          </cell>
          <cell r="H1157" t="str">
            <v>041101119761</v>
          </cell>
          <cell r="I1157" t="str">
            <v>K771 50 266</v>
          </cell>
          <cell r="J1157" t="str">
            <v>R/F Rr BUMPER</v>
          </cell>
          <cell r="K1157" t="str">
            <v>금형</v>
          </cell>
          <cell r="M1157">
            <v>4</v>
          </cell>
          <cell r="N1157">
            <v>10021000</v>
          </cell>
          <cell r="Y1157" t="str">
            <v>주물</v>
          </cell>
          <cell r="AA1157" t="str">
            <v>xx</v>
          </cell>
          <cell r="AB1157" t="str">
            <v>94-04-08</v>
          </cell>
          <cell r="AI1157" t="str">
            <v>영재정공</v>
          </cell>
        </row>
        <row r="1158">
          <cell r="A1158">
            <v>900.0999755859375</v>
          </cell>
          <cell r="E1158" t="str">
            <v>기아모텍</v>
          </cell>
          <cell r="F1158" t="str">
            <v>B</v>
          </cell>
          <cell r="G1158" t="str">
            <v>BESTA MMO</v>
          </cell>
          <cell r="H1158" t="str">
            <v>041101119761</v>
          </cell>
          <cell r="I1158" t="str">
            <v>K771 50 266</v>
          </cell>
          <cell r="J1158" t="str">
            <v>R/F Rr BUMPER</v>
          </cell>
          <cell r="K1158" t="str">
            <v>금형</v>
          </cell>
          <cell r="L1158" t="str">
            <v>DR</v>
          </cell>
          <cell r="Y1158" t="str">
            <v>주물</v>
          </cell>
          <cell r="Z1158">
            <v>10.197762299999999</v>
          </cell>
          <cell r="AA1158" t="str">
            <v>2430x1100x810</v>
          </cell>
          <cell r="AB1158" t="str">
            <v>94-04-08</v>
          </cell>
          <cell r="AI1158" t="str">
            <v>영재정공</v>
          </cell>
        </row>
        <row r="1159">
          <cell r="A1159">
            <v>900.20001220703125</v>
          </cell>
          <cell r="E1159" t="str">
            <v>기아모텍</v>
          </cell>
          <cell r="F1159" t="str">
            <v>B</v>
          </cell>
          <cell r="G1159" t="str">
            <v>BESTA MMO</v>
          </cell>
          <cell r="H1159" t="str">
            <v>041101119761</v>
          </cell>
          <cell r="I1159" t="str">
            <v>K771 50 266</v>
          </cell>
          <cell r="J1159" t="str">
            <v>R/F Rr BUMPER</v>
          </cell>
          <cell r="K1159" t="str">
            <v>금형</v>
          </cell>
          <cell r="L1159" t="str">
            <v>FL</v>
          </cell>
          <cell r="Y1159" t="str">
            <v>주물</v>
          </cell>
          <cell r="Z1159">
            <v>10.197762299999999</v>
          </cell>
          <cell r="AA1159" t="str">
            <v>2430x1100x810</v>
          </cell>
          <cell r="AB1159" t="str">
            <v>94-04-08</v>
          </cell>
          <cell r="AI1159" t="str">
            <v>영재정공</v>
          </cell>
        </row>
        <row r="1160">
          <cell r="A1160">
            <v>900.29998779296875</v>
          </cell>
          <cell r="E1160" t="str">
            <v>기아모텍</v>
          </cell>
          <cell r="F1160" t="str">
            <v>B</v>
          </cell>
          <cell r="G1160" t="str">
            <v>BESTA MMO</v>
          </cell>
          <cell r="H1160" t="str">
            <v>041101119761</v>
          </cell>
          <cell r="I1160" t="str">
            <v>K771 50 266</v>
          </cell>
          <cell r="J1160" t="str">
            <v>R/F Rr BUMPER</v>
          </cell>
          <cell r="K1160" t="str">
            <v>금형</v>
          </cell>
          <cell r="L1160" t="str">
            <v>TR</v>
          </cell>
          <cell r="Y1160" t="str">
            <v>주물</v>
          </cell>
          <cell r="Z1160">
            <v>10.197762299999999</v>
          </cell>
          <cell r="AA1160" t="str">
            <v>2430x1100x810</v>
          </cell>
          <cell r="AB1160" t="str">
            <v>94-04-08</v>
          </cell>
          <cell r="AI1160" t="str">
            <v>영재정공</v>
          </cell>
        </row>
        <row r="1161">
          <cell r="A1161">
            <v>900.4000244140625</v>
          </cell>
          <cell r="E1161" t="str">
            <v>기아모텍</v>
          </cell>
          <cell r="F1161" t="str">
            <v>B</v>
          </cell>
          <cell r="G1161" t="str">
            <v>BESTA MMO</v>
          </cell>
          <cell r="H1161" t="str">
            <v>041101119761</v>
          </cell>
          <cell r="I1161" t="str">
            <v>K771 50 266</v>
          </cell>
          <cell r="J1161" t="str">
            <v>R/F Rr BUMPER</v>
          </cell>
          <cell r="K1161" t="str">
            <v>금형</v>
          </cell>
          <cell r="L1161" t="str">
            <v>PI</v>
          </cell>
          <cell r="Y1161" t="str">
            <v>주물</v>
          </cell>
          <cell r="Z1161">
            <v>10.197762299999999</v>
          </cell>
          <cell r="AA1161" t="str">
            <v>2430x1100x810</v>
          </cell>
          <cell r="AB1161" t="str">
            <v>94-04-08</v>
          </cell>
          <cell r="AI1161" t="str">
            <v>영재정공</v>
          </cell>
        </row>
        <row r="1162">
          <cell r="A1162">
            <v>901</v>
          </cell>
          <cell r="E1162" t="str">
            <v>기아모텍</v>
          </cell>
          <cell r="F1162" t="str">
            <v>A</v>
          </cell>
          <cell r="G1162" t="str">
            <v>CERES F/L</v>
          </cell>
          <cell r="H1162" t="str">
            <v>041102011538</v>
          </cell>
          <cell r="I1162" t="str">
            <v>K825 50 020</v>
          </cell>
          <cell r="J1162" t="str">
            <v>FRT. BUMPER ASSY</v>
          </cell>
          <cell r="K1162" t="str">
            <v>금형</v>
          </cell>
          <cell r="L1162" t="str">
            <v>I/MOLD</v>
          </cell>
          <cell r="M1162">
            <v>1</v>
          </cell>
          <cell r="N1162">
            <v>25876000</v>
          </cell>
          <cell r="Y1162" t="str">
            <v>주물</v>
          </cell>
          <cell r="Z1162">
            <v>1.3409369999999998</v>
          </cell>
          <cell r="AA1162" t="str">
            <v>600x650x730</v>
          </cell>
          <cell r="AB1162" t="str">
            <v>90-1</v>
          </cell>
          <cell r="AG1162" t="str">
            <v>(주)명성</v>
          </cell>
          <cell r="AI1162" t="str">
            <v>대륭강업</v>
          </cell>
        </row>
        <row r="1163">
          <cell r="A1163">
            <v>902</v>
          </cell>
          <cell r="E1163" t="str">
            <v>기아모텍</v>
          </cell>
          <cell r="F1163" t="str">
            <v>A</v>
          </cell>
          <cell r="G1163" t="str">
            <v>CERES F/L</v>
          </cell>
          <cell r="H1163" t="str">
            <v>041102011538</v>
          </cell>
          <cell r="I1163" t="str">
            <v>K825 50 020</v>
          </cell>
          <cell r="J1163" t="str">
            <v>FRT. BUMPER ASSY</v>
          </cell>
          <cell r="K1163" t="str">
            <v>금형</v>
          </cell>
          <cell r="L1163" t="str">
            <v>C/CUT</v>
          </cell>
          <cell r="M1163">
            <v>1</v>
          </cell>
          <cell r="N1163">
            <v>28636000</v>
          </cell>
          <cell r="Y1163" t="str">
            <v>주물</v>
          </cell>
          <cell r="Z1163">
            <v>10.581674400000001</v>
          </cell>
          <cell r="AA1163" t="str">
            <v>1110x2300x880</v>
          </cell>
          <cell r="AB1163" t="str">
            <v>90-1</v>
          </cell>
          <cell r="AG1163" t="str">
            <v>서해공업㈜ 반　</v>
          </cell>
          <cell r="AI1163" t="str">
            <v>대륭강업</v>
          </cell>
        </row>
        <row r="1164">
          <cell r="A1164">
            <v>903</v>
          </cell>
          <cell r="E1164" t="str">
            <v>기아모텍</v>
          </cell>
          <cell r="F1164" t="str">
            <v>A</v>
          </cell>
          <cell r="G1164" t="str">
            <v>CERES F/L</v>
          </cell>
          <cell r="H1164" t="str">
            <v>041102011538</v>
          </cell>
          <cell r="I1164" t="str">
            <v>K825 50 020</v>
          </cell>
          <cell r="J1164" t="str">
            <v>FRT. BUMPER ASSY</v>
          </cell>
          <cell r="K1164" t="str">
            <v>금형</v>
          </cell>
          <cell r="L1164" t="str">
            <v>TR/PI</v>
          </cell>
          <cell r="M1164">
            <v>1</v>
          </cell>
          <cell r="N1164">
            <v>30126000</v>
          </cell>
          <cell r="Y1164" t="str">
            <v>주물</v>
          </cell>
          <cell r="Z1164">
            <v>9.9897969599999996</v>
          </cell>
          <cell r="AA1164" t="str">
            <v>2340x1030x880</v>
          </cell>
          <cell r="AB1164" t="str">
            <v>90-1</v>
          </cell>
          <cell r="AG1164" t="str">
            <v>서해공업㈜ 반　</v>
          </cell>
          <cell r="AI1164" t="str">
            <v>대륭강업</v>
          </cell>
        </row>
        <row r="1165">
          <cell r="A1165">
            <v>904</v>
          </cell>
          <cell r="E1165" t="str">
            <v>기아모텍</v>
          </cell>
          <cell r="F1165" t="str">
            <v>A</v>
          </cell>
          <cell r="G1165" t="str">
            <v>CERES F/L</v>
          </cell>
          <cell r="H1165" t="str">
            <v>041102011538</v>
          </cell>
          <cell r="I1165" t="str">
            <v>K825 50 020</v>
          </cell>
          <cell r="J1165" t="str">
            <v>FRT. BUMPER ASSY</v>
          </cell>
          <cell r="K1165" t="str">
            <v>금형</v>
          </cell>
          <cell r="L1165" t="str">
            <v>RES</v>
          </cell>
          <cell r="M1165">
            <v>1</v>
          </cell>
          <cell r="N1165">
            <v>30925000</v>
          </cell>
          <cell r="Y1165" t="str">
            <v>주물</v>
          </cell>
          <cell r="Z1165">
            <v>9.4907630399999992</v>
          </cell>
          <cell r="AA1165" t="str">
            <v>2140x1070x880</v>
          </cell>
          <cell r="AB1165" t="str">
            <v>90-1</v>
          </cell>
          <cell r="AG1165" t="str">
            <v>서해공업㈜ 반　</v>
          </cell>
          <cell r="AI1165" t="str">
            <v>대륭강업</v>
          </cell>
        </row>
        <row r="1166">
          <cell r="A1166">
            <v>905</v>
          </cell>
          <cell r="E1166" t="str">
            <v>기아모텍</v>
          </cell>
          <cell r="F1166" t="str">
            <v>A</v>
          </cell>
          <cell r="G1166" t="str">
            <v>CERES F/L</v>
          </cell>
          <cell r="H1166" t="str">
            <v>041102011538</v>
          </cell>
          <cell r="I1166" t="str">
            <v>K825 50 020</v>
          </cell>
          <cell r="J1166" t="str">
            <v>FRT. BUMPER ASSY</v>
          </cell>
          <cell r="K1166" t="str">
            <v>금형</v>
          </cell>
          <cell r="L1166" t="str">
            <v>DR</v>
          </cell>
          <cell r="M1166">
            <v>1</v>
          </cell>
          <cell r="N1166">
            <v>34246000</v>
          </cell>
          <cell r="Y1166" t="str">
            <v>주물</v>
          </cell>
          <cell r="Z1166">
            <v>8.8831353600000007</v>
          </cell>
          <cell r="AA1166" t="str">
            <v>2280x940x880</v>
          </cell>
          <cell r="AB1166" t="str">
            <v>90-1</v>
          </cell>
          <cell r="AG1166" t="str">
            <v>서해공업㈜ 반　</v>
          </cell>
          <cell r="AI1166" t="str">
            <v>대륭강업</v>
          </cell>
        </row>
        <row r="1167">
          <cell r="A1167">
            <v>906</v>
          </cell>
          <cell r="E1167" t="str">
            <v>기아모텍</v>
          </cell>
          <cell r="F1167" t="str">
            <v>B</v>
          </cell>
          <cell r="G1167" t="str">
            <v>CERES F/L</v>
          </cell>
          <cell r="H1167" t="str">
            <v>044102012305</v>
          </cell>
          <cell r="I1167" t="str">
            <v>K825 50 030</v>
          </cell>
          <cell r="J1167" t="str">
            <v>FRT BUMPER ASSY</v>
          </cell>
          <cell r="K1167" t="str">
            <v>검사구</v>
          </cell>
          <cell r="M1167">
            <v>1</v>
          </cell>
          <cell r="N1167">
            <v>6860000</v>
          </cell>
          <cell r="Y1167" t="str">
            <v>수지</v>
          </cell>
          <cell r="Z1167">
            <v>0</v>
          </cell>
          <cell r="AA1167" t="str">
            <v>xx</v>
          </cell>
          <cell r="AB1167" t="str">
            <v>90-03-30</v>
          </cell>
          <cell r="AG1167" t="str">
            <v>학림기계</v>
          </cell>
          <cell r="AI1167" t="str">
            <v>대륭강업</v>
          </cell>
        </row>
        <row r="1168">
          <cell r="A1168">
            <v>907</v>
          </cell>
          <cell r="E1168" t="str">
            <v>기아모텍</v>
          </cell>
          <cell r="F1168" t="str">
            <v>B</v>
          </cell>
          <cell r="G1168" t="str">
            <v>CERES</v>
          </cell>
          <cell r="H1168" t="str">
            <v>044102012445</v>
          </cell>
          <cell r="I1168" t="str">
            <v>K825 50 030</v>
          </cell>
          <cell r="J1168" t="str">
            <v>FRT. BUMPER FACE</v>
          </cell>
          <cell r="K1168" t="str">
            <v>검사구</v>
          </cell>
          <cell r="M1168">
            <v>1</v>
          </cell>
          <cell r="N1168">
            <v>4390000</v>
          </cell>
          <cell r="Y1168" t="str">
            <v>수지</v>
          </cell>
          <cell r="Z1168">
            <v>0</v>
          </cell>
          <cell r="AA1168" t="str">
            <v>xx</v>
          </cell>
          <cell r="AB1168" t="str">
            <v>90-04-30</v>
          </cell>
          <cell r="AG1168" t="str">
            <v>영광정밀</v>
          </cell>
          <cell r="AI1168" t="str">
            <v>대륭강업</v>
          </cell>
        </row>
        <row r="1169">
          <cell r="A1169">
            <v>908</v>
          </cell>
          <cell r="E1169" t="str">
            <v>기아모텍</v>
          </cell>
          <cell r="F1169" t="str">
            <v>C</v>
          </cell>
          <cell r="G1169" t="str">
            <v>CONCORD</v>
          </cell>
          <cell r="H1169" t="str">
            <v>041102010048</v>
          </cell>
          <cell r="I1169" t="str">
            <v>K900 50 031</v>
          </cell>
          <cell r="J1169" t="str">
            <v>FRT. BUMPER</v>
          </cell>
          <cell r="K1169" t="str">
            <v>금형</v>
          </cell>
          <cell r="M1169">
            <v>1</v>
          </cell>
          <cell r="N1169">
            <v>333751511</v>
          </cell>
          <cell r="Y1169" t="str">
            <v>주물</v>
          </cell>
          <cell r="AA1169" t="str">
            <v>xx</v>
          </cell>
          <cell r="AB1169" t="str">
            <v>87-10-30</v>
          </cell>
          <cell r="AG1169" t="str">
            <v>GIFU</v>
          </cell>
          <cell r="AI1169" t="str">
            <v>대륭강업</v>
          </cell>
        </row>
        <row r="1170">
          <cell r="A1170">
            <v>909</v>
          </cell>
          <cell r="E1170" t="str">
            <v>기아모텍</v>
          </cell>
          <cell r="F1170" t="str">
            <v>C</v>
          </cell>
          <cell r="G1170" t="str">
            <v>CONCORD</v>
          </cell>
          <cell r="H1170" t="str">
            <v>041102010058</v>
          </cell>
          <cell r="I1170" t="str">
            <v>K900 50 221</v>
          </cell>
          <cell r="J1170" t="str">
            <v>Rr. BUMPER</v>
          </cell>
          <cell r="K1170" t="str">
            <v>금형</v>
          </cell>
          <cell r="M1170">
            <v>1</v>
          </cell>
          <cell r="N1170">
            <v>318105534</v>
          </cell>
          <cell r="Y1170" t="str">
            <v>주물</v>
          </cell>
          <cell r="Z1170">
            <v>0</v>
          </cell>
          <cell r="AA1170" t="str">
            <v>xx</v>
          </cell>
          <cell r="AB1170" t="str">
            <v>87-10-30</v>
          </cell>
          <cell r="AG1170" t="str">
            <v>GIFU</v>
          </cell>
          <cell r="AI1170" t="str">
            <v>대륭강업</v>
          </cell>
        </row>
        <row r="1171">
          <cell r="A1171">
            <v>910</v>
          </cell>
          <cell r="E1171" t="str">
            <v>기아모텍</v>
          </cell>
          <cell r="F1171" t="str">
            <v>C</v>
          </cell>
          <cell r="G1171" t="str">
            <v>CONCORD</v>
          </cell>
          <cell r="H1171" t="str">
            <v>041106110011</v>
          </cell>
          <cell r="I1171" t="str">
            <v>K900 52 310</v>
          </cell>
          <cell r="J1171" t="str">
            <v>BONNET ASSY</v>
          </cell>
          <cell r="K1171" t="str">
            <v>금형</v>
          </cell>
          <cell r="L1171" t="str">
            <v>HEM</v>
          </cell>
          <cell r="M1171">
            <v>1</v>
          </cell>
          <cell r="N1171">
            <v>85205418</v>
          </cell>
          <cell r="Y1171" t="str">
            <v>주물</v>
          </cell>
          <cell r="AA1171" t="str">
            <v>xx</v>
          </cell>
          <cell r="AB1171" t="str">
            <v>87-10-30</v>
          </cell>
          <cell r="AG1171" t="str">
            <v>FUJI</v>
          </cell>
          <cell r="AI1171" t="str">
            <v>KMO 안산2공장</v>
          </cell>
        </row>
        <row r="1172">
          <cell r="A1172">
            <v>911</v>
          </cell>
          <cell r="E1172" t="str">
            <v>기아모텍</v>
          </cell>
          <cell r="F1172" t="str">
            <v>C</v>
          </cell>
          <cell r="G1172" t="str">
            <v>CONCORD</v>
          </cell>
          <cell r="I1172" t="str">
            <v>K900 52 310</v>
          </cell>
          <cell r="J1172" t="str">
            <v>BONNET</v>
          </cell>
          <cell r="K1172" t="str">
            <v>금형</v>
          </cell>
          <cell r="M1172">
            <v>1</v>
          </cell>
          <cell r="N1172">
            <v>14730000</v>
          </cell>
          <cell r="Y1172" t="str">
            <v>주물</v>
          </cell>
          <cell r="AA1172" t="str">
            <v>xx</v>
          </cell>
          <cell r="AB1172" t="str">
            <v>87-01-16</v>
          </cell>
          <cell r="AI1172" t="str">
            <v>KMO 안산2공장</v>
          </cell>
        </row>
        <row r="1173">
          <cell r="A1173">
            <v>912</v>
          </cell>
          <cell r="E1173" t="str">
            <v>기아모텍</v>
          </cell>
          <cell r="F1173" t="str">
            <v>C</v>
          </cell>
          <cell r="G1173" t="str">
            <v>CONCORD</v>
          </cell>
          <cell r="H1173" t="str">
            <v>041102160386</v>
          </cell>
          <cell r="I1173" t="str">
            <v>K900 52 311</v>
          </cell>
          <cell r="J1173" t="str">
            <v>BONNET PANEL</v>
          </cell>
          <cell r="K1173" t="str">
            <v>금형</v>
          </cell>
          <cell r="L1173" t="str">
            <v>DR 1/3</v>
          </cell>
          <cell r="M1173">
            <v>1</v>
          </cell>
          <cell r="N1173">
            <v>28989346</v>
          </cell>
          <cell r="Y1173" t="str">
            <v>주물</v>
          </cell>
          <cell r="Z1173">
            <v>17.254802399999999</v>
          </cell>
          <cell r="AA1173" t="str">
            <v>2300x1810x880</v>
          </cell>
          <cell r="AB1173" t="str">
            <v>88-02-29</v>
          </cell>
          <cell r="AG1173" t="str">
            <v>KIA</v>
          </cell>
          <cell r="AI1173" t="str">
            <v>KMO 안산2공장</v>
          </cell>
        </row>
        <row r="1174">
          <cell r="A1174">
            <v>913</v>
          </cell>
          <cell r="E1174" t="str">
            <v>기아모텍</v>
          </cell>
          <cell r="F1174" t="str">
            <v>C</v>
          </cell>
          <cell r="G1174" t="str">
            <v>CONCORD</v>
          </cell>
          <cell r="H1174" t="str">
            <v>041102260363</v>
          </cell>
          <cell r="I1174" t="str">
            <v>K900 52 311</v>
          </cell>
          <cell r="J1174" t="str">
            <v>BONNET PANEL</v>
          </cell>
          <cell r="K1174" t="str">
            <v>금형</v>
          </cell>
          <cell r="L1174" t="str">
            <v>TR/PIE 2/3</v>
          </cell>
          <cell r="M1174">
            <v>1</v>
          </cell>
          <cell r="N1174">
            <v>33645027</v>
          </cell>
          <cell r="Y1174" t="str">
            <v>주물</v>
          </cell>
          <cell r="Z1174">
            <v>17.012520000000002</v>
          </cell>
          <cell r="AA1174" t="str">
            <v>2400x1720x875</v>
          </cell>
          <cell r="AB1174" t="str">
            <v>88-02-29</v>
          </cell>
          <cell r="AG1174" t="str">
            <v>KIA</v>
          </cell>
          <cell r="AI1174" t="str">
            <v>KMO 안산2공장</v>
          </cell>
        </row>
        <row r="1175">
          <cell r="A1175">
            <v>914</v>
          </cell>
          <cell r="E1175" t="str">
            <v>기아모텍</v>
          </cell>
          <cell r="F1175" t="str">
            <v>C</v>
          </cell>
          <cell r="G1175" t="str">
            <v>CONCORD</v>
          </cell>
          <cell r="H1175" t="str">
            <v>041102360360</v>
          </cell>
          <cell r="I1175" t="str">
            <v>K900 52 311</v>
          </cell>
          <cell r="J1175" t="str">
            <v>BONNET PANEL</v>
          </cell>
          <cell r="K1175" t="str">
            <v>금형</v>
          </cell>
          <cell r="L1175" t="str">
            <v>SEP/PIE 3/3</v>
          </cell>
          <cell r="M1175">
            <v>1</v>
          </cell>
          <cell r="N1175">
            <v>35665000</v>
          </cell>
          <cell r="Y1175" t="str">
            <v>주물</v>
          </cell>
          <cell r="Z1175">
            <v>19.005556499999997</v>
          </cell>
          <cell r="AA1175" t="str">
            <v>2450x1800x915</v>
          </cell>
          <cell r="AB1175" t="str">
            <v>88-02-29</v>
          </cell>
          <cell r="AG1175" t="str">
            <v>KIA</v>
          </cell>
          <cell r="AI1175" t="str">
            <v>KMO 안산2공장</v>
          </cell>
        </row>
        <row r="1176">
          <cell r="A1176">
            <v>915</v>
          </cell>
          <cell r="E1176" t="str">
            <v>기아모텍</v>
          </cell>
          <cell r="F1176" t="str">
            <v>C</v>
          </cell>
          <cell r="G1176" t="str">
            <v>CONCORD</v>
          </cell>
          <cell r="H1176" t="str">
            <v>041102040805</v>
          </cell>
          <cell r="I1176" t="str">
            <v>K900 52 321B</v>
          </cell>
          <cell r="J1176" t="str">
            <v>BONNET REINF</v>
          </cell>
          <cell r="K1176" t="str">
            <v>금형</v>
          </cell>
          <cell r="L1176" t="str">
            <v>DR 1/4</v>
          </cell>
          <cell r="M1176">
            <v>1</v>
          </cell>
          <cell r="N1176">
            <v>35604517</v>
          </cell>
          <cell r="Y1176" t="str">
            <v>주물</v>
          </cell>
          <cell r="Z1176">
            <v>18.444359999999996</v>
          </cell>
          <cell r="AA1176" t="str">
            <v>2500x1780x880</v>
          </cell>
          <cell r="AB1176" t="str">
            <v>88-10-05</v>
          </cell>
          <cell r="AG1176" t="str">
            <v>KIA</v>
          </cell>
          <cell r="AI1176" t="str">
            <v>KMO 안산2공장</v>
          </cell>
        </row>
        <row r="1177">
          <cell r="A1177">
            <v>916</v>
          </cell>
          <cell r="E1177" t="str">
            <v>기아모텍</v>
          </cell>
          <cell r="F1177" t="str">
            <v>C</v>
          </cell>
          <cell r="G1177" t="str">
            <v>CONCORD</v>
          </cell>
          <cell r="H1177" t="str">
            <v>041102040815</v>
          </cell>
          <cell r="I1177" t="str">
            <v>K900 52 321B</v>
          </cell>
          <cell r="J1177" t="str">
            <v>BONNET REINF</v>
          </cell>
          <cell r="K1177" t="str">
            <v>금형</v>
          </cell>
          <cell r="L1177" t="str">
            <v>TR/PIE 2/4</v>
          </cell>
          <cell r="M1177">
            <v>1</v>
          </cell>
          <cell r="N1177">
            <v>63122488</v>
          </cell>
          <cell r="Y1177" t="str">
            <v>주물</v>
          </cell>
          <cell r="Z1177">
            <v>18.2831838</v>
          </cell>
          <cell r="AA1177" t="str">
            <v>2330x1700x980</v>
          </cell>
          <cell r="AB1177" t="str">
            <v>88-02-29</v>
          </cell>
          <cell r="AG1177" t="str">
            <v>KIA</v>
          </cell>
          <cell r="AI1177" t="str">
            <v>KMO 안산2공장</v>
          </cell>
        </row>
        <row r="1178">
          <cell r="A1178">
            <v>917</v>
          </cell>
          <cell r="E1178" t="str">
            <v>기아모텍</v>
          </cell>
          <cell r="F1178" t="str">
            <v>C</v>
          </cell>
          <cell r="G1178" t="str">
            <v>CONCORD</v>
          </cell>
          <cell r="H1178" t="str">
            <v>041102040825</v>
          </cell>
          <cell r="I1178" t="str">
            <v>K900 52 321B</v>
          </cell>
          <cell r="J1178" t="str">
            <v>BONNET REINF</v>
          </cell>
          <cell r="K1178" t="str">
            <v>금형</v>
          </cell>
          <cell r="L1178" t="str">
            <v>TR/PIE 3/4</v>
          </cell>
          <cell r="M1178">
            <v>1</v>
          </cell>
          <cell r="N1178">
            <v>36707831</v>
          </cell>
          <cell r="Y1178" t="str">
            <v>주물</v>
          </cell>
          <cell r="Z1178">
            <v>15.870816</v>
          </cell>
          <cell r="AA1178" t="str">
            <v>2340x1600x900</v>
          </cell>
          <cell r="AB1178" t="str">
            <v>88-02-29</v>
          </cell>
          <cell r="AG1178" t="str">
            <v>KIA</v>
          </cell>
          <cell r="AI1178" t="str">
            <v>KMO 안산2공장</v>
          </cell>
        </row>
        <row r="1179">
          <cell r="A1179">
            <v>918</v>
          </cell>
          <cell r="E1179" t="str">
            <v>기아모텍</v>
          </cell>
          <cell r="F1179" t="str">
            <v>C</v>
          </cell>
          <cell r="G1179" t="str">
            <v>CONCORD</v>
          </cell>
          <cell r="H1179" t="str">
            <v>041102040835</v>
          </cell>
          <cell r="I1179" t="str">
            <v>K900 52 321B</v>
          </cell>
          <cell r="J1179" t="str">
            <v>BONNET REINF</v>
          </cell>
          <cell r="K1179" t="str">
            <v>금형</v>
          </cell>
          <cell r="L1179" t="str">
            <v>PIE/RE 4/4</v>
          </cell>
          <cell r="M1179">
            <v>1</v>
          </cell>
          <cell r="N1179">
            <v>40465717</v>
          </cell>
          <cell r="Y1179" t="str">
            <v>주물</v>
          </cell>
          <cell r="Z1179">
            <v>14.045219999999999</v>
          </cell>
          <cell r="AA1179" t="str">
            <v>2130x1400x1000</v>
          </cell>
          <cell r="AB1179" t="str">
            <v>88-02-29</v>
          </cell>
          <cell r="AG1179" t="str">
            <v>KIA</v>
          </cell>
          <cell r="AI1179" t="str">
            <v>KMO 안산2공장</v>
          </cell>
        </row>
        <row r="1180">
          <cell r="A1180">
            <v>919</v>
          </cell>
          <cell r="E1180" t="str">
            <v>기아모텍</v>
          </cell>
          <cell r="F1180" t="str">
            <v>B</v>
          </cell>
          <cell r="G1180" t="str">
            <v>CONCORD</v>
          </cell>
          <cell r="H1180" t="str">
            <v>044102020497</v>
          </cell>
          <cell r="I1180" t="str">
            <v>K900 52 325/326</v>
          </cell>
          <cell r="J1180" t="str">
            <v>STIFF BONNET</v>
          </cell>
          <cell r="K1180" t="str">
            <v>검사구</v>
          </cell>
          <cell r="M1180">
            <v>2</v>
          </cell>
          <cell r="N1180">
            <v>336657</v>
          </cell>
          <cell r="Y1180" t="str">
            <v>수지</v>
          </cell>
          <cell r="AA1180" t="str">
            <v>xx</v>
          </cell>
          <cell r="AB1180" t="str">
            <v>89-02-28</v>
          </cell>
          <cell r="AG1180" t="str">
            <v>KIA</v>
          </cell>
          <cell r="AI1180" t="str">
            <v>한우정공</v>
          </cell>
        </row>
        <row r="1181">
          <cell r="A1181">
            <v>919.0999755859375</v>
          </cell>
          <cell r="E1181" t="str">
            <v>기아모텍</v>
          </cell>
          <cell r="F1181" t="str">
            <v>B</v>
          </cell>
          <cell r="G1181" t="str">
            <v>CONCORD</v>
          </cell>
          <cell r="H1181" t="str">
            <v>044102020497</v>
          </cell>
          <cell r="I1181" t="str">
            <v>K900 52 325/326</v>
          </cell>
          <cell r="J1181" t="str">
            <v>STIFF BONNET</v>
          </cell>
          <cell r="K1181" t="str">
            <v>검사구</v>
          </cell>
          <cell r="M1181">
            <v>1</v>
          </cell>
          <cell r="Y1181" t="str">
            <v>수지</v>
          </cell>
          <cell r="Z1181">
            <v>5.42592E-2</v>
          </cell>
          <cell r="AA1181" t="str">
            <v>320x300x360</v>
          </cell>
          <cell r="AB1181" t="str">
            <v>89-02-28</v>
          </cell>
          <cell r="AG1181" t="str">
            <v>KIA</v>
          </cell>
          <cell r="AI1181" t="str">
            <v>한우정공</v>
          </cell>
        </row>
        <row r="1182">
          <cell r="A1182">
            <v>919.20001220703125</v>
          </cell>
          <cell r="E1182" t="str">
            <v>기아모텍</v>
          </cell>
          <cell r="F1182" t="str">
            <v>B</v>
          </cell>
          <cell r="G1182" t="str">
            <v>CONCORD</v>
          </cell>
          <cell r="H1182" t="str">
            <v>044102020497</v>
          </cell>
          <cell r="I1182" t="str">
            <v>K900 52 325/326</v>
          </cell>
          <cell r="J1182" t="str">
            <v>STIFF BONNET</v>
          </cell>
          <cell r="K1182" t="str">
            <v>검사구</v>
          </cell>
          <cell r="M1182">
            <v>1</v>
          </cell>
          <cell r="Y1182" t="str">
            <v>수지</v>
          </cell>
          <cell r="Z1182">
            <v>5.42592E-2</v>
          </cell>
          <cell r="AA1182" t="str">
            <v>320x300x360</v>
          </cell>
          <cell r="AB1182" t="str">
            <v>89-02-28</v>
          </cell>
          <cell r="AG1182" t="str">
            <v>KIA</v>
          </cell>
          <cell r="AI1182" t="str">
            <v>한우정공</v>
          </cell>
        </row>
        <row r="1183">
          <cell r="A1183">
            <v>920</v>
          </cell>
          <cell r="E1183" t="str">
            <v>기아모텍</v>
          </cell>
          <cell r="F1183" t="str">
            <v>B</v>
          </cell>
          <cell r="G1183" t="str">
            <v>CONCORD</v>
          </cell>
          <cell r="H1183" t="str">
            <v>041106110781</v>
          </cell>
          <cell r="I1183" t="str">
            <v>K900 52 325/326</v>
          </cell>
          <cell r="J1183" t="str">
            <v>STIFFENER-BONNET R/L</v>
          </cell>
          <cell r="K1183" t="str">
            <v>금형</v>
          </cell>
          <cell r="M1183">
            <v>4</v>
          </cell>
          <cell r="N1183">
            <v>11000000</v>
          </cell>
          <cell r="Y1183" t="str">
            <v>STEEL</v>
          </cell>
          <cell r="AA1183" t="str">
            <v>xx</v>
          </cell>
          <cell r="AB1183" t="str">
            <v>87-5</v>
          </cell>
          <cell r="AI1183" t="str">
            <v>풍원산업</v>
          </cell>
        </row>
        <row r="1184">
          <cell r="A1184">
            <v>920.0999755859375</v>
          </cell>
          <cell r="E1184" t="str">
            <v>기아모텍</v>
          </cell>
          <cell r="F1184" t="str">
            <v>B</v>
          </cell>
          <cell r="G1184" t="str">
            <v>CONCORD</v>
          </cell>
          <cell r="H1184" t="str">
            <v>041106110781</v>
          </cell>
          <cell r="I1184" t="str">
            <v>K900 52 325/326</v>
          </cell>
          <cell r="J1184" t="str">
            <v>STIFFENER-BONNET R/L</v>
          </cell>
          <cell r="K1184" t="str">
            <v>금형</v>
          </cell>
          <cell r="M1184">
            <v>1</v>
          </cell>
          <cell r="Y1184" t="str">
            <v>STEEL</v>
          </cell>
          <cell r="Z1184">
            <v>0.40505999999999998</v>
          </cell>
          <cell r="AA1184" t="str">
            <v>500x400x430</v>
          </cell>
          <cell r="AB1184" t="str">
            <v>87-5</v>
          </cell>
          <cell r="AI1184" t="str">
            <v>풍원산업</v>
          </cell>
        </row>
        <row r="1185">
          <cell r="A1185">
            <v>920.20001220703125</v>
          </cell>
          <cell r="E1185" t="str">
            <v>기아모텍</v>
          </cell>
          <cell r="F1185" t="str">
            <v>B</v>
          </cell>
          <cell r="G1185" t="str">
            <v>CONCORD</v>
          </cell>
          <cell r="H1185" t="str">
            <v>041106110781</v>
          </cell>
          <cell r="I1185" t="str">
            <v>K900 52 325/326</v>
          </cell>
          <cell r="J1185" t="str">
            <v>STIFFENER-BONNET R/L</v>
          </cell>
          <cell r="K1185" t="str">
            <v>금형</v>
          </cell>
          <cell r="M1185">
            <v>1</v>
          </cell>
          <cell r="Y1185" t="str">
            <v>STEEL</v>
          </cell>
          <cell r="Z1185">
            <v>0.40505999999999998</v>
          </cell>
          <cell r="AA1185" t="str">
            <v>500x400x430</v>
          </cell>
          <cell r="AB1185" t="str">
            <v>87-5</v>
          </cell>
          <cell r="AI1185" t="str">
            <v>풍원산업</v>
          </cell>
        </row>
        <row r="1186">
          <cell r="A1186">
            <v>920.29998779296875</v>
          </cell>
          <cell r="E1186" t="str">
            <v>기아모텍</v>
          </cell>
          <cell r="F1186" t="str">
            <v>B</v>
          </cell>
          <cell r="G1186" t="str">
            <v>CONCORD</v>
          </cell>
          <cell r="H1186" t="str">
            <v>041106110781</v>
          </cell>
          <cell r="I1186" t="str">
            <v>K900 52 325/326</v>
          </cell>
          <cell r="J1186" t="str">
            <v>STIFFENER-BONNET R/L</v>
          </cell>
          <cell r="K1186" t="str">
            <v>금형</v>
          </cell>
          <cell r="M1186">
            <v>1</v>
          </cell>
          <cell r="Y1186" t="str">
            <v>STEEL</v>
          </cell>
          <cell r="Z1186">
            <v>0.40505999999999998</v>
          </cell>
          <cell r="AA1186" t="str">
            <v>500x400x430</v>
          </cell>
          <cell r="AB1186" t="str">
            <v>87-5</v>
          </cell>
          <cell r="AI1186" t="str">
            <v>풍원산업</v>
          </cell>
        </row>
        <row r="1187">
          <cell r="A1187">
            <v>921</v>
          </cell>
          <cell r="E1187" t="str">
            <v>기아모텍</v>
          </cell>
          <cell r="F1187" t="str">
            <v>C</v>
          </cell>
          <cell r="G1187" t="str">
            <v>CONCORD</v>
          </cell>
          <cell r="H1187" t="str">
            <v>041106110851</v>
          </cell>
          <cell r="I1187" t="str">
            <v>K900 52 600</v>
          </cell>
          <cell r="J1187" t="str">
            <v>TRUNK LID ASSY</v>
          </cell>
          <cell r="K1187" t="str">
            <v>금형</v>
          </cell>
          <cell r="L1187" t="str">
            <v>HEM</v>
          </cell>
          <cell r="M1187">
            <v>1</v>
          </cell>
          <cell r="N1187">
            <v>62069738</v>
          </cell>
          <cell r="Y1187" t="str">
            <v>주물</v>
          </cell>
          <cell r="AA1187" t="str">
            <v>xx</v>
          </cell>
          <cell r="AB1187" t="str">
            <v>87-10-30</v>
          </cell>
          <cell r="AG1187" t="str">
            <v>FUJI</v>
          </cell>
          <cell r="AI1187" t="str">
            <v>KMO 안산2공장</v>
          </cell>
        </row>
        <row r="1188">
          <cell r="A1188">
            <v>922</v>
          </cell>
          <cell r="E1188" t="str">
            <v>기아모텍</v>
          </cell>
          <cell r="F1188" t="str">
            <v>C</v>
          </cell>
          <cell r="G1188" t="str">
            <v>CONCORD</v>
          </cell>
          <cell r="H1188" t="str">
            <v>041102150504</v>
          </cell>
          <cell r="I1188" t="str">
            <v>K900 52 611</v>
          </cell>
          <cell r="J1188" t="str">
            <v>REINF TRUNK LID</v>
          </cell>
          <cell r="K1188" t="str">
            <v>금형</v>
          </cell>
          <cell r="L1188" t="str">
            <v>1/5-5/5</v>
          </cell>
          <cell r="M1188">
            <v>5</v>
          </cell>
          <cell r="N1188">
            <v>329715949</v>
          </cell>
          <cell r="Y1188" t="str">
            <v>주물</v>
          </cell>
          <cell r="AA1188" t="str">
            <v>xx</v>
          </cell>
          <cell r="AB1188" t="str">
            <v>87-08-21</v>
          </cell>
          <cell r="AG1188" t="str">
            <v>서해공업㈜ 반　</v>
          </cell>
          <cell r="AI1188" t="str">
            <v>KMO 안산2공장</v>
          </cell>
        </row>
        <row r="1189">
          <cell r="A1189">
            <v>922.0999755859375</v>
          </cell>
          <cell r="E1189" t="str">
            <v>기아모텍</v>
          </cell>
          <cell r="F1189" t="str">
            <v>C</v>
          </cell>
          <cell r="G1189" t="str">
            <v>CONCORD</v>
          </cell>
          <cell r="H1189" t="str">
            <v>041102150504</v>
          </cell>
          <cell r="I1189" t="str">
            <v>K900 52 611</v>
          </cell>
          <cell r="J1189" t="str">
            <v>REINF TRUNK LID</v>
          </cell>
          <cell r="K1189" t="str">
            <v>금형</v>
          </cell>
          <cell r="L1189" t="str">
            <v>1/5</v>
          </cell>
          <cell r="M1189">
            <v>1</v>
          </cell>
          <cell r="Y1189" t="str">
            <v>주물</v>
          </cell>
          <cell r="Z1189">
            <v>15.692071499999999</v>
          </cell>
          <cell r="AA1189" t="str">
            <v>2100x1670x950</v>
          </cell>
          <cell r="AB1189" t="str">
            <v>87-08-21</v>
          </cell>
          <cell r="AG1189" t="str">
            <v>서해공업㈜ 반　</v>
          </cell>
          <cell r="AI1189" t="str">
            <v>KMO 안산2공장</v>
          </cell>
        </row>
        <row r="1190">
          <cell r="A1190">
            <v>922.20001220703125</v>
          </cell>
          <cell r="E1190" t="str">
            <v>기아모텍</v>
          </cell>
          <cell r="F1190" t="str">
            <v>C</v>
          </cell>
          <cell r="G1190" t="str">
            <v>CONCORD</v>
          </cell>
          <cell r="H1190" t="str">
            <v>041102150504</v>
          </cell>
          <cell r="I1190" t="str">
            <v>K900 52 611</v>
          </cell>
          <cell r="J1190" t="str">
            <v>REINF TRUNK LID</v>
          </cell>
          <cell r="K1190" t="str">
            <v>금형</v>
          </cell>
          <cell r="L1190" t="str">
            <v>2/5</v>
          </cell>
          <cell r="M1190">
            <v>1</v>
          </cell>
          <cell r="Y1190" t="str">
            <v>주물</v>
          </cell>
          <cell r="Z1190">
            <v>19.089629999999996</v>
          </cell>
          <cell r="AA1190" t="str">
            <v>2100x1930x1000</v>
          </cell>
          <cell r="AB1190" t="str">
            <v>87-08-21</v>
          </cell>
          <cell r="AG1190" t="str">
            <v>서해공업㈜ 반　</v>
          </cell>
          <cell r="AI1190" t="str">
            <v>KMO 안산2공장</v>
          </cell>
        </row>
        <row r="1191">
          <cell r="A1191">
            <v>922.29998779296875</v>
          </cell>
          <cell r="E1191" t="str">
            <v>기아모텍</v>
          </cell>
          <cell r="F1191" t="str">
            <v>C</v>
          </cell>
          <cell r="G1191" t="str">
            <v>CONCORD</v>
          </cell>
          <cell r="H1191" t="str">
            <v>041102150504</v>
          </cell>
          <cell r="I1191" t="str">
            <v>K900 52 611</v>
          </cell>
          <cell r="J1191" t="str">
            <v>REINF TRUNK LID</v>
          </cell>
          <cell r="K1191" t="str">
            <v>금형</v>
          </cell>
          <cell r="L1191" t="str">
            <v>3/5</v>
          </cell>
          <cell r="M1191">
            <v>1</v>
          </cell>
          <cell r="Y1191" t="str">
            <v>주물</v>
          </cell>
          <cell r="Z1191">
            <v>20.609547000000003</v>
          </cell>
          <cell r="AA1191" t="str">
            <v>2350x1900x980</v>
          </cell>
          <cell r="AB1191" t="str">
            <v>87-08-21</v>
          </cell>
          <cell r="AG1191" t="str">
            <v>서해공업㈜ 반　</v>
          </cell>
          <cell r="AI1191" t="str">
            <v>KMO 안산2공장</v>
          </cell>
        </row>
        <row r="1192">
          <cell r="A1192">
            <v>922.4000244140625</v>
          </cell>
          <cell r="E1192" t="str">
            <v>기아모텍</v>
          </cell>
          <cell r="F1192" t="str">
            <v>C</v>
          </cell>
          <cell r="G1192" t="str">
            <v>CONCORD</v>
          </cell>
          <cell r="H1192" t="str">
            <v>041102150504</v>
          </cell>
          <cell r="I1192" t="str">
            <v>K900 52 611</v>
          </cell>
          <cell r="J1192" t="str">
            <v>REINF TRUNK LID</v>
          </cell>
          <cell r="K1192" t="str">
            <v>금형</v>
          </cell>
          <cell r="L1192" t="str">
            <v>4/5</v>
          </cell>
          <cell r="M1192">
            <v>1</v>
          </cell>
          <cell r="Y1192" t="str">
            <v>주물</v>
          </cell>
          <cell r="Z1192">
            <v>17.909774999999996</v>
          </cell>
          <cell r="AA1192" t="str">
            <v>1950x1950x1000</v>
          </cell>
          <cell r="AB1192" t="str">
            <v>87-08-21</v>
          </cell>
          <cell r="AG1192" t="str">
            <v>서해공업㈜ 반　</v>
          </cell>
          <cell r="AI1192" t="str">
            <v>KMO 안산2공장</v>
          </cell>
        </row>
        <row r="1193">
          <cell r="A1193">
            <v>922.5</v>
          </cell>
          <cell r="E1193" t="str">
            <v>기아모텍</v>
          </cell>
          <cell r="F1193" t="str">
            <v>C</v>
          </cell>
          <cell r="G1193" t="str">
            <v>CONCORD</v>
          </cell>
          <cell r="H1193" t="str">
            <v>041102150504</v>
          </cell>
          <cell r="I1193" t="str">
            <v>K900 52 611</v>
          </cell>
          <cell r="J1193" t="str">
            <v>REINF TRUNK LID</v>
          </cell>
          <cell r="K1193" t="str">
            <v>금형</v>
          </cell>
          <cell r="L1193" t="str">
            <v>5/5</v>
          </cell>
          <cell r="M1193">
            <v>1</v>
          </cell>
          <cell r="Y1193" t="str">
            <v>주물</v>
          </cell>
          <cell r="Z1193">
            <v>22.610496299999998</v>
          </cell>
          <cell r="AA1193" t="str">
            <v>2450x2020x970</v>
          </cell>
          <cell r="AB1193" t="str">
            <v>87-08-21</v>
          </cell>
          <cell r="AG1193" t="str">
            <v>서해공업㈜ 반　</v>
          </cell>
          <cell r="AI1193" t="str">
            <v>KMO 안산2공장</v>
          </cell>
        </row>
        <row r="1194">
          <cell r="A1194">
            <v>923</v>
          </cell>
          <cell r="E1194" t="str">
            <v>기아모텍</v>
          </cell>
          <cell r="F1194" t="str">
            <v>C</v>
          </cell>
          <cell r="G1194" t="str">
            <v>CONCORD</v>
          </cell>
          <cell r="H1194" t="str">
            <v>041102150514</v>
          </cell>
          <cell r="I1194" t="str">
            <v>K900 52 621</v>
          </cell>
          <cell r="J1194" t="str">
            <v>TRUNK LID PAN</v>
          </cell>
          <cell r="K1194" t="str">
            <v>금형</v>
          </cell>
          <cell r="L1194" t="str">
            <v>1/5-5/5</v>
          </cell>
          <cell r="M1194">
            <v>5</v>
          </cell>
          <cell r="N1194">
            <v>369681518</v>
          </cell>
          <cell r="Y1194" t="str">
            <v>주물</v>
          </cell>
          <cell r="AA1194" t="str">
            <v>xx</v>
          </cell>
          <cell r="AB1194" t="str">
            <v>87-08-21</v>
          </cell>
          <cell r="AG1194" t="str">
            <v>서해공업㈜ 반　</v>
          </cell>
          <cell r="AI1194" t="str">
            <v>KMO 안산2공장</v>
          </cell>
        </row>
        <row r="1195">
          <cell r="A1195">
            <v>923.0999755859375</v>
          </cell>
          <cell r="E1195" t="str">
            <v>기아모텍</v>
          </cell>
          <cell r="F1195" t="str">
            <v>C</v>
          </cell>
          <cell r="G1195" t="str">
            <v>CONCORD</v>
          </cell>
          <cell r="H1195" t="str">
            <v>041102150514</v>
          </cell>
          <cell r="I1195" t="str">
            <v>K900 52 621</v>
          </cell>
          <cell r="J1195" t="str">
            <v>TRUNK LID PAN</v>
          </cell>
          <cell r="K1195" t="str">
            <v>금형</v>
          </cell>
          <cell r="L1195" t="str">
            <v>1/5</v>
          </cell>
          <cell r="M1195">
            <v>1</v>
          </cell>
          <cell r="Y1195" t="str">
            <v>주물</v>
          </cell>
          <cell r="Z1195">
            <v>9.4314264599999991</v>
          </cell>
          <cell r="AA1195" t="str">
            <v>2020x1150x862</v>
          </cell>
          <cell r="AB1195" t="str">
            <v>87-08-21</v>
          </cell>
          <cell r="AG1195" t="str">
            <v>서해공업㈜ 반　</v>
          </cell>
          <cell r="AI1195" t="str">
            <v>KMO 안산2공장</v>
          </cell>
        </row>
        <row r="1196">
          <cell r="A1196">
            <v>923.20001220703125</v>
          </cell>
          <cell r="E1196" t="str">
            <v>기아모텍</v>
          </cell>
          <cell r="F1196" t="str">
            <v>C</v>
          </cell>
          <cell r="G1196" t="str">
            <v>CONCORD</v>
          </cell>
          <cell r="H1196" t="str">
            <v>041102150514</v>
          </cell>
          <cell r="I1196" t="str">
            <v>K900 52 621</v>
          </cell>
          <cell r="J1196" t="str">
            <v>TRUNK LID PAN</v>
          </cell>
          <cell r="K1196" t="str">
            <v>금형</v>
          </cell>
          <cell r="L1196" t="str">
            <v>2/5</v>
          </cell>
          <cell r="M1196">
            <v>1</v>
          </cell>
          <cell r="Y1196" t="str">
            <v>주물</v>
          </cell>
          <cell r="Z1196">
            <v>14.094674999999999</v>
          </cell>
          <cell r="AA1196" t="str">
            <v>2250x1330x1000</v>
          </cell>
          <cell r="AB1196" t="str">
            <v>87-08-21</v>
          </cell>
          <cell r="AG1196" t="str">
            <v>서해공업㈜ 반　</v>
          </cell>
          <cell r="AI1196" t="str">
            <v>KMO 안산2공장</v>
          </cell>
        </row>
        <row r="1197">
          <cell r="A1197">
            <v>923.29998779296875</v>
          </cell>
          <cell r="E1197" t="str">
            <v>기아모텍</v>
          </cell>
          <cell r="F1197" t="str">
            <v>C</v>
          </cell>
          <cell r="G1197" t="str">
            <v>CONCORD</v>
          </cell>
          <cell r="H1197" t="str">
            <v>041102150514</v>
          </cell>
          <cell r="I1197" t="str">
            <v>K900 52 621</v>
          </cell>
          <cell r="J1197" t="str">
            <v>TRUNK LID PAN</v>
          </cell>
          <cell r="K1197" t="str">
            <v>금형</v>
          </cell>
          <cell r="L1197" t="str">
            <v>3/5</v>
          </cell>
          <cell r="M1197">
            <v>1</v>
          </cell>
          <cell r="Y1197" t="str">
            <v>주물</v>
          </cell>
          <cell r="Z1197">
            <v>10.885751999999998</v>
          </cell>
          <cell r="AA1197" t="str">
            <v>2140x1200x900</v>
          </cell>
          <cell r="AB1197" t="str">
            <v>87-08-21</v>
          </cell>
          <cell r="AG1197" t="str">
            <v>서해공업㈜ 반　</v>
          </cell>
          <cell r="AI1197" t="str">
            <v>KMO 안산2공장</v>
          </cell>
        </row>
        <row r="1198">
          <cell r="A1198">
            <v>923.4000244140625</v>
          </cell>
          <cell r="E1198" t="str">
            <v>기아모텍</v>
          </cell>
          <cell r="F1198" t="str">
            <v>C</v>
          </cell>
          <cell r="G1198" t="str">
            <v>CONCORD</v>
          </cell>
          <cell r="H1198" t="str">
            <v>041102150514</v>
          </cell>
          <cell r="I1198" t="str">
            <v>K900 52 621</v>
          </cell>
          <cell r="J1198" t="str">
            <v>TRUNK LID PAN</v>
          </cell>
          <cell r="K1198" t="str">
            <v>금형</v>
          </cell>
          <cell r="L1198" t="str">
            <v>4/5</v>
          </cell>
          <cell r="M1198">
            <v>1</v>
          </cell>
          <cell r="Y1198" t="str">
            <v>주물</v>
          </cell>
          <cell r="Z1198">
            <v>11.394432</v>
          </cell>
          <cell r="AA1198" t="str">
            <v>2240x1200x900</v>
          </cell>
          <cell r="AB1198" t="str">
            <v>87-08-21</v>
          </cell>
          <cell r="AG1198" t="str">
            <v>서해공업㈜ 반　</v>
          </cell>
          <cell r="AI1198" t="str">
            <v>KMO 안산2공장</v>
          </cell>
        </row>
        <row r="1199">
          <cell r="A1199">
            <v>923.5</v>
          </cell>
          <cell r="E1199" t="str">
            <v>기아모텍</v>
          </cell>
          <cell r="F1199" t="str">
            <v>C</v>
          </cell>
          <cell r="G1199" t="str">
            <v>CONCORD</v>
          </cell>
          <cell r="H1199" t="str">
            <v>041102150514</v>
          </cell>
          <cell r="I1199" t="str">
            <v>K900 52 621</v>
          </cell>
          <cell r="J1199" t="str">
            <v>TRUNK LID PAN</v>
          </cell>
          <cell r="K1199" t="str">
            <v>금형</v>
          </cell>
          <cell r="L1199" t="str">
            <v>5/5</v>
          </cell>
          <cell r="M1199">
            <v>1</v>
          </cell>
          <cell r="Y1199" t="str">
            <v>주물</v>
          </cell>
          <cell r="Z1199">
            <v>11.69964</v>
          </cell>
          <cell r="AA1199" t="str">
            <v>2300x1200x900</v>
          </cell>
          <cell r="AB1199" t="str">
            <v>87-08-21</v>
          </cell>
          <cell r="AG1199" t="str">
            <v>서해공업㈜ 반　</v>
          </cell>
          <cell r="AI1199" t="str">
            <v>KMO 안산2공장</v>
          </cell>
        </row>
        <row r="1200">
          <cell r="A1200">
            <v>924</v>
          </cell>
          <cell r="E1200" t="str">
            <v>기아모텍</v>
          </cell>
          <cell r="F1200" t="str">
            <v>C</v>
          </cell>
          <cell r="G1200" t="str">
            <v>CONCORD</v>
          </cell>
          <cell r="H1200" t="str">
            <v>044102010835</v>
          </cell>
          <cell r="I1200" t="str">
            <v>K900 52 621</v>
          </cell>
          <cell r="J1200" t="str">
            <v>REINF LID B/K</v>
          </cell>
          <cell r="K1200" t="str">
            <v>검사구</v>
          </cell>
          <cell r="M1200">
            <v>1</v>
          </cell>
          <cell r="N1200">
            <v>500000</v>
          </cell>
          <cell r="Y1200" t="str">
            <v>수지</v>
          </cell>
          <cell r="Z1200">
            <v>0</v>
          </cell>
          <cell r="AA1200" t="str">
            <v>xx</v>
          </cell>
          <cell r="AB1200" t="str">
            <v>87-03-30</v>
          </cell>
          <cell r="AG1200" t="str">
            <v>한국정우</v>
          </cell>
          <cell r="AI1200" t="str">
            <v>KMO 안산2공장</v>
          </cell>
        </row>
        <row r="1201">
          <cell r="A1201">
            <v>925</v>
          </cell>
          <cell r="E1201" t="str">
            <v>기아모텍</v>
          </cell>
          <cell r="F1201" t="str">
            <v>C</v>
          </cell>
          <cell r="G1201" t="str">
            <v>CONCORD</v>
          </cell>
          <cell r="H1201" t="str">
            <v>044102020297</v>
          </cell>
          <cell r="I1201" t="str">
            <v>K900 52 621</v>
          </cell>
          <cell r="J1201" t="str">
            <v>REINF LID 총합</v>
          </cell>
          <cell r="K1201" t="str">
            <v>검사구</v>
          </cell>
          <cell r="M1201">
            <v>1</v>
          </cell>
          <cell r="N1201">
            <v>6500000</v>
          </cell>
          <cell r="Y1201" t="str">
            <v>수지</v>
          </cell>
          <cell r="Z1201">
            <v>0</v>
          </cell>
          <cell r="AA1201" t="str">
            <v>xx</v>
          </cell>
          <cell r="AB1201" t="str">
            <v>87-03-30</v>
          </cell>
          <cell r="AG1201" t="str">
            <v>신라교역</v>
          </cell>
          <cell r="AI1201" t="str">
            <v>KMO 안산2공장</v>
          </cell>
        </row>
        <row r="1202">
          <cell r="A1202">
            <v>926</v>
          </cell>
          <cell r="E1202" t="str">
            <v>기아모텍</v>
          </cell>
          <cell r="F1202" t="str">
            <v>C4</v>
          </cell>
          <cell r="G1202" t="str">
            <v>CONCORD</v>
          </cell>
          <cell r="H1202" t="str">
            <v>044101013426</v>
          </cell>
          <cell r="I1202" t="str">
            <v>K900 53 100</v>
          </cell>
          <cell r="J1202" t="str">
            <v>SHROUD PANEL ASSY</v>
          </cell>
          <cell r="K1202" t="str">
            <v>검사구</v>
          </cell>
          <cell r="M1202">
            <v>1</v>
          </cell>
          <cell r="N1202">
            <v>8141308</v>
          </cell>
          <cell r="Z1202">
            <v>0</v>
          </cell>
          <cell r="AA1202" t="str">
            <v>xx</v>
          </cell>
          <cell r="AB1202" t="str">
            <v>88-03-15</v>
          </cell>
          <cell r="AG1202" t="str">
            <v>KIA</v>
          </cell>
          <cell r="AJ1202" t="str">
            <v>금성공업</v>
          </cell>
          <cell r="AK1202" t="str">
            <v>금성공업에서 타업체로 이관</v>
          </cell>
        </row>
        <row r="1203">
          <cell r="A1203">
            <v>927</v>
          </cell>
          <cell r="E1203" t="str">
            <v>기아모텍</v>
          </cell>
          <cell r="F1203" t="str">
            <v>C4</v>
          </cell>
          <cell r="G1203" t="str">
            <v>CAPITAL</v>
          </cell>
          <cell r="H1203" t="str">
            <v>044101030080</v>
          </cell>
          <cell r="I1203" t="str">
            <v>K900 53 171</v>
          </cell>
          <cell r="J1203" t="str">
            <v>CROSS M/B NO.1</v>
          </cell>
          <cell r="K1203" t="str">
            <v>검사구</v>
          </cell>
          <cell r="M1203">
            <v>1</v>
          </cell>
          <cell r="N1203">
            <v>465630</v>
          </cell>
          <cell r="Z1203">
            <v>0</v>
          </cell>
          <cell r="AA1203" t="str">
            <v>xx</v>
          </cell>
          <cell r="AB1203" t="str">
            <v>89-02-28</v>
          </cell>
          <cell r="AG1203" t="str">
            <v>KIA</v>
          </cell>
          <cell r="AJ1203" t="str">
            <v>금성공업</v>
          </cell>
          <cell r="AK1203" t="str">
            <v>금성공업 이관시 분실</v>
          </cell>
        </row>
        <row r="1204">
          <cell r="A1204">
            <v>928</v>
          </cell>
          <cell r="E1204" t="str">
            <v>기아모텍</v>
          </cell>
          <cell r="F1204" t="str">
            <v>C1</v>
          </cell>
          <cell r="G1204" t="str">
            <v>CONCORD</v>
          </cell>
          <cell r="H1204" t="str">
            <v>044101013456</v>
          </cell>
          <cell r="I1204" t="str">
            <v>K900 53 451</v>
          </cell>
          <cell r="J1204" t="str">
            <v>DASH LWR CROSS MEMBER</v>
          </cell>
          <cell r="K1204" t="str">
            <v>검사구</v>
          </cell>
          <cell r="M1204">
            <v>1</v>
          </cell>
          <cell r="N1204">
            <v>7009697</v>
          </cell>
          <cell r="Y1204" t="str">
            <v>수지</v>
          </cell>
          <cell r="Z1204">
            <v>0</v>
          </cell>
          <cell r="AA1204" t="str">
            <v>xx</v>
          </cell>
          <cell r="AB1204" t="str">
            <v>88-03-15</v>
          </cell>
          <cell r="AG1204" t="str">
            <v>KIA</v>
          </cell>
          <cell r="AI1204" t="str">
            <v>대륭강업</v>
          </cell>
        </row>
        <row r="1205">
          <cell r="A1205">
            <v>929</v>
          </cell>
          <cell r="E1205" t="str">
            <v>기아모텍</v>
          </cell>
          <cell r="F1205" t="str">
            <v>C4</v>
          </cell>
          <cell r="G1205" t="str">
            <v>CONCORD</v>
          </cell>
          <cell r="H1205" t="str">
            <v>041101550102</v>
          </cell>
          <cell r="I1205" t="str">
            <v>K900 53/54 121</v>
          </cell>
          <cell r="J1205" t="str">
            <v>SHROUD PANEL R/L</v>
          </cell>
          <cell r="K1205" t="str">
            <v>금형</v>
          </cell>
          <cell r="L1205" t="str">
            <v>PIE</v>
          </cell>
          <cell r="M1205">
            <v>1</v>
          </cell>
          <cell r="N1205">
            <v>23700000</v>
          </cell>
          <cell r="Z1205">
            <v>5.3166479999999998</v>
          </cell>
          <cell r="AA1205" t="str">
            <v>830x1700x800</v>
          </cell>
          <cell r="AB1205" t="str">
            <v>86-A</v>
          </cell>
          <cell r="AG1205" t="str">
            <v>삼양</v>
          </cell>
          <cell r="AJ1205" t="str">
            <v>금성공업</v>
          </cell>
          <cell r="AK1205" t="str">
            <v>금성공업에서 타업체로 이관</v>
          </cell>
        </row>
        <row r="1206">
          <cell r="A1206">
            <v>930</v>
          </cell>
          <cell r="E1206" t="str">
            <v>기아모텍</v>
          </cell>
          <cell r="F1206" t="str">
            <v>C4</v>
          </cell>
          <cell r="G1206" t="str">
            <v>CONCORD</v>
          </cell>
          <cell r="H1206" t="str">
            <v>041101550102</v>
          </cell>
          <cell r="I1206" t="str">
            <v>K900 53/54 121</v>
          </cell>
          <cell r="J1206" t="str">
            <v>SHROUD PANEL R/L</v>
          </cell>
          <cell r="K1206" t="str">
            <v>금형</v>
          </cell>
          <cell r="L1206" t="str">
            <v>FL&amp;BUR</v>
          </cell>
          <cell r="M1206">
            <v>1</v>
          </cell>
          <cell r="N1206">
            <v>26000000</v>
          </cell>
          <cell r="Z1206">
            <v>5.7650399999999999</v>
          </cell>
          <cell r="AA1206" t="str">
            <v>900x1700x800</v>
          </cell>
          <cell r="AB1206" t="str">
            <v>86-A</v>
          </cell>
          <cell r="AG1206" t="str">
            <v>삼양</v>
          </cell>
          <cell r="AJ1206" t="str">
            <v>금성공업</v>
          </cell>
          <cell r="AK1206" t="str">
            <v>금성공업에서 타업체로 이관</v>
          </cell>
        </row>
        <row r="1207">
          <cell r="A1207">
            <v>931</v>
          </cell>
          <cell r="E1207" t="str">
            <v>기아모텍</v>
          </cell>
          <cell r="F1207" t="str">
            <v>C4</v>
          </cell>
          <cell r="G1207" t="str">
            <v>CONCORD</v>
          </cell>
          <cell r="H1207" t="str">
            <v>041101550102</v>
          </cell>
          <cell r="I1207" t="str">
            <v>K900 53/54 121</v>
          </cell>
          <cell r="J1207" t="str">
            <v>SHROUD PANEL R/L</v>
          </cell>
          <cell r="K1207" t="str">
            <v>금형</v>
          </cell>
          <cell r="L1207" t="str">
            <v>TR&amp;PIE</v>
          </cell>
          <cell r="M1207">
            <v>1</v>
          </cell>
          <cell r="N1207">
            <v>29200000</v>
          </cell>
          <cell r="Z1207">
            <v>6.4432799999999997</v>
          </cell>
          <cell r="AA1207" t="str">
            <v>950x1800x800</v>
          </cell>
          <cell r="AB1207" t="str">
            <v>86-A</v>
          </cell>
          <cell r="AG1207" t="str">
            <v>삼양</v>
          </cell>
          <cell r="AJ1207" t="str">
            <v>금성공업</v>
          </cell>
          <cell r="AK1207" t="str">
            <v>금성공업에서 타업체로 이관</v>
          </cell>
        </row>
        <row r="1208">
          <cell r="A1208">
            <v>932</v>
          </cell>
          <cell r="E1208" t="str">
            <v>기아모텍</v>
          </cell>
          <cell r="F1208" t="str">
            <v>C4</v>
          </cell>
          <cell r="G1208" t="str">
            <v>CONCORD</v>
          </cell>
          <cell r="H1208" t="str">
            <v>041101550102</v>
          </cell>
          <cell r="I1208" t="str">
            <v>K900 53/54 121</v>
          </cell>
          <cell r="J1208" t="str">
            <v>SHROUD PANEL R/L</v>
          </cell>
          <cell r="K1208" t="str">
            <v>금형</v>
          </cell>
          <cell r="L1208" t="str">
            <v>DR</v>
          </cell>
          <cell r="M1208">
            <v>1</v>
          </cell>
          <cell r="N1208">
            <v>33900000</v>
          </cell>
          <cell r="Z1208">
            <v>7.4606399999999997</v>
          </cell>
          <cell r="AA1208" t="str">
            <v>1100x1800x800</v>
          </cell>
          <cell r="AB1208" t="str">
            <v>86-A</v>
          </cell>
          <cell r="AG1208" t="str">
            <v>삼양</v>
          </cell>
          <cell r="AJ1208" t="str">
            <v>금성공업</v>
          </cell>
          <cell r="AK1208" t="str">
            <v>금성공업에서 타업체로 이관</v>
          </cell>
        </row>
        <row r="1209">
          <cell r="A1209">
            <v>933</v>
          </cell>
          <cell r="E1209" t="str">
            <v>기아모텍</v>
          </cell>
          <cell r="F1209" t="str">
            <v>C4</v>
          </cell>
          <cell r="G1209" t="str">
            <v>CONCORD</v>
          </cell>
          <cell r="H1209" t="str">
            <v>041101550102</v>
          </cell>
          <cell r="I1209" t="str">
            <v>K900 53/54 121</v>
          </cell>
          <cell r="J1209" t="str">
            <v>SHROUD PANEL R/L</v>
          </cell>
          <cell r="K1209" t="str">
            <v>금형</v>
          </cell>
          <cell r="L1209" t="str">
            <v>FL&amp;PIE</v>
          </cell>
          <cell r="M1209">
            <v>1</v>
          </cell>
          <cell r="N1209">
            <v>39400000</v>
          </cell>
          <cell r="Z1209">
            <v>8.7040799999999994</v>
          </cell>
          <cell r="AA1209" t="str">
            <v>1100x2100x800</v>
          </cell>
          <cell r="AB1209" t="str">
            <v>86-A</v>
          </cell>
          <cell r="AG1209" t="str">
            <v>삼양</v>
          </cell>
          <cell r="AJ1209" t="str">
            <v>금성공업</v>
          </cell>
          <cell r="AK1209" t="str">
            <v>금성공업에서 타업체로 이관</v>
          </cell>
        </row>
        <row r="1210">
          <cell r="A1210">
            <v>934</v>
          </cell>
          <cell r="E1210" t="str">
            <v>기아모텍</v>
          </cell>
          <cell r="F1210" t="str">
            <v>C4</v>
          </cell>
          <cell r="G1210" t="str">
            <v>CONCORD</v>
          </cell>
          <cell r="H1210" t="str">
            <v>044101010136</v>
          </cell>
          <cell r="I1210" t="str">
            <v>K900 58/59 101</v>
          </cell>
          <cell r="J1210" t="str">
            <v>HINGE REINF UP R/L</v>
          </cell>
          <cell r="K1210" t="str">
            <v>검사구</v>
          </cell>
          <cell r="M1210">
            <v>2</v>
          </cell>
          <cell r="N1210">
            <v>600000</v>
          </cell>
          <cell r="Z1210">
            <v>0</v>
          </cell>
          <cell r="AA1210" t="str">
            <v>xx</v>
          </cell>
          <cell r="AB1210" t="str">
            <v>86-09-30</v>
          </cell>
          <cell r="AG1210" t="str">
            <v>선진모델</v>
          </cell>
          <cell r="AJ1210" t="str">
            <v>보성공업</v>
          </cell>
          <cell r="AK1210" t="str">
            <v>확인 불가</v>
          </cell>
        </row>
        <row r="1211">
          <cell r="A1211">
            <v>935</v>
          </cell>
          <cell r="E1211" t="str">
            <v>기아모텍</v>
          </cell>
          <cell r="F1211" t="str">
            <v>C4</v>
          </cell>
          <cell r="G1211" t="str">
            <v>CONCORD</v>
          </cell>
          <cell r="H1211" t="str">
            <v>044102010215</v>
          </cell>
          <cell r="I1211" t="str">
            <v>K900 70/71 150</v>
          </cell>
          <cell r="J1211" t="str">
            <v>WHEEL HOUSE ASSY R/L</v>
          </cell>
          <cell r="K1211" t="str">
            <v>검사구</v>
          </cell>
          <cell r="M1211">
            <v>1</v>
          </cell>
          <cell r="N1211">
            <v>7250000</v>
          </cell>
          <cell r="Z1211">
            <v>0</v>
          </cell>
          <cell r="AA1211" t="str">
            <v>xx</v>
          </cell>
          <cell r="AB1211" t="str">
            <v>86-08-20</v>
          </cell>
          <cell r="AG1211" t="str">
            <v>학림모델</v>
          </cell>
          <cell r="AJ1211" t="str">
            <v>금성공업</v>
          </cell>
          <cell r="AK1211" t="str">
            <v>금성공업에서 타업체로 이관</v>
          </cell>
        </row>
        <row r="1212">
          <cell r="A1212">
            <v>936</v>
          </cell>
          <cell r="E1212" t="str">
            <v>기아모텍</v>
          </cell>
          <cell r="F1212" t="str">
            <v>C4</v>
          </cell>
          <cell r="G1212" t="str">
            <v>CONCORD</v>
          </cell>
          <cell r="H1212" t="str">
            <v>041102440752</v>
          </cell>
          <cell r="I1212" t="str">
            <v>K900 70/71 153</v>
          </cell>
          <cell r="J1212" t="str">
            <v>PLATE-END B RH/LH</v>
          </cell>
          <cell r="K1212" t="str">
            <v>금형</v>
          </cell>
          <cell r="L1212" t="str">
            <v>FL</v>
          </cell>
          <cell r="M1212">
            <v>1</v>
          </cell>
          <cell r="N1212">
            <v>3797000</v>
          </cell>
          <cell r="Z1212">
            <v>0.95589449999999998</v>
          </cell>
          <cell r="AA1212" t="str">
            <v>820x550x450</v>
          </cell>
          <cell r="AB1212" t="str">
            <v>87-1</v>
          </cell>
          <cell r="AG1212" t="str">
            <v>광성</v>
          </cell>
          <cell r="AJ1212" t="str">
            <v>광성기업</v>
          </cell>
          <cell r="AK1212" t="str">
            <v>확인 불가</v>
          </cell>
        </row>
        <row r="1213">
          <cell r="A1213">
            <v>937</v>
          </cell>
          <cell r="E1213" t="str">
            <v>기아모텍</v>
          </cell>
          <cell r="F1213" t="str">
            <v>C4</v>
          </cell>
          <cell r="G1213" t="str">
            <v>CONCORD</v>
          </cell>
          <cell r="H1213" t="str">
            <v>041102440752</v>
          </cell>
          <cell r="I1213" t="str">
            <v>K900 70/71 153</v>
          </cell>
          <cell r="J1213" t="str">
            <v>PLATE-END B RH/LH</v>
          </cell>
          <cell r="K1213" t="str">
            <v>금형</v>
          </cell>
          <cell r="L1213" t="str">
            <v>DR &amp; PIE</v>
          </cell>
          <cell r="M1213">
            <v>1</v>
          </cell>
          <cell r="N1213">
            <v>4749000</v>
          </cell>
          <cell r="Z1213">
            <v>0.91</v>
          </cell>
          <cell r="AA1213" t="str">
            <v>880x600x450</v>
          </cell>
          <cell r="AB1213" t="str">
            <v>87-1</v>
          </cell>
          <cell r="AG1213" t="str">
            <v>광성</v>
          </cell>
          <cell r="AJ1213" t="str">
            <v>광성기업</v>
          </cell>
          <cell r="AK1213" t="str">
            <v>확인 불가</v>
          </cell>
        </row>
        <row r="1214">
          <cell r="A1214">
            <v>938</v>
          </cell>
          <cell r="E1214" t="str">
            <v>기아모텍</v>
          </cell>
          <cell r="F1214" t="str">
            <v>C4</v>
          </cell>
          <cell r="G1214" t="str">
            <v>CONCORD</v>
          </cell>
          <cell r="H1214" t="str">
            <v>041102440752</v>
          </cell>
          <cell r="I1214" t="str">
            <v>K900 70/71 153</v>
          </cell>
          <cell r="J1214" t="str">
            <v>PLATE-END B RH/LH</v>
          </cell>
          <cell r="K1214" t="str">
            <v>금형</v>
          </cell>
          <cell r="L1214" t="str">
            <v>SEP&amp; PIE</v>
          </cell>
          <cell r="M1214">
            <v>1</v>
          </cell>
          <cell r="N1214">
            <v>5209000</v>
          </cell>
          <cell r="Z1214">
            <v>0.99</v>
          </cell>
          <cell r="AA1214" t="str">
            <v>1000x550x550</v>
          </cell>
          <cell r="AB1214" t="str">
            <v>87-1</v>
          </cell>
          <cell r="AG1214" t="str">
            <v>광성</v>
          </cell>
          <cell r="AJ1214" t="str">
            <v>광성기업</v>
          </cell>
          <cell r="AK1214" t="str">
            <v>확인 불가</v>
          </cell>
        </row>
        <row r="1215">
          <cell r="A1215">
            <v>939</v>
          </cell>
          <cell r="E1215" t="str">
            <v>기아모텍</v>
          </cell>
          <cell r="F1215" t="str">
            <v>C4</v>
          </cell>
          <cell r="G1215" t="str">
            <v>CONCORD</v>
          </cell>
          <cell r="H1215" t="str">
            <v>041102440752</v>
          </cell>
          <cell r="I1215" t="str">
            <v>K900 70/71 153</v>
          </cell>
          <cell r="J1215" t="str">
            <v>PLATE-END B RH/LH</v>
          </cell>
          <cell r="K1215" t="str">
            <v>금형</v>
          </cell>
          <cell r="L1215" t="str">
            <v>DR</v>
          </cell>
          <cell r="M1215">
            <v>1</v>
          </cell>
          <cell r="N1215">
            <v>6278000</v>
          </cell>
          <cell r="Z1215">
            <v>1.23</v>
          </cell>
          <cell r="AA1215" t="str">
            <v>850x600x550</v>
          </cell>
          <cell r="AB1215" t="str">
            <v>87-1</v>
          </cell>
          <cell r="AG1215" t="str">
            <v>광성</v>
          </cell>
          <cell r="AJ1215" t="str">
            <v>광성기업</v>
          </cell>
          <cell r="AK1215" t="str">
            <v>확인 불가</v>
          </cell>
        </row>
        <row r="1216">
          <cell r="A1216">
            <v>940</v>
          </cell>
          <cell r="E1216" t="str">
            <v>기아모텍</v>
          </cell>
          <cell r="F1216" t="str">
            <v>C4</v>
          </cell>
          <cell r="G1216" t="str">
            <v>CONCORD LPG</v>
          </cell>
          <cell r="H1216" t="str">
            <v>041105250181</v>
          </cell>
          <cell r="I1216" t="str">
            <v>K917 70/71 131</v>
          </cell>
          <cell r="J1216" t="str">
            <v>SIDE BRACE R/L</v>
          </cell>
          <cell r="K1216" t="str">
            <v>금형</v>
          </cell>
          <cell r="L1216" t="str">
            <v>TR&amp;PIE</v>
          </cell>
          <cell r="M1216">
            <v>2</v>
          </cell>
          <cell r="N1216">
            <v>1918240</v>
          </cell>
          <cell r="Z1216">
            <v>4.29</v>
          </cell>
          <cell r="AA1216" t="str">
            <v>xx</v>
          </cell>
          <cell r="AB1216" t="str">
            <v>93-06-28</v>
          </cell>
          <cell r="AG1216" t="str">
            <v>광성기업</v>
          </cell>
          <cell r="AJ1216" t="str">
            <v>광성기업</v>
          </cell>
          <cell r="AK1216" t="str">
            <v>확인 불가</v>
          </cell>
        </row>
        <row r="1217">
          <cell r="A1217">
            <v>941</v>
          </cell>
          <cell r="E1217" t="str">
            <v>기아모텍</v>
          </cell>
          <cell r="F1217" t="str">
            <v>C4</v>
          </cell>
          <cell r="G1217" t="str">
            <v>CONCORD LPG</v>
          </cell>
          <cell r="H1217" t="str">
            <v>041105350171</v>
          </cell>
          <cell r="I1217" t="str">
            <v>K917 70/71 131</v>
          </cell>
          <cell r="J1217" t="str">
            <v>SIDE BRACE R/L</v>
          </cell>
          <cell r="K1217" t="str">
            <v>금형</v>
          </cell>
          <cell r="L1217" t="str">
            <v>PIE&amp;CUT</v>
          </cell>
          <cell r="M1217">
            <v>2</v>
          </cell>
          <cell r="N1217">
            <v>1918240</v>
          </cell>
          <cell r="Z1217">
            <v>4.37</v>
          </cell>
          <cell r="AA1217" t="str">
            <v>xx</v>
          </cell>
          <cell r="AB1217" t="str">
            <v>93-06-28</v>
          </cell>
          <cell r="AG1217" t="str">
            <v>광성기업</v>
          </cell>
          <cell r="AJ1217" t="str">
            <v>광성기업</v>
          </cell>
          <cell r="AK1217" t="str">
            <v>확인 불가</v>
          </cell>
        </row>
        <row r="1218">
          <cell r="A1218">
            <v>942</v>
          </cell>
          <cell r="E1218" t="str">
            <v>기아모텍</v>
          </cell>
          <cell r="F1218" t="str">
            <v>C4</v>
          </cell>
          <cell r="G1218" t="str">
            <v>CONCORD LPG</v>
          </cell>
          <cell r="H1218" t="str">
            <v>041105450231</v>
          </cell>
          <cell r="I1218" t="str">
            <v>K917 70/71 131</v>
          </cell>
          <cell r="J1218" t="str">
            <v>SIDE BRACE R/L</v>
          </cell>
          <cell r="K1218" t="str">
            <v>금형</v>
          </cell>
          <cell r="L1218" t="str">
            <v>FL&amp;RE</v>
          </cell>
          <cell r="M1218">
            <v>2</v>
          </cell>
          <cell r="N1218">
            <v>1918240</v>
          </cell>
          <cell r="Z1218">
            <v>4.17</v>
          </cell>
          <cell r="AA1218" t="str">
            <v>xx</v>
          </cell>
          <cell r="AB1218" t="str">
            <v>93-06-28</v>
          </cell>
          <cell r="AG1218" t="str">
            <v>광성기업</v>
          </cell>
          <cell r="AJ1218" t="str">
            <v>광성기업</v>
          </cell>
          <cell r="AK1218" t="str">
            <v>확인 불가</v>
          </cell>
        </row>
        <row r="1219">
          <cell r="A1219">
            <v>943</v>
          </cell>
          <cell r="E1219" t="str">
            <v>기아모텍</v>
          </cell>
          <cell r="F1219" t="str">
            <v>C4</v>
          </cell>
          <cell r="G1219" t="str">
            <v>CONCORD LPG</v>
          </cell>
          <cell r="H1219" t="str">
            <v>041105550221</v>
          </cell>
          <cell r="I1219" t="str">
            <v>K917 70/71 131</v>
          </cell>
          <cell r="J1219" t="str">
            <v>SIDE BRACE R/L</v>
          </cell>
          <cell r="K1219" t="str">
            <v>금형</v>
          </cell>
          <cell r="L1219" t="str">
            <v>FL</v>
          </cell>
          <cell r="M1219">
            <v>2</v>
          </cell>
          <cell r="N1219">
            <v>1918240</v>
          </cell>
          <cell r="Z1219">
            <v>4.0999999999999996</v>
          </cell>
          <cell r="AA1219" t="str">
            <v>xx</v>
          </cell>
          <cell r="AB1219" t="str">
            <v>93-06-28</v>
          </cell>
          <cell r="AG1219" t="str">
            <v>광성기업</v>
          </cell>
          <cell r="AJ1219" t="str">
            <v>광성기업</v>
          </cell>
          <cell r="AK1219" t="str">
            <v>확인 불가</v>
          </cell>
        </row>
        <row r="1220">
          <cell r="A1220">
            <v>944</v>
          </cell>
          <cell r="E1220" t="str">
            <v>기아모텍</v>
          </cell>
          <cell r="F1220" t="str">
            <v>C4</v>
          </cell>
          <cell r="G1220" t="str">
            <v>CONCORD LPG</v>
          </cell>
          <cell r="H1220" t="str">
            <v>041106150081</v>
          </cell>
          <cell r="I1220" t="str">
            <v>K917 70/71 131</v>
          </cell>
          <cell r="J1220" t="str">
            <v>SIDE BRACE R/L</v>
          </cell>
          <cell r="K1220" t="str">
            <v>금형</v>
          </cell>
          <cell r="L1220" t="str">
            <v>DR</v>
          </cell>
          <cell r="M1220">
            <v>2</v>
          </cell>
          <cell r="N1220">
            <v>1918240</v>
          </cell>
          <cell r="Z1220">
            <v>6.12</v>
          </cell>
          <cell r="AA1220" t="str">
            <v>xx</v>
          </cell>
          <cell r="AB1220" t="str">
            <v>93-06-28</v>
          </cell>
          <cell r="AG1220" t="str">
            <v>광성기업</v>
          </cell>
          <cell r="AJ1220" t="str">
            <v>광성기업</v>
          </cell>
          <cell r="AK1220" t="str">
            <v>확인 불가</v>
          </cell>
        </row>
        <row r="1221">
          <cell r="A1221">
            <v>945</v>
          </cell>
          <cell r="E1221" t="str">
            <v>기아모텍</v>
          </cell>
          <cell r="F1221" t="str">
            <v>C4</v>
          </cell>
          <cell r="G1221" t="str">
            <v>CONCORD LPG</v>
          </cell>
          <cell r="H1221" t="str">
            <v>044101013766</v>
          </cell>
          <cell r="I1221" t="str">
            <v>K917 70/71 131</v>
          </cell>
          <cell r="J1221" t="str">
            <v>SIDE BRACE R/L</v>
          </cell>
          <cell r="K1221" t="str">
            <v>검사구</v>
          </cell>
          <cell r="M1221">
            <v>2</v>
          </cell>
          <cell r="N1221">
            <v>5300000</v>
          </cell>
          <cell r="Z1221">
            <v>0</v>
          </cell>
          <cell r="AA1221" t="str">
            <v>xx</v>
          </cell>
          <cell r="AB1221" t="str">
            <v>88-06-20</v>
          </cell>
          <cell r="AG1221" t="str">
            <v>선진모델</v>
          </cell>
          <cell r="AJ1221" t="str">
            <v>광성기업</v>
          </cell>
          <cell r="AK1221" t="str">
            <v>확인 불가</v>
          </cell>
        </row>
        <row r="1222">
          <cell r="A1222">
            <v>946</v>
          </cell>
          <cell r="E1222" t="str">
            <v>기아모텍</v>
          </cell>
          <cell r="F1222" t="str">
            <v>C</v>
          </cell>
          <cell r="G1222" t="str">
            <v>CONCORD,CAPITAL</v>
          </cell>
          <cell r="H1222" t="str">
            <v>041101660231</v>
          </cell>
          <cell r="I1222" t="str">
            <v>K930 10 401</v>
          </cell>
          <cell r="J1222" t="str">
            <v>OIL PAN</v>
          </cell>
          <cell r="K1222" t="str">
            <v>금형</v>
          </cell>
          <cell r="M1222">
            <v>6</v>
          </cell>
          <cell r="N1222">
            <v>6697014</v>
          </cell>
          <cell r="Y1222" t="str">
            <v>주물</v>
          </cell>
          <cell r="Z1222">
            <v>11.29</v>
          </cell>
          <cell r="AA1222" t="str">
            <v>xx</v>
          </cell>
          <cell r="AB1222" t="str">
            <v>94-01-31</v>
          </cell>
          <cell r="AG1222" t="str">
            <v>서해공업㈜ 반　</v>
          </cell>
          <cell r="AI1222" t="str">
            <v>영재정공</v>
          </cell>
        </row>
        <row r="1223">
          <cell r="A1223">
            <v>947</v>
          </cell>
          <cell r="E1223" t="str">
            <v>기아모텍</v>
          </cell>
          <cell r="F1223" t="str">
            <v>A</v>
          </cell>
          <cell r="G1223" t="str">
            <v>AVELLA N/B</v>
          </cell>
          <cell r="H1223" t="str">
            <v>041101113074</v>
          </cell>
          <cell r="I1223" t="str">
            <v>K930 10 401C</v>
          </cell>
          <cell r="J1223" t="str">
            <v>OIL PAN</v>
          </cell>
          <cell r="K1223" t="str">
            <v>금형</v>
          </cell>
          <cell r="L1223" t="str">
            <v>PI</v>
          </cell>
          <cell r="M1223">
            <v>1</v>
          </cell>
          <cell r="N1223">
            <v>9105000</v>
          </cell>
          <cell r="Y1223" t="str">
            <v>주물</v>
          </cell>
          <cell r="Z1223">
            <v>1.63</v>
          </cell>
          <cell r="AA1223" t="str">
            <v>800x600x720</v>
          </cell>
          <cell r="AB1223" t="str">
            <v>96-4</v>
          </cell>
          <cell r="AG1223" t="str">
            <v>기아모텍</v>
          </cell>
          <cell r="AI1223" t="str">
            <v>영재정공</v>
          </cell>
        </row>
        <row r="1224">
          <cell r="A1224">
            <v>948</v>
          </cell>
          <cell r="E1224" t="str">
            <v>기아모텍</v>
          </cell>
          <cell r="F1224" t="str">
            <v>A</v>
          </cell>
          <cell r="G1224" t="str">
            <v>AVELLA N/B</v>
          </cell>
          <cell r="H1224" t="str">
            <v>041101113074</v>
          </cell>
          <cell r="I1224" t="str">
            <v>K930 10 401C</v>
          </cell>
          <cell r="J1224" t="str">
            <v>OIL PAN</v>
          </cell>
          <cell r="K1224" t="str">
            <v>금형</v>
          </cell>
          <cell r="L1224" t="str">
            <v>TR/PI</v>
          </cell>
          <cell r="M1224">
            <v>1</v>
          </cell>
          <cell r="N1224">
            <v>13268000</v>
          </cell>
          <cell r="Y1224" t="str">
            <v>주물</v>
          </cell>
          <cell r="Z1224">
            <v>1.86</v>
          </cell>
          <cell r="AA1224" t="str">
            <v>760x720x720</v>
          </cell>
          <cell r="AB1224" t="str">
            <v>96-4</v>
          </cell>
          <cell r="AG1224" t="str">
            <v>기아모텍</v>
          </cell>
          <cell r="AI1224" t="str">
            <v>영재정공</v>
          </cell>
        </row>
        <row r="1225">
          <cell r="A1225">
            <v>949</v>
          </cell>
          <cell r="E1225" t="str">
            <v>기아모텍</v>
          </cell>
          <cell r="F1225" t="str">
            <v>A</v>
          </cell>
          <cell r="G1225" t="str">
            <v>AVELLA N/B</v>
          </cell>
          <cell r="H1225" t="str">
            <v>041101113074</v>
          </cell>
          <cell r="I1225" t="str">
            <v>K930 10 401C</v>
          </cell>
          <cell r="J1225" t="str">
            <v>OIL PAN</v>
          </cell>
          <cell r="K1225" t="str">
            <v>금형</v>
          </cell>
          <cell r="L1225" t="str">
            <v>FL</v>
          </cell>
          <cell r="M1225">
            <v>1</v>
          </cell>
          <cell r="N1225">
            <v>17557000</v>
          </cell>
          <cell r="Y1225" t="str">
            <v>주물</v>
          </cell>
          <cell r="Z1225">
            <v>1.95</v>
          </cell>
          <cell r="AA1225" t="str">
            <v>990x580x720</v>
          </cell>
          <cell r="AB1225" t="str">
            <v>96-4</v>
          </cell>
          <cell r="AG1225" t="str">
            <v>기아모텍</v>
          </cell>
          <cell r="AI1225" t="str">
            <v>영재정공</v>
          </cell>
        </row>
        <row r="1226">
          <cell r="A1226">
            <v>950</v>
          </cell>
          <cell r="E1226" t="str">
            <v>기아모텍</v>
          </cell>
          <cell r="F1226" t="str">
            <v>A</v>
          </cell>
          <cell r="G1226" t="str">
            <v>AVELLA N/B</v>
          </cell>
          <cell r="H1226" t="str">
            <v>041101113074</v>
          </cell>
          <cell r="I1226" t="str">
            <v>K930 10 401C</v>
          </cell>
          <cell r="J1226" t="str">
            <v>OIL PAN</v>
          </cell>
          <cell r="K1226" t="str">
            <v>금형</v>
          </cell>
          <cell r="L1226" t="str">
            <v>RE</v>
          </cell>
          <cell r="M1226">
            <v>1</v>
          </cell>
          <cell r="N1226">
            <v>19899000</v>
          </cell>
          <cell r="Y1226" t="str">
            <v>주물</v>
          </cell>
          <cell r="Z1226">
            <v>2.62</v>
          </cell>
          <cell r="AA1226" t="str">
            <v>1170x660x720</v>
          </cell>
          <cell r="AB1226" t="str">
            <v>96-4</v>
          </cell>
          <cell r="AG1226" t="str">
            <v>기아모텍</v>
          </cell>
          <cell r="AI1226" t="str">
            <v>영재정공</v>
          </cell>
        </row>
        <row r="1227">
          <cell r="A1227">
            <v>951</v>
          </cell>
          <cell r="E1227" t="str">
            <v>기아모텍</v>
          </cell>
          <cell r="F1227" t="str">
            <v>A</v>
          </cell>
          <cell r="G1227" t="str">
            <v>AVELLA N/B</v>
          </cell>
          <cell r="H1227" t="str">
            <v>041101113074</v>
          </cell>
          <cell r="I1227" t="str">
            <v>K930 10 401C</v>
          </cell>
          <cell r="J1227" t="str">
            <v>OIL PAN</v>
          </cell>
          <cell r="K1227" t="str">
            <v>금형</v>
          </cell>
          <cell r="L1227" t="str">
            <v>DR</v>
          </cell>
          <cell r="M1227">
            <v>1</v>
          </cell>
          <cell r="N1227">
            <v>20581000</v>
          </cell>
          <cell r="Y1227" t="str">
            <v>주물</v>
          </cell>
          <cell r="Z1227">
            <v>3.17</v>
          </cell>
          <cell r="AA1227" t="str">
            <v>1100x850x720</v>
          </cell>
          <cell r="AB1227" t="str">
            <v>96-4</v>
          </cell>
          <cell r="AG1227" t="str">
            <v>기아모텍</v>
          </cell>
          <cell r="AI1227" t="str">
            <v>영재정공</v>
          </cell>
        </row>
        <row r="1228">
          <cell r="A1228">
            <v>952</v>
          </cell>
          <cell r="E1228" t="str">
            <v>기아모텍</v>
          </cell>
          <cell r="F1228" t="str">
            <v>A</v>
          </cell>
          <cell r="G1228" t="str">
            <v>AVELLA N/B</v>
          </cell>
          <cell r="H1228" t="str">
            <v>041101113074</v>
          </cell>
          <cell r="I1228" t="str">
            <v>K930 10 401C</v>
          </cell>
          <cell r="J1228" t="str">
            <v>OIL PAN</v>
          </cell>
          <cell r="K1228" t="str">
            <v>금형</v>
          </cell>
          <cell r="L1228" t="str">
            <v>DR</v>
          </cell>
          <cell r="M1228">
            <v>1</v>
          </cell>
          <cell r="N1228">
            <v>21515000</v>
          </cell>
          <cell r="Y1228" t="str">
            <v>주물</v>
          </cell>
          <cell r="Z1228">
            <v>2.99</v>
          </cell>
          <cell r="AA1228" t="str">
            <v>1050x840x720</v>
          </cell>
          <cell r="AB1228" t="str">
            <v>96-4</v>
          </cell>
          <cell r="AG1228" t="str">
            <v>기아모텍</v>
          </cell>
          <cell r="AI1228" t="str">
            <v>영재정공</v>
          </cell>
        </row>
        <row r="1229">
          <cell r="A1229">
            <v>953</v>
          </cell>
          <cell r="E1229" t="str">
            <v>기아모텍</v>
          </cell>
          <cell r="F1229" t="str">
            <v>C</v>
          </cell>
          <cell r="G1229" t="str">
            <v>CAPITAL</v>
          </cell>
          <cell r="H1229" t="str">
            <v>046501014091</v>
          </cell>
          <cell r="I1229" t="str">
            <v>K930 50 020</v>
          </cell>
          <cell r="J1229" t="str">
            <v>FRT. BUMPER용 대차</v>
          </cell>
          <cell r="K1229" t="str">
            <v>치구</v>
          </cell>
          <cell r="L1229" t="str">
            <v>PALLET</v>
          </cell>
          <cell r="M1229">
            <v>89</v>
          </cell>
          <cell r="N1229">
            <v>23630729</v>
          </cell>
          <cell r="Z1229">
            <v>0</v>
          </cell>
          <cell r="AA1229" t="str">
            <v>xx</v>
          </cell>
          <cell r="AB1229" t="str">
            <v>91-06-30</v>
          </cell>
          <cell r="AG1229" t="str">
            <v>KIA</v>
          </cell>
          <cell r="AI1229" t="str">
            <v>대륭강업</v>
          </cell>
        </row>
        <row r="1230">
          <cell r="A1230">
            <v>954</v>
          </cell>
          <cell r="E1230" t="str">
            <v>기아모텍</v>
          </cell>
          <cell r="F1230" t="str">
            <v>C4</v>
          </cell>
          <cell r="G1230" t="str">
            <v>CAPITAL</v>
          </cell>
          <cell r="H1230" t="str">
            <v>046801014431</v>
          </cell>
          <cell r="I1230" t="str">
            <v>K930 50 020/210</v>
          </cell>
          <cell r="J1230" t="str">
            <v>FR/RR BUMPER ROBOT CHUCK</v>
          </cell>
          <cell r="K1230" t="str">
            <v>치구</v>
          </cell>
          <cell r="M1230">
            <v>2</v>
          </cell>
          <cell r="N1230">
            <v>6000000</v>
          </cell>
          <cell r="Z1230">
            <v>0</v>
          </cell>
          <cell r="AA1230" t="str">
            <v>xx</v>
          </cell>
          <cell r="AB1230" t="str">
            <v>90-11-30</v>
          </cell>
          <cell r="AG1230" t="str">
            <v>우신기계</v>
          </cell>
          <cell r="AJ1230" t="str">
            <v>남진금속</v>
          </cell>
          <cell r="AK1230" t="str">
            <v>확인 불가</v>
          </cell>
        </row>
        <row r="1231">
          <cell r="A1231">
            <v>955</v>
          </cell>
          <cell r="E1231" t="str">
            <v>기아모텍</v>
          </cell>
          <cell r="F1231" t="str">
            <v>B</v>
          </cell>
          <cell r="G1231" t="str">
            <v>CAPITAL</v>
          </cell>
          <cell r="H1231" t="str">
            <v>041401013559</v>
          </cell>
          <cell r="I1231" t="str">
            <v>K930 50 020/210</v>
          </cell>
          <cell r="J1231" t="str">
            <v>FRT/RR BUMPER(구형)</v>
          </cell>
          <cell r="K1231" t="str">
            <v>금형</v>
          </cell>
          <cell r="L1231" t="str">
            <v>PL.MOULD</v>
          </cell>
          <cell r="M1231">
            <v>2</v>
          </cell>
          <cell r="N1231">
            <v>638145000</v>
          </cell>
          <cell r="Y1231" t="str">
            <v>주물</v>
          </cell>
          <cell r="AA1231" t="str">
            <v>xx</v>
          </cell>
          <cell r="AB1231" t="str">
            <v>92외주</v>
          </cell>
          <cell r="AG1231" t="str">
            <v>SEKISUI</v>
          </cell>
          <cell r="AI1231" t="str">
            <v>KMO 구로공장</v>
          </cell>
          <cell r="AJ1231" t="str">
            <v>'92.외주</v>
          </cell>
        </row>
        <row r="1232">
          <cell r="A1232">
            <v>955.0999755859375</v>
          </cell>
          <cell r="E1232" t="str">
            <v>기아모텍</v>
          </cell>
          <cell r="F1232" t="str">
            <v>B</v>
          </cell>
          <cell r="G1232" t="str">
            <v>CAPITAL</v>
          </cell>
          <cell r="H1232" t="str">
            <v>041401013559</v>
          </cell>
          <cell r="I1232" t="str">
            <v>K930 50 020</v>
          </cell>
          <cell r="J1232" t="str">
            <v>FRT BUMPER(구형)</v>
          </cell>
          <cell r="K1232" t="str">
            <v>금형</v>
          </cell>
          <cell r="L1232" t="str">
            <v>INJ</v>
          </cell>
          <cell r="M1232">
            <v>1</v>
          </cell>
          <cell r="Y1232" t="str">
            <v>주물</v>
          </cell>
          <cell r="Z1232">
            <v>28.848749999999999</v>
          </cell>
          <cell r="AA1232" t="str">
            <v>2500x1750x1400</v>
          </cell>
          <cell r="AB1232" t="str">
            <v>92외주</v>
          </cell>
          <cell r="AG1232" t="str">
            <v>SEKISUI</v>
          </cell>
          <cell r="AI1232" t="str">
            <v>KMO 구로공장</v>
          </cell>
          <cell r="AJ1232" t="str">
            <v>'92.외주</v>
          </cell>
        </row>
        <row r="1233">
          <cell r="A1233">
            <v>955.20001220703125</v>
          </cell>
          <cell r="E1233" t="str">
            <v>기아모텍</v>
          </cell>
          <cell r="F1233" t="str">
            <v>B</v>
          </cell>
          <cell r="G1233" t="str">
            <v>CAPITAL</v>
          </cell>
          <cell r="H1233" t="str">
            <v>041401013559</v>
          </cell>
          <cell r="I1233" t="str">
            <v>K930 50 210</v>
          </cell>
          <cell r="J1233" t="str">
            <v>RR BUMPER(구형)</v>
          </cell>
          <cell r="K1233" t="str">
            <v>금형</v>
          </cell>
          <cell r="L1233" t="str">
            <v>INJ</v>
          </cell>
          <cell r="M1233">
            <v>1</v>
          </cell>
          <cell r="Y1233" t="str">
            <v>주물</v>
          </cell>
          <cell r="Z1233">
            <v>28.848749999999999</v>
          </cell>
          <cell r="AA1233" t="str">
            <v>2500x1750x1400</v>
          </cell>
          <cell r="AB1233" t="str">
            <v>92외주</v>
          </cell>
          <cell r="AG1233" t="str">
            <v>SEKISUI</v>
          </cell>
          <cell r="AI1233" t="str">
            <v>KMO 구로공장</v>
          </cell>
          <cell r="AJ1233" t="str">
            <v>'92.외주</v>
          </cell>
        </row>
        <row r="1234">
          <cell r="A1234">
            <v>956</v>
          </cell>
          <cell r="E1234" t="str">
            <v>기아모텍</v>
          </cell>
          <cell r="F1234" t="str">
            <v>C</v>
          </cell>
          <cell r="G1234" t="str">
            <v>CONCORD,CAPITAL</v>
          </cell>
          <cell r="H1234" t="str">
            <v>041101440441</v>
          </cell>
          <cell r="I1234" t="str">
            <v>K930 50 071</v>
          </cell>
          <cell r="J1234" t="str">
            <v>REINF-FRT. BUMPER</v>
          </cell>
          <cell r="K1234" t="str">
            <v>금형</v>
          </cell>
          <cell r="M1234">
            <v>4</v>
          </cell>
          <cell r="N1234">
            <v>8209454</v>
          </cell>
          <cell r="Y1234" t="str">
            <v>주물</v>
          </cell>
          <cell r="Z1234">
            <v>24.62</v>
          </cell>
          <cell r="AA1234" t="str">
            <v>xx</v>
          </cell>
          <cell r="AB1234" t="str">
            <v>94-01-31</v>
          </cell>
          <cell r="AG1234" t="str">
            <v>광성기업</v>
          </cell>
          <cell r="AI1234" t="str">
            <v>대륭강업</v>
          </cell>
        </row>
        <row r="1235">
          <cell r="A1235">
            <v>957</v>
          </cell>
          <cell r="E1235" t="str">
            <v>기아모텍</v>
          </cell>
          <cell r="F1235" t="str">
            <v>C1</v>
          </cell>
          <cell r="G1235" t="str">
            <v>CONCORD,CAPITAL</v>
          </cell>
          <cell r="H1235" t="str">
            <v>041101440451</v>
          </cell>
          <cell r="I1235" t="str">
            <v>K930 50 081/091</v>
          </cell>
          <cell r="J1235" t="str">
            <v>STAY NO1-FR. BUMPER R/L</v>
          </cell>
          <cell r="K1235" t="str">
            <v>금형</v>
          </cell>
          <cell r="M1235">
            <v>4</v>
          </cell>
          <cell r="N1235">
            <v>1202346</v>
          </cell>
          <cell r="Z1235">
            <v>2.91</v>
          </cell>
          <cell r="AA1235" t="str">
            <v>xx</v>
          </cell>
          <cell r="AB1235" t="str">
            <v>94-01-31</v>
          </cell>
          <cell r="AG1235" t="str">
            <v>광성기업</v>
          </cell>
          <cell r="AI1235" t="str">
            <v>일석산업</v>
          </cell>
        </row>
        <row r="1236">
          <cell r="A1236">
            <v>958</v>
          </cell>
          <cell r="E1236" t="str">
            <v>기아모텍</v>
          </cell>
          <cell r="F1236" t="str">
            <v>C1</v>
          </cell>
          <cell r="G1236" t="str">
            <v>CONCORD,CAPITAL</v>
          </cell>
          <cell r="H1236" t="str">
            <v>041101330251</v>
          </cell>
          <cell r="I1236" t="str">
            <v>K930 50 082/092</v>
          </cell>
          <cell r="J1236" t="str">
            <v>STAY NO2-FR. BUMPER R/L</v>
          </cell>
          <cell r="K1236" t="str">
            <v>금형</v>
          </cell>
          <cell r="M1236">
            <v>3</v>
          </cell>
          <cell r="N1236">
            <v>1072351</v>
          </cell>
          <cell r="Z1236">
            <v>2.64</v>
          </cell>
          <cell r="AA1236" t="str">
            <v>xx</v>
          </cell>
          <cell r="AB1236" t="str">
            <v>94-01-31</v>
          </cell>
          <cell r="AG1236" t="str">
            <v>광성기업</v>
          </cell>
          <cell r="AI1236" t="str">
            <v>일석산업</v>
          </cell>
        </row>
        <row r="1237">
          <cell r="A1237">
            <v>959</v>
          </cell>
          <cell r="E1237" t="str">
            <v>기아모텍</v>
          </cell>
          <cell r="F1237" t="str">
            <v>C</v>
          </cell>
          <cell r="G1237" t="str">
            <v>CAPITAL</v>
          </cell>
          <cell r="H1237" t="str">
            <v>046501014081</v>
          </cell>
          <cell r="I1237" t="str">
            <v>K930 50 210</v>
          </cell>
          <cell r="J1237" t="str">
            <v>RR. BUMPER용 대차</v>
          </cell>
          <cell r="K1237" t="str">
            <v>치구</v>
          </cell>
          <cell r="L1237" t="str">
            <v>PALLET</v>
          </cell>
          <cell r="M1237">
            <v>70</v>
          </cell>
          <cell r="N1237">
            <v>17760000</v>
          </cell>
          <cell r="Z1237">
            <v>0</v>
          </cell>
          <cell r="AA1237" t="str">
            <v>xx</v>
          </cell>
          <cell r="AB1237" t="str">
            <v>91-06-30</v>
          </cell>
          <cell r="AG1237" t="str">
            <v>KIA</v>
          </cell>
          <cell r="AI1237" t="str">
            <v>대륭강업</v>
          </cell>
        </row>
        <row r="1238">
          <cell r="A1238">
            <v>960</v>
          </cell>
          <cell r="E1238" t="str">
            <v>기아모텍</v>
          </cell>
          <cell r="F1238" t="str">
            <v>C1</v>
          </cell>
          <cell r="G1238" t="str">
            <v>CONCORD,CAPITAL</v>
          </cell>
          <cell r="H1238" t="str">
            <v>041101440461</v>
          </cell>
          <cell r="I1238" t="str">
            <v>K930 50 331</v>
          </cell>
          <cell r="J1238" t="str">
            <v>REINF-Rr. BUMPER</v>
          </cell>
          <cell r="K1238" t="str">
            <v>금형</v>
          </cell>
          <cell r="M1238">
            <v>4</v>
          </cell>
          <cell r="N1238">
            <v>8166492</v>
          </cell>
          <cell r="Z1238">
            <v>25.58</v>
          </cell>
          <cell r="AA1238" t="str">
            <v>xx</v>
          </cell>
          <cell r="AB1238" t="str">
            <v>94-01-31</v>
          </cell>
          <cell r="AG1238" t="str">
            <v>광성기업</v>
          </cell>
          <cell r="AI1238" t="str">
            <v>일석산업</v>
          </cell>
        </row>
        <row r="1239">
          <cell r="A1239">
            <v>960.0999755859375</v>
          </cell>
          <cell r="E1239" t="str">
            <v>기아모텍</v>
          </cell>
          <cell r="F1239" t="str">
            <v>C1</v>
          </cell>
          <cell r="G1239" t="str">
            <v>CONCORD,CAPITAL</v>
          </cell>
          <cell r="H1239" t="str">
            <v>041101440461</v>
          </cell>
          <cell r="I1239" t="str">
            <v>K930 50 331</v>
          </cell>
          <cell r="J1239" t="str">
            <v>REINF-Rr. BUMPER</v>
          </cell>
          <cell r="K1239" t="str">
            <v>금형</v>
          </cell>
          <cell r="M1239">
            <v>1</v>
          </cell>
          <cell r="Y1239" t="str">
            <v>주물</v>
          </cell>
          <cell r="Z1239">
            <v>7.7853160000000008</v>
          </cell>
          <cell r="AA1239" t="str">
            <v>2200x1150x980</v>
          </cell>
          <cell r="AB1239" t="str">
            <v>94-01-31</v>
          </cell>
          <cell r="AG1239" t="str">
            <v>광성기업</v>
          </cell>
          <cell r="AI1239" t="str">
            <v>일석산업</v>
          </cell>
        </row>
        <row r="1240">
          <cell r="A1240">
            <v>960.20001220703125</v>
          </cell>
          <cell r="E1240" t="str">
            <v>기아모텍</v>
          </cell>
          <cell r="F1240" t="str">
            <v>C1</v>
          </cell>
          <cell r="G1240" t="str">
            <v>CONCORD,CAPITAL</v>
          </cell>
          <cell r="H1240" t="str">
            <v>041101440461</v>
          </cell>
          <cell r="I1240" t="str">
            <v>K930 50 331</v>
          </cell>
          <cell r="J1240" t="str">
            <v>REINF-Rr. BUMPER</v>
          </cell>
          <cell r="K1240" t="str">
            <v>금형</v>
          </cell>
          <cell r="M1240">
            <v>1</v>
          </cell>
          <cell r="Y1240" t="str">
            <v>주물</v>
          </cell>
          <cell r="Z1240">
            <v>7.7853160000000008</v>
          </cell>
          <cell r="AA1240" t="str">
            <v>2200x1150x980</v>
          </cell>
          <cell r="AB1240" t="str">
            <v>94-01-31</v>
          </cell>
          <cell r="AG1240" t="str">
            <v>광성기업</v>
          </cell>
          <cell r="AI1240" t="str">
            <v>일석산업</v>
          </cell>
        </row>
        <row r="1241">
          <cell r="A1241">
            <v>960.29998779296875</v>
          </cell>
          <cell r="E1241" t="str">
            <v>기아모텍</v>
          </cell>
          <cell r="F1241" t="str">
            <v>C1</v>
          </cell>
          <cell r="G1241" t="str">
            <v>CONCORD,CAPITAL</v>
          </cell>
          <cell r="H1241" t="str">
            <v>041101440461</v>
          </cell>
          <cell r="I1241" t="str">
            <v>K930 50 331</v>
          </cell>
          <cell r="J1241" t="str">
            <v>REINF-Rr. BUMPER</v>
          </cell>
          <cell r="K1241" t="str">
            <v>금형</v>
          </cell>
          <cell r="M1241">
            <v>1</v>
          </cell>
          <cell r="Y1241" t="str">
            <v>주물</v>
          </cell>
          <cell r="Z1241">
            <v>7.7853160000000008</v>
          </cell>
          <cell r="AA1241" t="str">
            <v>2200x1150x980</v>
          </cell>
          <cell r="AB1241" t="str">
            <v>94-01-31</v>
          </cell>
          <cell r="AG1241" t="str">
            <v>광성기업</v>
          </cell>
          <cell r="AI1241" t="str">
            <v>일석산업</v>
          </cell>
        </row>
        <row r="1242">
          <cell r="A1242">
            <v>960.4000244140625</v>
          </cell>
          <cell r="E1242" t="str">
            <v>기아모텍</v>
          </cell>
          <cell r="F1242" t="str">
            <v>C1</v>
          </cell>
          <cell r="G1242" t="str">
            <v>CONCORD,CAPITAL</v>
          </cell>
          <cell r="H1242" t="str">
            <v>041101440461</v>
          </cell>
          <cell r="I1242" t="str">
            <v>K930 50 331</v>
          </cell>
          <cell r="J1242" t="str">
            <v>REINF-Rr. BUMPER</v>
          </cell>
          <cell r="K1242" t="str">
            <v>금형</v>
          </cell>
          <cell r="M1242">
            <v>1</v>
          </cell>
          <cell r="Y1242" t="str">
            <v>주물</v>
          </cell>
          <cell r="Z1242">
            <v>7.7853160000000008</v>
          </cell>
          <cell r="AA1242" t="str">
            <v>2200x1150x980</v>
          </cell>
          <cell r="AB1242" t="str">
            <v>94-01-31</v>
          </cell>
          <cell r="AG1242" t="str">
            <v>광성기업</v>
          </cell>
          <cell r="AI1242" t="str">
            <v>일석산업</v>
          </cell>
        </row>
        <row r="1243">
          <cell r="A1243">
            <v>961</v>
          </cell>
          <cell r="E1243" t="str">
            <v>기아모텍</v>
          </cell>
          <cell r="F1243" t="str">
            <v>C</v>
          </cell>
          <cell r="G1243" t="str">
            <v>CONCORD,CAPITAL</v>
          </cell>
          <cell r="H1243" t="str">
            <v>041101440471</v>
          </cell>
          <cell r="I1243" t="str">
            <v>K930 50 332/342</v>
          </cell>
          <cell r="J1243" t="str">
            <v>STAY-Rr. BUMPER R/L</v>
          </cell>
          <cell r="K1243" t="str">
            <v>금형</v>
          </cell>
          <cell r="M1243">
            <v>4</v>
          </cell>
          <cell r="N1243">
            <v>1358902</v>
          </cell>
          <cell r="Y1243" t="str">
            <v>주물</v>
          </cell>
          <cell r="Z1243">
            <v>3.93</v>
          </cell>
          <cell r="AA1243" t="str">
            <v>xx</v>
          </cell>
          <cell r="AB1243" t="str">
            <v>94-01-31</v>
          </cell>
          <cell r="AG1243" t="str">
            <v>광성기업</v>
          </cell>
          <cell r="AI1243" t="str">
            <v>대륭강업</v>
          </cell>
        </row>
        <row r="1244">
          <cell r="A1244">
            <v>962</v>
          </cell>
          <cell r="E1244" t="str">
            <v>기아모텍</v>
          </cell>
          <cell r="F1244" t="str">
            <v>C1</v>
          </cell>
          <cell r="G1244" t="str">
            <v>CAPITAL</v>
          </cell>
          <cell r="H1244" t="str">
            <v>044102020487</v>
          </cell>
          <cell r="I1244" t="str">
            <v>K930 52 325/326</v>
          </cell>
          <cell r="J1244" t="str">
            <v>BONNET STIFF</v>
          </cell>
          <cell r="K1244" t="str">
            <v>검사구</v>
          </cell>
          <cell r="M1244">
            <v>1</v>
          </cell>
          <cell r="N1244">
            <v>1968457</v>
          </cell>
          <cell r="Y1244" t="str">
            <v>수지</v>
          </cell>
          <cell r="AA1244" t="str">
            <v>xx</v>
          </cell>
          <cell r="AB1244" t="str">
            <v>88-09-21</v>
          </cell>
          <cell r="AG1244" t="str">
            <v>동아모델</v>
          </cell>
          <cell r="AI1244" t="str">
            <v>한우정공</v>
          </cell>
        </row>
        <row r="1245">
          <cell r="A1245">
            <v>963</v>
          </cell>
          <cell r="E1245" t="str">
            <v>기아모텍</v>
          </cell>
          <cell r="F1245" t="str">
            <v>C4</v>
          </cell>
          <cell r="G1245" t="str">
            <v>CAPITAL</v>
          </cell>
          <cell r="H1245" t="str">
            <v>044102020477</v>
          </cell>
          <cell r="I1245" t="str">
            <v>K930 52 327</v>
          </cell>
          <cell r="J1245" t="str">
            <v>BONNET STIFF</v>
          </cell>
          <cell r="K1245" t="str">
            <v>검사구</v>
          </cell>
          <cell r="M1245">
            <v>1</v>
          </cell>
          <cell r="N1245">
            <v>627377</v>
          </cell>
          <cell r="Y1245" t="str">
            <v>수지</v>
          </cell>
          <cell r="AA1245" t="str">
            <v>xx</v>
          </cell>
          <cell r="AB1245" t="str">
            <v>88-09-21</v>
          </cell>
          <cell r="AG1245" t="str">
            <v>동아모델</v>
          </cell>
          <cell r="AI1245" t="str">
            <v>일석산업</v>
          </cell>
        </row>
        <row r="1246">
          <cell r="A1246">
            <v>964</v>
          </cell>
          <cell r="E1246" t="str">
            <v>기아모텍</v>
          </cell>
          <cell r="F1246" t="str">
            <v>C4</v>
          </cell>
          <cell r="G1246" t="str">
            <v>CAPITAL</v>
          </cell>
          <cell r="H1246" t="str">
            <v>044102020517</v>
          </cell>
          <cell r="I1246" t="str">
            <v>K930 52 327</v>
          </cell>
          <cell r="J1246" t="str">
            <v>BONNET STIFF</v>
          </cell>
          <cell r="K1246" t="str">
            <v>검사구</v>
          </cell>
          <cell r="M1246">
            <v>1</v>
          </cell>
          <cell r="N1246">
            <v>62569</v>
          </cell>
          <cell r="Y1246" t="str">
            <v>수지</v>
          </cell>
          <cell r="AA1246" t="str">
            <v>xx</v>
          </cell>
          <cell r="AB1246" t="str">
            <v>89-02-28</v>
          </cell>
          <cell r="AG1246" t="str">
            <v>KIA</v>
          </cell>
          <cell r="AI1246" t="str">
            <v>일석산업</v>
          </cell>
        </row>
        <row r="1247">
          <cell r="A1247">
            <v>965</v>
          </cell>
          <cell r="E1247" t="str">
            <v>기아모텍</v>
          </cell>
          <cell r="F1247" t="str">
            <v>C4</v>
          </cell>
          <cell r="G1247" t="str">
            <v>CAPITAL</v>
          </cell>
          <cell r="H1247" t="str">
            <v>044101014266</v>
          </cell>
          <cell r="I1247" t="str">
            <v>K930 52 328/329</v>
          </cell>
          <cell r="J1247" t="str">
            <v>BONNET STIFFNER</v>
          </cell>
          <cell r="K1247" t="str">
            <v>검사구</v>
          </cell>
          <cell r="M1247">
            <v>2</v>
          </cell>
          <cell r="N1247">
            <v>2000000</v>
          </cell>
          <cell r="Y1247" t="str">
            <v>수지</v>
          </cell>
          <cell r="AA1247" t="str">
            <v>xx</v>
          </cell>
          <cell r="AB1247" t="str">
            <v>88-11-30</v>
          </cell>
          <cell r="AG1247" t="str">
            <v>동아목형</v>
          </cell>
          <cell r="AI1247" t="str">
            <v>일석산업</v>
          </cell>
          <cell r="AJ1247" t="str">
            <v>대륭강업</v>
          </cell>
        </row>
        <row r="1248">
          <cell r="A1248">
            <v>966</v>
          </cell>
          <cell r="E1248" t="str">
            <v>기아모텍</v>
          </cell>
          <cell r="F1248" t="str">
            <v>B</v>
          </cell>
          <cell r="G1248" t="str">
            <v>CAPITAL</v>
          </cell>
          <cell r="H1248" t="str">
            <v>044101014406</v>
          </cell>
          <cell r="I1248" t="str">
            <v>K930 52 330</v>
          </cell>
          <cell r="J1248" t="str">
            <v>REINF Rr BUMPER</v>
          </cell>
          <cell r="K1248" t="str">
            <v>검사구</v>
          </cell>
          <cell r="M1248">
            <v>1</v>
          </cell>
          <cell r="N1248">
            <v>6000000</v>
          </cell>
          <cell r="Y1248" t="str">
            <v>수지</v>
          </cell>
          <cell r="Z1248">
            <v>0</v>
          </cell>
          <cell r="AA1248" t="str">
            <v>xx</v>
          </cell>
          <cell r="AB1248" t="str">
            <v>88-11-30</v>
          </cell>
          <cell r="AG1248" t="str">
            <v>효진기기</v>
          </cell>
          <cell r="AI1248" t="str">
            <v>대륭강업</v>
          </cell>
        </row>
        <row r="1249">
          <cell r="A1249">
            <v>967</v>
          </cell>
          <cell r="E1249" t="str">
            <v>기아모텍</v>
          </cell>
          <cell r="F1249" t="str">
            <v>C</v>
          </cell>
          <cell r="G1249" t="str">
            <v>CONCORD,CAPITAL</v>
          </cell>
          <cell r="H1249" t="str">
            <v>041101330261</v>
          </cell>
          <cell r="I1249" t="str">
            <v>K930 52 331/341</v>
          </cell>
          <cell r="J1249" t="str">
            <v>REINF-HINGE R/L</v>
          </cell>
          <cell r="K1249" t="str">
            <v>금형</v>
          </cell>
          <cell r="M1249">
            <v>3</v>
          </cell>
          <cell r="N1249">
            <v>2093389</v>
          </cell>
          <cell r="Y1249" t="str">
            <v>STEEL</v>
          </cell>
          <cell r="Z1249">
            <v>4.4400000000000004</v>
          </cell>
          <cell r="AA1249" t="str">
            <v>xx</v>
          </cell>
          <cell r="AB1249" t="str">
            <v>94-01-31</v>
          </cell>
          <cell r="AG1249" t="str">
            <v>새서울</v>
          </cell>
          <cell r="AI1249" t="str">
            <v>한우정공</v>
          </cell>
        </row>
        <row r="1250">
          <cell r="A1250">
            <v>967.0999755859375</v>
          </cell>
          <cell r="E1250" t="str">
            <v>기아모텍</v>
          </cell>
          <cell r="F1250" t="str">
            <v>C</v>
          </cell>
          <cell r="G1250" t="str">
            <v>CONCORD,CAPITAL</v>
          </cell>
          <cell r="H1250" t="str">
            <v>041101330261</v>
          </cell>
          <cell r="I1250" t="str">
            <v>K930 52 331/341</v>
          </cell>
          <cell r="J1250" t="str">
            <v>REINF-HINGE R/L</v>
          </cell>
          <cell r="K1250" t="str">
            <v>금형</v>
          </cell>
          <cell r="L1250" t="str">
            <v>DR</v>
          </cell>
          <cell r="M1250">
            <v>1</v>
          </cell>
          <cell r="Y1250" t="str">
            <v>STEEL</v>
          </cell>
          <cell r="Z1250">
            <v>1.7056888199999998</v>
          </cell>
          <cell r="AA1250" t="str">
            <v>990x590x620</v>
          </cell>
          <cell r="AB1250" t="str">
            <v>94-01-31</v>
          </cell>
          <cell r="AG1250" t="str">
            <v>새서울</v>
          </cell>
          <cell r="AI1250" t="str">
            <v>한우정공</v>
          </cell>
        </row>
        <row r="1251">
          <cell r="A1251">
            <v>967.20001220703125</v>
          </cell>
          <cell r="E1251" t="str">
            <v>기아모텍</v>
          </cell>
          <cell r="F1251" t="str">
            <v>C</v>
          </cell>
          <cell r="G1251" t="str">
            <v>CONCORD,CAPITAL</v>
          </cell>
          <cell r="H1251" t="str">
            <v>041101330261</v>
          </cell>
          <cell r="I1251" t="str">
            <v>K930 52 331/341</v>
          </cell>
          <cell r="J1251" t="str">
            <v>REINF-HINGE R/L</v>
          </cell>
          <cell r="K1251" t="str">
            <v>금형</v>
          </cell>
          <cell r="L1251" t="str">
            <v>TR,PI</v>
          </cell>
          <cell r="M1251">
            <v>1</v>
          </cell>
          <cell r="Y1251" t="str">
            <v>STEEL</v>
          </cell>
          <cell r="Z1251">
            <v>1.7056888199999998</v>
          </cell>
          <cell r="AA1251" t="str">
            <v>990x590x620</v>
          </cell>
          <cell r="AB1251" t="str">
            <v>94-01-31</v>
          </cell>
          <cell r="AG1251" t="str">
            <v>새서울</v>
          </cell>
          <cell r="AI1251" t="str">
            <v>한우정공</v>
          </cell>
        </row>
        <row r="1252">
          <cell r="A1252">
            <v>967.29998779296875</v>
          </cell>
          <cell r="E1252" t="str">
            <v>기아모텍</v>
          </cell>
          <cell r="F1252" t="str">
            <v>C</v>
          </cell>
          <cell r="G1252" t="str">
            <v>CONCORD,CAPITAL</v>
          </cell>
          <cell r="H1252" t="str">
            <v>041101330261</v>
          </cell>
          <cell r="I1252" t="str">
            <v>K930 52 331/341</v>
          </cell>
          <cell r="J1252" t="str">
            <v>REINF-HINGE R/L</v>
          </cell>
          <cell r="K1252" t="str">
            <v>금형</v>
          </cell>
          <cell r="L1252" t="str">
            <v>C/PI&amp;FL</v>
          </cell>
          <cell r="M1252">
            <v>1</v>
          </cell>
          <cell r="Y1252" t="str">
            <v>STEEL</v>
          </cell>
          <cell r="Z1252">
            <v>1.7056888199999998</v>
          </cell>
          <cell r="AA1252" t="str">
            <v>990x590x620</v>
          </cell>
          <cell r="AB1252" t="str">
            <v>94-01-31</v>
          </cell>
          <cell r="AG1252" t="str">
            <v>새서울</v>
          </cell>
          <cell r="AI1252" t="str">
            <v>한우정공</v>
          </cell>
        </row>
        <row r="1253">
          <cell r="A1253">
            <v>968</v>
          </cell>
          <cell r="E1253" t="str">
            <v>기아모텍</v>
          </cell>
          <cell r="F1253" t="str">
            <v>C4</v>
          </cell>
          <cell r="G1253" t="str">
            <v>CAPITAL</v>
          </cell>
          <cell r="H1253" t="str">
            <v>044102011565</v>
          </cell>
          <cell r="I1253" t="str">
            <v>K930 52 351</v>
          </cell>
          <cell r="J1253" t="str">
            <v>REINF STRIKER</v>
          </cell>
          <cell r="K1253" t="str">
            <v>검사구</v>
          </cell>
          <cell r="M1253">
            <v>1</v>
          </cell>
          <cell r="N1253">
            <v>550000</v>
          </cell>
          <cell r="Y1253" t="str">
            <v>수지</v>
          </cell>
          <cell r="AA1253" t="str">
            <v>xx</v>
          </cell>
          <cell r="AB1253" t="str">
            <v>88-10-27</v>
          </cell>
          <cell r="AG1253" t="str">
            <v>학림모델</v>
          </cell>
          <cell r="AI1253" t="str">
            <v>한우정공</v>
          </cell>
          <cell r="AJ1253" t="str">
            <v>일석산업</v>
          </cell>
        </row>
        <row r="1254">
          <cell r="A1254">
            <v>969</v>
          </cell>
          <cell r="E1254" t="str">
            <v>기아모텍</v>
          </cell>
          <cell r="F1254" t="str">
            <v>B</v>
          </cell>
          <cell r="G1254" t="str">
            <v>CAPITAL</v>
          </cell>
          <cell r="H1254" t="str">
            <v>044102011645</v>
          </cell>
          <cell r="I1254" t="str">
            <v>K930 53 331/341</v>
          </cell>
          <cell r="J1254" t="str">
            <v>REINF HINGE</v>
          </cell>
          <cell r="K1254" t="str">
            <v>검사구</v>
          </cell>
          <cell r="M1254">
            <v>2</v>
          </cell>
          <cell r="N1254">
            <v>2600000</v>
          </cell>
          <cell r="Y1254" t="str">
            <v>수지</v>
          </cell>
          <cell r="AA1254" t="str">
            <v>xx</v>
          </cell>
          <cell r="AB1254" t="str">
            <v>88-10-27</v>
          </cell>
          <cell r="AG1254" t="str">
            <v>학림모델</v>
          </cell>
          <cell r="AI1254" t="str">
            <v>한우정공</v>
          </cell>
        </row>
        <row r="1255">
          <cell r="A1255">
            <v>969.0999755859375</v>
          </cell>
          <cell r="E1255" t="str">
            <v>기아모텍</v>
          </cell>
          <cell r="F1255" t="str">
            <v>B</v>
          </cell>
          <cell r="G1255" t="str">
            <v>CAPITAL</v>
          </cell>
          <cell r="H1255" t="str">
            <v>044102011645</v>
          </cell>
          <cell r="I1255" t="str">
            <v>K930 53 331/341</v>
          </cell>
          <cell r="J1255" t="str">
            <v>REINF HINGE</v>
          </cell>
          <cell r="K1255" t="str">
            <v>검사구</v>
          </cell>
          <cell r="M1255">
            <v>1</v>
          </cell>
          <cell r="N1255">
            <v>1300000</v>
          </cell>
          <cell r="Y1255" t="str">
            <v>수지</v>
          </cell>
          <cell r="Z1255">
            <v>7.2534000000000001E-2</v>
          </cell>
          <cell r="AA1255" t="str">
            <v>500x330x280</v>
          </cell>
          <cell r="AB1255" t="str">
            <v>88-10-27</v>
          </cell>
          <cell r="AG1255" t="str">
            <v>학림모델</v>
          </cell>
          <cell r="AI1255" t="str">
            <v>한우정공</v>
          </cell>
        </row>
        <row r="1256">
          <cell r="A1256">
            <v>969.20001220703125</v>
          </cell>
          <cell r="E1256" t="str">
            <v>기아모텍</v>
          </cell>
          <cell r="F1256" t="str">
            <v>B</v>
          </cell>
          <cell r="G1256" t="str">
            <v>CAPITAL</v>
          </cell>
          <cell r="H1256" t="str">
            <v>044102011645</v>
          </cell>
          <cell r="I1256" t="str">
            <v>K930 53 331/341</v>
          </cell>
          <cell r="J1256" t="str">
            <v>REINF HINGE</v>
          </cell>
          <cell r="K1256" t="str">
            <v>검사구</v>
          </cell>
          <cell r="M1256">
            <v>1</v>
          </cell>
          <cell r="N1256">
            <v>1300000</v>
          </cell>
          <cell r="Y1256" t="str">
            <v>수지</v>
          </cell>
          <cell r="Z1256">
            <v>7.2534000000000001E-2</v>
          </cell>
          <cell r="AA1256" t="str">
            <v>500x330x280</v>
          </cell>
          <cell r="AB1256" t="str">
            <v>88-10-27</v>
          </cell>
          <cell r="AG1256" t="str">
            <v>학림모델</v>
          </cell>
          <cell r="AI1256" t="str">
            <v>한우정공</v>
          </cell>
        </row>
        <row r="1257">
          <cell r="A1257">
            <v>970</v>
          </cell>
          <cell r="E1257" t="str">
            <v>기아모텍</v>
          </cell>
          <cell r="F1257" t="str">
            <v>C1</v>
          </cell>
          <cell r="G1257" t="str">
            <v>CAPITAL</v>
          </cell>
          <cell r="H1257" t="str">
            <v>044102011615</v>
          </cell>
          <cell r="I1257" t="str">
            <v>K930 53 521</v>
          </cell>
          <cell r="J1257" t="str">
            <v>DASH UP M/B A</v>
          </cell>
          <cell r="K1257" t="str">
            <v>검사구</v>
          </cell>
          <cell r="M1257">
            <v>1</v>
          </cell>
          <cell r="N1257">
            <v>150000</v>
          </cell>
          <cell r="Y1257" t="str">
            <v>수지</v>
          </cell>
          <cell r="Z1257">
            <v>0</v>
          </cell>
          <cell r="AA1257" t="str">
            <v>xx</v>
          </cell>
          <cell r="AB1257" t="str">
            <v>88-10-27</v>
          </cell>
          <cell r="AG1257" t="str">
            <v>학림모델</v>
          </cell>
          <cell r="AI1257" t="str">
            <v>대륭강업</v>
          </cell>
        </row>
        <row r="1258">
          <cell r="A1258">
            <v>971</v>
          </cell>
          <cell r="E1258" t="str">
            <v>기아모텍</v>
          </cell>
          <cell r="F1258" t="str">
            <v>B</v>
          </cell>
          <cell r="G1258" t="str">
            <v>CAPITAL F/L</v>
          </cell>
          <cell r="H1258" t="str">
            <v>041102015941</v>
          </cell>
          <cell r="I1258" t="str">
            <v>K936 50 070</v>
          </cell>
          <cell r="J1258" t="str">
            <v>R/F FRT. BUMPER</v>
          </cell>
          <cell r="K1258" t="str">
            <v>금형</v>
          </cell>
          <cell r="L1258" t="str">
            <v>FL/RE</v>
          </cell>
          <cell r="M1258">
            <v>1</v>
          </cell>
          <cell r="N1258">
            <v>20089000</v>
          </cell>
          <cell r="Y1258" t="str">
            <v>주물</v>
          </cell>
          <cell r="Z1258">
            <v>5.32</v>
          </cell>
          <cell r="AA1258" t="str">
            <v>2150x700x750</v>
          </cell>
          <cell r="AB1258" t="str">
            <v>92-3</v>
          </cell>
          <cell r="AG1258" t="str">
            <v>서해공업㈜ 반　</v>
          </cell>
          <cell r="AI1258" t="str">
            <v>일석산업</v>
          </cell>
        </row>
        <row r="1259">
          <cell r="A1259">
            <v>972</v>
          </cell>
          <cell r="E1259" t="str">
            <v>기아모텍</v>
          </cell>
          <cell r="F1259" t="str">
            <v>B</v>
          </cell>
          <cell r="G1259" t="str">
            <v>CAPITAL F/L</v>
          </cell>
          <cell r="H1259" t="str">
            <v>041102015941</v>
          </cell>
          <cell r="I1259" t="str">
            <v>K936 50 070</v>
          </cell>
          <cell r="J1259" t="str">
            <v>R/F FRT. BUMPER</v>
          </cell>
          <cell r="K1259" t="str">
            <v>금형</v>
          </cell>
          <cell r="L1259" t="str">
            <v>TR/PIE</v>
          </cell>
          <cell r="M1259">
            <v>1</v>
          </cell>
          <cell r="N1259">
            <v>22466000</v>
          </cell>
          <cell r="Y1259" t="str">
            <v>주물</v>
          </cell>
          <cell r="Z1259">
            <v>6.96</v>
          </cell>
          <cell r="AA1259" t="str">
            <v>2100x800x880</v>
          </cell>
          <cell r="AB1259" t="str">
            <v>92-3</v>
          </cell>
          <cell r="AG1259" t="str">
            <v>서해공업㈜ 반　</v>
          </cell>
          <cell r="AI1259" t="str">
            <v>일석산업</v>
          </cell>
        </row>
        <row r="1260">
          <cell r="A1260">
            <v>973</v>
          </cell>
          <cell r="E1260" t="str">
            <v>기아모텍</v>
          </cell>
          <cell r="F1260" t="str">
            <v>B</v>
          </cell>
          <cell r="G1260" t="str">
            <v>CAPITAL F/L</v>
          </cell>
          <cell r="H1260" t="str">
            <v>041102015941</v>
          </cell>
          <cell r="I1260" t="str">
            <v>K936 50 070</v>
          </cell>
          <cell r="J1260" t="str">
            <v>R/F FRT. BUMPER</v>
          </cell>
          <cell r="K1260" t="str">
            <v>금형</v>
          </cell>
          <cell r="L1260" t="str">
            <v>TR/PIE</v>
          </cell>
          <cell r="M1260">
            <v>1</v>
          </cell>
          <cell r="N1260">
            <v>24806000</v>
          </cell>
          <cell r="Y1260" t="str">
            <v>주물</v>
          </cell>
          <cell r="Z1260">
            <v>7.2</v>
          </cell>
          <cell r="AA1260" t="str">
            <v>2200x790x880</v>
          </cell>
          <cell r="AB1260" t="str">
            <v>92-3</v>
          </cell>
          <cell r="AG1260" t="str">
            <v>서해공업㈜ 반　</v>
          </cell>
          <cell r="AI1260" t="str">
            <v>일석산업</v>
          </cell>
        </row>
        <row r="1261">
          <cell r="A1261">
            <v>974</v>
          </cell>
          <cell r="E1261" t="str">
            <v>기아모텍</v>
          </cell>
          <cell r="F1261" t="str">
            <v>B</v>
          </cell>
          <cell r="G1261" t="str">
            <v>CAPITAL F/L</v>
          </cell>
          <cell r="H1261" t="str">
            <v>041102015941</v>
          </cell>
          <cell r="I1261" t="str">
            <v>K936 50 070</v>
          </cell>
          <cell r="J1261" t="str">
            <v>R/F FRT. BUMPER</v>
          </cell>
          <cell r="K1261" t="str">
            <v>금형</v>
          </cell>
          <cell r="L1261" t="str">
            <v>C/PIE,PI</v>
          </cell>
          <cell r="M1261">
            <v>1</v>
          </cell>
          <cell r="N1261">
            <v>26265000</v>
          </cell>
          <cell r="Y1261" t="str">
            <v>주물</v>
          </cell>
          <cell r="Z1261">
            <v>6.58</v>
          </cell>
          <cell r="AA1261" t="str">
            <v>1900x980x750</v>
          </cell>
          <cell r="AB1261" t="str">
            <v>92-3</v>
          </cell>
          <cell r="AG1261" t="str">
            <v>서해공업㈜ 반　</v>
          </cell>
          <cell r="AI1261" t="str">
            <v>일석산업</v>
          </cell>
        </row>
        <row r="1262">
          <cell r="A1262">
            <v>975</v>
          </cell>
          <cell r="E1262" t="str">
            <v>기아모텍</v>
          </cell>
          <cell r="F1262" t="str">
            <v>B</v>
          </cell>
          <cell r="G1262" t="str">
            <v>CAPITAL F/L</v>
          </cell>
          <cell r="H1262" t="str">
            <v>041102015941</v>
          </cell>
          <cell r="I1262" t="str">
            <v>K936 50 070</v>
          </cell>
          <cell r="J1262" t="str">
            <v>R/F FRT. BUMPER</v>
          </cell>
          <cell r="K1262" t="str">
            <v>금형</v>
          </cell>
          <cell r="L1262" t="str">
            <v>CUT/RE.P</v>
          </cell>
          <cell r="M1262">
            <v>1</v>
          </cell>
          <cell r="N1262">
            <v>31389000</v>
          </cell>
          <cell r="Y1262" t="str">
            <v>주물</v>
          </cell>
          <cell r="Z1262">
            <v>12.29</v>
          </cell>
          <cell r="AA1262" t="str">
            <v>2280x1300x880</v>
          </cell>
          <cell r="AB1262" t="str">
            <v>92-3</v>
          </cell>
          <cell r="AG1262" t="str">
            <v>서해공업㈜ 반　</v>
          </cell>
          <cell r="AI1262" t="str">
            <v>일석산업</v>
          </cell>
        </row>
        <row r="1263">
          <cell r="A1263">
            <v>976</v>
          </cell>
          <cell r="E1263" t="str">
            <v>기아모텍</v>
          </cell>
          <cell r="F1263" t="str">
            <v>B</v>
          </cell>
          <cell r="G1263" t="str">
            <v>CAPITAL F/L</v>
          </cell>
          <cell r="H1263" t="str">
            <v>041102015941</v>
          </cell>
          <cell r="I1263" t="str">
            <v>K936 50 070</v>
          </cell>
          <cell r="J1263" t="str">
            <v>R/F FRT. BUMPER</v>
          </cell>
          <cell r="K1263" t="str">
            <v>금형</v>
          </cell>
          <cell r="L1263" t="str">
            <v>DR</v>
          </cell>
          <cell r="M1263">
            <v>1</v>
          </cell>
          <cell r="N1263">
            <v>34638000</v>
          </cell>
          <cell r="Y1263" t="str">
            <v>주물</v>
          </cell>
          <cell r="Z1263">
            <v>8.81</v>
          </cell>
          <cell r="AA1263" t="str">
            <v>2260x940x880</v>
          </cell>
          <cell r="AB1263" t="str">
            <v>92-3</v>
          </cell>
          <cell r="AG1263" t="str">
            <v>서해공업㈜ 반　</v>
          </cell>
          <cell r="AI1263" t="str">
            <v>일석산업</v>
          </cell>
        </row>
        <row r="1264">
          <cell r="A1264">
            <v>977</v>
          </cell>
          <cell r="E1264" t="str">
            <v>기아모텍</v>
          </cell>
          <cell r="F1264" t="str">
            <v>B</v>
          </cell>
          <cell r="G1264" t="str">
            <v>CAPITAL F/L</v>
          </cell>
          <cell r="H1264" t="str">
            <v>041102015941</v>
          </cell>
          <cell r="I1264" t="str">
            <v>K936 50 070</v>
          </cell>
          <cell r="J1264" t="str">
            <v>R/F FRT. BUMPER</v>
          </cell>
          <cell r="K1264" t="str">
            <v>금형</v>
          </cell>
          <cell r="L1264" t="str">
            <v>DR</v>
          </cell>
          <cell r="M1264">
            <v>1</v>
          </cell>
          <cell r="N1264">
            <v>42815000</v>
          </cell>
          <cell r="Y1264" t="str">
            <v>주물</v>
          </cell>
          <cell r="Z1264">
            <v>9.85</v>
          </cell>
          <cell r="AA1264" t="str">
            <v>2200x1080x880</v>
          </cell>
          <cell r="AB1264" t="str">
            <v>92-3</v>
          </cell>
          <cell r="AG1264" t="str">
            <v>서해공업㈜ 반　</v>
          </cell>
          <cell r="AI1264" t="str">
            <v>일석산업</v>
          </cell>
        </row>
        <row r="1265">
          <cell r="A1265">
            <v>978</v>
          </cell>
          <cell r="E1265" t="str">
            <v>기아모텍</v>
          </cell>
          <cell r="F1265" t="str">
            <v>B</v>
          </cell>
          <cell r="G1265" t="str">
            <v>CAPTIAL F/L</v>
          </cell>
          <cell r="H1265" t="str">
            <v>044102015605</v>
          </cell>
          <cell r="I1265" t="str">
            <v>K936 50 070</v>
          </cell>
          <cell r="J1265" t="str">
            <v>REINF FRT. BUMPER</v>
          </cell>
          <cell r="K1265" t="str">
            <v>검사구</v>
          </cell>
          <cell r="M1265">
            <v>1</v>
          </cell>
          <cell r="N1265">
            <v>11000000</v>
          </cell>
          <cell r="Y1265" t="str">
            <v>수지</v>
          </cell>
          <cell r="AA1265" t="str">
            <v>xx</v>
          </cell>
          <cell r="AB1265" t="str">
            <v>91-12-26</v>
          </cell>
          <cell r="AG1265" t="str">
            <v>새원</v>
          </cell>
          <cell r="AI1265" t="str">
            <v>일석산업</v>
          </cell>
        </row>
        <row r="1266">
          <cell r="A1266">
            <v>979</v>
          </cell>
          <cell r="E1266" t="str">
            <v>기아모텍</v>
          </cell>
          <cell r="F1266" t="str">
            <v>B</v>
          </cell>
          <cell r="G1266" t="str">
            <v>CAPTIAL F/L</v>
          </cell>
          <cell r="H1266" t="str">
            <v>044101016656</v>
          </cell>
          <cell r="I1266" t="str">
            <v>K936 50 330</v>
          </cell>
          <cell r="J1266" t="str">
            <v>REINF RR.  BUMPER</v>
          </cell>
          <cell r="K1266" t="str">
            <v>검사구</v>
          </cell>
          <cell r="M1266">
            <v>1</v>
          </cell>
          <cell r="N1266">
            <v>600000</v>
          </cell>
          <cell r="Y1266" t="str">
            <v>수지</v>
          </cell>
          <cell r="Z1266">
            <v>0</v>
          </cell>
          <cell r="AA1266" t="str">
            <v>xx</v>
          </cell>
          <cell r="AB1266" t="str">
            <v>91-10-26</v>
          </cell>
          <cell r="AG1266" t="str">
            <v>새원</v>
          </cell>
          <cell r="AI1266" t="str">
            <v>대륭강업</v>
          </cell>
        </row>
        <row r="1267">
          <cell r="A1267">
            <v>980</v>
          </cell>
          <cell r="E1267" t="str">
            <v>기아모텍</v>
          </cell>
          <cell r="F1267" t="str">
            <v>B</v>
          </cell>
          <cell r="G1267" t="str">
            <v>CAPITAL F/L</v>
          </cell>
          <cell r="H1267" t="str">
            <v>041102015951</v>
          </cell>
          <cell r="I1267" t="str">
            <v>K936 50 332</v>
          </cell>
          <cell r="J1267" t="str">
            <v>R/F RR. BUMPER</v>
          </cell>
          <cell r="K1267" t="str">
            <v>금형</v>
          </cell>
          <cell r="L1267" t="str">
            <v>TR/PIE</v>
          </cell>
          <cell r="M1267">
            <v>1</v>
          </cell>
          <cell r="N1267">
            <v>23200000</v>
          </cell>
          <cell r="Y1267" t="str">
            <v>주물</v>
          </cell>
          <cell r="Z1267">
            <v>6.88</v>
          </cell>
          <cell r="AA1267" t="str">
            <v>2000x830x880</v>
          </cell>
          <cell r="AB1267" t="str">
            <v>92-3</v>
          </cell>
          <cell r="AG1267" t="str">
            <v>서해공업㈜ 반　</v>
          </cell>
          <cell r="AI1267" t="str">
            <v>대륭강업</v>
          </cell>
        </row>
        <row r="1268">
          <cell r="A1268">
            <v>981</v>
          </cell>
          <cell r="E1268" t="str">
            <v>기아모텍</v>
          </cell>
          <cell r="F1268" t="str">
            <v>B</v>
          </cell>
          <cell r="G1268" t="str">
            <v>CAPITAL F/L</v>
          </cell>
          <cell r="H1268" t="str">
            <v>041102015951</v>
          </cell>
          <cell r="I1268" t="str">
            <v>K936 50 332</v>
          </cell>
          <cell r="J1268" t="str">
            <v>R/F RR. BUMPER</v>
          </cell>
          <cell r="K1268" t="str">
            <v>금형</v>
          </cell>
          <cell r="L1268" t="str">
            <v>RE.PIE.C</v>
          </cell>
          <cell r="M1268">
            <v>1</v>
          </cell>
          <cell r="N1268">
            <v>27322000</v>
          </cell>
          <cell r="Y1268" t="str">
            <v>주물</v>
          </cell>
          <cell r="Z1268">
            <v>8.5299999999999994</v>
          </cell>
          <cell r="AA1268" t="str">
            <v>2100x980x880</v>
          </cell>
          <cell r="AB1268" t="str">
            <v>92-3</v>
          </cell>
          <cell r="AG1268" t="str">
            <v>서해공업㈜ 반　</v>
          </cell>
          <cell r="AI1268" t="str">
            <v>대륭강업</v>
          </cell>
        </row>
        <row r="1269">
          <cell r="A1269">
            <v>982</v>
          </cell>
          <cell r="E1269" t="str">
            <v>기아모텍</v>
          </cell>
          <cell r="F1269" t="str">
            <v>B</v>
          </cell>
          <cell r="G1269" t="str">
            <v>CAPITAL F/L</v>
          </cell>
          <cell r="H1269" t="str">
            <v>041102015951</v>
          </cell>
          <cell r="I1269" t="str">
            <v>K936 50 332</v>
          </cell>
          <cell r="J1269" t="str">
            <v>R/F RR. BUMPER</v>
          </cell>
          <cell r="K1269" t="str">
            <v>금형</v>
          </cell>
          <cell r="L1269" t="str">
            <v>DR</v>
          </cell>
          <cell r="M1269">
            <v>1</v>
          </cell>
          <cell r="N1269">
            <v>37810000</v>
          </cell>
          <cell r="Y1269" t="str">
            <v>주물</v>
          </cell>
          <cell r="Z1269">
            <v>8.77</v>
          </cell>
          <cell r="AA1269" t="str">
            <v>2250x940x880</v>
          </cell>
          <cell r="AB1269" t="str">
            <v>92-3</v>
          </cell>
          <cell r="AG1269" t="str">
            <v>서해공업㈜ 반　</v>
          </cell>
          <cell r="AI1269" t="str">
            <v>대륭강업</v>
          </cell>
        </row>
        <row r="1270">
          <cell r="A1270">
            <v>983</v>
          </cell>
          <cell r="E1270" t="str">
            <v>기아모텍</v>
          </cell>
          <cell r="F1270" t="str">
            <v>A</v>
          </cell>
          <cell r="G1270" t="str">
            <v>CONCORD</v>
          </cell>
          <cell r="H1270" t="str">
            <v>044201013603</v>
          </cell>
          <cell r="I1270" t="str">
            <v>K942 50 031</v>
          </cell>
          <cell r="J1270" t="str">
            <v>FRT BUMPER ASS'Y</v>
          </cell>
          <cell r="K1270" t="str">
            <v>치구</v>
          </cell>
          <cell r="M1270">
            <v>1</v>
          </cell>
          <cell r="N1270">
            <v>13500000</v>
          </cell>
          <cell r="AA1270" t="str">
            <v>xx</v>
          </cell>
          <cell r="AI1270" t="str">
            <v>일석산업</v>
          </cell>
        </row>
        <row r="1271">
          <cell r="A1271">
            <v>984</v>
          </cell>
          <cell r="E1271" t="str">
            <v>기아모텍</v>
          </cell>
          <cell r="F1271" t="str">
            <v>A</v>
          </cell>
          <cell r="G1271" t="str">
            <v>CONCORD</v>
          </cell>
          <cell r="H1271" t="str">
            <v>044201013593</v>
          </cell>
          <cell r="I1271" t="str">
            <v>K942 50 221</v>
          </cell>
          <cell r="J1271" t="str">
            <v>RR BUMPER ASS'Y</v>
          </cell>
          <cell r="K1271" t="str">
            <v>치구</v>
          </cell>
          <cell r="M1271">
            <v>1</v>
          </cell>
          <cell r="N1271">
            <v>13000000</v>
          </cell>
          <cell r="AA1271" t="str">
            <v>xx</v>
          </cell>
          <cell r="AI1271" t="str">
            <v>대륭강업</v>
          </cell>
        </row>
        <row r="1272">
          <cell r="A1272">
            <v>985</v>
          </cell>
          <cell r="E1272" t="str">
            <v>기아모텍</v>
          </cell>
          <cell r="F1272" t="str">
            <v>A</v>
          </cell>
          <cell r="G1272" t="str">
            <v>CONCORD</v>
          </cell>
          <cell r="H1272" t="str">
            <v>041101127014</v>
          </cell>
          <cell r="I1272" t="str">
            <v>K94J 07 000</v>
          </cell>
          <cell r="J1272" t="str">
            <v>MAIN JIG</v>
          </cell>
          <cell r="K1272" t="str">
            <v>금형</v>
          </cell>
          <cell r="M1272">
            <v>9</v>
          </cell>
          <cell r="N1272">
            <v>860212879</v>
          </cell>
          <cell r="Y1272" t="str">
            <v>주물</v>
          </cell>
          <cell r="AA1272" t="str">
            <v>xx</v>
          </cell>
          <cell r="AB1272" t="str">
            <v>86-07-07</v>
          </cell>
          <cell r="AI1272" t="str">
            <v>KMO 안산2공장</v>
          </cell>
        </row>
        <row r="1273">
          <cell r="A1273">
            <v>986</v>
          </cell>
          <cell r="E1273" t="str">
            <v>기아모텍</v>
          </cell>
          <cell r="F1273" t="str">
            <v>C3</v>
          </cell>
          <cell r="G1273" t="str">
            <v>CONCORD W/G</v>
          </cell>
          <cell r="H1273" t="str">
            <v>041101127044</v>
          </cell>
          <cell r="I1273" t="str">
            <v>K94J 53 722/3/4</v>
          </cell>
          <cell r="J1273" t="str">
            <v>COVER C-M/B NO1</v>
          </cell>
          <cell r="K1273" t="str">
            <v>금형</v>
          </cell>
          <cell r="L1273" t="str">
            <v>금형</v>
          </cell>
          <cell r="M1273">
            <v>5</v>
          </cell>
          <cell r="N1273">
            <v>16000000</v>
          </cell>
          <cell r="Y1273" t="str">
            <v>주물</v>
          </cell>
          <cell r="Z1273">
            <v>0</v>
          </cell>
          <cell r="AA1273" t="str">
            <v>xx</v>
          </cell>
          <cell r="AB1273" t="str">
            <v>96-9</v>
          </cell>
          <cell r="AG1273" t="str">
            <v>제일정공</v>
          </cell>
          <cell r="AI1273" t="str">
            <v>제일정공</v>
          </cell>
        </row>
        <row r="1274">
          <cell r="A1274">
            <v>987</v>
          </cell>
          <cell r="E1274" t="str">
            <v>기아모텍</v>
          </cell>
          <cell r="F1274" t="str">
            <v>C3</v>
          </cell>
          <cell r="G1274" t="str">
            <v>CONCORD W/G</v>
          </cell>
          <cell r="H1274" t="str">
            <v>041101127064</v>
          </cell>
          <cell r="I1274" t="str">
            <v>K94J 53 7A1</v>
          </cell>
          <cell r="J1274" t="str">
            <v>SIDE COVER RH</v>
          </cell>
          <cell r="K1274" t="str">
            <v>금형</v>
          </cell>
          <cell r="L1274" t="str">
            <v>금형</v>
          </cell>
          <cell r="M1274">
            <v>4</v>
          </cell>
          <cell r="N1274">
            <v>24000000</v>
          </cell>
          <cell r="Y1274" t="str">
            <v>주물</v>
          </cell>
          <cell r="Z1274">
            <v>0</v>
          </cell>
          <cell r="AA1274" t="str">
            <v>xx</v>
          </cell>
          <cell r="AB1274" t="str">
            <v>96-9</v>
          </cell>
          <cell r="AG1274" t="str">
            <v>제일정공</v>
          </cell>
          <cell r="AI1274" t="str">
            <v>제일정공</v>
          </cell>
        </row>
        <row r="1275">
          <cell r="A1275">
            <v>988</v>
          </cell>
          <cell r="E1275" t="str">
            <v>기아모텍</v>
          </cell>
          <cell r="F1275" t="str">
            <v>C3</v>
          </cell>
          <cell r="G1275" t="str">
            <v>CONCORD W/G</v>
          </cell>
          <cell r="H1275" t="str">
            <v>041101111493</v>
          </cell>
          <cell r="I1275" t="str">
            <v>K94J 53 7X0</v>
          </cell>
          <cell r="J1275" t="str">
            <v>TRUNK FLOOR UP,FRT</v>
          </cell>
          <cell r="K1275" t="str">
            <v>금형</v>
          </cell>
          <cell r="L1275" t="str">
            <v>TR/PI</v>
          </cell>
          <cell r="M1275">
            <v>1</v>
          </cell>
          <cell r="N1275">
            <v>14036000</v>
          </cell>
          <cell r="Y1275" t="str">
            <v>주물</v>
          </cell>
          <cell r="Z1275">
            <v>2.87</v>
          </cell>
          <cell r="AA1275" t="str">
            <v>1500x700x580</v>
          </cell>
          <cell r="AB1275" t="str">
            <v>95</v>
          </cell>
          <cell r="AG1275" t="str">
            <v>서해공업㈜ 반　</v>
          </cell>
          <cell r="AI1275" t="str">
            <v>영재정공</v>
          </cell>
        </row>
        <row r="1276">
          <cell r="A1276">
            <v>989</v>
          </cell>
          <cell r="E1276" t="str">
            <v>기아모텍</v>
          </cell>
          <cell r="F1276" t="str">
            <v>C3</v>
          </cell>
          <cell r="G1276" t="str">
            <v>CONCORD W/G</v>
          </cell>
          <cell r="H1276" t="str">
            <v>041101111493</v>
          </cell>
          <cell r="I1276" t="str">
            <v>K94J 53 7X0</v>
          </cell>
          <cell r="J1276" t="str">
            <v>TRUNK FLOOR UP,FRT</v>
          </cell>
          <cell r="K1276" t="str">
            <v>금형</v>
          </cell>
          <cell r="L1276" t="str">
            <v>DR</v>
          </cell>
          <cell r="M1276">
            <v>1</v>
          </cell>
          <cell r="N1276">
            <v>16284000</v>
          </cell>
          <cell r="Y1276" t="str">
            <v>주물</v>
          </cell>
          <cell r="Z1276">
            <v>2.97</v>
          </cell>
          <cell r="AA1276" t="str">
            <v>1650x660x580</v>
          </cell>
          <cell r="AB1276" t="str">
            <v>95</v>
          </cell>
          <cell r="AG1276" t="str">
            <v>서해공업㈜ 반　</v>
          </cell>
          <cell r="AI1276" t="str">
            <v>영재정공</v>
          </cell>
        </row>
        <row r="1277">
          <cell r="A1277">
            <v>990</v>
          </cell>
          <cell r="E1277" t="str">
            <v>기아모텍</v>
          </cell>
          <cell r="F1277" t="str">
            <v>C3</v>
          </cell>
          <cell r="G1277" t="str">
            <v>CONCORD W/G</v>
          </cell>
          <cell r="H1277" t="str">
            <v>041101111493</v>
          </cell>
          <cell r="I1277" t="str">
            <v>K94J 53 7X0</v>
          </cell>
          <cell r="J1277" t="str">
            <v>TRUNK FLOOR UP,FRT</v>
          </cell>
          <cell r="K1277" t="str">
            <v>금형</v>
          </cell>
          <cell r="L1277" t="str">
            <v>PI&amp;C/PI</v>
          </cell>
          <cell r="M1277">
            <v>1</v>
          </cell>
          <cell r="N1277">
            <v>16447000</v>
          </cell>
          <cell r="Y1277" t="str">
            <v>주물</v>
          </cell>
          <cell r="Z1277">
            <v>3.33</v>
          </cell>
          <cell r="AA1277" t="str">
            <v>1450x840x580</v>
          </cell>
          <cell r="AB1277" t="str">
            <v>95</v>
          </cell>
          <cell r="AG1277" t="str">
            <v>서해공업㈜ 반　</v>
          </cell>
          <cell r="AI1277" t="str">
            <v>영재정공</v>
          </cell>
        </row>
        <row r="1278">
          <cell r="A1278">
            <v>991</v>
          </cell>
          <cell r="E1278" t="str">
            <v>기아모텍</v>
          </cell>
          <cell r="F1278" t="str">
            <v>C3</v>
          </cell>
          <cell r="G1278" t="str">
            <v>CONCORD W/G</v>
          </cell>
          <cell r="H1278" t="str">
            <v>041101111503</v>
          </cell>
          <cell r="I1278" t="str">
            <v>K94J 53 7Z1</v>
          </cell>
          <cell r="J1278" t="str">
            <v>COVER S/TIRE</v>
          </cell>
          <cell r="K1278" t="str">
            <v>금형</v>
          </cell>
          <cell r="L1278" t="str">
            <v>FL/PI</v>
          </cell>
          <cell r="M1278">
            <v>1</v>
          </cell>
          <cell r="N1278">
            <v>20790000</v>
          </cell>
          <cell r="Y1278" t="str">
            <v>주물</v>
          </cell>
          <cell r="Z1278">
            <v>4.74</v>
          </cell>
          <cell r="AA1278" t="str">
            <v>1400x1160x620</v>
          </cell>
          <cell r="AB1278" t="str">
            <v>95</v>
          </cell>
          <cell r="AG1278" t="str">
            <v>서해공업㈜ 반　</v>
          </cell>
          <cell r="AI1278" t="str">
            <v>KMO 안산1공장</v>
          </cell>
        </row>
        <row r="1279">
          <cell r="A1279">
            <v>992</v>
          </cell>
          <cell r="E1279" t="str">
            <v>기아모텍</v>
          </cell>
          <cell r="F1279" t="str">
            <v>C3</v>
          </cell>
          <cell r="G1279" t="str">
            <v>CONCORD W/G</v>
          </cell>
          <cell r="H1279" t="str">
            <v>041101111503</v>
          </cell>
          <cell r="I1279" t="str">
            <v>K94J 53 7Z1</v>
          </cell>
          <cell r="J1279" t="str">
            <v>COVER S/TIRE</v>
          </cell>
          <cell r="K1279" t="str">
            <v>금형</v>
          </cell>
          <cell r="L1279" t="str">
            <v>TR/PI</v>
          </cell>
          <cell r="M1279">
            <v>1</v>
          </cell>
          <cell r="N1279">
            <v>21449000</v>
          </cell>
          <cell r="Y1279" t="str">
            <v>주물</v>
          </cell>
          <cell r="Z1279">
            <v>5.01</v>
          </cell>
          <cell r="AA1279" t="str">
            <v>1480x1160x620</v>
          </cell>
          <cell r="AB1279" t="str">
            <v>95</v>
          </cell>
          <cell r="AG1279" t="str">
            <v>서해공업㈜ 반　</v>
          </cell>
          <cell r="AI1279" t="str">
            <v>KMO 안산1공장</v>
          </cell>
        </row>
        <row r="1280">
          <cell r="A1280">
            <v>993</v>
          </cell>
          <cell r="E1280" t="str">
            <v>기아모텍</v>
          </cell>
          <cell r="F1280" t="str">
            <v>C3</v>
          </cell>
          <cell r="G1280" t="str">
            <v>CONCORD W/G</v>
          </cell>
          <cell r="H1280" t="str">
            <v>041101111503</v>
          </cell>
          <cell r="I1280" t="str">
            <v>K94J 53 7Z1</v>
          </cell>
          <cell r="J1280" t="str">
            <v>COVER S/TIRE</v>
          </cell>
          <cell r="K1280" t="str">
            <v>금형</v>
          </cell>
          <cell r="L1280" t="str">
            <v>DR</v>
          </cell>
          <cell r="M1280">
            <v>1</v>
          </cell>
          <cell r="N1280">
            <v>21609000</v>
          </cell>
          <cell r="Y1280" t="str">
            <v>주물</v>
          </cell>
          <cell r="Z1280">
            <v>5.0199999999999996</v>
          </cell>
          <cell r="AA1280" t="str">
            <v>1410x1220x620</v>
          </cell>
          <cell r="AB1280" t="str">
            <v>95</v>
          </cell>
          <cell r="AG1280" t="str">
            <v>서해공업㈜ 반　</v>
          </cell>
          <cell r="AI1280" t="str">
            <v>KMO 안산1공장</v>
          </cell>
        </row>
        <row r="1281">
          <cell r="A1281">
            <v>994</v>
          </cell>
          <cell r="E1281" t="str">
            <v>기아모텍</v>
          </cell>
          <cell r="F1281" t="str">
            <v>C3</v>
          </cell>
          <cell r="G1281" t="str">
            <v>CONCORD W/G</v>
          </cell>
          <cell r="H1281" t="str">
            <v>041101111503</v>
          </cell>
          <cell r="I1281" t="str">
            <v>K94J 53 7Z1</v>
          </cell>
          <cell r="J1281" t="str">
            <v>COVER S/TIRE</v>
          </cell>
          <cell r="K1281" t="str">
            <v>금형</v>
          </cell>
          <cell r="L1281" t="str">
            <v>C/FL</v>
          </cell>
          <cell r="M1281">
            <v>1</v>
          </cell>
          <cell r="N1281">
            <v>23421000</v>
          </cell>
          <cell r="Y1281" t="str">
            <v>주물</v>
          </cell>
          <cell r="Z1281">
            <v>6.9</v>
          </cell>
          <cell r="AA1281" t="str">
            <v>1440x1640x620</v>
          </cell>
          <cell r="AB1281" t="str">
            <v>95</v>
          </cell>
          <cell r="AG1281" t="str">
            <v>서해공업㈜ 반　</v>
          </cell>
          <cell r="AI1281" t="str">
            <v>KMO 안산1공장</v>
          </cell>
        </row>
        <row r="1282">
          <cell r="A1282">
            <v>995</v>
          </cell>
          <cell r="E1282" t="str">
            <v>기아모텍</v>
          </cell>
          <cell r="F1282" t="str">
            <v>C3</v>
          </cell>
          <cell r="G1282" t="str">
            <v>CONCORD W/G</v>
          </cell>
          <cell r="H1282" t="str">
            <v>041101111503</v>
          </cell>
          <cell r="I1282" t="str">
            <v>K94J 53 7Z1</v>
          </cell>
          <cell r="J1282" t="str">
            <v>COVER S/TIRE</v>
          </cell>
          <cell r="K1282" t="str">
            <v>금형</v>
          </cell>
          <cell r="L1282" t="str">
            <v>C/FL</v>
          </cell>
          <cell r="M1282">
            <v>1</v>
          </cell>
          <cell r="N1282">
            <v>24322000</v>
          </cell>
          <cell r="Y1282" t="str">
            <v>주물</v>
          </cell>
          <cell r="Z1282">
            <v>6.68</v>
          </cell>
          <cell r="AA1282" t="str">
            <v>1800x1270x620</v>
          </cell>
          <cell r="AB1282" t="str">
            <v>95</v>
          </cell>
          <cell r="AG1282" t="str">
            <v>서해공업㈜ 반　</v>
          </cell>
          <cell r="AI1282" t="str">
            <v>KMO 안산1공장</v>
          </cell>
        </row>
        <row r="1283">
          <cell r="A1283">
            <v>996</v>
          </cell>
          <cell r="E1283" t="str">
            <v>기아모텍</v>
          </cell>
          <cell r="F1283" t="str">
            <v>C3</v>
          </cell>
          <cell r="G1283" t="str">
            <v>CONCORD W/G</v>
          </cell>
          <cell r="H1283" t="str">
            <v>041101127054</v>
          </cell>
          <cell r="I1283" t="str">
            <v>K94J 53 7Z5</v>
          </cell>
          <cell r="J1283" t="str">
            <v>COVER CROSS-M/B NO5</v>
          </cell>
          <cell r="K1283" t="str">
            <v>금형</v>
          </cell>
          <cell r="L1283" t="str">
            <v>금형</v>
          </cell>
          <cell r="M1283">
            <v>3</v>
          </cell>
          <cell r="N1283">
            <v>5000000</v>
          </cell>
          <cell r="Y1283" t="str">
            <v>주물</v>
          </cell>
          <cell r="AA1283" t="str">
            <v>xx</v>
          </cell>
          <cell r="AB1283" t="str">
            <v>96-9</v>
          </cell>
          <cell r="AG1283" t="str">
            <v>제일정공</v>
          </cell>
          <cell r="AI1283" t="str">
            <v>제일정공</v>
          </cell>
        </row>
        <row r="1284">
          <cell r="A1284">
            <v>997</v>
          </cell>
          <cell r="E1284" t="str">
            <v>기아모텍</v>
          </cell>
          <cell r="F1284" t="str">
            <v>C3</v>
          </cell>
          <cell r="G1284" t="str">
            <v>CONCORD W/G</v>
          </cell>
          <cell r="H1284" t="str">
            <v>041101111513</v>
          </cell>
          <cell r="I1284" t="str">
            <v>K94J 53 981</v>
          </cell>
          <cell r="J1284" t="str">
            <v>CROSS M/B NO.5</v>
          </cell>
          <cell r="K1284" t="str">
            <v>금형</v>
          </cell>
          <cell r="L1284" t="str">
            <v>FL/RE</v>
          </cell>
          <cell r="M1284">
            <v>1</v>
          </cell>
          <cell r="N1284">
            <v>16192000</v>
          </cell>
          <cell r="Y1284" t="str">
            <v>주물</v>
          </cell>
          <cell r="Z1284">
            <v>3.25</v>
          </cell>
          <cell r="AA1284" t="str">
            <v>1780x570x680</v>
          </cell>
          <cell r="AB1284" t="str">
            <v>95</v>
          </cell>
          <cell r="AG1284" t="str">
            <v>서해공업㈜ 반　</v>
          </cell>
          <cell r="AI1284" t="str">
            <v>KMO 안산1공장</v>
          </cell>
        </row>
        <row r="1285">
          <cell r="A1285">
            <v>998</v>
          </cell>
          <cell r="E1285" t="str">
            <v>기아모텍</v>
          </cell>
          <cell r="F1285" t="str">
            <v>C3</v>
          </cell>
          <cell r="G1285" t="str">
            <v>CONCORD W/G</v>
          </cell>
          <cell r="H1285" t="str">
            <v>041101111513</v>
          </cell>
          <cell r="I1285" t="str">
            <v>K94J 53 981</v>
          </cell>
          <cell r="J1285" t="str">
            <v>CROSS M/B NO.5</v>
          </cell>
          <cell r="K1285" t="str">
            <v>금형</v>
          </cell>
          <cell r="L1285" t="str">
            <v>TR/PI</v>
          </cell>
          <cell r="M1285">
            <v>1</v>
          </cell>
          <cell r="N1285">
            <v>18618000</v>
          </cell>
          <cell r="Y1285" t="str">
            <v>주물</v>
          </cell>
          <cell r="Z1285">
            <v>4.43</v>
          </cell>
          <cell r="AA1285" t="str">
            <v>2040x640x720</v>
          </cell>
          <cell r="AB1285" t="str">
            <v>95</v>
          </cell>
          <cell r="AG1285" t="str">
            <v>서해공업㈜ 반　</v>
          </cell>
          <cell r="AI1285" t="str">
            <v>KMO 안산1공장</v>
          </cell>
        </row>
        <row r="1286">
          <cell r="A1286">
            <v>999</v>
          </cell>
          <cell r="E1286" t="str">
            <v>기아모텍</v>
          </cell>
          <cell r="F1286" t="str">
            <v>C3</v>
          </cell>
          <cell r="G1286" t="str">
            <v>CONCORD W/G</v>
          </cell>
          <cell r="H1286" t="str">
            <v>041101111513</v>
          </cell>
          <cell r="I1286" t="str">
            <v>K94J 53 981</v>
          </cell>
          <cell r="J1286" t="str">
            <v>CROSS M/B NO.5</v>
          </cell>
          <cell r="K1286" t="str">
            <v>금형</v>
          </cell>
          <cell r="L1286" t="str">
            <v>TR/PI,C/P</v>
          </cell>
          <cell r="M1286">
            <v>1</v>
          </cell>
          <cell r="N1286">
            <v>18856000</v>
          </cell>
          <cell r="Y1286" t="str">
            <v>주물</v>
          </cell>
          <cell r="Z1286">
            <v>4.54</v>
          </cell>
          <cell r="AA1286" t="str">
            <v>1940x730x680</v>
          </cell>
          <cell r="AB1286" t="str">
            <v>95</v>
          </cell>
          <cell r="AG1286" t="str">
            <v>서해공업㈜ 반　</v>
          </cell>
          <cell r="AI1286" t="str">
            <v>KMO 안산1공장</v>
          </cell>
        </row>
        <row r="1287">
          <cell r="A1287">
            <v>1000</v>
          </cell>
          <cell r="E1287" t="str">
            <v>기아모텍</v>
          </cell>
          <cell r="F1287" t="str">
            <v>C3</v>
          </cell>
          <cell r="G1287" t="str">
            <v>CONCORD W/G</v>
          </cell>
          <cell r="H1287" t="str">
            <v>041101111513</v>
          </cell>
          <cell r="I1287" t="str">
            <v>K94J 53 981</v>
          </cell>
          <cell r="J1287" t="str">
            <v>CROSS M/B NO.5</v>
          </cell>
          <cell r="K1287" t="str">
            <v>금형</v>
          </cell>
          <cell r="L1287" t="str">
            <v>DR</v>
          </cell>
          <cell r="M1287">
            <v>1</v>
          </cell>
          <cell r="N1287">
            <v>20656000</v>
          </cell>
          <cell r="Y1287" t="str">
            <v>주물</v>
          </cell>
          <cell r="Z1287">
            <v>4.04</v>
          </cell>
          <cell r="AA1287" t="str">
            <v>1940x690x640</v>
          </cell>
          <cell r="AB1287" t="str">
            <v>95</v>
          </cell>
          <cell r="AG1287" t="str">
            <v>서해공업㈜ 반　</v>
          </cell>
          <cell r="AI1287" t="str">
            <v>KMO 안산1공장</v>
          </cell>
        </row>
        <row r="1288">
          <cell r="A1288">
            <v>1001</v>
          </cell>
          <cell r="E1288" t="str">
            <v>기아모텍</v>
          </cell>
          <cell r="F1288" t="str">
            <v>C3</v>
          </cell>
          <cell r="G1288" t="str">
            <v>CONCORD W/G</v>
          </cell>
          <cell r="H1288" t="str">
            <v>041101127154</v>
          </cell>
          <cell r="I1288" t="str">
            <v>K94J 53 993</v>
          </cell>
          <cell r="J1288" t="str">
            <v>PLATE CONNER</v>
          </cell>
          <cell r="K1288" t="str">
            <v>금형</v>
          </cell>
          <cell r="L1288" t="str">
            <v>금형</v>
          </cell>
          <cell r="M1288">
            <v>5</v>
          </cell>
          <cell r="N1288">
            <v>5000000</v>
          </cell>
          <cell r="Y1288" t="str">
            <v>주물</v>
          </cell>
          <cell r="AA1288" t="str">
            <v>xx</v>
          </cell>
          <cell r="AB1288" t="str">
            <v>96-9</v>
          </cell>
          <cell r="AG1288" t="str">
            <v>동양금형</v>
          </cell>
          <cell r="AI1288" t="str">
            <v>영재정공</v>
          </cell>
        </row>
        <row r="1289">
          <cell r="A1289">
            <v>1002</v>
          </cell>
          <cell r="E1289" t="str">
            <v>기아모텍</v>
          </cell>
          <cell r="F1289" t="str">
            <v>C3</v>
          </cell>
          <cell r="G1289" t="str">
            <v>CONCORD W/G</v>
          </cell>
          <cell r="H1289" t="str">
            <v>041101111523</v>
          </cell>
          <cell r="I1289" t="str">
            <v>K94J 53 994</v>
          </cell>
          <cell r="J1289" t="str">
            <v>CROSS M/B RR OUT</v>
          </cell>
          <cell r="K1289" t="str">
            <v>금형</v>
          </cell>
          <cell r="L1289" t="str">
            <v>FL/RE</v>
          </cell>
          <cell r="M1289">
            <v>1</v>
          </cell>
          <cell r="N1289">
            <v>15140000</v>
          </cell>
          <cell r="Y1289" t="str">
            <v>주물</v>
          </cell>
          <cell r="Z1289">
            <v>3.23</v>
          </cell>
          <cell r="AA1289" t="str">
            <v>1680x600x680</v>
          </cell>
          <cell r="AB1289" t="str">
            <v>95</v>
          </cell>
          <cell r="AG1289" t="str">
            <v>서해공업㈜ 반　</v>
          </cell>
          <cell r="AI1289" t="str">
            <v>영재정공</v>
          </cell>
        </row>
        <row r="1290">
          <cell r="A1290">
            <v>1003</v>
          </cell>
          <cell r="E1290" t="str">
            <v>기아모텍</v>
          </cell>
          <cell r="F1290" t="str">
            <v>C3</v>
          </cell>
          <cell r="G1290" t="str">
            <v>CONCORD W/G</v>
          </cell>
          <cell r="H1290" t="str">
            <v>041101111523</v>
          </cell>
          <cell r="I1290" t="str">
            <v>K94J 53 994</v>
          </cell>
          <cell r="J1290" t="str">
            <v>CROSS M/B RR OUT</v>
          </cell>
          <cell r="K1290" t="str">
            <v>금형</v>
          </cell>
          <cell r="L1290" t="str">
            <v>TR</v>
          </cell>
          <cell r="M1290">
            <v>1</v>
          </cell>
          <cell r="N1290">
            <v>17832000</v>
          </cell>
          <cell r="Y1290" t="str">
            <v>주물</v>
          </cell>
          <cell r="Z1290">
            <v>3.79</v>
          </cell>
          <cell r="AA1290" t="str">
            <v>1970x600x680</v>
          </cell>
          <cell r="AB1290" t="str">
            <v>95</v>
          </cell>
          <cell r="AG1290" t="str">
            <v>서해공업㈜ 반　</v>
          </cell>
          <cell r="AI1290" t="str">
            <v>영재정공</v>
          </cell>
        </row>
        <row r="1291">
          <cell r="A1291">
            <v>1004</v>
          </cell>
          <cell r="E1291" t="str">
            <v>기아모텍</v>
          </cell>
          <cell r="F1291" t="str">
            <v>C3</v>
          </cell>
          <cell r="G1291" t="str">
            <v>CONCORD W/G</v>
          </cell>
          <cell r="H1291" t="str">
            <v>041101111523</v>
          </cell>
          <cell r="I1291" t="str">
            <v>K94J 53 994</v>
          </cell>
          <cell r="J1291" t="str">
            <v>CROSS M/B RR OUT</v>
          </cell>
          <cell r="K1291" t="str">
            <v>금형</v>
          </cell>
          <cell r="L1291" t="str">
            <v>PI,C/PI</v>
          </cell>
          <cell r="M1291">
            <v>1</v>
          </cell>
          <cell r="N1291">
            <v>18624000</v>
          </cell>
          <cell r="Y1291" t="str">
            <v>주물</v>
          </cell>
          <cell r="Z1291">
            <v>4.51</v>
          </cell>
          <cell r="AA1291" t="str">
            <v>1760x800x680</v>
          </cell>
          <cell r="AB1291" t="str">
            <v>95</v>
          </cell>
          <cell r="AG1291" t="str">
            <v>서해공업㈜ 반　</v>
          </cell>
          <cell r="AI1291" t="str">
            <v>영재정공</v>
          </cell>
        </row>
        <row r="1292">
          <cell r="A1292">
            <v>1005</v>
          </cell>
          <cell r="E1292" t="str">
            <v>기아모텍</v>
          </cell>
          <cell r="F1292" t="str">
            <v>C3</v>
          </cell>
          <cell r="G1292" t="str">
            <v>CONCORD W/G</v>
          </cell>
          <cell r="H1292" t="str">
            <v>041101111523</v>
          </cell>
          <cell r="I1292" t="str">
            <v>K94J 53 994</v>
          </cell>
          <cell r="J1292" t="str">
            <v>CROSS M/B RR OUT</v>
          </cell>
          <cell r="K1292" t="str">
            <v>금형</v>
          </cell>
          <cell r="L1292" t="str">
            <v>DR</v>
          </cell>
          <cell r="M1292">
            <v>1</v>
          </cell>
          <cell r="N1292">
            <v>19712000</v>
          </cell>
          <cell r="Y1292" t="str">
            <v>주물</v>
          </cell>
          <cell r="Z1292">
            <v>3.96</v>
          </cell>
          <cell r="AA1292" t="str">
            <v>1900x650x680</v>
          </cell>
          <cell r="AB1292" t="str">
            <v>95</v>
          </cell>
          <cell r="AG1292" t="str">
            <v>서해공업㈜ 반　</v>
          </cell>
          <cell r="AI1292" t="str">
            <v>영재정공</v>
          </cell>
        </row>
        <row r="1293">
          <cell r="A1293">
            <v>1006</v>
          </cell>
          <cell r="E1293" t="str">
            <v>기아모텍</v>
          </cell>
          <cell r="F1293" t="str">
            <v>C3</v>
          </cell>
          <cell r="G1293" t="str">
            <v>CONCORD W/G</v>
          </cell>
          <cell r="H1293" t="str">
            <v>041101111533</v>
          </cell>
          <cell r="I1293" t="str">
            <v>K94J 53/54 7Y1</v>
          </cell>
          <cell r="J1293" t="str">
            <v>TRUNK FLOOR UP,RR R/L</v>
          </cell>
          <cell r="K1293" t="str">
            <v>금형</v>
          </cell>
          <cell r="L1293" t="str">
            <v>TR/PI</v>
          </cell>
          <cell r="M1293">
            <v>2</v>
          </cell>
          <cell r="N1293">
            <v>30946000</v>
          </cell>
          <cell r="Y1293" t="str">
            <v>주물</v>
          </cell>
          <cell r="Z1293">
            <v>3.36</v>
          </cell>
          <cell r="AA1293" t="str">
            <v>1500x700x680</v>
          </cell>
          <cell r="AB1293" t="str">
            <v>95</v>
          </cell>
          <cell r="AG1293" t="str">
            <v>서해공업㈜ 반　</v>
          </cell>
          <cell r="AI1293" t="str">
            <v>영재정공</v>
          </cell>
        </row>
        <row r="1294">
          <cell r="A1294">
            <v>1007</v>
          </cell>
          <cell r="E1294" t="str">
            <v>기아모텍</v>
          </cell>
          <cell r="F1294" t="str">
            <v>C3</v>
          </cell>
          <cell r="G1294" t="str">
            <v>CONCORD W/G</v>
          </cell>
          <cell r="H1294" t="str">
            <v>041101111533</v>
          </cell>
          <cell r="I1294" t="str">
            <v>K94J 53/54 7Y1</v>
          </cell>
          <cell r="J1294" t="str">
            <v>TRUNK FLOOR UP,RR R/L</v>
          </cell>
          <cell r="K1294" t="str">
            <v>금형</v>
          </cell>
          <cell r="L1294" t="str">
            <v>PI&amp;C/PI</v>
          </cell>
          <cell r="M1294">
            <v>2</v>
          </cell>
          <cell r="N1294">
            <v>33315000</v>
          </cell>
          <cell r="Y1294" t="str">
            <v>주물</v>
          </cell>
          <cell r="Z1294">
            <v>3.9</v>
          </cell>
          <cell r="AA1294" t="str">
            <v>1450x840x680</v>
          </cell>
          <cell r="AB1294" t="str">
            <v>95</v>
          </cell>
          <cell r="AG1294" t="str">
            <v>서해공업㈜ 반　</v>
          </cell>
          <cell r="AI1294" t="str">
            <v>영재정공</v>
          </cell>
        </row>
        <row r="1295">
          <cell r="A1295">
            <v>1008</v>
          </cell>
          <cell r="E1295" t="str">
            <v>기아모텍</v>
          </cell>
          <cell r="F1295" t="str">
            <v>C3</v>
          </cell>
          <cell r="G1295" t="str">
            <v>CONCORD W/G</v>
          </cell>
          <cell r="H1295" t="str">
            <v>041101111533</v>
          </cell>
          <cell r="I1295" t="str">
            <v>K94J 53/54 7Y1</v>
          </cell>
          <cell r="J1295" t="str">
            <v>TRUNK FLOOR UP,RR R/L</v>
          </cell>
          <cell r="K1295" t="str">
            <v>금형</v>
          </cell>
          <cell r="L1295" t="str">
            <v>DR</v>
          </cell>
          <cell r="M1295">
            <v>2</v>
          </cell>
          <cell r="N1295">
            <v>34196000</v>
          </cell>
          <cell r="Y1295" t="str">
            <v>주물</v>
          </cell>
          <cell r="Z1295">
            <v>3.8</v>
          </cell>
          <cell r="AA1295" t="str">
            <v>1650x720x680</v>
          </cell>
          <cell r="AB1295" t="str">
            <v>95</v>
          </cell>
          <cell r="AG1295" t="str">
            <v>서해공업㈜ 반　</v>
          </cell>
          <cell r="AI1295" t="str">
            <v>영재정공</v>
          </cell>
        </row>
        <row r="1296">
          <cell r="A1296">
            <v>1009</v>
          </cell>
          <cell r="E1296" t="str">
            <v>기아모텍</v>
          </cell>
          <cell r="F1296" t="str">
            <v>C3</v>
          </cell>
          <cell r="G1296" t="str">
            <v>CONCORD W/G</v>
          </cell>
          <cell r="H1296" t="str">
            <v>041101127144</v>
          </cell>
          <cell r="I1296" t="str">
            <v>K94J 53/54 991</v>
          </cell>
          <cell r="J1296" t="str">
            <v>B/K BUMPER A R/L</v>
          </cell>
          <cell r="K1296" t="str">
            <v>금형</v>
          </cell>
          <cell r="L1296" t="str">
            <v>금형</v>
          </cell>
          <cell r="M1296">
            <v>4</v>
          </cell>
          <cell r="N1296">
            <v>8500000</v>
          </cell>
          <cell r="Y1296" t="str">
            <v>주물</v>
          </cell>
          <cell r="AA1296" t="str">
            <v>xx</v>
          </cell>
          <cell r="AB1296" t="str">
            <v>96-9</v>
          </cell>
          <cell r="AG1296" t="str">
            <v>동양금형</v>
          </cell>
          <cell r="AI1296" t="str">
            <v>영재정공</v>
          </cell>
        </row>
        <row r="1297">
          <cell r="A1297">
            <v>1010</v>
          </cell>
          <cell r="E1297" t="str">
            <v>기아모텍</v>
          </cell>
          <cell r="F1297" t="str">
            <v>C3</v>
          </cell>
          <cell r="G1297" t="str">
            <v>CONCORD W/G</v>
          </cell>
          <cell r="H1297" t="str">
            <v>041101127074</v>
          </cell>
          <cell r="I1297" t="str">
            <v>K94J 54 7A1</v>
          </cell>
          <cell r="J1297" t="str">
            <v>SIDE COVER LH</v>
          </cell>
          <cell r="K1297" t="str">
            <v>금형</v>
          </cell>
          <cell r="L1297" t="str">
            <v>금형</v>
          </cell>
          <cell r="M1297">
            <v>4</v>
          </cell>
          <cell r="N1297">
            <v>21000000</v>
          </cell>
          <cell r="Y1297" t="str">
            <v>주물</v>
          </cell>
          <cell r="AA1297" t="str">
            <v>xx</v>
          </cell>
          <cell r="AB1297" t="str">
            <v>96-9</v>
          </cell>
          <cell r="AG1297" t="str">
            <v>제일정공</v>
          </cell>
          <cell r="AI1297" t="str">
            <v>제일정공</v>
          </cell>
        </row>
        <row r="1298">
          <cell r="A1298">
            <v>1011</v>
          </cell>
          <cell r="E1298" t="str">
            <v>기아모텍</v>
          </cell>
          <cell r="F1298" t="str">
            <v>C3</v>
          </cell>
          <cell r="G1298" t="str">
            <v>CONCORD W/G</v>
          </cell>
          <cell r="H1298" t="str">
            <v>041101127174</v>
          </cell>
          <cell r="I1298" t="str">
            <v>K94J 62 020</v>
          </cell>
          <cell r="J1298" t="str">
            <v>PNL L GATE ASSY</v>
          </cell>
          <cell r="K1298" t="str">
            <v>금형</v>
          </cell>
          <cell r="L1298" t="str">
            <v>금형</v>
          </cell>
          <cell r="M1298">
            <v>1</v>
          </cell>
          <cell r="N1298">
            <v>59000000</v>
          </cell>
          <cell r="Y1298" t="str">
            <v>주물</v>
          </cell>
          <cell r="AA1298" t="str">
            <v>xx</v>
          </cell>
          <cell r="AB1298" t="str">
            <v>96-9</v>
          </cell>
          <cell r="AG1298" t="str">
            <v>기아모텍</v>
          </cell>
          <cell r="AI1298" t="str">
            <v>KMO 안산1공장</v>
          </cell>
        </row>
        <row r="1299">
          <cell r="A1299">
            <v>1012</v>
          </cell>
          <cell r="E1299" t="str">
            <v>기아모텍</v>
          </cell>
          <cell r="F1299" t="str">
            <v>C3</v>
          </cell>
          <cell r="G1299" t="str">
            <v>CONCORD W/G</v>
          </cell>
          <cell r="H1299" t="str">
            <v>041101111543</v>
          </cell>
          <cell r="I1299" t="str">
            <v>K94J 62 071</v>
          </cell>
          <cell r="J1299" t="str">
            <v>PNL L/GATE INR</v>
          </cell>
          <cell r="K1299" t="str">
            <v>금형</v>
          </cell>
          <cell r="L1299" t="str">
            <v>FL/PI</v>
          </cell>
          <cell r="M1299">
            <v>1</v>
          </cell>
          <cell r="N1299">
            <v>42269000</v>
          </cell>
          <cell r="Y1299" t="str">
            <v>주물</v>
          </cell>
          <cell r="Z1299">
            <v>16.12</v>
          </cell>
          <cell r="AA1299" t="str">
            <v>1830x1700x1100</v>
          </cell>
          <cell r="AB1299" t="str">
            <v>95</v>
          </cell>
          <cell r="AG1299" t="str">
            <v>서해공업㈜ 반　</v>
          </cell>
          <cell r="AI1299" t="str">
            <v>KMO 안산1공장</v>
          </cell>
        </row>
        <row r="1300">
          <cell r="A1300">
            <v>1013</v>
          </cell>
          <cell r="E1300" t="str">
            <v>기아모텍</v>
          </cell>
          <cell r="F1300" t="str">
            <v>C3</v>
          </cell>
          <cell r="G1300" t="str">
            <v>CONCORD W/G</v>
          </cell>
          <cell r="H1300" t="str">
            <v>041101111543</v>
          </cell>
          <cell r="I1300" t="str">
            <v>K94J 62 071</v>
          </cell>
          <cell r="J1300" t="str">
            <v>PNL L/GATE INR</v>
          </cell>
          <cell r="K1300" t="str">
            <v>금형</v>
          </cell>
          <cell r="L1300" t="str">
            <v>C/PI&amp;PI</v>
          </cell>
          <cell r="M1300">
            <v>1</v>
          </cell>
          <cell r="N1300">
            <v>43359000</v>
          </cell>
          <cell r="Y1300" t="str">
            <v>주물</v>
          </cell>
          <cell r="Z1300">
            <v>17.23</v>
          </cell>
          <cell r="AA1300" t="str">
            <v>1900x1750x1100</v>
          </cell>
          <cell r="AB1300" t="str">
            <v>95</v>
          </cell>
          <cell r="AG1300" t="str">
            <v>서해공업㈜ 반　</v>
          </cell>
          <cell r="AI1300" t="str">
            <v>KMO 안산1공장</v>
          </cell>
        </row>
        <row r="1301">
          <cell r="A1301">
            <v>1014</v>
          </cell>
          <cell r="E1301" t="str">
            <v>기아모텍</v>
          </cell>
          <cell r="F1301" t="str">
            <v>C3</v>
          </cell>
          <cell r="G1301" t="str">
            <v>CONCORD W/G</v>
          </cell>
          <cell r="H1301" t="str">
            <v>041101111543</v>
          </cell>
          <cell r="I1301" t="str">
            <v>K94J 62 071</v>
          </cell>
          <cell r="J1301" t="str">
            <v>PNL L/GATE INR</v>
          </cell>
          <cell r="K1301" t="str">
            <v>금형</v>
          </cell>
          <cell r="L1301" t="str">
            <v>DR</v>
          </cell>
          <cell r="M1301">
            <v>1</v>
          </cell>
          <cell r="N1301">
            <v>45021000</v>
          </cell>
          <cell r="Y1301" t="str">
            <v>주물</v>
          </cell>
          <cell r="Z1301">
            <v>15.36</v>
          </cell>
          <cell r="AA1301" t="str">
            <v>1950x1900x880</v>
          </cell>
          <cell r="AB1301" t="str">
            <v>95</v>
          </cell>
          <cell r="AG1301" t="str">
            <v>서해공업㈜ 반　</v>
          </cell>
          <cell r="AI1301" t="str">
            <v>KMO 안산1공장</v>
          </cell>
        </row>
        <row r="1302">
          <cell r="A1302">
            <v>1015</v>
          </cell>
          <cell r="E1302" t="str">
            <v>기아모텍</v>
          </cell>
          <cell r="F1302" t="str">
            <v>C3</v>
          </cell>
          <cell r="G1302" t="str">
            <v>CONCORD W/G</v>
          </cell>
          <cell r="H1302" t="str">
            <v>041101111543</v>
          </cell>
          <cell r="I1302" t="str">
            <v>K94J 62 071</v>
          </cell>
          <cell r="J1302" t="str">
            <v>PNL L/GATE INR</v>
          </cell>
          <cell r="K1302" t="str">
            <v>금형</v>
          </cell>
          <cell r="L1302" t="str">
            <v>TR/PI&amp;C/P</v>
          </cell>
          <cell r="M1302">
            <v>1</v>
          </cell>
          <cell r="N1302">
            <v>50232000</v>
          </cell>
          <cell r="Y1302" t="str">
            <v>주물</v>
          </cell>
          <cell r="Z1302">
            <v>17.440000000000001</v>
          </cell>
          <cell r="AA1302" t="str">
            <v>1820x1850x1100</v>
          </cell>
          <cell r="AB1302" t="str">
            <v>95</v>
          </cell>
          <cell r="AG1302" t="str">
            <v>서해공업㈜ 반　</v>
          </cell>
          <cell r="AI1302" t="str">
            <v>KMO 안산1공장</v>
          </cell>
        </row>
        <row r="1303">
          <cell r="A1303">
            <v>1016</v>
          </cell>
          <cell r="E1303" t="str">
            <v>기아모텍</v>
          </cell>
          <cell r="F1303" t="str">
            <v>C3</v>
          </cell>
          <cell r="G1303" t="str">
            <v>CONCORD W/G</v>
          </cell>
          <cell r="H1303" t="str">
            <v>041101111543</v>
          </cell>
          <cell r="I1303" t="str">
            <v>K94J 62 071</v>
          </cell>
          <cell r="J1303" t="str">
            <v>PNL L/GATE INR</v>
          </cell>
          <cell r="K1303" t="str">
            <v>금형</v>
          </cell>
          <cell r="L1303" t="str">
            <v>TR/PI</v>
          </cell>
          <cell r="M1303">
            <v>1</v>
          </cell>
          <cell r="N1303">
            <v>52079000</v>
          </cell>
          <cell r="Y1303" t="str">
            <v>주물</v>
          </cell>
          <cell r="Z1303">
            <v>18.14</v>
          </cell>
          <cell r="AA1303" t="str">
            <v>1930x1900x1050</v>
          </cell>
          <cell r="AB1303" t="str">
            <v>95</v>
          </cell>
          <cell r="AG1303" t="str">
            <v>서해공업㈜ 반　</v>
          </cell>
          <cell r="AI1303" t="str">
            <v>KMO 안산1공장</v>
          </cell>
        </row>
        <row r="1304">
          <cell r="A1304">
            <v>1017</v>
          </cell>
          <cell r="E1304" t="str">
            <v>기아모텍</v>
          </cell>
          <cell r="F1304" t="str">
            <v>C3</v>
          </cell>
          <cell r="G1304" t="str">
            <v>CONCORD W/G</v>
          </cell>
          <cell r="H1304" t="str">
            <v>041101111553</v>
          </cell>
          <cell r="I1304" t="str">
            <v>K94J 62 081</v>
          </cell>
          <cell r="J1304" t="str">
            <v>R/F HINGE R/L</v>
          </cell>
          <cell r="K1304" t="str">
            <v>금형</v>
          </cell>
          <cell r="L1304" t="str">
            <v>FL</v>
          </cell>
          <cell r="M1304">
            <v>1</v>
          </cell>
          <cell r="N1304">
            <v>12008000</v>
          </cell>
          <cell r="Y1304" t="str">
            <v>주물</v>
          </cell>
          <cell r="Z1304">
            <v>1.56</v>
          </cell>
          <cell r="AA1304" t="str">
            <v>920x580x620</v>
          </cell>
          <cell r="AB1304" t="str">
            <v>95</v>
          </cell>
          <cell r="AG1304" t="str">
            <v>서해공업㈜ 반　</v>
          </cell>
          <cell r="AI1304" t="str">
            <v>KMO 안산1공장</v>
          </cell>
        </row>
        <row r="1305">
          <cell r="A1305">
            <v>1018</v>
          </cell>
          <cell r="E1305" t="str">
            <v>기아모텍</v>
          </cell>
          <cell r="F1305" t="str">
            <v>C3</v>
          </cell>
          <cell r="G1305" t="str">
            <v>CONCORD W/G</v>
          </cell>
          <cell r="H1305" t="str">
            <v>041101111553</v>
          </cell>
          <cell r="I1305" t="str">
            <v>K94J 62 081</v>
          </cell>
          <cell r="J1305" t="str">
            <v>R/F HINGE R/L</v>
          </cell>
          <cell r="K1305" t="str">
            <v>금형</v>
          </cell>
          <cell r="L1305" t="str">
            <v>TR/PI</v>
          </cell>
          <cell r="M1305">
            <v>1</v>
          </cell>
          <cell r="N1305">
            <v>14397000</v>
          </cell>
          <cell r="Y1305" t="str">
            <v>주물</v>
          </cell>
          <cell r="Z1305">
            <v>1.86</v>
          </cell>
          <cell r="AA1305" t="str">
            <v>1140x560x620</v>
          </cell>
          <cell r="AB1305" t="str">
            <v>95</v>
          </cell>
          <cell r="AG1305" t="str">
            <v>서해공업㈜ 반　</v>
          </cell>
          <cell r="AI1305" t="str">
            <v>KMO 안산1공장</v>
          </cell>
        </row>
        <row r="1306">
          <cell r="A1306">
            <v>1019</v>
          </cell>
          <cell r="E1306" t="str">
            <v>기아모텍</v>
          </cell>
          <cell r="F1306" t="str">
            <v>C3</v>
          </cell>
          <cell r="G1306" t="str">
            <v>CONCORD W/G</v>
          </cell>
          <cell r="H1306" t="str">
            <v>041101111553</v>
          </cell>
          <cell r="I1306" t="str">
            <v>K94J 62 081</v>
          </cell>
          <cell r="J1306" t="str">
            <v>R/F HINGE R/L</v>
          </cell>
          <cell r="K1306" t="str">
            <v>금형</v>
          </cell>
          <cell r="L1306" t="str">
            <v>SEP&amp;C/PI</v>
          </cell>
          <cell r="M1306">
            <v>1</v>
          </cell>
          <cell r="N1306">
            <v>14723000</v>
          </cell>
          <cell r="Y1306" t="str">
            <v>주물</v>
          </cell>
          <cell r="Z1306">
            <v>2.2799999999999998</v>
          </cell>
          <cell r="AA1306" t="str">
            <v>1100x710x620</v>
          </cell>
          <cell r="AB1306" t="str">
            <v>95</v>
          </cell>
          <cell r="AG1306" t="str">
            <v>서해공업㈜ 반　</v>
          </cell>
          <cell r="AI1306" t="str">
            <v>KMO 안산1공장</v>
          </cell>
        </row>
        <row r="1307">
          <cell r="A1307">
            <v>1020</v>
          </cell>
          <cell r="E1307" t="str">
            <v>기아모텍</v>
          </cell>
          <cell r="F1307" t="str">
            <v>C3</v>
          </cell>
          <cell r="G1307" t="str">
            <v>CONCORD W/G</v>
          </cell>
          <cell r="H1307" t="str">
            <v>041101111553</v>
          </cell>
          <cell r="I1307" t="str">
            <v>K94J 62 081</v>
          </cell>
          <cell r="J1307" t="str">
            <v>R/F HINGE R/L</v>
          </cell>
          <cell r="K1307" t="str">
            <v>금형</v>
          </cell>
          <cell r="L1307" t="str">
            <v>DR</v>
          </cell>
          <cell r="M1307">
            <v>1</v>
          </cell>
          <cell r="N1307">
            <v>16481000</v>
          </cell>
          <cell r="Y1307" t="str">
            <v>주물</v>
          </cell>
          <cell r="Z1307">
            <v>2.4500000000000002</v>
          </cell>
          <cell r="AA1307" t="str">
            <v>1050x800x620</v>
          </cell>
          <cell r="AB1307" t="str">
            <v>95</v>
          </cell>
          <cell r="AG1307" t="str">
            <v>서해공업㈜ 반　</v>
          </cell>
          <cell r="AI1307" t="str">
            <v>KMO 안산1공장</v>
          </cell>
        </row>
        <row r="1308">
          <cell r="A1308">
            <v>1021</v>
          </cell>
          <cell r="E1308" t="str">
            <v>기아모텍</v>
          </cell>
          <cell r="F1308" t="str">
            <v>C3</v>
          </cell>
          <cell r="G1308" t="str">
            <v>CONCORD W/G</v>
          </cell>
          <cell r="H1308" t="str">
            <v>041101111563</v>
          </cell>
          <cell r="I1308" t="str">
            <v>K94J 70 111</v>
          </cell>
          <cell r="J1308" t="str">
            <v>PLR RR INR R/L</v>
          </cell>
          <cell r="K1308" t="str">
            <v>금형</v>
          </cell>
          <cell r="M1308">
            <v>1</v>
          </cell>
          <cell r="N1308">
            <v>41888000</v>
          </cell>
          <cell r="Y1308" t="str">
            <v>주물</v>
          </cell>
          <cell r="Z1308">
            <v>18.43</v>
          </cell>
          <cell r="AA1308" t="str">
            <v>xx</v>
          </cell>
          <cell r="AB1308" t="str">
            <v>95</v>
          </cell>
          <cell r="AG1308" t="str">
            <v>서해공업㈜ 반　</v>
          </cell>
          <cell r="AI1308" t="str">
            <v>KMO 안산1공장</v>
          </cell>
        </row>
        <row r="1309">
          <cell r="A1309">
            <v>1022</v>
          </cell>
          <cell r="E1309" t="str">
            <v>기아모텍</v>
          </cell>
          <cell r="F1309" t="str">
            <v>C3</v>
          </cell>
          <cell r="G1309" t="str">
            <v>CONCORD W/G</v>
          </cell>
          <cell r="H1309" t="str">
            <v>041101111573</v>
          </cell>
          <cell r="I1309" t="str">
            <v>K94J 70 641</v>
          </cell>
          <cell r="J1309" t="str">
            <v>HEADER FRT</v>
          </cell>
          <cell r="K1309" t="str">
            <v>금형</v>
          </cell>
          <cell r="L1309" t="str">
            <v>FL/PI</v>
          </cell>
          <cell r="M1309">
            <v>1</v>
          </cell>
          <cell r="N1309">
            <v>12983000</v>
          </cell>
          <cell r="Y1309" t="str">
            <v>주물</v>
          </cell>
          <cell r="Z1309">
            <v>1.91</v>
          </cell>
          <cell r="AA1309" t="str">
            <v>1360x515x580</v>
          </cell>
          <cell r="AB1309" t="str">
            <v>95</v>
          </cell>
          <cell r="AG1309" t="str">
            <v>서해공업㈜ 반　</v>
          </cell>
          <cell r="AI1309" t="str">
            <v>KMO 안산1공장</v>
          </cell>
        </row>
        <row r="1310">
          <cell r="A1310">
            <v>1023</v>
          </cell>
          <cell r="E1310" t="str">
            <v>기아모텍</v>
          </cell>
          <cell r="F1310" t="str">
            <v>C3</v>
          </cell>
          <cell r="G1310" t="str">
            <v>CONCORD W/G</v>
          </cell>
          <cell r="H1310" t="str">
            <v>041101111573</v>
          </cell>
          <cell r="I1310" t="str">
            <v>K94J 70 641</v>
          </cell>
          <cell r="J1310" t="str">
            <v>HEADER FRT</v>
          </cell>
          <cell r="K1310" t="str">
            <v>금형</v>
          </cell>
          <cell r="L1310" t="str">
            <v>TR/PI</v>
          </cell>
          <cell r="M1310">
            <v>1</v>
          </cell>
          <cell r="N1310">
            <v>13178000</v>
          </cell>
          <cell r="Y1310" t="str">
            <v>주물</v>
          </cell>
          <cell r="Z1310">
            <v>1.97</v>
          </cell>
          <cell r="AA1310" t="str">
            <v>1440x500x580</v>
          </cell>
          <cell r="AB1310" t="str">
            <v>95</v>
          </cell>
          <cell r="AG1310" t="str">
            <v>서해공업㈜ 반　</v>
          </cell>
          <cell r="AI1310" t="str">
            <v>KMO 안산1공장</v>
          </cell>
        </row>
        <row r="1311">
          <cell r="A1311">
            <v>1024</v>
          </cell>
          <cell r="E1311" t="str">
            <v>기아모텍</v>
          </cell>
          <cell r="F1311" t="str">
            <v>C3</v>
          </cell>
          <cell r="G1311" t="str">
            <v>CONCORD W/G</v>
          </cell>
          <cell r="H1311" t="str">
            <v>041101111573</v>
          </cell>
          <cell r="I1311" t="str">
            <v>K94J 70 641</v>
          </cell>
          <cell r="J1311" t="str">
            <v>HEADER FRT</v>
          </cell>
          <cell r="K1311" t="str">
            <v>금형</v>
          </cell>
          <cell r="L1311" t="str">
            <v>DR</v>
          </cell>
          <cell r="M1311">
            <v>1</v>
          </cell>
          <cell r="N1311">
            <v>16961000</v>
          </cell>
          <cell r="Y1311" t="str">
            <v>주물</v>
          </cell>
          <cell r="Z1311">
            <v>1.91</v>
          </cell>
          <cell r="AA1311" t="str">
            <v>1400x500x580</v>
          </cell>
          <cell r="AB1311" t="str">
            <v>95</v>
          </cell>
          <cell r="AG1311" t="str">
            <v>서해공업㈜ 반　</v>
          </cell>
          <cell r="AI1311" t="str">
            <v>KMO 안산1공장</v>
          </cell>
        </row>
        <row r="1312">
          <cell r="A1312">
            <v>1025</v>
          </cell>
          <cell r="E1312" t="str">
            <v>기아모텍</v>
          </cell>
          <cell r="F1312" t="str">
            <v>C3</v>
          </cell>
          <cell r="G1312" t="str">
            <v>CONCORD W/G</v>
          </cell>
          <cell r="H1312" t="str">
            <v>041101111583</v>
          </cell>
          <cell r="I1312" t="str">
            <v>K94J 70 660</v>
          </cell>
          <cell r="J1312" t="str">
            <v>R/F ROOF</v>
          </cell>
          <cell r="K1312" t="str">
            <v>금형</v>
          </cell>
          <cell r="L1312" t="str">
            <v>PI&amp;C/PI</v>
          </cell>
          <cell r="M1312">
            <v>1</v>
          </cell>
          <cell r="N1312">
            <v>15785000</v>
          </cell>
          <cell r="Y1312" t="str">
            <v>주물</v>
          </cell>
          <cell r="Z1312">
            <v>3.23</v>
          </cell>
          <cell r="AA1312" t="str">
            <v>1680x600x680</v>
          </cell>
          <cell r="AB1312" t="str">
            <v>95</v>
          </cell>
          <cell r="AG1312" t="str">
            <v>서해공업㈜ 반　</v>
          </cell>
          <cell r="AI1312" t="str">
            <v>KMO 안산1공장</v>
          </cell>
        </row>
        <row r="1313">
          <cell r="A1313">
            <v>1026</v>
          </cell>
          <cell r="E1313" t="str">
            <v>기아모텍</v>
          </cell>
          <cell r="F1313" t="str">
            <v>C3</v>
          </cell>
          <cell r="G1313" t="str">
            <v>CONCORD W/G</v>
          </cell>
          <cell r="H1313" t="str">
            <v>041101111583</v>
          </cell>
          <cell r="I1313" t="str">
            <v>K94J 70 660</v>
          </cell>
          <cell r="J1313" t="str">
            <v>R/F ROOF</v>
          </cell>
          <cell r="K1313" t="str">
            <v>금형</v>
          </cell>
          <cell r="L1313" t="str">
            <v>TR/PI</v>
          </cell>
          <cell r="M1313">
            <v>1</v>
          </cell>
          <cell r="N1313">
            <v>17165000</v>
          </cell>
          <cell r="Y1313" t="str">
            <v>주물</v>
          </cell>
          <cell r="Z1313">
            <v>3.38</v>
          </cell>
          <cell r="AA1313" t="str">
            <v>1700x620x680</v>
          </cell>
          <cell r="AB1313" t="str">
            <v>95</v>
          </cell>
          <cell r="AG1313" t="str">
            <v>서해공업㈜ 반　</v>
          </cell>
          <cell r="AI1313" t="str">
            <v>KMO 안산1공장</v>
          </cell>
        </row>
        <row r="1314">
          <cell r="A1314">
            <v>1027</v>
          </cell>
          <cell r="E1314" t="str">
            <v>기아모텍</v>
          </cell>
          <cell r="F1314" t="str">
            <v>C3</v>
          </cell>
          <cell r="G1314" t="str">
            <v>CONCORD W/G</v>
          </cell>
          <cell r="H1314" t="str">
            <v>041101111583</v>
          </cell>
          <cell r="I1314" t="str">
            <v>K94J 70 660</v>
          </cell>
          <cell r="J1314" t="str">
            <v>R/F ROOF</v>
          </cell>
          <cell r="K1314" t="str">
            <v>금형</v>
          </cell>
          <cell r="L1314" t="str">
            <v>DR</v>
          </cell>
          <cell r="M1314">
            <v>1</v>
          </cell>
          <cell r="N1314">
            <v>19294000</v>
          </cell>
          <cell r="Y1314" t="str">
            <v>주물</v>
          </cell>
          <cell r="Z1314">
            <v>4.07</v>
          </cell>
          <cell r="AA1314" t="str">
            <v>1740x730x680</v>
          </cell>
          <cell r="AB1314" t="str">
            <v>95</v>
          </cell>
          <cell r="AG1314" t="str">
            <v>서해공업㈜ 반　</v>
          </cell>
          <cell r="AI1314" t="str">
            <v>KMO 안산1공장</v>
          </cell>
        </row>
        <row r="1315">
          <cell r="A1315">
            <v>1028</v>
          </cell>
          <cell r="E1315" t="str">
            <v>기아모텍</v>
          </cell>
          <cell r="F1315" t="str">
            <v>C3</v>
          </cell>
          <cell r="G1315" t="str">
            <v>CONCORD W/G</v>
          </cell>
          <cell r="H1315" t="str">
            <v>041101111593</v>
          </cell>
          <cell r="I1315" t="str">
            <v>K94J 70 671</v>
          </cell>
          <cell r="J1315" t="str">
            <v>R/F ROOF</v>
          </cell>
          <cell r="K1315" t="str">
            <v>금형</v>
          </cell>
          <cell r="L1315" t="str">
            <v>CUT&amp;C/CUT</v>
          </cell>
          <cell r="M1315">
            <v>1</v>
          </cell>
          <cell r="N1315">
            <v>16849000</v>
          </cell>
          <cell r="Y1315" t="str">
            <v>주물</v>
          </cell>
          <cell r="Z1315">
            <v>3.74</v>
          </cell>
          <cell r="AA1315" t="str">
            <v>1670x700x680</v>
          </cell>
          <cell r="AB1315" t="str">
            <v>95</v>
          </cell>
          <cell r="AG1315" t="str">
            <v>서해공업㈜ 반　</v>
          </cell>
          <cell r="AI1315" t="str">
            <v>KMO 안산1공장</v>
          </cell>
        </row>
        <row r="1316">
          <cell r="A1316">
            <v>1029</v>
          </cell>
          <cell r="E1316" t="str">
            <v>기아모텍</v>
          </cell>
          <cell r="F1316" t="str">
            <v>C3</v>
          </cell>
          <cell r="G1316" t="str">
            <v>CONCORD W/G</v>
          </cell>
          <cell r="H1316" t="str">
            <v>041101111593</v>
          </cell>
          <cell r="I1316" t="str">
            <v>K94J 70 671</v>
          </cell>
          <cell r="J1316" t="str">
            <v>R/F ROOF</v>
          </cell>
          <cell r="K1316" t="str">
            <v>금형</v>
          </cell>
          <cell r="L1316" t="str">
            <v>DR</v>
          </cell>
          <cell r="M1316">
            <v>1</v>
          </cell>
          <cell r="N1316">
            <v>17240000</v>
          </cell>
          <cell r="Y1316" t="str">
            <v>주물</v>
          </cell>
          <cell r="Z1316">
            <v>3.07</v>
          </cell>
          <cell r="AA1316" t="str">
            <v>1740x550x680</v>
          </cell>
          <cell r="AB1316" t="str">
            <v>95</v>
          </cell>
          <cell r="AG1316" t="str">
            <v>서해공업㈜ 반　</v>
          </cell>
          <cell r="AI1316" t="str">
            <v>KMO 안산1공장</v>
          </cell>
        </row>
        <row r="1317">
          <cell r="A1317">
            <v>1030</v>
          </cell>
          <cell r="E1317" t="str">
            <v>기아모텍</v>
          </cell>
          <cell r="F1317" t="str">
            <v>C3</v>
          </cell>
          <cell r="G1317" t="str">
            <v>CONCORD W/G</v>
          </cell>
          <cell r="H1317" t="str">
            <v>041101111593</v>
          </cell>
          <cell r="I1317" t="str">
            <v>K94J 70 671</v>
          </cell>
          <cell r="J1317" t="str">
            <v>R/F ROOF</v>
          </cell>
          <cell r="K1317" t="str">
            <v>금형</v>
          </cell>
          <cell r="L1317" t="str">
            <v>TR/PI</v>
          </cell>
          <cell r="M1317">
            <v>1</v>
          </cell>
          <cell r="N1317">
            <v>19491000</v>
          </cell>
          <cell r="Y1317" t="str">
            <v>주물</v>
          </cell>
          <cell r="Z1317">
            <v>3.44</v>
          </cell>
          <cell r="AA1317" t="str">
            <v>1650x650x680</v>
          </cell>
          <cell r="AB1317" t="str">
            <v>95</v>
          </cell>
          <cell r="AG1317" t="str">
            <v>서해공업㈜ 반　</v>
          </cell>
          <cell r="AI1317" t="str">
            <v>KMO 안산1공장</v>
          </cell>
        </row>
        <row r="1318">
          <cell r="A1318">
            <v>1031</v>
          </cell>
          <cell r="E1318" t="str">
            <v>기아모텍</v>
          </cell>
          <cell r="F1318" t="str">
            <v>C3</v>
          </cell>
          <cell r="G1318" t="str">
            <v>CONCORD W/G</v>
          </cell>
          <cell r="H1318" t="str">
            <v>041101111603</v>
          </cell>
          <cell r="I1318" t="str">
            <v>K94J 70 711</v>
          </cell>
          <cell r="J1318" t="str">
            <v>HEADER RR LWR</v>
          </cell>
          <cell r="K1318" t="str">
            <v>금형</v>
          </cell>
          <cell r="L1318" t="str">
            <v>DR</v>
          </cell>
          <cell r="M1318">
            <v>1</v>
          </cell>
          <cell r="N1318">
            <v>13948000</v>
          </cell>
          <cell r="Y1318" t="str">
            <v>주물</v>
          </cell>
          <cell r="Z1318">
            <v>2.73</v>
          </cell>
          <cell r="AA1318" t="str">
            <v>1340x600x720</v>
          </cell>
          <cell r="AB1318" t="str">
            <v>95</v>
          </cell>
          <cell r="AG1318" t="str">
            <v>서해공업㈜ 반　</v>
          </cell>
          <cell r="AI1318" t="str">
            <v>KMO 안산1공장</v>
          </cell>
        </row>
        <row r="1319">
          <cell r="A1319">
            <v>1032</v>
          </cell>
          <cell r="E1319" t="str">
            <v>기아모텍</v>
          </cell>
          <cell r="F1319" t="str">
            <v>C3</v>
          </cell>
          <cell r="G1319" t="str">
            <v>CONCORD W/G</v>
          </cell>
          <cell r="H1319" t="str">
            <v>041101111603</v>
          </cell>
          <cell r="I1319" t="str">
            <v>K94J 70 711</v>
          </cell>
          <cell r="J1319" t="str">
            <v>HEADER RR LWR</v>
          </cell>
          <cell r="K1319" t="str">
            <v>금형</v>
          </cell>
          <cell r="L1319" t="str">
            <v>TR/PI</v>
          </cell>
          <cell r="M1319">
            <v>1</v>
          </cell>
          <cell r="N1319">
            <v>14056000</v>
          </cell>
          <cell r="Y1319" t="str">
            <v>주물</v>
          </cell>
          <cell r="Z1319">
            <v>2.85</v>
          </cell>
          <cell r="AA1319" t="str">
            <v>1400x600x720</v>
          </cell>
          <cell r="AB1319" t="str">
            <v>95</v>
          </cell>
          <cell r="AG1319" t="str">
            <v>서해공업㈜ 반　</v>
          </cell>
          <cell r="AI1319" t="str">
            <v>KMO 안산1공장</v>
          </cell>
        </row>
        <row r="1320">
          <cell r="A1320">
            <v>1033</v>
          </cell>
          <cell r="E1320" t="str">
            <v>기아모텍</v>
          </cell>
          <cell r="F1320" t="str">
            <v>C3</v>
          </cell>
          <cell r="G1320" t="str">
            <v>CONCORD W/G</v>
          </cell>
          <cell r="H1320" t="str">
            <v>041101111603</v>
          </cell>
          <cell r="I1320" t="str">
            <v>K94J 70 711</v>
          </cell>
          <cell r="J1320" t="str">
            <v>HEADER RR LWR</v>
          </cell>
          <cell r="K1320" t="str">
            <v>금형</v>
          </cell>
          <cell r="L1320" t="str">
            <v>FL,C/PI</v>
          </cell>
          <cell r="M1320">
            <v>1</v>
          </cell>
          <cell r="N1320">
            <v>15963000</v>
          </cell>
          <cell r="Y1320" t="str">
            <v>주물</v>
          </cell>
          <cell r="Z1320">
            <v>3.36</v>
          </cell>
          <cell r="AA1320" t="str">
            <v>1340x740x720</v>
          </cell>
          <cell r="AB1320" t="str">
            <v>95</v>
          </cell>
          <cell r="AG1320" t="str">
            <v>서해공업㈜ 반　</v>
          </cell>
          <cell r="AI1320" t="str">
            <v>KMO 안산1공장</v>
          </cell>
        </row>
        <row r="1321">
          <cell r="A1321">
            <v>1034</v>
          </cell>
          <cell r="E1321" t="str">
            <v>기아모텍</v>
          </cell>
          <cell r="F1321" t="str">
            <v>C3</v>
          </cell>
          <cell r="G1321" t="str">
            <v>CONCORD W/G</v>
          </cell>
          <cell r="H1321" t="str">
            <v>041101111613</v>
          </cell>
          <cell r="I1321" t="str">
            <v>K94J 70 721</v>
          </cell>
          <cell r="J1321" t="str">
            <v>HEADER R UP</v>
          </cell>
          <cell r="K1321" t="str">
            <v>금형</v>
          </cell>
          <cell r="L1321" t="str">
            <v>PI</v>
          </cell>
          <cell r="M1321">
            <v>1</v>
          </cell>
          <cell r="N1321">
            <v>11077000</v>
          </cell>
          <cell r="Y1321" t="str">
            <v>주물</v>
          </cell>
          <cell r="Z1321">
            <v>2.86</v>
          </cell>
          <cell r="AA1321" t="str">
            <v>1400x700x620</v>
          </cell>
          <cell r="AB1321" t="str">
            <v>95</v>
          </cell>
          <cell r="AG1321" t="str">
            <v>서해공업㈜ 반　</v>
          </cell>
          <cell r="AI1321" t="str">
            <v>KMO 안산1공장</v>
          </cell>
        </row>
        <row r="1322">
          <cell r="A1322">
            <v>1035</v>
          </cell>
          <cell r="E1322" t="str">
            <v>기아모텍</v>
          </cell>
          <cell r="F1322" t="str">
            <v>C3</v>
          </cell>
          <cell r="G1322" t="str">
            <v>CONCORD W/G</v>
          </cell>
          <cell r="H1322" t="str">
            <v>041101111613</v>
          </cell>
          <cell r="I1322" t="str">
            <v>K94J 70 721</v>
          </cell>
          <cell r="J1322" t="str">
            <v>HEADER R UP</v>
          </cell>
          <cell r="K1322" t="str">
            <v>금형</v>
          </cell>
          <cell r="L1322" t="str">
            <v>TR/PI</v>
          </cell>
          <cell r="M1322">
            <v>1</v>
          </cell>
          <cell r="N1322">
            <v>13308000</v>
          </cell>
          <cell r="Y1322" t="str">
            <v>주물</v>
          </cell>
          <cell r="Z1322">
            <v>2.66</v>
          </cell>
          <cell r="AA1322" t="str">
            <v>1520x600x620</v>
          </cell>
          <cell r="AB1322" t="str">
            <v>95</v>
          </cell>
          <cell r="AG1322" t="str">
            <v>서해공업㈜ 반　</v>
          </cell>
          <cell r="AI1322" t="str">
            <v>KMO 안산1공장</v>
          </cell>
        </row>
        <row r="1323">
          <cell r="A1323">
            <v>1036</v>
          </cell>
          <cell r="E1323" t="str">
            <v>기아모텍</v>
          </cell>
          <cell r="F1323" t="str">
            <v>C3</v>
          </cell>
          <cell r="G1323" t="str">
            <v>CONCORD W/G</v>
          </cell>
          <cell r="H1323" t="str">
            <v>041101111613</v>
          </cell>
          <cell r="I1323" t="str">
            <v>K94J 70 721</v>
          </cell>
          <cell r="J1323" t="str">
            <v>HEADER R UP</v>
          </cell>
          <cell r="K1323" t="str">
            <v>금형</v>
          </cell>
          <cell r="L1323" t="str">
            <v>DR</v>
          </cell>
          <cell r="M1323">
            <v>1</v>
          </cell>
          <cell r="N1323">
            <v>14104000</v>
          </cell>
          <cell r="Y1323" t="str">
            <v>주물</v>
          </cell>
          <cell r="Z1323">
            <v>3.07</v>
          </cell>
          <cell r="AA1323" t="str">
            <v>1500x700x620</v>
          </cell>
          <cell r="AB1323" t="str">
            <v>95</v>
          </cell>
          <cell r="AG1323" t="str">
            <v>서해공업㈜ 반　</v>
          </cell>
          <cell r="AI1323" t="str">
            <v>KMO 안산1공장</v>
          </cell>
        </row>
        <row r="1324">
          <cell r="A1324">
            <v>1037</v>
          </cell>
          <cell r="E1324" t="str">
            <v>기아모텍</v>
          </cell>
          <cell r="F1324" t="str">
            <v>C3</v>
          </cell>
          <cell r="G1324" t="str">
            <v>CONCORD W/G</v>
          </cell>
          <cell r="H1324" t="str">
            <v>041101111623</v>
          </cell>
          <cell r="I1324" t="str">
            <v>K94J 70/71 111</v>
          </cell>
          <cell r="J1324" t="str">
            <v>PLR RR INR R/L</v>
          </cell>
          <cell r="K1324" t="str">
            <v>금형</v>
          </cell>
          <cell r="L1324" t="str">
            <v>FL/RE,C/P</v>
          </cell>
          <cell r="M1324">
            <v>2</v>
          </cell>
          <cell r="N1324">
            <v>81397000</v>
          </cell>
          <cell r="Y1324" t="str">
            <v>주물</v>
          </cell>
          <cell r="Z1324">
            <v>13.88</v>
          </cell>
          <cell r="AA1324" t="str">
            <v>2080x1610x880</v>
          </cell>
          <cell r="AB1324" t="str">
            <v>95</v>
          </cell>
          <cell r="AG1324" t="str">
            <v>서해공업㈜ 반　</v>
          </cell>
          <cell r="AI1324" t="str">
            <v>KMO 안산1공장</v>
          </cell>
        </row>
        <row r="1325">
          <cell r="A1325">
            <v>1038</v>
          </cell>
          <cell r="E1325" t="str">
            <v>기아모텍</v>
          </cell>
          <cell r="F1325" t="str">
            <v>C3</v>
          </cell>
          <cell r="G1325" t="str">
            <v>CONCORD W/G</v>
          </cell>
          <cell r="H1325" t="str">
            <v>041101111623</v>
          </cell>
          <cell r="I1325" t="str">
            <v>K94J 70/71 111</v>
          </cell>
          <cell r="J1325" t="str">
            <v>PLR RR INR R/L</v>
          </cell>
          <cell r="K1325" t="str">
            <v>금형</v>
          </cell>
          <cell r="L1325" t="str">
            <v>CT/PI,C/P</v>
          </cell>
          <cell r="M1325">
            <v>2</v>
          </cell>
          <cell r="N1325">
            <v>90601000</v>
          </cell>
          <cell r="Y1325" t="str">
            <v>주물</v>
          </cell>
          <cell r="Z1325">
            <v>16.579999999999998</v>
          </cell>
          <cell r="AA1325" t="str">
            <v>2260x1770x880</v>
          </cell>
          <cell r="AB1325" t="str">
            <v>95</v>
          </cell>
          <cell r="AG1325" t="str">
            <v>서해공업㈜ 반　</v>
          </cell>
          <cell r="AI1325" t="str">
            <v>KMO 안산1공장</v>
          </cell>
        </row>
        <row r="1326">
          <cell r="A1326">
            <v>1039</v>
          </cell>
          <cell r="E1326" t="str">
            <v>기아모텍</v>
          </cell>
          <cell r="F1326" t="str">
            <v>C3</v>
          </cell>
          <cell r="G1326" t="str">
            <v>CONCORD W/G</v>
          </cell>
          <cell r="H1326" t="str">
            <v>041101111623</v>
          </cell>
          <cell r="I1326" t="str">
            <v>K94J 70/71 111</v>
          </cell>
          <cell r="J1326" t="str">
            <v>PLR RR INR R/L</v>
          </cell>
          <cell r="K1326" t="str">
            <v>금형</v>
          </cell>
          <cell r="L1326" t="str">
            <v>C/CT,C/P</v>
          </cell>
          <cell r="M1326">
            <v>2</v>
          </cell>
          <cell r="N1326">
            <v>91600000</v>
          </cell>
          <cell r="Y1326" t="str">
            <v>주물</v>
          </cell>
          <cell r="Z1326">
            <v>16.78</v>
          </cell>
          <cell r="AA1326" t="str">
            <v>2200x1840x880</v>
          </cell>
          <cell r="AB1326" t="str">
            <v>95</v>
          </cell>
          <cell r="AG1326" t="str">
            <v>서해공업㈜ 반　</v>
          </cell>
          <cell r="AI1326" t="str">
            <v>KMO 안산1공장</v>
          </cell>
        </row>
        <row r="1327">
          <cell r="A1327">
            <v>1040</v>
          </cell>
          <cell r="E1327" t="str">
            <v>기아모텍</v>
          </cell>
          <cell r="F1327" t="str">
            <v>C3</v>
          </cell>
          <cell r="G1327" t="str">
            <v>CONCORD W/G</v>
          </cell>
          <cell r="H1327" t="str">
            <v>041101111623</v>
          </cell>
          <cell r="I1327" t="str">
            <v>K94J 70/71 111</v>
          </cell>
          <cell r="J1327" t="str">
            <v>PLR RR INR R/L</v>
          </cell>
          <cell r="K1327" t="str">
            <v>금형</v>
          </cell>
          <cell r="L1327" t="str">
            <v>DR</v>
          </cell>
          <cell r="M1327">
            <v>2</v>
          </cell>
          <cell r="N1327">
            <v>112518000</v>
          </cell>
          <cell r="Y1327" t="str">
            <v>주물</v>
          </cell>
          <cell r="Z1327">
            <v>18.71</v>
          </cell>
          <cell r="AA1327" t="str">
            <v>2460x1900x850</v>
          </cell>
          <cell r="AB1327" t="str">
            <v>95</v>
          </cell>
          <cell r="AG1327" t="str">
            <v>서해공업㈜ 반　</v>
          </cell>
          <cell r="AI1327" t="str">
            <v>KMO 안산1공장</v>
          </cell>
        </row>
        <row r="1328">
          <cell r="A1328">
            <v>1041</v>
          </cell>
          <cell r="E1328" t="str">
            <v>기아모텍</v>
          </cell>
          <cell r="F1328" t="str">
            <v>C3</v>
          </cell>
          <cell r="G1328" t="str">
            <v>CONCORD W/G</v>
          </cell>
          <cell r="H1328" t="str">
            <v>041101111623</v>
          </cell>
          <cell r="I1328" t="str">
            <v>K94J 70/71 111</v>
          </cell>
          <cell r="J1328" t="str">
            <v>PLR RR INR R/L</v>
          </cell>
          <cell r="K1328" t="str">
            <v>금형</v>
          </cell>
          <cell r="L1328" t="str">
            <v>TR/PI</v>
          </cell>
          <cell r="M1328">
            <v>2</v>
          </cell>
          <cell r="N1328">
            <v>115593000</v>
          </cell>
          <cell r="Y1328" t="str">
            <v>주물</v>
          </cell>
          <cell r="Z1328">
            <v>19.77</v>
          </cell>
          <cell r="AA1328" t="str">
            <v>2520x1700x980</v>
          </cell>
          <cell r="AB1328" t="str">
            <v>95</v>
          </cell>
          <cell r="AG1328" t="str">
            <v>서해공업㈜ 반　</v>
          </cell>
          <cell r="AI1328" t="str">
            <v>KMO 안산1공장</v>
          </cell>
        </row>
        <row r="1329">
          <cell r="A1329">
            <v>1042</v>
          </cell>
          <cell r="E1329" t="str">
            <v>기아모텍</v>
          </cell>
          <cell r="F1329" t="str">
            <v>C3</v>
          </cell>
          <cell r="G1329" t="str">
            <v>CONCORD W/G</v>
          </cell>
          <cell r="H1329" t="str">
            <v>041101127084</v>
          </cell>
          <cell r="I1329" t="str">
            <v>K94J 70/71 118</v>
          </cell>
          <cell r="J1329" t="str">
            <v>R/F Rr PILLAR R/L</v>
          </cell>
          <cell r="K1329" t="str">
            <v>금형</v>
          </cell>
          <cell r="L1329" t="str">
            <v>금형</v>
          </cell>
          <cell r="M1329">
            <v>3</v>
          </cell>
          <cell r="N1329">
            <v>17000000</v>
          </cell>
          <cell r="Y1329" t="str">
            <v>주물</v>
          </cell>
          <cell r="AA1329" t="str">
            <v>xx</v>
          </cell>
          <cell r="AB1329" t="str">
            <v>96-9</v>
          </cell>
          <cell r="AG1329" t="str">
            <v>제일정공</v>
          </cell>
          <cell r="AI1329" t="str">
            <v>제일정공</v>
          </cell>
        </row>
        <row r="1330">
          <cell r="A1330">
            <v>1043</v>
          </cell>
          <cell r="E1330" t="str">
            <v>기아모텍</v>
          </cell>
          <cell r="F1330" t="str">
            <v>C3</v>
          </cell>
          <cell r="G1330" t="str">
            <v>CONCORD W/G</v>
          </cell>
          <cell r="H1330" t="str">
            <v>041101127094</v>
          </cell>
          <cell r="I1330" t="str">
            <v>K94J 70/71 134</v>
          </cell>
          <cell r="J1330" t="str">
            <v>REINF C PILLAR</v>
          </cell>
          <cell r="K1330" t="str">
            <v>금형</v>
          </cell>
          <cell r="L1330" t="str">
            <v>금형</v>
          </cell>
          <cell r="M1330">
            <v>4</v>
          </cell>
          <cell r="N1330">
            <v>49000000</v>
          </cell>
          <cell r="Y1330" t="str">
            <v>주물</v>
          </cell>
          <cell r="AA1330" t="str">
            <v>xx</v>
          </cell>
          <cell r="AB1330" t="str">
            <v>96-9</v>
          </cell>
          <cell r="AG1330" t="str">
            <v>동풍금형</v>
          </cell>
          <cell r="AI1330" t="str">
            <v>KMO 안산1공장</v>
          </cell>
        </row>
        <row r="1331">
          <cell r="A1331">
            <v>1044</v>
          </cell>
          <cell r="E1331" t="str">
            <v>기아모텍</v>
          </cell>
          <cell r="F1331" t="str">
            <v>C3</v>
          </cell>
          <cell r="G1331" t="str">
            <v>CONCORD W/G</v>
          </cell>
          <cell r="H1331" t="str">
            <v>041101111633</v>
          </cell>
          <cell r="I1331" t="str">
            <v>K94J 70/71 175</v>
          </cell>
          <cell r="J1331" t="str">
            <v>R/F BELT LINE</v>
          </cell>
          <cell r="K1331" t="str">
            <v>금형</v>
          </cell>
          <cell r="L1331" t="str">
            <v>RE/PI</v>
          </cell>
          <cell r="M1331">
            <v>1</v>
          </cell>
          <cell r="N1331">
            <v>16485000</v>
          </cell>
          <cell r="Y1331" t="str">
            <v>주물</v>
          </cell>
          <cell r="Z1331">
            <v>3.96</v>
          </cell>
          <cell r="AA1331" t="str">
            <v>2060x600x680</v>
          </cell>
          <cell r="AB1331" t="str">
            <v>95</v>
          </cell>
          <cell r="AG1331" t="str">
            <v>서해공업㈜ 반　</v>
          </cell>
          <cell r="AI1331" t="str">
            <v>KMO 안산1공장</v>
          </cell>
        </row>
        <row r="1332">
          <cell r="A1332">
            <v>1045</v>
          </cell>
          <cell r="E1332" t="str">
            <v>기아모텍</v>
          </cell>
          <cell r="F1332" t="str">
            <v>C3</v>
          </cell>
          <cell r="G1332" t="str">
            <v>CONCORD W/G</v>
          </cell>
          <cell r="H1332" t="str">
            <v>041101111633</v>
          </cell>
          <cell r="I1332" t="str">
            <v>K94J 70/71 175</v>
          </cell>
          <cell r="J1332" t="str">
            <v>R/F BELT LINE</v>
          </cell>
          <cell r="K1332" t="str">
            <v>금형</v>
          </cell>
          <cell r="L1332" t="str">
            <v>TR/PI</v>
          </cell>
          <cell r="M1332">
            <v>1</v>
          </cell>
          <cell r="N1332">
            <v>19346000</v>
          </cell>
          <cell r="Y1332" t="str">
            <v>주물</v>
          </cell>
          <cell r="Z1332">
            <v>4.2300000000000004</v>
          </cell>
          <cell r="AA1332" t="str">
            <v>2200x600x680</v>
          </cell>
          <cell r="AB1332" t="str">
            <v>95</v>
          </cell>
          <cell r="AG1332" t="str">
            <v>서해공업㈜ 반　</v>
          </cell>
          <cell r="AI1332" t="str">
            <v>KMO 안산1공장</v>
          </cell>
        </row>
        <row r="1333">
          <cell r="A1333">
            <v>1046</v>
          </cell>
          <cell r="E1333" t="str">
            <v>기아모텍</v>
          </cell>
          <cell r="F1333" t="str">
            <v>C3</v>
          </cell>
          <cell r="G1333" t="str">
            <v>CONCORD W/G</v>
          </cell>
          <cell r="H1333" t="str">
            <v>041101111633</v>
          </cell>
          <cell r="I1333" t="str">
            <v>K94J 70/71 175</v>
          </cell>
          <cell r="J1333" t="str">
            <v>R/F BELT LINE</v>
          </cell>
          <cell r="K1333" t="str">
            <v>금형</v>
          </cell>
          <cell r="L1333" t="str">
            <v>DR</v>
          </cell>
          <cell r="M1333">
            <v>1</v>
          </cell>
          <cell r="N1333">
            <v>27633000</v>
          </cell>
          <cell r="Y1333" t="str">
            <v>주물</v>
          </cell>
          <cell r="Z1333">
            <v>4.3600000000000003</v>
          </cell>
          <cell r="AA1333" t="str">
            <v>2000x680x680</v>
          </cell>
          <cell r="AB1333" t="str">
            <v>95</v>
          </cell>
          <cell r="AG1333" t="str">
            <v>서해공업㈜ 반　</v>
          </cell>
          <cell r="AI1333" t="str">
            <v>KMO 안산1공장</v>
          </cell>
        </row>
        <row r="1334">
          <cell r="A1334">
            <v>1047</v>
          </cell>
          <cell r="E1334" t="str">
            <v>기아모텍</v>
          </cell>
          <cell r="F1334" t="str">
            <v>C3</v>
          </cell>
          <cell r="G1334" t="str">
            <v>CONCORD W/G</v>
          </cell>
          <cell r="H1334" t="str">
            <v>041101127034</v>
          </cell>
          <cell r="I1334" t="str">
            <v>K94J 70/71 198</v>
          </cell>
          <cell r="J1334" t="str">
            <v>GUSSET CONNER</v>
          </cell>
          <cell r="K1334" t="str">
            <v>금형</v>
          </cell>
          <cell r="L1334" t="str">
            <v>금형</v>
          </cell>
          <cell r="M1334">
            <v>3</v>
          </cell>
          <cell r="N1334">
            <v>9000000</v>
          </cell>
          <cell r="Y1334" t="str">
            <v>주물</v>
          </cell>
          <cell r="AA1334" t="str">
            <v>xx</v>
          </cell>
          <cell r="AB1334" t="str">
            <v>96-9</v>
          </cell>
          <cell r="AG1334" t="str">
            <v>제일정공</v>
          </cell>
          <cell r="AI1334" t="str">
            <v>제일정공</v>
          </cell>
        </row>
        <row r="1335">
          <cell r="A1335">
            <v>1048</v>
          </cell>
          <cell r="E1335" t="str">
            <v>기아모텍</v>
          </cell>
          <cell r="F1335" t="str">
            <v>C3</v>
          </cell>
          <cell r="G1335" t="str">
            <v>CONCORD W/G</v>
          </cell>
          <cell r="H1335" t="str">
            <v>041101127134</v>
          </cell>
          <cell r="I1335" t="str">
            <v>K94J 70/71 371</v>
          </cell>
          <cell r="J1335" t="str">
            <v>PLATE ANCORAGE R/L</v>
          </cell>
          <cell r="K1335" t="str">
            <v>금형</v>
          </cell>
          <cell r="L1335" t="str">
            <v>금형</v>
          </cell>
          <cell r="M1335">
            <v>3</v>
          </cell>
          <cell r="N1335">
            <v>34000000</v>
          </cell>
          <cell r="Y1335" t="str">
            <v>주물</v>
          </cell>
          <cell r="AA1335" t="str">
            <v>xx</v>
          </cell>
          <cell r="AB1335" t="str">
            <v>96-9</v>
          </cell>
          <cell r="AG1335" t="str">
            <v>동풍금형</v>
          </cell>
          <cell r="AI1335" t="str">
            <v>KMO 안산1공장</v>
          </cell>
        </row>
        <row r="1336">
          <cell r="A1336">
            <v>1049</v>
          </cell>
          <cell r="E1336" t="str">
            <v>기아모텍</v>
          </cell>
          <cell r="F1336" t="str">
            <v>C3</v>
          </cell>
          <cell r="G1336" t="str">
            <v>CONCORD W/G</v>
          </cell>
          <cell r="H1336" t="str">
            <v>041101127164</v>
          </cell>
          <cell r="I1336" t="str">
            <v>K94J 70/71 408</v>
          </cell>
          <cell r="J1336" t="str">
            <v>B/K BUMPER</v>
          </cell>
          <cell r="K1336" t="str">
            <v>금형</v>
          </cell>
          <cell r="L1336" t="str">
            <v>금형</v>
          </cell>
          <cell r="M1336">
            <v>3</v>
          </cell>
          <cell r="N1336">
            <v>5000000</v>
          </cell>
          <cell r="Y1336" t="str">
            <v>STEEL</v>
          </cell>
          <cell r="AA1336" t="str">
            <v>xx</v>
          </cell>
          <cell r="AB1336" t="str">
            <v>96-9</v>
          </cell>
          <cell r="AG1336" t="str">
            <v>수민정밀</v>
          </cell>
          <cell r="AI1336" t="str">
            <v>수민정밀</v>
          </cell>
        </row>
        <row r="1337">
          <cell r="A1337">
            <v>1050</v>
          </cell>
          <cell r="E1337" t="str">
            <v>기아모텍</v>
          </cell>
          <cell r="F1337" t="str">
            <v>C3</v>
          </cell>
          <cell r="G1337" t="str">
            <v>CONCORD W/G</v>
          </cell>
          <cell r="H1337" t="str">
            <v>041101127024</v>
          </cell>
          <cell r="I1337" t="str">
            <v>K94J 70/71 415</v>
          </cell>
          <cell r="J1337" t="str">
            <v>B/K BUMPER SET R/L</v>
          </cell>
          <cell r="K1337" t="str">
            <v>금형</v>
          </cell>
          <cell r="L1337" t="str">
            <v>금형</v>
          </cell>
          <cell r="M1337">
            <v>3</v>
          </cell>
          <cell r="N1337">
            <v>5000000</v>
          </cell>
          <cell r="Y1337" t="str">
            <v>주물</v>
          </cell>
          <cell r="AA1337" t="str">
            <v>xx</v>
          </cell>
          <cell r="AB1337" t="str">
            <v>96-9</v>
          </cell>
          <cell r="AG1337" t="str">
            <v>제일정공</v>
          </cell>
          <cell r="AI1337" t="str">
            <v>제일정공</v>
          </cell>
        </row>
        <row r="1338">
          <cell r="A1338">
            <v>1051</v>
          </cell>
          <cell r="E1338" t="str">
            <v>기아모텍</v>
          </cell>
          <cell r="F1338" t="str">
            <v>C3</v>
          </cell>
          <cell r="G1338" t="str">
            <v>CONCORD W/G</v>
          </cell>
          <cell r="H1338" t="str">
            <v>041101127124</v>
          </cell>
          <cell r="I1338" t="str">
            <v>K94J 70/71 431</v>
          </cell>
          <cell r="J1338" t="str">
            <v>BOX FILLAR</v>
          </cell>
          <cell r="K1338" t="str">
            <v>금형</v>
          </cell>
          <cell r="L1338" t="str">
            <v>금형</v>
          </cell>
          <cell r="M1338">
            <v>4</v>
          </cell>
          <cell r="N1338">
            <v>16000000</v>
          </cell>
          <cell r="Y1338" t="str">
            <v>주물</v>
          </cell>
          <cell r="AA1338" t="str">
            <v>xx</v>
          </cell>
          <cell r="AB1338" t="str">
            <v>96-9</v>
          </cell>
          <cell r="AG1338" t="str">
            <v>동풍금형</v>
          </cell>
          <cell r="AI1338" t="str">
            <v>KMO 안산1공장</v>
          </cell>
        </row>
        <row r="1339">
          <cell r="A1339">
            <v>1052</v>
          </cell>
          <cell r="E1339" t="str">
            <v>기아모텍</v>
          </cell>
          <cell r="F1339" t="str">
            <v>C3</v>
          </cell>
          <cell r="G1339" t="str">
            <v>CONCORD W/G</v>
          </cell>
          <cell r="H1339" t="str">
            <v>041101111643</v>
          </cell>
          <cell r="I1339" t="str">
            <v>K94J 70/71 465</v>
          </cell>
          <cell r="J1339" t="str">
            <v>DRAIN PLR R/L</v>
          </cell>
          <cell r="K1339" t="str">
            <v>금형</v>
          </cell>
          <cell r="L1339" t="str">
            <v>FL/RE</v>
          </cell>
          <cell r="M1339">
            <v>2</v>
          </cell>
          <cell r="N1339">
            <v>22852000</v>
          </cell>
          <cell r="Y1339" t="str">
            <v>주물</v>
          </cell>
          <cell r="Z1339">
            <v>1.74</v>
          </cell>
          <cell r="AA1339" t="str">
            <v>1200x530x580</v>
          </cell>
          <cell r="AB1339" t="str">
            <v>95</v>
          </cell>
          <cell r="AG1339" t="str">
            <v>서해공업㈜ 반　</v>
          </cell>
          <cell r="AI1339" t="str">
            <v>KMO 안산1공장</v>
          </cell>
        </row>
        <row r="1340">
          <cell r="A1340">
            <v>1053</v>
          </cell>
          <cell r="E1340" t="str">
            <v>기아모텍</v>
          </cell>
          <cell r="F1340" t="str">
            <v>C3</v>
          </cell>
          <cell r="G1340" t="str">
            <v>CONCORD W/G</v>
          </cell>
          <cell r="H1340" t="str">
            <v>041101111643</v>
          </cell>
          <cell r="I1340" t="str">
            <v>K94J 70/71 465</v>
          </cell>
          <cell r="J1340" t="str">
            <v>DRAIN PLR R/L</v>
          </cell>
          <cell r="K1340" t="str">
            <v>금형</v>
          </cell>
          <cell r="L1340" t="str">
            <v>C/CUT&amp;C/P</v>
          </cell>
          <cell r="M1340">
            <v>2</v>
          </cell>
          <cell r="N1340">
            <v>26688000</v>
          </cell>
          <cell r="Y1340" t="str">
            <v>주물</v>
          </cell>
          <cell r="Z1340">
            <v>2.79</v>
          </cell>
          <cell r="AA1340" t="str">
            <v>1700x600x580</v>
          </cell>
          <cell r="AB1340" t="str">
            <v>95</v>
          </cell>
          <cell r="AG1340" t="str">
            <v>서해공업㈜ 반　</v>
          </cell>
          <cell r="AI1340" t="str">
            <v>KMO 안산1공장</v>
          </cell>
        </row>
        <row r="1341">
          <cell r="A1341">
            <v>1054</v>
          </cell>
          <cell r="E1341" t="str">
            <v>기아모텍</v>
          </cell>
          <cell r="F1341" t="str">
            <v>C3</v>
          </cell>
          <cell r="G1341" t="str">
            <v>CONCORD W/G</v>
          </cell>
          <cell r="H1341" t="str">
            <v>041101111643</v>
          </cell>
          <cell r="I1341" t="str">
            <v>K94J 70/71 465</v>
          </cell>
          <cell r="J1341" t="str">
            <v>DRAIN PLR R/L</v>
          </cell>
          <cell r="K1341" t="str">
            <v>금형</v>
          </cell>
          <cell r="L1341" t="str">
            <v>C/CUT&amp;FL</v>
          </cell>
          <cell r="M1341">
            <v>2</v>
          </cell>
          <cell r="N1341">
            <v>27618000</v>
          </cell>
          <cell r="Y1341" t="str">
            <v>주물</v>
          </cell>
          <cell r="Z1341">
            <v>2.13</v>
          </cell>
          <cell r="AA1341" t="str">
            <v>1200x650x580</v>
          </cell>
          <cell r="AB1341" t="str">
            <v>95</v>
          </cell>
          <cell r="AG1341" t="str">
            <v>서해공업㈜ 반　</v>
          </cell>
          <cell r="AI1341" t="str">
            <v>KMO 안산1공장</v>
          </cell>
        </row>
        <row r="1342">
          <cell r="A1342">
            <v>1055</v>
          </cell>
          <cell r="E1342" t="str">
            <v>기아모텍</v>
          </cell>
          <cell r="F1342" t="str">
            <v>C3</v>
          </cell>
          <cell r="G1342" t="str">
            <v>CONCORD W/G</v>
          </cell>
          <cell r="H1342" t="str">
            <v>041101111643</v>
          </cell>
          <cell r="I1342" t="str">
            <v>K94J 70/71 465</v>
          </cell>
          <cell r="J1342" t="str">
            <v>DRAIN PLR R/L</v>
          </cell>
          <cell r="K1342" t="str">
            <v>금형</v>
          </cell>
          <cell r="L1342" t="str">
            <v>TR/PI</v>
          </cell>
          <cell r="M1342">
            <v>2</v>
          </cell>
          <cell r="N1342">
            <v>28105000</v>
          </cell>
          <cell r="Y1342" t="str">
            <v>주물</v>
          </cell>
          <cell r="Z1342">
            <v>2.29</v>
          </cell>
          <cell r="AA1342" t="str">
            <v>1400x600x580</v>
          </cell>
          <cell r="AB1342" t="str">
            <v>95</v>
          </cell>
          <cell r="AG1342" t="str">
            <v>서해공업㈜ 반　</v>
          </cell>
          <cell r="AI1342" t="str">
            <v>KMO 안산1공장</v>
          </cell>
        </row>
        <row r="1343">
          <cell r="A1343">
            <v>1056</v>
          </cell>
          <cell r="E1343" t="str">
            <v>기아모텍</v>
          </cell>
          <cell r="F1343" t="str">
            <v>C3</v>
          </cell>
          <cell r="G1343" t="str">
            <v>CONCORD W/G</v>
          </cell>
          <cell r="H1343" t="str">
            <v>041101111643</v>
          </cell>
          <cell r="I1343" t="str">
            <v>K94J 70/71 465</v>
          </cell>
          <cell r="J1343" t="str">
            <v>DRAIN PLR R/L</v>
          </cell>
          <cell r="K1343" t="str">
            <v>금형</v>
          </cell>
          <cell r="L1343" t="str">
            <v>DR</v>
          </cell>
          <cell r="M1343">
            <v>2</v>
          </cell>
          <cell r="N1343">
            <v>29558000</v>
          </cell>
          <cell r="Y1343" t="str">
            <v>주물</v>
          </cell>
          <cell r="Z1343">
            <v>2.64</v>
          </cell>
          <cell r="AA1343" t="str">
            <v>1380x700x580</v>
          </cell>
          <cell r="AB1343" t="str">
            <v>95</v>
          </cell>
          <cell r="AG1343" t="str">
            <v>서해공업㈜ 반　</v>
          </cell>
          <cell r="AI1343" t="str">
            <v>KMO 안산1공장</v>
          </cell>
        </row>
        <row r="1344">
          <cell r="A1344">
            <v>1057</v>
          </cell>
          <cell r="E1344" t="str">
            <v>기아모텍</v>
          </cell>
          <cell r="F1344" t="str">
            <v>C3</v>
          </cell>
          <cell r="G1344" t="str">
            <v>CONCORD W/G</v>
          </cell>
          <cell r="H1344" t="str">
            <v>041101127114</v>
          </cell>
          <cell r="I1344" t="str">
            <v>K94J 70/71 466</v>
          </cell>
          <cell r="J1344" t="str">
            <v>PLATE JUNC UO R/L</v>
          </cell>
          <cell r="K1344" t="str">
            <v>금형</v>
          </cell>
          <cell r="L1344" t="str">
            <v>금형</v>
          </cell>
          <cell r="M1344">
            <v>3</v>
          </cell>
          <cell r="N1344">
            <v>15500000</v>
          </cell>
          <cell r="Y1344" t="str">
            <v>주물</v>
          </cell>
          <cell r="AA1344" t="str">
            <v>xx</v>
          </cell>
          <cell r="AB1344" t="str">
            <v>96-9</v>
          </cell>
          <cell r="AG1344" t="str">
            <v>동풍금형</v>
          </cell>
          <cell r="AI1344" t="str">
            <v>KMO 안산1공장</v>
          </cell>
        </row>
        <row r="1345">
          <cell r="A1345">
            <v>1058</v>
          </cell>
          <cell r="E1345" t="str">
            <v>기아모텍</v>
          </cell>
          <cell r="F1345" t="str">
            <v>C3</v>
          </cell>
          <cell r="G1345" t="str">
            <v>CONCORD W/G</v>
          </cell>
          <cell r="H1345" t="str">
            <v>041101127184</v>
          </cell>
          <cell r="I1345" t="str">
            <v>K94J 70/71 471</v>
          </cell>
          <cell r="J1345" t="str">
            <v>R/F D PLR R/L</v>
          </cell>
          <cell r="K1345" t="str">
            <v>금형</v>
          </cell>
          <cell r="L1345" t="str">
            <v>금형</v>
          </cell>
          <cell r="M1345">
            <v>4</v>
          </cell>
          <cell r="N1345">
            <v>69000000</v>
          </cell>
          <cell r="Y1345" t="str">
            <v>주물</v>
          </cell>
          <cell r="AA1345" t="str">
            <v>xx</v>
          </cell>
          <cell r="AB1345" t="str">
            <v>96-9</v>
          </cell>
          <cell r="AG1345" t="str">
            <v>기아모텍</v>
          </cell>
          <cell r="AI1345" t="str">
            <v>KMO 안산1공장</v>
          </cell>
        </row>
        <row r="1346">
          <cell r="A1346">
            <v>1059</v>
          </cell>
          <cell r="E1346" t="str">
            <v>기아모텍</v>
          </cell>
          <cell r="F1346" t="str">
            <v>C3</v>
          </cell>
          <cell r="G1346" t="str">
            <v>CONCORD W/G</v>
          </cell>
          <cell r="H1346" t="str">
            <v>041101111653</v>
          </cell>
          <cell r="I1346" t="str">
            <v>K94J 70/71 491</v>
          </cell>
          <cell r="J1346" t="str">
            <v>B/K LAMP UPR R/L</v>
          </cell>
          <cell r="K1346" t="str">
            <v>금형</v>
          </cell>
          <cell r="L1346" t="str">
            <v>TR</v>
          </cell>
          <cell r="M1346">
            <v>1</v>
          </cell>
          <cell r="N1346">
            <v>13506000</v>
          </cell>
          <cell r="Y1346" t="str">
            <v>주물</v>
          </cell>
          <cell r="Z1346">
            <v>1.85</v>
          </cell>
          <cell r="AA1346" t="str">
            <v>1220x520x620</v>
          </cell>
          <cell r="AB1346" t="str">
            <v>95</v>
          </cell>
          <cell r="AG1346" t="str">
            <v>서해공업㈜ 반　</v>
          </cell>
          <cell r="AI1346" t="str">
            <v>KMO 안산1공장</v>
          </cell>
        </row>
        <row r="1347">
          <cell r="A1347">
            <v>1060</v>
          </cell>
          <cell r="E1347" t="str">
            <v>기아모텍</v>
          </cell>
          <cell r="F1347" t="str">
            <v>C3</v>
          </cell>
          <cell r="G1347" t="str">
            <v>CONCORD W/G</v>
          </cell>
          <cell r="H1347" t="str">
            <v>041101111653</v>
          </cell>
          <cell r="I1347" t="str">
            <v>K94J 70/71 491</v>
          </cell>
          <cell r="J1347" t="str">
            <v>B/K LAMP UPR R/L</v>
          </cell>
          <cell r="K1347" t="str">
            <v>금형</v>
          </cell>
          <cell r="L1347" t="str">
            <v>FL/PI</v>
          </cell>
          <cell r="M1347">
            <v>1</v>
          </cell>
          <cell r="N1347">
            <v>13572000</v>
          </cell>
          <cell r="Y1347" t="str">
            <v>주물</v>
          </cell>
          <cell r="Z1347">
            <v>2.0299999999999998</v>
          </cell>
          <cell r="AA1347" t="str">
            <v>1220x570x620</v>
          </cell>
          <cell r="AB1347" t="str">
            <v>95</v>
          </cell>
          <cell r="AG1347" t="str">
            <v>서해공업㈜ 반　</v>
          </cell>
          <cell r="AI1347" t="str">
            <v>KMO 안산1공장</v>
          </cell>
        </row>
        <row r="1348">
          <cell r="A1348">
            <v>1061</v>
          </cell>
          <cell r="E1348" t="str">
            <v>기아모텍</v>
          </cell>
          <cell r="F1348" t="str">
            <v>C3</v>
          </cell>
          <cell r="G1348" t="str">
            <v>CONCORD W/G</v>
          </cell>
          <cell r="H1348" t="str">
            <v>041101111653</v>
          </cell>
          <cell r="I1348" t="str">
            <v>K94J 70/71 491</v>
          </cell>
          <cell r="J1348" t="str">
            <v>B/K LAMP UPR R/L</v>
          </cell>
          <cell r="K1348" t="str">
            <v>금형</v>
          </cell>
          <cell r="L1348" t="str">
            <v>SEP/PI</v>
          </cell>
          <cell r="M1348">
            <v>1</v>
          </cell>
          <cell r="N1348">
            <v>15227000</v>
          </cell>
          <cell r="Y1348" t="str">
            <v>주물</v>
          </cell>
          <cell r="Z1348">
            <v>2.35</v>
          </cell>
          <cell r="AA1348" t="str">
            <v>1240x650x620</v>
          </cell>
          <cell r="AB1348" t="str">
            <v>95</v>
          </cell>
          <cell r="AG1348" t="str">
            <v>서해공업㈜ 반　</v>
          </cell>
          <cell r="AI1348" t="str">
            <v>KMO 안산1공장</v>
          </cell>
        </row>
        <row r="1349">
          <cell r="A1349">
            <v>1062</v>
          </cell>
          <cell r="E1349" t="str">
            <v>기아모텍</v>
          </cell>
          <cell r="F1349" t="str">
            <v>C3</v>
          </cell>
          <cell r="G1349" t="str">
            <v>CONCORD W/G</v>
          </cell>
          <cell r="H1349" t="str">
            <v>041101111653</v>
          </cell>
          <cell r="I1349" t="str">
            <v>K94J 70/71 491</v>
          </cell>
          <cell r="J1349" t="str">
            <v>B/K LAMP UPR R/L</v>
          </cell>
          <cell r="K1349" t="str">
            <v>금형</v>
          </cell>
          <cell r="L1349" t="str">
            <v>DR</v>
          </cell>
          <cell r="M1349">
            <v>1</v>
          </cell>
          <cell r="N1349">
            <v>15744000</v>
          </cell>
          <cell r="Y1349" t="str">
            <v>주물</v>
          </cell>
          <cell r="Z1349">
            <v>2.3199999999999998</v>
          </cell>
          <cell r="AA1349" t="str">
            <v>1240x640x620</v>
          </cell>
          <cell r="AB1349" t="str">
            <v>95</v>
          </cell>
          <cell r="AG1349" t="str">
            <v>서해공업㈜ 반　</v>
          </cell>
          <cell r="AI1349" t="str">
            <v>KMO 안산1공장</v>
          </cell>
        </row>
        <row r="1350">
          <cell r="A1350">
            <v>1063</v>
          </cell>
          <cell r="E1350" t="str">
            <v>기아모텍</v>
          </cell>
          <cell r="F1350" t="str">
            <v>C3</v>
          </cell>
          <cell r="G1350" t="str">
            <v>CONCORD W/G</v>
          </cell>
          <cell r="H1350" t="str">
            <v>041101111663</v>
          </cell>
          <cell r="I1350" t="str">
            <v>K94J 70/71 492</v>
          </cell>
          <cell r="J1350" t="str">
            <v>B/K LAMP LWR R/L</v>
          </cell>
          <cell r="K1350" t="str">
            <v>금형</v>
          </cell>
          <cell r="L1350" t="str">
            <v>DR</v>
          </cell>
          <cell r="M1350">
            <v>1</v>
          </cell>
          <cell r="N1350">
            <v>10600000</v>
          </cell>
          <cell r="Y1350" t="str">
            <v>주물</v>
          </cell>
          <cell r="Z1350">
            <v>1.22</v>
          </cell>
          <cell r="AA1350" t="str">
            <v>760x550x620</v>
          </cell>
          <cell r="AB1350" t="str">
            <v>95</v>
          </cell>
          <cell r="AG1350" t="str">
            <v>서해공업㈜ 반　</v>
          </cell>
          <cell r="AI1350" t="str">
            <v>KMO 안산1공장</v>
          </cell>
        </row>
        <row r="1351">
          <cell r="A1351">
            <v>1064</v>
          </cell>
          <cell r="E1351" t="str">
            <v>기아모텍</v>
          </cell>
          <cell r="F1351" t="str">
            <v>C3</v>
          </cell>
          <cell r="G1351" t="str">
            <v>CONCORD W/G</v>
          </cell>
          <cell r="H1351" t="str">
            <v>041101111663</v>
          </cell>
          <cell r="I1351" t="str">
            <v>K94J 70/71 492</v>
          </cell>
          <cell r="J1351" t="str">
            <v>B/K LAMP LWR R/L</v>
          </cell>
          <cell r="K1351" t="str">
            <v>금형</v>
          </cell>
          <cell r="L1351" t="str">
            <v>TR</v>
          </cell>
          <cell r="M1351">
            <v>1</v>
          </cell>
          <cell r="N1351">
            <v>10925000</v>
          </cell>
          <cell r="Y1351" t="str">
            <v>주물</v>
          </cell>
          <cell r="Z1351">
            <v>1.21</v>
          </cell>
          <cell r="AA1351" t="str">
            <v>880x470x620</v>
          </cell>
          <cell r="AB1351" t="str">
            <v>95</v>
          </cell>
          <cell r="AG1351" t="str">
            <v>서해공업㈜ 반　</v>
          </cell>
          <cell r="AI1351" t="str">
            <v>KMO 안산1공장</v>
          </cell>
        </row>
        <row r="1352">
          <cell r="A1352">
            <v>1065</v>
          </cell>
          <cell r="E1352" t="str">
            <v>기아모텍</v>
          </cell>
          <cell r="F1352" t="str">
            <v>C3</v>
          </cell>
          <cell r="G1352" t="str">
            <v>CONCORD W/G</v>
          </cell>
          <cell r="H1352" t="str">
            <v>041101111663</v>
          </cell>
          <cell r="I1352" t="str">
            <v>K94J 70/71 492</v>
          </cell>
          <cell r="J1352" t="str">
            <v>B/K LAMP LWR R/L</v>
          </cell>
          <cell r="K1352" t="str">
            <v>금형</v>
          </cell>
          <cell r="L1352" t="str">
            <v>FL/PI</v>
          </cell>
          <cell r="M1352">
            <v>1</v>
          </cell>
          <cell r="N1352">
            <v>11029000</v>
          </cell>
          <cell r="Y1352" t="str">
            <v>주물</v>
          </cell>
          <cell r="Z1352">
            <v>1.32</v>
          </cell>
          <cell r="AA1352" t="str">
            <v>820x550x620</v>
          </cell>
          <cell r="AB1352" t="str">
            <v>95</v>
          </cell>
          <cell r="AG1352" t="str">
            <v>서해공업㈜ 반　</v>
          </cell>
          <cell r="AI1352" t="str">
            <v>KMO 안산1공장</v>
          </cell>
        </row>
        <row r="1353">
          <cell r="A1353">
            <v>1066</v>
          </cell>
          <cell r="E1353" t="str">
            <v>기아모텍</v>
          </cell>
          <cell r="F1353" t="str">
            <v>C3</v>
          </cell>
          <cell r="G1353" t="str">
            <v>CONCORD W/G</v>
          </cell>
          <cell r="H1353" t="str">
            <v>041101111663</v>
          </cell>
          <cell r="I1353" t="str">
            <v>K94J 70/71 492</v>
          </cell>
          <cell r="J1353" t="str">
            <v>B/K LAMP LWR R/L</v>
          </cell>
          <cell r="K1353" t="str">
            <v>금형</v>
          </cell>
          <cell r="L1353" t="str">
            <v>PI&amp;C/PI</v>
          </cell>
          <cell r="M1353">
            <v>1</v>
          </cell>
          <cell r="N1353">
            <v>11574000</v>
          </cell>
          <cell r="Y1353" t="str">
            <v>주물</v>
          </cell>
          <cell r="Z1353">
            <v>1.59</v>
          </cell>
          <cell r="AA1353" t="str">
            <v>800x680x620</v>
          </cell>
          <cell r="AB1353" t="str">
            <v>95</v>
          </cell>
          <cell r="AG1353" t="str">
            <v>서해공업㈜ 반　</v>
          </cell>
          <cell r="AI1353" t="str">
            <v>KMO 안산1공장</v>
          </cell>
        </row>
        <row r="1354">
          <cell r="A1354">
            <v>1067</v>
          </cell>
          <cell r="E1354" t="str">
            <v>기아모텍</v>
          </cell>
          <cell r="F1354" t="str">
            <v>C3</v>
          </cell>
          <cell r="G1354" t="str">
            <v>CONCORD W/G</v>
          </cell>
          <cell r="H1354" t="str">
            <v>041101111673</v>
          </cell>
          <cell r="I1354" t="str">
            <v>K94J 70/71 722</v>
          </cell>
          <cell r="J1354" t="str">
            <v>R/F HINGE R/L</v>
          </cell>
          <cell r="K1354" t="str">
            <v>금형</v>
          </cell>
          <cell r="L1354" t="str">
            <v>TR</v>
          </cell>
          <cell r="M1354">
            <v>1</v>
          </cell>
          <cell r="N1354">
            <v>10844000</v>
          </cell>
          <cell r="Y1354" t="str">
            <v>주물</v>
          </cell>
          <cell r="Z1354">
            <v>1.43</v>
          </cell>
          <cell r="AA1354" t="str">
            <v>1020x480x620</v>
          </cell>
          <cell r="AB1354" t="str">
            <v>95</v>
          </cell>
          <cell r="AG1354" t="str">
            <v>서해공업㈜ 반　</v>
          </cell>
          <cell r="AI1354" t="str">
            <v>KMO 안산1공장</v>
          </cell>
        </row>
        <row r="1355">
          <cell r="A1355">
            <v>1068</v>
          </cell>
          <cell r="E1355" t="str">
            <v>기아모텍</v>
          </cell>
          <cell r="F1355" t="str">
            <v>C3</v>
          </cell>
          <cell r="G1355" t="str">
            <v>CONCORD W/G</v>
          </cell>
          <cell r="H1355" t="str">
            <v>041101111673</v>
          </cell>
          <cell r="I1355" t="str">
            <v>K94J 70/71 722</v>
          </cell>
          <cell r="J1355" t="str">
            <v>R/F HINGE R/L</v>
          </cell>
          <cell r="K1355" t="str">
            <v>금형</v>
          </cell>
          <cell r="L1355" t="str">
            <v>SEP/PI</v>
          </cell>
          <cell r="M1355">
            <v>1</v>
          </cell>
          <cell r="N1355">
            <v>12772000</v>
          </cell>
          <cell r="Y1355" t="str">
            <v>주물</v>
          </cell>
          <cell r="Z1355">
            <v>1.97</v>
          </cell>
          <cell r="AA1355" t="str">
            <v>1040x650x620</v>
          </cell>
          <cell r="AB1355" t="str">
            <v>95</v>
          </cell>
          <cell r="AG1355" t="str">
            <v>서해공업㈜ 반　</v>
          </cell>
          <cell r="AI1355" t="str">
            <v>KMO 안산1공장</v>
          </cell>
        </row>
        <row r="1356">
          <cell r="A1356">
            <v>1069</v>
          </cell>
          <cell r="E1356" t="str">
            <v>기아모텍</v>
          </cell>
          <cell r="F1356" t="str">
            <v>C3</v>
          </cell>
          <cell r="G1356" t="str">
            <v>CONCORD W/G</v>
          </cell>
          <cell r="H1356" t="str">
            <v>041101111673</v>
          </cell>
          <cell r="I1356" t="str">
            <v>K94J 70/71 722</v>
          </cell>
          <cell r="J1356" t="str">
            <v>R/F HINGE R/L</v>
          </cell>
          <cell r="K1356" t="str">
            <v>금형</v>
          </cell>
          <cell r="L1356" t="str">
            <v>DR</v>
          </cell>
          <cell r="M1356">
            <v>1</v>
          </cell>
          <cell r="N1356">
            <v>17716000</v>
          </cell>
          <cell r="Y1356" t="str">
            <v>주물</v>
          </cell>
          <cell r="Z1356">
            <v>2.19</v>
          </cell>
          <cell r="AA1356" t="str">
            <v>1040x720x620</v>
          </cell>
          <cell r="AB1356" t="str">
            <v>95</v>
          </cell>
          <cell r="AG1356" t="str">
            <v>서해공업㈜ 반　</v>
          </cell>
          <cell r="AI1356" t="str">
            <v>KMO 안산1공장</v>
          </cell>
        </row>
        <row r="1357">
          <cell r="A1357">
            <v>1070</v>
          </cell>
          <cell r="E1357" t="str">
            <v>기아모텍</v>
          </cell>
          <cell r="F1357" t="str">
            <v>C3</v>
          </cell>
          <cell r="G1357" t="str">
            <v>CONCORD W/G</v>
          </cell>
          <cell r="H1357" t="str">
            <v>041101127104</v>
          </cell>
          <cell r="I1357" t="str">
            <v>K94J 72/71 121</v>
          </cell>
          <cell r="J1357" t="str">
            <v>REINF SUSP HSG R/L</v>
          </cell>
          <cell r="K1357" t="str">
            <v>금형</v>
          </cell>
          <cell r="L1357" t="str">
            <v>금형</v>
          </cell>
          <cell r="M1357">
            <v>4</v>
          </cell>
          <cell r="N1357">
            <v>42000000</v>
          </cell>
          <cell r="Y1357" t="str">
            <v>주물</v>
          </cell>
          <cell r="AA1357" t="str">
            <v>xx</v>
          </cell>
          <cell r="AB1357" t="str">
            <v>96-9</v>
          </cell>
          <cell r="AG1357" t="str">
            <v>동풍금형</v>
          </cell>
          <cell r="AI1357" t="str">
            <v>KMO 안산1공장</v>
          </cell>
        </row>
        <row r="1358">
          <cell r="A1358">
            <v>1071</v>
          </cell>
          <cell r="E1358" t="str">
            <v>기아모텍</v>
          </cell>
          <cell r="F1358" t="str">
            <v>C</v>
          </cell>
          <cell r="G1358" t="str">
            <v>CONCORD MMO</v>
          </cell>
          <cell r="H1358" t="str">
            <v>041102010788</v>
          </cell>
          <cell r="I1358" t="str">
            <v>K964 52 310</v>
          </cell>
          <cell r="J1358" t="str">
            <v>BONNET (HEM)</v>
          </cell>
          <cell r="K1358" t="str">
            <v>금형</v>
          </cell>
          <cell r="L1358" t="str">
            <v>HEM</v>
          </cell>
          <cell r="M1358">
            <v>1</v>
          </cell>
          <cell r="N1358">
            <v>75189496</v>
          </cell>
          <cell r="Y1358" t="str">
            <v>주물</v>
          </cell>
          <cell r="AA1358" t="str">
            <v>xx</v>
          </cell>
          <cell r="AB1358" t="str">
            <v>90-12-31</v>
          </cell>
          <cell r="AG1358" t="str">
            <v>KIA</v>
          </cell>
          <cell r="AI1358" t="str">
            <v>KMO 안산2공장</v>
          </cell>
        </row>
        <row r="1359">
          <cell r="A1359">
            <v>1072</v>
          </cell>
          <cell r="E1359" t="str">
            <v>기아모텍</v>
          </cell>
          <cell r="F1359" t="str">
            <v>C</v>
          </cell>
          <cell r="G1359" t="str">
            <v>CONCORD MMO</v>
          </cell>
          <cell r="H1359" t="str">
            <v>041102010658</v>
          </cell>
          <cell r="I1359" t="str">
            <v>K964 52 311</v>
          </cell>
          <cell r="J1359" t="str">
            <v>BONNET-OUT</v>
          </cell>
          <cell r="K1359" t="str">
            <v>금형</v>
          </cell>
          <cell r="L1359" t="str">
            <v>DR 1/3</v>
          </cell>
          <cell r="M1359">
            <v>1</v>
          </cell>
          <cell r="N1359">
            <v>49655000</v>
          </cell>
          <cell r="Y1359" t="str">
            <v>주물</v>
          </cell>
          <cell r="Z1359">
            <v>22.165071600000001</v>
          </cell>
          <cell r="AA1359" t="str">
            <v>2450x1960x980</v>
          </cell>
          <cell r="AB1359" t="str">
            <v>90-12-31</v>
          </cell>
          <cell r="AG1359" t="str">
            <v>KIA</v>
          </cell>
          <cell r="AI1359" t="str">
            <v>KMO 안산2공장</v>
          </cell>
        </row>
        <row r="1360">
          <cell r="A1360">
            <v>1073</v>
          </cell>
          <cell r="E1360" t="str">
            <v>기아모텍</v>
          </cell>
          <cell r="F1360" t="str">
            <v>C</v>
          </cell>
          <cell r="G1360" t="str">
            <v>CONCORD MMO</v>
          </cell>
          <cell r="H1360" t="str">
            <v>041102010668</v>
          </cell>
          <cell r="I1360" t="str">
            <v>K964 52 311</v>
          </cell>
          <cell r="J1360" t="str">
            <v>BONNET-OUT</v>
          </cell>
          <cell r="K1360" t="str">
            <v>금형</v>
          </cell>
          <cell r="L1360" t="str">
            <v>TR/PIE 2/3</v>
          </cell>
          <cell r="M1360">
            <v>1</v>
          </cell>
          <cell r="N1360">
            <v>66573930</v>
          </cell>
          <cell r="Y1360" t="str">
            <v>주물</v>
          </cell>
          <cell r="Z1360">
            <v>19.19902446</v>
          </cell>
          <cell r="AA1360" t="str">
            <v>2380x1730x990</v>
          </cell>
          <cell r="AB1360" t="str">
            <v>90-12-31</v>
          </cell>
          <cell r="AG1360" t="str">
            <v>KIA</v>
          </cell>
          <cell r="AI1360" t="str">
            <v>KMO 안산2공장</v>
          </cell>
        </row>
        <row r="1361">
          <cell r="A1361">
            <v>1074</v>
          </cell>
          <cell r="E1361" t="str">
            <v>기아모텍</v>
          </cell>
          <cell r="F1361" t="str">
            <v>C</v>
          </cell>
          <cell r="G1361" t="str">
            <v>CONCORD MMO</v>
          </cell>
          <cell r="H1361" t="str">
            <v>041102010678</v>
          </cell>
          <cell r="I1361" t="str">
            <v>K964 52 311</v>
          </cell>
          <cell r="J1361" t="str">
            <v>BONNET-OUT</v>
          </cell>
          <cell r="K1361" t="str">
            <v>금형</v>
          </cell>
          <cell r="L1361" t="str">
            <v>FL C/PIE 3/3</v>
          </cell>
          <cell r="M1361">
            <v>1</v>
          </cell>
          <cell r="N1361">
            <v>103540209</v>
          </cell>
          <cell r="Y1361" t="str">
            <v>주물</v>
          </cell>
          <cell r="Z1361">
            <v>21.522344999999998</v>
          </cell>
          <cell r="AA1361" t="str">
            <v>2470x1850x1000</v>
          </cell>
          <cell r="AB1361" t="str">
            <v>90-12-31</v>
          </cell>
          <cell r="AG1361" t="str">
            <v>KIA</v>
          </cell>
          <cell r="AI1361" t="str">
            <v>KMO 안산2공장</v>
          </cell>
        </row>
        <row r="1362">
          <cell r="A1362">
            <v>1075</v>
          </cell>
          <cell r="E1362" t="str">
            <v>기아모텍</v>
          </cell>
          <cell r="F1362" t="str">
            <v>C</v>
          </cell>
          <cell r="G1362" t="str">
            <v>CONCORD MMO</v>
          </cell>
          <cell r="H1362" t="str">
            <v>041102010688</v>
          </cell>
          <cell r="I1362" t="str">
            <v>K964 52 321</v>
          </cell>
          <cell r="J1362" t="str">
            <v>BONNET-REINF</v>
          </cell>
          <cell r="K1362" t="str">
            <v>금형</v>
          </cell>
          <cell r="L1362" t="str">
            <v>DR 1/4</v>
          </cell>
          <cell r="M1362">
            <v>1</v>
          </cell>
          <cell r="N1362">
            <v>77673786</v>
          </cell>
          <cell r="Y1362" t="str">
            <v>주물</v>
          </cell>
          <cell r="Z1362">
            <v>20.70443466</v>
          </cell>
          <cell r="AA1362" t="str">
            <v>2490x1820x970</v>
          </cell>
          <cell r="AB1362" t="str">
            <v>90-12-31</v>
          </cell>
          <cell r="AG1362" t="str">
            <v>KIA</v>
          </cell>
          <cell r="AI1362" t="str">
            <v>KMO 안산2공장</v>
          </cell>
        </row>
        <row r="1363">
          <cell r="A1363">
            <v>1076</v>
          </cell>
          <cell r="E1363" t="str">
            <v>기아모텍</v>
          </cell>
          <cell r="F1363" t="str">
            <v>C</v>
          </cell>
          <cell r="G1363" t="str">
            <v>CONCORD MMO</v>
          </cell>
          <cell r="H1363" t="str">
            <v>041102010698</v>
          </cell>
          <cell r="I1363" t="str">
            <v>K964 52 321</v>
          </cell>
          <cell r="J1363" t="str">
            <v>BONNET-REINF</v>
          </cell>
          <cell r="K1363" t="str">
            <v>금형</v>
          </cell>
          <cell r="L1363" t="str">
            <v>TR/PIE 2/4</v>
          </cell>
          <cell r="M1363">
            <v>1</v>
          </cell>
          <cell r="N1363">
            <v>107500607</v>
          </cell>
          <cell r="Y1363" t="str">
            <v>주물</v>
          </cell>
          <cell r="Z1363">
            <v>19.937429999999999</v>
          </cell>
          <cell r="AA1363" t="str">
            <v>2490x1700x1000</v>
          </cell>
          <cell r="AB1363" t="str">
            <v>90-12-31</v>
          </cell>
          <cell r="AG1363" t="str">
            <v>KIA</v>
          </cell>
          <cell r="AI1363" t="str">
            <v>KMO 안산2공장</v>
          </cell>
        </row>
        <row r="1364">
          <cell r="A1364">
            <v>1077</v>
          </cell>
          <cell r="E1364" t="str">
            <v>기아모텍</v>
          </cell>
          <cell r="F1364" t="str">
            <v>C</v>
          </cell>
          <cell r="G1364" t="str">
            <v>CONCORD MMO</v>
          </cell>
          <cell r="H1364" t="str">
            <v>041102010708</v>
          </cell>
          <cell r="I1364" t="str">
            <v>K964 52 321</v>
          </cell>
          <cell r="J1364" t="str">
            <v>BONNET-REINF</v>
          </cell>
          <cell r="K1364" t="str">
            <v>금형</v>
          </cell>
          <cell r="L1364" t="str">
            <v>C/FL PIE 3/4</v>
          </cell>
          <cell r="M1364">
            <v>1</v>
          </cell>
          <cell r="N1364">
            <v>80953662</v>
          </cell>
          <cell r="Y1364" t="str">
            <v>주물</v>
          </cell>
          <cell r="Z1364">
            <v>23.832599999999999</v>
          </cell>
          <cell r="AA1364" t="str">
            <v>2500x1840x1100</v>
          </cell>
          <cell r="AB1364" t="str">
            <v>90-12-31</v>
          </cell>
          <cell r="AG1364" t="str">
            <v>KIA</v>
          </cell>
          <cell r="AI1364" t="str">
            <v>KMO 안산2공장</v>
          </cell>
        </row>
        <row r="1365">
          <cell r="A1365">
            <v>1078</v>
          </cell>
          <cell r="E1365" t="str">
            <v>기아모텍</v>
          </cell>
          <cell r="F1365" t="str">
            <v>C</v>
          </cell>
          <cell r="G1365" t="str">
            <v>CONCORD MMO</v>
          </cell>
          <cell r="H1365" t="str">
            <v>041102010718</v>
          </cell>
          <cell r="I1365" t="str">
            <v>K964 52 321</v>
          </cell>
          <cell r="J1365" t="str">
            <v>BONNET-REINF</v>
          </cell>
          <cell r="K1365" t="str">
            <v>금형</v>
          </cell>
          <cell r="L1365" t="str">
            <v>RE/PIE 4/4</v>
          </cell>
          <cell r="M1365">
            <v>1</v>
          </cell>
          <cell r="N1365">
            <v>71286081</v>
          </cell>
          <cell r="Y1365" t="str">
            <v>주물</v>
          </cell>
          <cell r="Z1365">
            <v>19.964431487999999</v>
          </cell>
          <cell r="AA1365" t="str">
            <v>2320x1520x1202</v>
          </cell>
          <cell r="AB1365" t="str">
            <v>90-12-31</v>
          </cell>
          <cell r="AG1365" t="str">
            <v>KIA</v>
          </cell>
          <cell r="AI1365" t="str">
            <v>KMO 안산2공장</v>
          </cell>
        </row>
        <row r="1366">
          <cell r="A1366">
            <v>1079</v>
          </cell>
          <cell r="E1366" t="str">
            <v>기아모텍</v>
          </cell>
          <cell r="F1366" t="str">
            <v>B</v>
          </cell>
          <cell r="G1366" t="str">
            <v>CONCORD MMO</v>
          </cell>
          <cell r="H1366" t="str">
            <v>044101015416</v>
          </cell>
          <cell r="I1366" t="str">
            <v>K964 52 321</v>
          </cell>
          <cell r="J1366" t="str">
            <v>BONNET REINF PANEL</v>
          </cell>
          <cell r="K1366" t="str">
            <v>검사구</v>
          </cell>
          <cell r="M1366">
            <v>1</v>
          </cell>
          <cell r="N1366">
            <v>15500000</v>
          </cell>
          <cell r="Y1366" t="str">
            <v>수지</v>
          </cell>
          <cell r="Z1366">
            <v>0</v>
          </cell>
          <cell r="AA1366" t="str">
            <v>xx</v>
          </cell>
          <cell r="AB1366" t="str">
            <v>90-09-30</v>
          </cell>
          <cell r="AG1366" t="str">
            <v>효진기기</v>
          </cell>
          <cell r="AI1366" t="str">
            <v>KMO 안산2공장</v>
          </cell>
        </row>
        <row r="1367">
          <cell r="A1367">
            <v>1080</v>
          </cell>
          <cell r="E1367" t="str">
            <v>기아모텍</v>
          </cell>
          <cell r="F1367" t="str">
            <v>A</v>
          </cell>
          <cell r="G1367" t="str">
            <v>CONCORD MMO</v>
          </cell>
          <cell r="H1367" t="str">
            <v>041102017491</v>
          </cell>
          <cell r="I1367" t="str">
            <v>K964 52 323/090</v>
          </cell>
          <cell r="J1367" t="str">
            <v>STIFF. BON. NO.4 R/L</v>
          </cell>
          <cell r="K1367" t="str">
            <v>금형</v>
          </cell>
          <cell r="M1367">
            <v>5</v>
          </cell>
          <cell r="N1367">
            <v>556400</v>
          </cell>
          <cell r="AA1367" t="str">
            <v>xx</v>
          </cell>
          <cell r="AK1367" t="str">
            <v>당사품이 아님</v>
          </cell>
        </row>
        <row r="1368">
          <cell r="A1368">
            <v>1081</v>
          </cell>
          <cell r="E1368" t="str">
            <v>기아모텍</v>
          </cell>
          <cell r="F1368" t="str">
            <v>B</v>
          </cell>
          <cell r="G1368" t="str">
            <v>CONCORD MMO</v>
          </cell>
          <cell r="H1368" t="str">
            <v>044101015646</v>
          </cell>
          <cell r="I1368" t="str">
            <v>K964 52 323/324</v>
          </cell>
          <cell r="J1368" t="str">
            <v>STIFF BONNET NO.4</v>
          </cell>
          <cell r="K1368" t="str">
            <v>검사구</v>
          </cell>
          <cell r="M1368">
            <v>1</v>
          </cell>
          <cell r="N1368">
            <v>650000</v>
          </cell>
          <cell r="AA1368" t="str">
            <v>xx</v>
          </cell>
          <cell r="AB1368" t="str">
            <v>90-12-31</v>
          </cell>
          <cell r="AG1368" t="str">
            <v>학림모델</v>
          </cell>
          <cell r="AK1368" t="str">
            <v>당사품이 아님</v>
          </cell>
        </row>
        <row r="1369">
          <cell r="A1369">
            <v>1082</v>
          </cell>
          <cell r="E1369" t="str">
            <v>기아모텍</v>
          </cell>
          <cell r="F1369" t="str">
            <v>B</v>
          </cell>
          <cell r="G1369" t="str">
            <v>CONCORD MMO</v>
          </cell>
          <cell r="H1369" t="str">
            <v>044101015616</v>
          </cell>
          <cell r="I1369" t="str">
            <v>K964 52 325/326</v>
          </cell>
          <cell r="J1369" t="str">
            <v>STIFF BONNET NO.1</v>
          </cell>
          <cell r="K1369" t="str">
            <v>검사구</v>
          </cell>
          <cell r="M1369">
            <v>1</v>
          </cell>
          <cell r="N1369">
            <v>1100000</v>
          </cell>
          <cell r="Y1369" t="str">
            <v>수지</v>
          </cell>
          <cell r="Z1369">
            <v>2.8260000000000004E-2</v>
          </cell>
          <cell r="AA1369" t="str">
            <v>360x250x200</v>
          </cell>
          <cell r="AB1369" t="str">
            <v>90-12-31</v>
          </cell>
          <cell r="AG1369" t="str">
            <v>학림모델</v>
          </cell>
          <cell r="AI1369" t="str">
            <v>한우정공</v>
          </cell>
        </row>
        <row r="1370">
          <cell r="A1370">
            <v>1083</v>
          </cell>
          <cell r="E1370" t="str">
            <v>기아모텍</v>
          </cell>
          <cell r="F1370" t="str">
            <v>A</v>
          </cell>
          <cell r="G1370" t="str">
            <v>CONCORD MMO</v>
          </cell>
          <cell r="H1370" t="str">
            <v>041102017501</v>
          </cell>
          <cell r="I1370" t="str">
            <v>K964 52 325/326</v>
          </cell>
          <cell r="J1370" t="str">
            <v>STIFF. BON. NO.1 R/L</v>
          </cell>
          <cell r="K1370" t="str">
            <v>금형</v>
          </cell>
          <cell r="M1370">
            <v>6</v>
          </cell>
          <cell r="N1370">
            <v>1958300</v>
          </cell>
          <cell r="AA1370" t="str">
            <v>xx</v>
          </cell>
          <cell r="AI1370" t="str">
            <v>한우정공</v>
          </cell>
        </row>
        <row r="1371">
          <cell r="A1371">
            <v>1083.0999755859375</v>
          </cell>
          <cell r="E1371" t="str">
            <v>기아모텍</v>
          </cell>
          <cell r="F1371" t="str">
            <v>A</v>
          </cell>
          <cell r="G1371" t="str">
            <v>CONCORD MMO</v>
          </cell>
          <cell r="H1371" t="str">
            <v>041102017501</v>
          </cell>
          <cell r="I1371" t="str">
            <v>K964 52 325/326</v>
          </cell>
          <cell r="J1371" t="str">
            <v>STIFF. BON. NO.1 R/L</v>
          </cell>
          <cell r="K1371" t="str">
            <v>금형</v>
          </cell>
          <cell r="M1371">
            <v>1</v>
          </cell>
          <cell r="Y1371" t="str">
            <v>STEEL</v>
          </cell>
          <cell r="Z1371">
            <v>0.23102078999999998</v>
          </cell>
          <cell r="AA1371" t="str">
            <v>490x385x260</v>
          </cell>
          <cell r="AI1371" t="str">
            <v>한우정공</v>
          </cell>
        </row>
        <row r="1372">
          <cell r="A1372">
            <v>1083.199951171875</v>
          </cell>
          <cell r="E1372" t="str">
            <v>기아모텍</v>
          </cell>
          <cell r="F1372" t="str">
            <v>A</v>
          </cell>
          <cell r="G1372" t="str">
            <v>CONCORD MMO</v>
          </cell>
          <cell r="H1372" t="str">
            <v>041102017501</v>
          </cell>
          <cell r="I1372" t="str">
            <v>K964 52 325/326</v>
          </cell>
          <cell r="J1372" t="str">
            <v>STIFF. BON. NO.1 R/L</v>
          </cell>
          <cell r="K1372" t="str">
            <v>금형</v>
          </cell>
          <cell r="M1372">
            <v>1</v>
          </cell>
          <cell r="Y1372" t="str">
            <v>STEEL</v>
          </cell>
          <cell r="Z1372">
            <v>0.23102078999999998</v>
          </cell>
          <cell r="AA1372" t="str">
            <v>490x385x260</v>
          </cell>
          <cell r="AI1372" t="str">
            <v>한우정공</v>
          </cell>
        </row>
        <row r="1373">
          <cell r="A1373">
            <v>1083.300048828125</v>
          </cell>
          <cell r="E1373" t="str">
            <v>기아모텍</v>
          </cell>
          <cell r="F1373" t="str">
            <v>A</v>
          </cell>
          <cell r="G1373" t="str">
            <v>CONCORD MMO</v>
          </cell>
          <cell r="H1373" t="str">
            <v>041102017501</v>
          </cell>
          <cell r="I1373" t="str">
            <v>K964 52 325/326</v>
          </cell>
          <cell r="J1373" t="str">
            <v>STIFF. BON. NO.1 R/L</v>
          </cell>
          <cell r="K1373" t="str">
            <v>금형</v>
          </cell>
          <cell r="M1373">
            <v>1</v>
          </cell>
          <cell r="Y1373" t="str">
            <v>STEEL</v>
          </cell>
          <cell r="Z1373">
            <v>0.23102078999999998</v>
          </cell>
          <cell r="AA1373" t="str">
            <v>490x385x260</v>
          </cell>
          <cell r="AI1373" t="str">
            <v>한우정공</v>
          </cell>
        </row>
        <row r="1374">
          <cell r="A1374">
            <v>1083.4000244140625</v>
          </cell>
          <cell r="E1374" t="str">
            <v>기아모텍</v>
          </cell>
          <cell r="F1374" t="str">
            <v>A</v>
          </cell>
          <cell r="G1374" t="str">
            <v>CONCORD MMO</v>
          </cell>
          <cell r="H1374" t="str">
            <v>041102017501</v>
          </cell>
          <cell r="I1374" t="str">
            <v>K964 52 325/326</v>
          </cell>
          <cell r="J1374" t="str">
            <v>STIFF. BON. NO.1 R/L</v>
          </cell>
          <cell r="K1374" t="str">
            <v>금형</v>
          </cell>
          <cell r="M1374">
            <v>1</v>
          </cell>
          <cell r="Y1374" t="str">
            <v>STEEL</v>
          </cell>
          <cell r="Z1374">
            <v>0.23102078999999998</v>
          </cell>
          <cell r="AA1374" t="str">
            <v>490x385x260</v>
          </cell>
          <cell r="AI1374" t="str">
            <v>한우정공</v>
          </cell>
        </row>
        <row r="1375">
          <cell r="A1375">
            <v>1083.5</v>
          </cell>
          <cell r="E1375" t="str">
            <v>기아모텍</v>
          </cell>
          <cell r="F1375" t="str">
            <v>A</v>
          </cell>
          <cell r="G1375" t="str">
            <v>CONCORD MMO</v>
          </cell>
          <cell r="H1375" t="str">
            <v>041102017501</v>
          </cell>
          <cell r="I1375" t="str">
            <v>K964 52 325/326</v>
          </cell>
          <cell r="J1375" t="str">
            <v>STIFF. BON. NO.1 R/L</v>
          </cell>
          <cell r="K1375" t="str">
            <v>금형</v>
          </cell>
          <cell r="M1375">
            <v>1</v>
          </cell>
          <cell r="Y1375" t="str">
            <v>STEEL</v>
          </cell>
          <cell r="Z1375">
            <v>0.23102078999999998</v>
          </cell>
          <cell r="AA1375" t="str">
            <v>490x385x260</v>
          </cell>
          <cell r="AI1375" t="str">
            <v>한우정공</v>
          </cell>
        </row>
        <row r="1376">
          <cell r="A1376">
            <v>1083.5999755859375</v>
          </cell>
          <cell r="E1376" t="str">
            <v>기아모텍</v>
          </cell>
          <cell r="F1376" t="str">
            <v>A</v>
          </cell>
          <cell r="G1376" t="str">
            <v>CONCORD MMO</v>
          </cell>
          <cell r="H1376" t="str">
            <v>041102017501</v>
          </cell>
          <cell r="I1376" t="str">
            <v>K964 52 325/326</v>
          </cell>
          <cell r="J1376" t="str">
            <v>STIFF. BON. NO.1 R/L</v>
          </cell>
          <cell r="K1376" t="str">
            <v>금형</v>
          </cell>
          <cell r="M1376">
            <v>1</v>
          </cell>
          <cell r="Y1376" t="str">
            <v>STEEL</v>
          </cell>
          <cell r="Z1376">
            <v>0.23102078999999998</v>
          </cell>
          <cell r="AA1376" t="str">
            <v>490x385x260</v>
          </cell>
          <cell r="AI1376" t="str">
            <v>한우정공</v>
          </cell>
        </row>
        <row r="1377">
          <cell r="A1377">
            <v>1084</v>
          </cell>
          <cell r="E1377" t="str">
            <v>기아모텍</v>
          </cell>
          <cell r="F1377" t="str">
            <v>B</v>
          </cell>
          <cell r="G1377" t="str">
            <v>CONCORD MMO</v>
          </cell>
          <cell r="H1377" t="str">
            <v>044101015636</v>
          </cell>
          <cell r="I1377" t="str">
            <v>K964 52 327</v>
          </cell>
          <cell r="J1377" t="str">
            <v>STIFF BONNET NO.3</v>
          </cell>
          <cell r="K1377" t="str">
            <v>검사구</v>
          </cell>
          <cell r="M1377">
            <v>1</v>
          </cell>
          <cell r="N1377">
            <v>320000</v>
          </cell>
          <cell r="Y1377" t="str">
            <v>수지</v>
          </cell>
          <cell r="Z1377">
            <v>2.2608000000000003E-2</v>
          </cell>
          <cell r="AA1377" t="str">
            <v>320x300x150</v>
          </cell>
          <cell r="AB1377" t="str">
            <v>90-12-31</v>
          </cell>
          <cell r="AG1377" t="str">
            <v>학림모델</v>
          </cell>
          <cell r="AI1377" t="str">
            <v>풍원산업</v>
          </cell>
        </row>
        <row r="1378">
          <cell r="A1378">
            <v>1085</v>
          </cell>
          <cell r="E1378" t="str">
            <v>기아모텍</v>
          </cell>
          <cell r="F1378" t="str">
            <v>B</v>
          </cell>
          <cell r="G1378" t="str">
            <v>CONCORD MMO</v>
          </cell>
          <cell r="H1378" t="str">
            <v>044101015626</v>
          </cell>
          <cell r="I1378" t="str">
            <v>K964 52 328/329</v>
          </cell>
          <cell r="J1378" t="str">
            <v>STIFF BONNET NO.2</v>
          </cell>
          <cell r="K1378" t="str">
            <v>검사구</v>
          </cell>
          <cell r="M1378">
            <v>1</v>
          </cell>
          <cell r="N1378">
            <v>700000</v>
          </cell>
          <cell r="Y1378" t="str">
            <v>수지</v>
          </cell>
          <cell r="Z1378">
            <v>2.2608000000000003E-2</v>
          </cell>
          <cell r="AA1378" t="str">
            <v>320x300x150</v>
          </cell>
          <cell r="AB1378" t="str">
            <v>90-12-31</v>
          </cell>
          <cell r="AG1378" t="str">
            <v>학림모델</v>
          </cell>
          <cell r="AI1378" t="str">
            <v>풍원산업</v>
          </cell>
        </row>
        <row r="1379">
          <cell r="A1379">
            <v>1086</v>
          </cell>
          <cell r="E1379" t="str">
            <v>기아모텍</v>
          </cell>
          <cell r="F1379" t="str">
            <v>A</v>
          </cell>
          <cell r="G1379" t="str">
            <v>CONCORD MMO</v>
          </cell>
          <cell r="H1379" t="str">
            <v>041102017511</v>
          </cell>
          <cell r="I1379" t="str">
            <v>K964 52 328/329</v>
          </cell>
          <cell r="J1379" t="str">
            <v>STIFF. BON. NO.2 R/L</v>
          </cell>
          <cell r="K1379" t="str">
            <v>금형</v>
          </cell>
          <cell r="M1379">
            <v>5</v>
          </cell>
          <cell r="N1379">
            <v>1347200</v>
          </cell>
          <cell r="Y1379" t="str">
            <v>STEEL</v>
          </cell>
          <cell r="AA1379" t="str">
            <v>xx</v>
          </cell>
          <cell r="AI1379" t="str">
            <v>풍원산업</v>
          </cell>
        </row>
        <row r="1380">
          <cell r="A1380">
            <v>1086.0999755859375</v>
          </cell>
          <cell r="E1380" t="str">
            <v>기아모텍</v>
          </cell>
          <cell r="F1380" t="str">
            <v>A</v>
          </cell>
          <cell r="G1380" t="str">
            <v>CONCORD MMO</v>
          </cell>
          <cell r="H1380" t="str">
            <v>041102017511</v>
          </cell>
          <cell r="I1380" t="str">
            <v>K964 52 328/329</v>
          </cell>
          <cell r="J1380" t="str">
            <v>STIFF. BON. NO.2 R/L</v>
          </cell>
          <cell r="K1380" t="str">
            <v>금형</v>
          </cell>
          <cell r="L1380" t="str">
            <v>BL</v>
          </cell>
          <cell r="M1380">
            <v>1</v>
          </cell>
          <cell r="Y1380" t="str">
            <v>STEEL</v>
          </cell>
          <cell r="Z1380">
            <v>0.10950749999999999</v>
          </cell>
          <cell r="AA1380" t="str">
            <v>310x300x250</v>
          </cell>
          <cell r="AI1380" t="str">
            <v>풍원산업</v>
          </cell>
        </row>
        <row r="1381">
          <cell r="A1381">
            <v>1086.199951171875</v>
          </cell>
          <cell r="E1381" t="str">
            <v>기아모텍</v>
          </cell>
          <cell r="F1381" t="str">
            <v>A</v>
          </cell>
          <cell r="G1381" t="str">
            <v>CONCORD MMO</v>
          </cell>
          <cell r="H1381" t="str">
            <v>041102017511</v>
          </cell>
          <cell r="I1381" t="str">
            <v>K964 52 328/329</v>
          </cell>
          <cell r="J1381" t="str">
            <v>STIFF. BON. NO.2 R/L</v>
          </cell>
          <cell r="K1381" t="str">
            <v>금형</v>
          </cell>
          <cell r="L1381" t="str">
            <v>FO</v>
          </cell>
          <cell r="M1381">
            <v>1</v>
          </cell>
          <cell r="Y1381" t="str">
            <v>STEEL</v>
          </cell>
          <cell r="Z1381">
            <v>0.10950749999999999</v>
          </cell>
          <cell r="AA1381" t="str">
            <v>310x300x250</v>
          </cell>
          <cell r="AI1381" t="str">
            <v>풍원산업</v>
          </cell>
        </row>
        <row r="1382">
          <cell r="A1382">
            <v>1086.300048828125</v>
          </cell>
          <cell r="E1382" t="str">
            <v>기아모텍</v>
          </cell>
          <cell r="F1382" t="str">
            <v>A</v>
          </cell>
          <cell r="G1382" t="str">
            <v>CONCORD MMO</v>
          </cell>
          <cell r="H1382" t="str">
            <v>041102017511</v>
          </cell>
          <cell r="I1382" t="str">
            <v>K964 52 328/329</v>
          </cell>
          <cell r="J1382" t="str">
            <v>STIFF. BON. NO.2 R/L</v>
          </cell>
          <cell r="K1382" t="str">
            <v>금형</v>
          </cell>
          <cell r="L1382" t="str">
            <v>BE</v>
          </cell>
          <cell r="M1382">
            <v>1</v>
          </cell>
          <cell r="Y1382" t="str">
            <v>STEEL</v>
          </cell>
          <cell r="Z1382">
            <v>0.10950749999999999</v>
          </cell>
          <cell r="AA1382" t="str">
            <v>310x300x250</v>
          </cell>
          <cell r="AI1382" t="str">
            <v>풍원산업</v>
          </cell>
        </row>
        <row r="1383">
          <cell r="A1383">
            <v>1086.4000244140625</v>
          </cell>
          <cell r="E1383" t="str">
            <v>기아모텍</v>
          </cell>
          <cell r="F1383" t="str">
            <v>A</v>
          </cell>
          <cell r="G1383" t="str">
            <v>CONCORD MMO</v>
          </cell>
          <cell r="H1383" t="str">
            <v>041102017511</v>
          </cell>
          <cell r="I1383" t="str">
            <v>K964 52 328/329</v>
          </cell>
          <cell r="J1383" t="str">
            <v>STIFF. BON. NO.2 R/L</v>
          </cell>
          <cell r="K1383" t="str">
            <v>금형</v>
          </cell>
          <cell r="L1383" t="str">
            <v>FO</v>
          </cell>
          <cell r="M1383">
            <v>1</v>
          </cell>
          <cell r="Y1383" t="str">
            <v>STEEL</v>
          </cell>
          <cell r="Z1383">
            <v>0.10950749999999999</v>
          </cell>
          <cell r="AA1383" t="str">
            <v>310x300x250</v>
          </cell>
          <cell r="AI1383" t="str">
            <v>풍원산업</v>
          </cell>
        </row>
        <row r="1384">
          <cell r="A1384">
            <v>1086.5</v>
          </cell>
          <cell r="E1384" t="str">
            <v>기아모텍</v>
          </cell>
          <cell r="F1384" t="str">
            <v>A</v>
          </cell>
          <cell r="G1384" t="str">
            <v>CONCORD MMO</v>
          </cell>
          <cell r="H1384" t="str">
            <v>041102017511</v>
          </cell>
          <cell r="I1384" t="str">
            <v>K964 52 328/329</v>
          </cell>
          <cell r="J1384" t="str">
            <v>STIFF. BON. NO.2 R/L</v>
          </cell>
          <cell r="K1384" t="str">
            <v>금형</v>
          </cell>
          <cell r="L1384" t="str">
            <v>BE</v>
          </cell>
          <cell r="M1384">
            <v>1</v>
          </cell>
          <cell r="Y1384" t="str">
            <v>STEEL</v>
          </cell>
          <cell r="Z1384">
            <v>0.10950749999999999</v>
          </cell>
          <cell r="AA1384" t="str">
            <v>310x300x250</v>
          </cell>
          <cell r="AI1384" t="str">
            <v>풍원산업</v>
          </cell>
        </row>
        <row r="1385">
          <cell r="A1385">
            <v>1087</v>
          </cell>
          <cell r="E1385" t="str">
            <v>기아모텍</v>
          </cell>
          <cell r="F1385" t="str">
            <v>B</v>
          </cell>
          <cell r="G1385" t="str">
            <v>CONCORD MMO</v>
          </cell>
          <cell r="H1385" t="str">
            <v>044101015686</v>
          </cell>
          <cell r="I1385" t="str">
            <v>K964 52 331/341</v>
          </cell>
          <cell r="J1385" t="str">
            <v>HINGE REINF R/L</v>
          </cell>
          <cell r="K1385" t="str">
            <v>검사구</v>
          </cell>
          <cell r="M1385">
            <v>1</v>
          </cell>
          <cell r="N1385">
            <v>1500000</v>
          </cell>
          <cell r="Y1385" t="str">
            <v>수지</v>
          </cell>
          <cell r="Z1385">
            <v>8.7599720000000006E-2</v>
          </cell>
          <cell r="AA1385" t="str">
            <v>520x370x290</v>
          </cell>
          <cell r="AB1385" t="str">
            <v>90-12-31</v>
          </cell>
          <cell r="AG1385" t="str">
            <v>학림모델</v>
          </cell>
          <cell r="AI1385" t="str">
            <v>한우정공</v>
          </cell>
        </row>
        <row r="1386">
          <cell r="A1386">
            <v>1088</v>
          </cell>
          <cell r="E1386" t="str">
            <v>기아모텍</v>
          </cell>
          <cell r="F1386" t="str">
            <v>A</v>
          </cell>
          <cell r="G1386" t="str">
            <v>CONCORD MMO</v>
          </cell>
          <cell r="H1386" t="str">
            <v>041102017521</v>
          </cell>
          <cell r="I1386" t="str">
            <v>K964 52 331/341</v>
          </cell>
          <cell r="J1386" t="str">
            <v>REINF HINGE R/L</v>
          </cell>
          <cell r="K1386" t="str">
            <v>금형</v>
          </cell>
          <cell r="M1386">
            <v>3</v>
          </cell>
          <cell r="N1386">
            <v>2855500</v>
          </cell>
          <cell r="AA1386" t="str">
            <v>xx</v>
          </cell>
          <cell r="AI1386" t="str">
            <v>한우정공</v>
          </cell>
        </row>
        <row r="1387">
          <cell r="A1387">
            <v>1088.0999755859375</v>
          </cell>
          <cell r="E1387" t="str">
            <v>기아모텍</v>
          </cell>
          <cell r="F1387" t="str">
            <v>A</v>
          </cell>
          <cell r="G1387" t="str">
            <v>CONCORD MMO</v>
          </cell>
          <cell r="H1387" t="str">
            <v>041102017521</v>
          </cell>
          <cell r="I1387" t="str">
            <v>K964 52 331/341</v>
          </cell>
          <cell r="J1387" t="str">
            <v>REINF HINGE R/L</v>
          </cell>
          <cell r="K1387" t="str">
            <v>금형</v>
          </cell>
          <cell r="M1387">
            <v>1</v>
          </cell>
          <cell r="Y1387" t="str">
            <v>STEEL</v>
          </cell>
          <cell r="Z1387">
            <v>0.73016775</v>
          </cell>
          <cell r="AA1387" t="str">
            <v>650x450x530</v>
          </cell>
          <cell r="AI1387" t="str">
            <v>한우정공</v>
          </cell>
        </row>
        <row r="1388">
          <cell r="A1388">
            <v>1088.199951171875</v>
          </cell>
          <cell r="E1388" t="str">
            <v>기아모텍</v>
          </cell>
          <cell r="F1388" t="str">
            <v>A</v>
          </cell>
          <cell r="G1388" t="str">
            <v>CONCORD MMO</v>
          </cell>
          <cell r="H1388" t="str">
            <v>041102017521</v>
          </cell>
          <cell r="I1388" t="str">
            <v>K964 52 331/341</v>
          </cell>
          <cell r="J1388" t="str">
            <v>REINF HINGE R/L</v>
          </cell>
          <cell r="K1388" t="str">
            <v>금형</v>
          </cell>
          <cell r="M1388">
            <v>1</v>
          </cell>
          <cell r="Y1388" t="str">
            <v>STEEL</v>
          </cell>
          <cell r="Z1388">
            <v>0.73016775</v>
          </cell>
          <cell r="AA1388" t="str">
            <v>650x450x530</v>
          </cell>
          <cell r="AI1388" t="str">
            <v>한우정공</v>
          </cell>
        </row>
        <row r="1389">
          <cell r="A1389">
            <v>1088.300048828125</v>
          </cell>
          <cell r="E1389" t="str">
            <v>기아모텍</v>
          </cell>
          <cell r="F1389" t="str">
            <v>A</v>
          </cell>
          <cell r="G1389" t="str">
            <v>CONCORD MMO</v>
          </cell>
          <cell r="H1389" t="str">
            <v>041102017521</v>
          </cell>
          <cell r="I1389" t="str">
            <v>K964 52 331/341</v>
          </cell>
          <cell r="J1389" t="str">
            <v>REINF HINGE R/L</v>
          </cell>
          <cell r="K1389" t="str">
            <v>금형</v>
          </cell>
          <cell r="M1389">
            <v>1</v>
          </cell>
          <cell r="Y1389" t="str">
            <v>STEEL</v>
          </cell>
          <cell r="Z1389">
            <v>0.73016775</v>
          </cell>
          <cell r="AA1389" t="str">
            <v>650x450x530</v>
          </cell>
          <cell r="AI1389" t="str">
            <v>한우정공</v>
          </cell>
        </row>
        <row r="1390">
          <cell r="A1390">
            <v>1089</v>
          </cell>
          <cell r="E1390" t="str">
            <v>기아모텍</v>
          </cell>
          <cell r="F1390" t="str">
            <v>C</v>
          </cell>
          <cell r="G1390" t="str">
            <v>CONCORD MMO</v>
          </cell>
          <cell r="H1390" t="str">
            <v>044101015696</v>
          </cell>
          <cell r="I1390" t="str">
            <v>K964 52 351</v>
          </cell>
          <cell r="J1390" t="str">
            <v>STRIKER ASSY</v>
          </cell>
          <cell r="K1390" t="str">
            <v>검사구</v>
          </cell>
          <cell r="M1390">
            <v>1</v>
          </cell>
          <cell r="N1390">
            <v>400000</v>
          </cell>
          <cell r="Y1390" t="str">
            <v>수지</v>
          </cell>
          <cell r="Z1390">
            <v>4.45095E-2</v>
          </cell>
          <cell r="AA1390" t="str">
            <v>350x300x270</v>
          </cell>
          <cell r="AB1390" t="str">
            <v>90-12-31</v>
          </cell>
          <cell r="AG1390" t="str">
            <v>학림모델</v>
          </cell>
          <cell r="AI1390" t="str">
            <v>한우정공</v>
          </cell>
        </row>
        <row r="1391">
          <cell r="A1391">
            <v>1090</v>
          </cell>
          <cell r="E1391" t="str">
            <v>기아모텍</v>
          </cell>
          <cell r="F1391" t="str">
            <v>A</v>
          </cell>
          <cell r="G1391" t="str">
            <v>CREDOS</v>
          </cell>
          <cell r="H1391" t="str">
            <v>044101015692</v>
          </cell>
          <cell r="I1391" t="str">
            <v>K9A0 50 070</v>
          </cell>
          <cell r="J1391" t="str">
            <v>F.BUMPER REINF외 8ITEM</v>
          </cell>
          <cell r="K1391" t="str">
            <v>치구</v>
          </cell>
          <cell r="M1391">
            <v>1</v>
          </cell>
          <cell r="N1391">
            <v>12990000</v>
          </cell>
          <cell r="AA1391" t="str">
            <v>xx</v>
          </cell>
          <cell r="AK1391" t="str">
            <v>당사품이 아님</v>
          </cell>
        </row>
        <row r="1392">
          <cell r="A1392">
            <v>1091</v>
          </cell>
          <cell r="E1392" t="str">
            <v>기아모텍</v>
          </cell>
          <cell r="F1392" t="str">
            <v>A</v>
          </cell>
          <cell r="G1392" t="str">
            <v>CREDOS</v>
          </cell>
          <cell r="H1392" t="str">
            <v>044101015682</v>
          </cell>
          <cell r="I1392" t="str">
            <v>K9A0 50 640/650</v>
          </cell>
          <cell r="J1392" t="str">
            <v>Frt BELT LINE MLDG외 8ITEM</v>
          </cell>
          <cell r="K1392" t="str">
            <v>치구</v>
          </cell>
          <cell r="M1392">
            <v>1</v>
          </cell>
          <cell r="N1392">
            <v>7910000</v>
          </cell>
          <cell r="AA1392" t="str">
            <v>xx</v>
          </cell>
          <cell r="AK1392" t="str">
            <v>당사품이 아님</v>
          </cell>
        </row>
        <row r="1393">
          <cell r="A1393">
            <v>1092</v>
          </cell>
          <cell r="E1393" t="str">
            <v>기아모텍</v>
          </cell>
          <cell r="F1393" t="str">
            <v>A</v>
          </cell>
          <cell r="G1393" t="str">
            <v>CERES MMO</v>
          </cell>
          <cell r="H1393" t="str">
            <v>041101113124</v>
          </cell>
          <cell r="I1393" t="str">
            <v>KW50 70 621</v>
          </cell>
          <cell r="J1393" t="str">
            <v>CROSS M/B FRT A</v>
          </cell>
          <cell r="K1393" t="str">
            <v>금형</v>
          </cell>
          <cell r="L1393" t="str">
            <v>PI</v>
          </cell>
          <cell r="M1393">
            <v>1</v>
          </cell>
          <cell r="N1393">
            <v>11806000</v>
          </cell>
          <cell r="Y1393" t="str">
            <v>주물</v>
          </cell>
          <cell r="Z1393">
            <v>3.99</v>
          </cell>
          <cell r="AA1393" t="str">
            <v>1840x640x720</v>
          </cell>
          <cell r="AB1393" t="str">
            <v>96-4</v>
          </cell>
          <cell r="AG1393" t="str">
            <v>태진정밀</v>
          </cell>
          <cell r="AI1393" t="str">
            <v>대륭강업</v>
          </cell>
        </row>
        <row r="1394">
          <cell r="A1394">
            <v>1093</v>
          </cell>
          <cell r="E1394" t="str">
            <v>기아모텍</v>
          </cell>
          <cell r="F1394" t="str">
            <v>A</v>
          </cell>
          <cell r="G1394" t="str">
            <v>CERES MMO</v>
          </cell>
          <cell r="H1394" t="str">
            <v>041101113284</v>
          </cell>
          <cell r="I1394" t="str">
            <v>KW50 70 82X</v>
          </cell>
          <cell r="J1394" t="str">
            <v>B/K</v>
          </cell>
          <cell r="K1394" t="str">
            <v>금형</v>
          </cell>
          <cell r="L1394" t="str">
            <v>BE</v>
          </cell>
          <cell r="M1394">
            <v>1</v>
          </cell>
          <cell r="N1394">
            <v>1134000</v>
          </cell>
          <cell r="Y1394" t="str">
            <v>STEEL</v>
          </cell>
          <cell r="Z1394">
            <v>0.11</v>
          </cell>
          <cell r="AA1394" t="str">
            <v>400x300x200</v>
          </cell>
          <cell r="AB1394" t="str">
            <v>96-4</v>
          </cell>
          <cell r="AG1394" t="str">
            <v>금성공업</v>
          </cell>
          <cell r="AI1394" t="str">
            <v>대륭강업</v>
          </cell>
        </row>
        <row r="1395">
          <cell r="A1395">
            <v>1094</v>
          </cell>
          <cell r="E1395" t="str">
            <v>기아모텍</v>
          </cell>
          <cell r="F1395" t="str">
            <v>A</v>
          </cell>
          <cell r="G1395" t="str">
            <v>CERES MMO</v>
          </cell>
          <cell r="H1395" t="str">
            <v>041101113284</v>
          </cell>
          <cell r="I1395" t="str">
            <v>KW50 70 82X</v>
          </cell>
          <cell r="J1395" t="str">
            <v>B/K</v>
          </cell>
          <cell r="K1395" t="str">
            <v>금형</v>
          </cell>
          <cell r="L1395" t="str">
            <v>BL</v>
          </cell>
          <cell r="M1395">
            <v>1</v>
          </cell>
          <cell r="N1395">
            <v>1474000</v>
          </cell>
          <cell r="Y1395" t="str">
            <v>STEEL</v>
          </cell>
          <cell r="Z1395">
            <v>0.12</v>
          </cell>
          <cell r="AA1395" t="str">
            <v>350x350x200</v>
          </cell>
          <cell r="AB1395" t="str">
            <v>96-4</v>
          </cell>
          <cell r="AG1395" t="str">
            <v>금성공업</v>
          </cell>
          <cell r="AI1395" t="str">
            <v>대륭강업</v>
          </cell>
        </row>
        <row r="1396">
          <cell r="A1396">
            <v>1095</v>
          </cell>
          <cell r="E1396" t="str">
            <v>기아모텍</v>
          </cell>
          <cell r="F1396" t="str">
            <v>A</v>
          </cell>
          <cell r="G1396" t="str">
            <v>CERES MMO</v>
          </cell>
          <cell r="H1396" t="str">
            <v>041101113154</v>
          </cell>
          <cell r="I1396" t="str">
            <v>KW50 70 831</v>
          </cell>
          <cell r="J1396" t="str">
            <v>R/F NO.2</v>
          </cell>
          <cell r="K1396" t="str">
            <v>금형</v>
          </cell>
          <cell r="L1396" t="str">
            <v>RE/FL</v>
          </cell>
          <cell r="M1396">
            <v>1</v>
          </cell>
          <cell r="N1396">
            <v>6016000</v>
          </cell>
          <cell r="Y1396" t="str">
            <v>STEEL</v>
          </cell>
          <cell r="Z1396">
            <v>0.77</v>
          </cell>
          <cell r="AA1396" t="str">
            <v>830x600x330</v>
          </cell>
          <cell r="AB1396" t="str">
            <v>96-4</v>
          </cell>
          <cell r="AG1396" t="str">
            <v>삼혁정밀</v>
          </cell>
          <cell r="AI1396" t="str">
            <v>대륭강업</v>
          </cell>
        </row>
        <row r="1397">
          <cell r="A1397">
            <v>1096</v>
          </cell>
          <cell r="E1397" t="str">
            <v>기아모텍</v>
          </cell>
          <cell r="F1397" t="str">
            <v>A</v>
          </cell>
          <cell r="G1397" t="str">
            <v>CERES MMO</v>
          </cell>
          <cell r="H1397" t="str">
            <v>041101113154</v>
          </cell>
          <cell r="I1397" t="str">
            <v>KW50 70 831</v>
          </cell>
          <cell r="J1397" t="str">
            <v>R/F NO.2</v>
          </cell>
          <cell r="K1397" t="str">
            <v>금형</v>
          </cell>
          <cell r="L1397" t="str">
            <v>CUT&amp;C/PI</v>
          </cell>
          <cell r="M1397">
            <v>1</v>
          </cell>
          <cell r="N1397">
            <v>6756000</v>
          </cell>
          <cell r="Y1397" t="str">
            <v>STEEL</v>
          </cell>
          <cell r="Z1397">
            <v>0.88</v>
          </cell>
          <cell r="AA1397" t="str">
            <v>890x550x380</v>
          </cell>
          <cell r="AB1397" t="str">
            <v>96-4</v>
          </cell>
          <cell r="AG1397" t="str">
            <v>삼혁정밀</v>
          </cell>
          <cell r="AI1397" t="str">
            <v>대륭강업</v>
          </cell>
        </row>
        <row r="1398">
          <cell r="A1398">
            <v>1097</v>
          </cell>
          <cell r="E1398" t="str">
            <v>기아모텍</v>
          </cell>
          <cell r="F1398" t="str">
            <v>A</v>
          </cell>
          <cell r="G1398" t="str">
            <v>CERES MMO</v>
          </cell>
          <cell r="H1398" t="str">
            <v>041101113154</v>
          </cell>
          <cell r="I1398" t="str">
            <v>KW50 70 831</v>
          </cell>
          <cell r="J1398" t="str">
            <v>R/F NO.2</v>
          </cell>
          <cell r="K1398" t="str">
            <v>금형</v>
          </cell>
          <cell r="L1398" t="str">
            <v>TR/PI</v>
          </cell>
          <cell r="M1398">
            <v>1</v>
          </cell>
          <cell r="N1398">
            <v>8195000</v>
          </cell>
          <cell r="Y1398" t="str">
            <v>STEEL</v>
          </cell>
          <cell r="Z1398">
            <v>1.07</v>
          </cell>
          <cell r="AA1398" t="str">
            <v>970x600x390</v>
          </cell>
          <cell r="AB1398" t="str">
            <v>96-4</v>
          </cell>
          <cell r="AG1398" t="str">
            <v>삼혁정밀</v>
          </cell>
          <cell r="AI1398" t="str">
            <v>대륭강업</v>
          </cell>
        </row>
        <row r="1399">
          <cell r="A1399">
            <v>1098</v>
          </cell>
          <cell r="E1399" t="str">
            <v>기아모텍</v>
          </cell>
          <cell r="F1399" t="str">
            <v>A</v>
          </cell>
          <cell r="G1399" t="str">
            <v>CERES MMO</v>
          </cell>
          <cell r="H1399" t="str">
            <v>041101113154</v>
          </cell>
          <cell r="I1399" t="str">
            <v>KW50 70 831</v>
          </cell>
          <cell r="J1399" t="str">
            <v>R/F NO.2</v>
          </cell>
          <cell r="K1399" t="str">
            <v>금형</v>
          </cell>
          <cell r="L1399" t="str">
            <v>DR</v>
          </cell>
          <cell r="M1399">
            <v>1</v>
          </cell>
          <cell r="N1399">
            <v>14411000</v>
          </cell>
          <cell r="Y1399" t="str">
            <v>주물</v>
          </cell>
          <cell r="Z1399">
            <v>2.4500000000000002</v>
          </cell>
          <cell r="AA1399" t="str">
            <v>1220x610x700</v>
          </cell>
          <cell r="AB1399" t="str">
            <v>96-4</v>
          </cell>
          <cell r="AG1399" t="str">
            <v>삼혁정밀</v>
          </cell>
          <cell r="AI1399" t="str">
            <v>대륭강업</v>
          </cell>
        </row>
        <row r="1400">
          <cell r="A1400">
            <v>1099</v>
          </cell>
          <cell r="E1400" t="str">
            <v>기아모텍</v>
          </cell>
          <cell r="F1400" t="str">
            <v>A</v>
          </cell>
          <cell r="G1400" t="str">
            <v>CERES MMO</v>
          </cell>
          <cell r="H1400" t="str">
            <v>041101113294</v>
          </cell>
          <cell r="I1400" t="str">
            <v>KW50 70 83Y</v>
          </cell>
          <cell r="J1400" t="str">
            <v>R/F</v>
          </cell>
          <cell r="K1400" t="str">
            <v>금형</v>
          </cell>
          <cell r="L1400" t="str">
            <v>BE</v>
          </cell>
          <cell r="M1400">
            <v>1</v>
          </cell>
          <cell r="N1400">
            <v>986000</v>
          </cell>
          <cell r="Y1400" t="str">
            <v>STEEL</v>
          </cell>
          <cell r="Z1400">
            <v>0.09</v>
          </cell>
          <cell r="AA1400" t="str">
            <v>250x250x300</v>
          </cell>
          <cell r="AB1400" t="str">
            <v>96-4</v>
          </cell>
          <cell r="AG1400" t="str">
            <v>금성공업</v>
          </cell>
          <cell r="AI1400" t="str">
            <v>대륭강업</v>
          </cell>
        </row>
        <row r="1401">
          <cell r="A1401">
            <v>1100</v>
          </cell>
          <cell r="E1401" t="str">
            <v>기아모텍</v>
          </cell>
          <cell r="F1401" t="str">
            <v>A</v>
          </cell>
          <cell r="G1401" t="str">
            <v>CERES MMO</v>
          </cell>
          <cell r="H1401" t="str">
            <v>041101113294</v>
          </cell>
          <cell r="I1401" t="str">
            <v>KW50 70 83Y</v>
          </cell>
          <cell r="J1401" t="str">
            <v>R/F</v>
          </cell>
          <cell r="K1401" t="str">
            <v>금형</v>
          </cell>
          <cell r="L1401" t="str">
            <v>BE</v>
          </cell>
          <cell r="M1401">
            <v>1</v>
          </cell>
          <cell r="N1401">
            <v>1226000</v>
          </cell>
          <cell r="Y1401" t="str">
            <v>STEEL</v>
          </cell>
          <cell r="Z1401">
            <v>0.11</v>
          </cell>
          <cell r="AA1401" t="str">
            <v>480x280x180</v>
          </cell>
          <cell r="AB1401" t="str">
            <v>96-4</v>
          </cell>
          <cell r="AG1401" t="str">
            <v>금성공업</v>
          </cell>
          <cell r="AI1401" t="str">
            <v>대륭강업</v>
          </cell>
        </row>
        <row r="1402">
          <cell r="A1402">
            <v>1101</v>
          </cell>
          <cell r="E1402" t="str">
            <v>기아모텍</v>
          </cell>
          <cell r="F1402" t="str">
            <v>A</v>
          </cell>
          <cell r="G1402" t="str">
            <v>CERES MMO</v>
          </cell>
          <cell r="H1402" t="str">
            <v>041101113294</v>
          </cell>
          <cell r="I1402" t="str">
            <v>KW50 70 83Y</v>
          </cell>
          <cell r="J1402" t="str">
            <v>R/F</v>
          </cell>
          <cell r="K1402" t="str">
            <v>금형</v>
          </cell>
          <cell r="L1402" t="str">
            <v>BL</v>
          </cell>
          <cell r="M1402">
            <v>1</v>
          </cell>
          <cell r="N1402">
            <v>1581000</v>
          </cell>
          <cell r="Y1402" t="str">
            <v>STEEL</v>
          </cell>
          <cell r="Z1402">
            <v>0.14000000000000001</v>
          </cell>
          <cell r="AA1402" t="str">
            <v>500x270x220</v>
          </cell>
          <cell r="AB1402" t="str">
            <v>96-4</v>
          </cell>
          <cell r="AG1402" t="str">
            <v>금성공업</v>
          </cell>
          <cell r="AI1402" t="str">
            <v>대륭강업</v>
          </cell>
        </row>
        <row r="1403">
          <cell r="A1403">
            <v>1102</v>
          </cell>
          <cell r="E1403" t="str">
            <v>기아모텍</v>
          </cell>
          <cell r="F1403" t="str">
            <v>A</v>
          </cell>
          <cell r="G1403" t="str">
            <v>PRIDE P031 R A</v>
          </cell>
          <cell r="H1403" t="str">
            <v>046201010211</v>
          </cell>
          <cell r="I1403" t="str">
            <v>MB308 10 400</v>
          </cell>
          <cell r="J1403" t="str">
            <v>OIL PAN 용접 JIG</v>
          </cell>
          <cell r="K1403" t="str">
            <v>치구</v>
          </cell>
          <cell r="L1403" t="str">
            <v>WELDING</v>
          </cell>
          <cell r="M1403">
            <v>1</v>
          </cell>
          <cell r="N1403">
            <v>2100000</v>
          </cell>
          <cell r="AA1403" t="str">
            <v>xx</v>
          </cell>
          <cell r="AB1403" t="str">
            <v>88-06-20</v>
          </cell>
          <cell r="AG1403" t="str">
            <v>영광정밀</v>
          </cell>
          <cell r="AI1403" t="str">
            <v>영재정공</v>
          </cell>
        </row>
        <row r="1404">
          <cell r="A1404">
            <v>1103</v>
          </cell>
          <cell r="E1404" t="str">
            <v>기아모텍</v>
          </cell>
          <cell r="F1404" t="str">
            <v>C4</v>
          </cell>
          <cell r="G1404" t="str">
            <v>PRIDE J38R</v>
          </cell>
          <cell r="H1404" t="str">
            <v>044102020467</v>
          </cell>
          <cell r="I1404" t="str">
            <v>MDX18 54 951</v>
          </cell>
          <cell r="J1404" t="str">
            <v>SILL SIDE IN</v>
          </cell>
          <cell r="K1404" t="str">
            <v>검사구</v>
          </cell>
          <cell r="M1404">
            <v>1</v>
          </cell>
          <cell r="N1404">
            <v>1155422</v>
          </cell>
          <cell r="AA1404" t="str">
            <v>xx</v>
          </cell>
          <cell r="AB1404" t="str">
            <v>89-02-28</v>
          </cell>
          <cell r="AG1404" t="str">
            <v>KIA</v>
          </cell>
          <cell r="AJ1404" t="str">
            <v>금성공업</v>
          </cell>
          <cell r="AK1404" t="str">
            <v>금성공업에서 타업체로 이관</v>
          </cell>
        </row>
        <row r="1405">
          <cell r="A1405">
            <v>1104</v>
          </cell>
          <cell r="E1405" t="str">
            <v>기아모텍</v>
          </cell>
          <cell r="F1405" t="str">
            <v>A</v>
          </cell>
          <cell r="G1405" t="str">
            <v>SEPHIA</v>
          </cell>
          <cell r="H1405" t="str">
            <v>045212101242</v>
          </cell>
          <cell r="I1405" t="str">
            <v>MESH</v>
          </cell>
          <cell r="J1405" t="str">
            <v>SPA MMO FRT DOOR IN R/L</v>
          </cell>
          <cell r="K1405" t="str">
            <v>치구</v>
          </cell>
          <cell r="M1405">
            <v>35</v>
          </cell>
          <cell r="N1405">
            <v>10150000</v>
          </cell>
          <cell r="AA1405" t="str">
            <v>xx</v>
          </cell>
          <cell r="AG1405" t="str">
            <v>한국파레트공업사</v>
          </cell>
          <cell r="AK1405" t="str">
            <v>당사품이 아님</v>
          </cell>
        </row>
        <row r="1406">
          <cell r="A1406">
            <v>1105</v>
          </cell>
          <cell r="E1406" t="str">
            <v>기아모텍</v>
          </cell>
          <cell r="F1406" t="str">
            <v>A</v>
          </cell>
          <cell r="G1406" t="str">
            <v>SEPHIA</v>
          </cell>
          <cell r="H1406" t="str">
            <v>045212101252</v>
          </cell>
          <cell r="I1406" t="str">
            <v>MESH</v>
          </cell>
          <cell r="J1406" t="str">
            <v>SPA MMO RR DOOR IN R/L</v>
          </cell>
          <cell r="K1406" t="str">
            <v>치구</v>
          </cell>
          <cell r="M1406">
            <v>35</v>
          </cell>
          <cell r="N1406">
            <v>10150000</v>
          </cell>
          <cell r="AA1406" t="str">
            <v>xx</v>
          </cell>
          <cell r="AG1406" t="str">
            <v>한국파레트공업사</v>
          </cell>
          <cell r="AK1406" t="str">
            <v>당사품이 아님</v>
          </cell>
        </row>
        <row r="1407">
          <cell r="A1407">
            <v>1106</v>
          </cell>
          <cell r="E1407" t="str">
            <v>기아모텍</v>
          </cell>
          <cell r="F1407" t="str">
            <v>B</v>
          </cell>
          <cell r="G1407" t="str">
            <v>BESTA 4*4</v>
          </cell>
          <cell r="H1407" t="str">
            <v>041101330241</v>
          </cell>
          <cell r="I1407" t="str">
            <v>R264 10 406B</v>
          </cell>
          <cell r="J1407" t="str">
            <v>PLATE-OIL BAFFLE</v>
          </cell>
          <cell r="K1407" t="str">
            <v>금형</v>
          </cell>
          <cell r="M1407">
            <v>3</v>
          </cell>
          <cell r="N1407">
            <v>454577</v>
          </cell>
          <cell r="Y1407" t="str">
            <v>STEEL</v>
          </cell>
          <cell r="AA1407" t="str">
            <v>xx</v>
          </cell>
          <cell r="AB1407" t="str">
            <v>94-01-31</v>
          </cell>
          <cell r="AG1407" t="str">
            <v>서해공업㈜ 반　</v>
          </cell>
          <cell r="AI1407" t="str">
            <v>풍원산업</v>
          </cell>
        </row>
        <row r="1408">
          <cell r="A1408">
            <v>1106.0999755859375</v>
          </cell>
          <cell r="E1408" t="str">
            <v>기아모텍</v>
          </cell>
          <cell r="F1408" t="str">
            <v>B</v>
          </cell>
          <cell r="G1408" t="str">
            <v>BESTA 4*4</v>
          </cell>
          <cell r="H1408" t="str">
            <v>041101330241</v>
          </cell>
          <cell r="I1408" t="str">
            <v>R264 10 406B</v>
          </cell>
          <cell r="J1408" t="str">
            <v>PLATE-OIL BAFFLE</v>
          </cell>
          <cell r="K1408" t="str">
            <v>금형</v>
          </cell>
          <cell r="L1408" t="str">
            <v>BL</v>
          </cell>
          <cell r="M1408">
            <v>1</v>
          </cell>
          <cell r="Y1408" t="str">
            <v>STEEL</v>
          </cell>
          <cell r="Z1408">
            <v>0.10102949999999999</v>
          </cell>
          <cell r="AA1408" t="str">
            <v>390x220x250</v>
          </cell>
          <cell r="AB1408" t="str">
            <v>94-01-31</v>
          </cell>
          <cell r="AG1408" t="str">
            <v>서해공업㈜ 반　</v>
          </cell>
          <cell r="AI1408" t="str">
            <v>풍원산업</v>
          </cell>
        </row>
        <row r="1409">
          <cell r="A1409">
            <v>1106.199951171875</v>
          </cell>
          <cell r="E1409" t="str">
            <v>기아모텍</v>
          </cell>
          <cell r="F1409" t="str">
            <v>B</v>
          </cell>
          <cell r="G1409" t="str">
            <v>BESTA 4*4</v>
          </cell>
          <cell r="H1409" t="str">
            <v>041101330241</v>
          </cell>
          <cell r="I1409" t="str">
            <v>R264 10 406B</v>
          </cell>
          <cell r="J1409" t="str">
            <v>PLATE-OIL BAFFLE</v>
          </cell>
          <cell r="K1409" t="str">
            <v>금형</v>
          </cell>
          <cell r="L1409" t="str">
            <v>FO</v>
          </cell>
          <cell r="M1409">
            <v>1</v>
          </cell>
          <cell r="Y1409" t="str">
            <v>STEEL</v>
          </cell>
          <cell r="Z1409">
            <v>0.10102949999999999</v>
          </cell>
          <cell r="AA1409" t="str">
            <v>390x220x250</v>
          </cell>
          <cell r="AB1409" t="str">
            <v>94-01-31</v>
          </cell>
          <cell r="AG1409" t="str">
            <v>서해공업㈜ 반　</v>
          </cell>
          <cell r="AI1409" t="str">
            <v>풍원산업</v>
          </cell>
        </row>
        <row r="1410">
          <cell r="A1410">
            <v>1106.300048828125</v>
          </cell>
          <cell r="E1410" t="str">
            <v>기아모텍</v>
          </cell>
          <cell r="F1410" t="str">
            <v>B</v>
          </cell>
          <cell r="G1410" t="str">
            <v>BESTA 4*4</v>
          </cell>
          <cell r="H1410" t="str">
            <v>041101330241</v>
          </cell>
          <cell r="I1410" t="str">
            <v>R264 10 406B</v>
          </cell>
          <cell r="J1410" t="str">
            <v>PLATE-OIL BAFFLE</v>
          </cell>
          <cell r="K1410" t="str">
            <v>금형</v>
          </cell>
          <cell r="L1410" t="str">
            <v>FL&amp;PI</v>
          </cell>
          <cell r="M1410">
            <v>1</v>
          </cell>
          <cell r="Y1410" t="str">
            <v>STEEL</v>
          </cell>
          <cell r="Z1410">
            <v>0.10102949999999999</v>
          </cell>
          <cell r="AA1410" t="str">
            <v>390x220x250</v>
          </cell>
          <cell r="AB1410" t="str">
            <v>94-01-31</v>
          </cell>
          <cell r="AG1410" t="str">
            <v>서해공업㈜ 반　</v>
          </cell>
          <cell r="AI1410" t="str">
            <v>풍원산업</v>
          </cell>
        </row>
        <row r="1411">
          <cell r="A1411">
            <v>1107</v>
          </cell>
          <cell r="E1411" t="str">
            <v>기아모텍</v>
          </cell>
          <cell r="F1411" t="str">
            <v>C</v>
          </cell>
          <cell r="G1411" t="str">
            <v>BESTA 4*4</v>
          </cell>
          <cell r="H1411" t="str">
            <v>041101770051</v>
          </cell>
          <cell r="I1411" t="str">
            <v>R286 10 401</v>
          </cell>
          <cell r="J1411" t="str">
            <v>OIL PAN</v>
          </cell>
          <cell r="K1411" t="str">
            <v>금형</v>
          </cell>
          <cell r="M1411">
            <v>7</v>
          </cell>
          <cell r="N1411">
            <v>6588753</v>
          </cell>
          <cell r="Y1411" t="str">
            <v>주물</v>
          </cell>
          <cell r="Z1411">
            <v>15.24</v>
          </cell>
          <cell r="AA1411" t="str">
            <v>xx</v>
          </cell>
          <cell r="AB1411" t="str">
            <v>94-01-31</v>
          </cell>
          <cell r="AG1411" t="str">
            <v>서해공업㈜ 반　</v>
          </cell>
          <cell r="AI1411" t="str">
            <v>영재정공</v>
          </cell>
        </row>
        <row r="1412">
          <cell r="A1412">
            <v>1108</v>
          </cell>
          <cell r="E1412" t="str">
            <v>기아모텍</v>
          </cell>
          <cell r="F1412" t="str">
            <v>C</v>
          </cell>
          <cell r="G1412" t="str">
            <v>BESTA</v>
          </cell>
          <cell r="H1412" t="str">
            <v>041102050127</v>
          </cell>
          <cell r="I1412" t="str">
            <v>RF01 10 401A</v>
          </cell>
          <cell r="J1412" t="str">
            <v>OIL PAN</v>
          </cell>
          <cell r="K1412" t="str">
            <v>금형</v>
          </cell>
          <cell r="L1412" t="str">
            <v>DR,DR,TR,FL,</v>
          </cell>
          <cell r="M1412">
            <v>5</v>
          </cell>
          <cell r="N1412">
            <v>90319000</v>
          </cell>
          <cell r="Y1412" t="str">
            <v>주물</v>
          </cell>
          <cell r="AA1412" t="str">
            <v>xx</v>
          </cell>
          <cell r="AB1412" t="str">
            <v>85-05-31</v>
          </cell>
          <cell r="AG1412" t="str">
            <v>FUJI</v>
          </cell>
          <cell r="AI1412" t="str">
            <v>영재정공</v>
          </cell>
        </row>
        <row r="1413">
          <cell r="A1413">
            <v>1109</v>
          </cell>
          <cell r="E1413" t="str">
            <v>기아모텍</v>
          </cell>
          <cell r="F1413" t="str">
            <v>B</v>
          </cell>
          <cell r="G1413" t="str">
            <v>CONCORD</v>
          </cell>
          <cell r="H1413" t="str">
            <v>041102551131</v>
          </cell>
          <cell r="I1413" t="str">
            <v>RF03 10 406</v>
          </cell>
          <cell r="J1413" t="str">
            <v>PLATE-OIL BAFFLE</v>
          </cell>
          <cell r="K1413" t="str">
            <v>금형</v>
          </cell>
          <cell r="L1413" t="str">
            <v>BE</v>
          </cell>
          <cell r="M1413">
            <v>1</v>
          </cell>
          <cell r="N1413">
            <v>210000</v>
          </cell>
          <cell r="Y1413" t="str">
            <v>STEEL</v>
          </cell>
          <cell r="Z1413">
            <v>0.02</v>
          </cell>
          <cell r="AA1413" t="str">
            <v>160x130x160</v>
          </cell>
          <cell r="AB1413" t="str">
            <v>87-5</v>
          </cell>
          <cell r="AG1413" t="str">
            <v>강원금속</v>
          </cell>
          <cell r="AI1413" t="str">
            <v>풍원산업</v>
          </cell>
        </row>
        <row r="1414">
          <cell r="A1414">
            <v>1110</v>
          </cell>
          <cell r="E1414" t="str">
            <v>기아모텍</v>
          </cell>
          <cell r="F1414" t="str">
            <v>B</v>
          </cell>
          <cell r="G1414" t="str">
            <v>CONCORD</v>
          </cell>
          <cell r="H1414" t="str">
            <v>041102551131</v>
          </cell>
          <cell r="I1414" t="str">
            <v>RF03 10 406</v>
          </cell>
          <cell r="J1414" t="str">
            <v>PLATE-OIL BAFFLE</v>
          </cell>
          <cell r="K1414" t="str">
            <v>금형</v>
          </cell>
          <cell r="L1414" t="str">
            <v>BE</v>
          </cell>
          <cell r="M1414">
            <v>1</v>
          </cell>
          <cell r="N1414">
            <v>315000</v>
          </cell>
          <cell r="Y1414" t="str">
            <v>STEEL</v>
          </cell>
          <cell r="Z1414">
            <v>0.03</v>
          </cell>
          <cell r="AA1414" t="str">
            <v>250x190x130</v>
          </cell>
          <cell r="AB1414" t="str">
            <v>87-5</v>
          </cell>
          <cell r="AG1414" t="str">
            <v>강원금속</v>
          </cell>
          <cell r="AI1414" t="str">
            <v>풍원산업</v>
          </cell>
        </row>
        <row r="1415">
          <cell r="A1415">
            <v>1111</v>
          </cell>
          <cell r="E1415" t="str">
            <v>기아모텍</v>
          </cell>
          <cell r="F1415" t="str">
            <v>B</v>
          </cell>
          <cell r="G1415" t="str">
            <v>CONCORD</v>
          </cell>
          <cell r="H1415" t="str">
            <v>041102551131</v>
          </cell>
          <cell r="I1415" t="str">
            <v>RF03 10 406</v>
          </cell>
          <cell r="J1415" t="str">
            <v>PLATE-OIL BAFFLE</v>
          </cell>
          <cell r="K1415" t="str">
            <v>금형</v>
          </cell>
          <cell r="L1415" t="str">
            <v>CURL</v>
          </cell>
          <cell r="M1415">
            <v>1</v>
          </cell>
          <cell r="N1415">
            <v>315000</v>
          </cell>
          <cell r="Y1415" t="str">
            <v>STEEL</v>
          </cell>
          <cell r="Z1415">
            <v>0.03</v>
          </cell>
          <cell r="AA1415" t="str">
            <v>280x150x170</v>
          </cell>
          <cell r="AB1415" t="str">
            <v>87-5</v>
          </cell>
          <cell r="AG1415" t="str">
            <v>강원금속</v>
          </cell>
          <cell r="AI1415" t="str">
            <v>풍원산업</v>
          </cell>
        </row>
        <row r="1416">
          <cell r="A1416">
            <v>1112</v>
          </cell>
          <cell r="E1416" t="str">
            <v>기아모텍</v>
          </cell>
          <cell r="F1416" t="str">
            <v>B</v>
          </cell>
          <cell r="G1416" t="str">
            <v>CONCORD</v>
          </cell>
          <cell r="H1416" t="str">
            <v>041102551131</v>
          </cell>
          <cell r="I1416" t="str">
            <v>RF03 10 406</v>
          </cell>
          <cell r="J1416" t="str">
            <v>PLATE-OIL BAFFLE</v>
          </cell>
          <cell r="K1416" t="str">
            <v>금형</v>
          </cell>
          <cell r="L1416" t="str">
            <v>BE</v>
          </cell>
          <cell r="M1416">
            <v>1</v>
          </cell>
          <cell r="N1416">
            <v>525000</v>
          </cell>
          <cell r="Y1416" t="str">
            <v>STEEL</v>
          </cell>
          <cell r="Z1416">
            <v>7.0000000000000007E-2</v>
          </cell>
          <cell r="AA1416" t="str">
            <v>400x250x140</v>
          </cell>
          <cell r="AB1416" t="str">
            <v>87-5</v>
          </cell>
          <cell r="AG1416" t="str">
            <v>강원금속</v>
          </cell>
          <cell r="AI1416" t="str">
            <v>풍원산업</v>
          </cell>
        </row>
        <row r="1417">
          <cell r="A1417">
            <v>1113</v>
          </cell>
          <cell r="E1417" t="str">
            <v>기아모텍</v>
          </cell>
          <cell r="F1417" t="str">
            <v>B</v>
          </cell>
          <cell r="G1417" t="str">
            <v>CONCORD</v>
          </cell>
          <cell r="H1417" t="str">
            <v>041102551131</v>
          </cell>
          <cell r="I1417" t="str">
            <v>RF03 10 406</v>
          </cell>
          <cell r="J1417" t="str">
            <v>PLATE-OIL BAFFLE</v>
          </cell>
          <cell r="K1417" t="str">
            <v>금형</v>
          </cell>
          <cell r="L1417" t="str">
            <v>BL</v>
          </cell>
          <cell r="M1417">
            <v>1</v>
          </cell>
          <cell r="N1417">
            <v>630000</v>
          </cell>
          <cell r="Y1417" t="str">
            <v>STEEL</v>
          </cell>
          <cell r="Z1417">
            <v>0.1</v>
          </cell>
          <cell r="AA1417" t="str">
            <v>400x300x180</v>
          </cell>
          <cell r="AB1417" t="str">
            <v>87-5</v>
          </cell>
          <cell r="AG1417" t="str">
            <v>강원금속</v>
          </cell>
          <cell r="AI1417" t="str">
            <v>풍원산업</v>
          </cell>
        </row>
        <row r="1418">
          <cell r="A1418">
            <v>1114</v>
          </cell>
          <cell r="E1418" t="str">
            <v>기아모텍</v>
          </cell>
          <cell r="F1418" t="str">
            <v>C1</v>
          </cell>
          <cell r="G1418" t="str">
            <v>CONCORD</v>
          </cell>
          <cell r="H1418" t="str">
            <v>041401012749</v>
          </cell>
          <cell r="I1418" t="str">
            <v>RF11 13 360A</v>
          </cell>
          <cell r="J1418" t="str">
            <v>COVER-SEAL</v>
          </cell>
          <cell r="K1418" t="str">
            <v>금형</v>
          </cell>
          <cell r="L1418" t="str">
            <v>INJ.</v>
          </cell>
          <cell r="M1418">
            <v>1</v>
          </cell>
          <cell r="N1418">
            <v>22050000</v>
          </cell>
          <cell r="Y1418" t="str">
            <v>STEEL</v>
          </cell>
          <cell r="Z1418">
            <v>0.59</v>
          </cell>
          <cell r="AA1418" t="str">
            <v>430x460x450</v>
          </cell>
          <cell r="AB1418" t="str">
            <v>87-4</v>
          </cell>
          <cell r="AG1418" t="str">
            <v>영진금형</v>
          </cell>
          <cell r="AI1418" t="str">
            <v>대륭강업</v>
          </cell>
        </row>
        <row r="1419">
          <cell r="A1419">
            <v>1115</v>
          </cell>
          <cell r="E1419" t="str">
            <v>기아모텍</v>
          </cell>
          <cell r="F1419" t="str">
            <v>B</v>
          </cell>
          <cell r="G1419" t="str">
            <v>BESTA</v>
          </cell>
          <cell r="H1419" t="str">
            <v>041102020070</v>
          </cell>
          <cell r="I1419" t="str">
            <v>S084 58/59 041B</v>
          </cell>
          <cell r="J1419" t="str">
            <v>REINF OUT R/L</v>
          </cell>
          <cell r="K1419" t="str">
            <v>금형</v>
          </cell>
          <cell r="L1419" t="str">
            <v>BL&amp;PI,FO</v>
          </cell>
          <cell r="M1419">
            <v>2</v>
          </cell>
          <cell r="N1419">
            <v>13935000</v>
          </cell>
          <cell r="Y1419" t="str">
            <v>STEEL</v>
          </cell>
          <cell r="AA1419" t="str">
            <v>xx</v>
          </cell>
          <cell r="AB1419" t="str">
            <v>85-08-02</v>
          </cell>
          <cell r="AG1419" t="str">
            <v>삼양</v>
          </cell>
          <cell r="AI1419" t="str">
            <v>풍원산업</v>
          </cell>
        </row>
        <row r="1420">
          <cell r="A1420">
            <v>1115.0999755859375</v>
          </cell>
          <cell r="E1420" t="str">
            <v>기아모텍</v>
          </cell>
          <cell r="F1420" t="str">
            <v>B</v>
          </cell>
          <cell r="G1420" t="str">
            <v>BESTA</v>
          </cell>
          <cell r="H1420" t="str">
            <v>041102020070</v>
          </cell>
          <cell r="I1420" t="str">
            <v>S084 58/59 041B</v>
          </cell>
          <cell r="J1420" t="str">
            <v>REINF OUT R/L</v>
          </cell>
          <cell r="K1420" t="str">
            <v>금형</v>
          </cell>
          <cell r="L1420" t="str">
            <v>BL&amp;PI</v>
          </cell>
          <cell r="M1420">
            <v>1</v>
          </cell>
          <cell r="Y1420" t="str">
            <v>STEEL</v>
          </cell>
          <cell r="Z1420">
            <v>0.67258799999999996</v>
          </cell>
          <cell r="AA1420" t="str">
            <v>1020x400x350</v>
          </cell>
          <cell r="AB1420" t="str">
            <v>85-08-02</v>
          </cell>
          <cell r="AG1420" t="str">
            <v>삼양</v>
          </cell>
          <cell r="AI1420" t="str">
            <v>풍원산업</v>
          </cell>
        </row>
        <row r="1421">
          <cell r="A1421">
            <v>1115.199951171875</v>
          </cell>
          <cell r="E1421" t="str">
            <v>기아모텍</v>
          </cell>
          <cell r="F1421" t="str">
            <v>B</v>
          </cell>
          <cell r="G1421" t="str">
            <v>BESTA</v>
          </cell>
          <cell r="H1421" t="str">
            <v>041102020070</v>
          </cell>
          <cell r="I1421" t="str">
            <v>S084 58/59 041B</v>
          </cell>
          <cell r="J1421" t="str">
            <v>REINF OUT R/L</v>
          </cell>
          <cell r="K1421" t="str">
            <v>금형</v>
          </cell>
          <cell r="L1421" t="str">
            <v>FO</v>
          </cell>
          <cell r="M1421">
            <v>1</v>
          </cell>
          <cell r="Y1421" t="str">
            <v>STEEL</v>
          </cell>
          <cell r="Z1421">
            <v>0.67258799999999996</v>
          </cell>
          <cell r="AA1421" t="str">
            <v>1020x400x350</v>
          </cell>
          <cell r="AB1421" t="str">
            <v>85-08-02</v>
          </cell>
          <cell r="AG1421" t="str">
            <v>삼양</v>
          </cell>
          <cell r="AI1421" t="str">
            <v>풍원산업</v>
          </cell>
        </row>
        <row r="1422">
          <cell r="A1422">
            <v>1116</v>
          </cell>
          <cell r="E1422" t="str">
            <v>기아모텍</v>
          </cell>
          <cell r="F1422" t="str">
            <v>B</v>
          </cell>
          <cell r="G1422" t="str">
            <v>BESTA</v>
          </cell>
          <cell r="H1422" t="str">
            <v>041102050317</v>
          </cell>
          <cell r="I1422" t="str">
            <v>S084 58/59 051</v>
          </cell>
          <cell r="J1422" t="str">
            <v>MIRROR REINF R/L</v>
          </cell>
          <cell r="K1422" t="str">
            <v>금형</v>
          </cell>
          <cell r="L1422" t="str">
            <v>NO,FO,BE/P,F</v>
          </cell>
          <cell r="M1422">
            <v>5</v>
          </cell>
          <cell r="N1422">
            <v>16024000</v>
          </cell>
          <cell r="Y1422" t="str">
            <v>STEEL</v>
          </cell>
          <cell r="AA1422" t="str">
            <v>xx</v>
          </cell>
          <cell r="AB1422" t="str">
            <v>85-08-02</v>
          </cell>
          <cell r="AI1422" t="str">
            <v>풍원산업</v>
          </cell>
        </row>
        <row r="1423">
          <cell r="A1423">
            <v>1116.0999755859375</v>
          </cell>
          <cell r="E1423" t="str">
            <v>기아모텍</v>
          </cell>
          <cell r="F1423" t="str">
            <v>B</v>
          </cell>
          <cell r="G1423" t="str">
            <v>BESTA</v>
          </cell>
          <cell r="H1423" t="str">
            <v>041102050317</v>
          </cell>
          <cell r="I1423" t="str">
            <v>S084 58/59 051</v>
          </cell>
          <cell r="J1423" t="str">
            <v>MIRROR REINF R/L</v>
          </cell>
          <cell r="K1423" t="str">
            <v>금형</v>
          </cell>
          <cell r="L1423" t="str">
            <v>DR</v>
          </cell>
          <cell r="M1423">
            <v>1</v>
          </cell>
          <cell r="Y1423" t="str">
            <v>STEEL</v>
          </cell>
          <cell r="Z1423">
            <v>0.3610215</v>
          </cell>
          <cell r="AA1423" t="str">
            <v>730x350x300</v>
          </cell>
          <cell r="AB1423" t="str">
            <v>85-08-02</v>
          </cell>
          <cell r="AI1423" t="str">
            <v>풍원산업</v>
          </cell>
        </row>
        <row r="1424">
          <cell r="A1424">
            <v>1116.199951171875</v>
          </cell>
          <cell r="E1424" t="str">
            <v>기아모텍</v>
          </cell>
          <cell r="F1424" t="str">
            <v>B</v>
          </cell>
          <cell r="G1424" t="str">
            <v>BESTA</v>
          </cell>
          <cell r="H1424" t="str">
            <v>041102050317</v>
          </cell>
          <cell r="I1424" t="str">
            <v>S084 58/59 051</v>
          </cell>
          <cell r="J1424" t="str">
            <v>MIRROR REINF R/L</v>
          </cell>
          <cell r="K1424" t="str">
            <v>금형</v>
          </cell>
          <cell r="L1424" t="str">
            <v>NO</v>
          </cell>
          <cell r="M1424">
            <v>1</v>
          </cell>
          <cell r="Y1424" t="str">
            <v>STEEL</v>
          </cell>
          <cell r="Z1424">
            <v>0.3610215</v>
          </cell>
          <cell r="AA1424" t="str">
            <v>730x350x300</v>
          </cell>
          <cell r="AB1424" t="str">
            <v>85-08-02</v>
          </cell>
          <cell r="AI1424" t="str">
            <v>풍원산업</v>
          </cell>
        </row>
        <row r="1425">
          <cell r="A1425">
            <v>1116.300048828125</v>
          </cell>
          <cell r="E1425" t="str">
            <v>기아모텍</v>
          </cell>
          <cell r="F1425" t="str">
            <v>B</v>
          </cell>
          <cell r="G1425" t="str">
            <v>BESTA</v>
          </cell>
          <cell r="H1425" t="str">
            <v>041102050317</v>
          </cell>
          <cell r="I1425" t="str">
            <v>S084 58/59 051</v>
          </cell>
          <cell r="J1425" t="str">
            <v>MIRROR REINF R/L</v>
          </cell>
          <cell r="K1425" t="str">
            <v>금형</v>
          </cell>
          <cell r="L1425" t="str">
            <v>FO</v>
          </cell>
          <cell r="M1425">
            <v>1</v>
          </cell>
          <cell r="Y1425" t="str">
            <v>STEEL</v>
          </cell>
          <cell r="Z1425">
            <v>0.3610215</v>
          </cell>
          <cell r="AA1425" t="str">
            <v>730x350x300</v>
          </cell>
          <cell r="AB1425" t="str">
            <v>85-08-02</v>
          </cell>
          <cell r="AI1425" t="str">
            <v>풍원산업</v>
          </cell>
        </row>
        <row r="1426">
          <cell r="A1426">
            <v>1116.4000244140625</v>
          </cell>
          <cell r="E1426" t="str">
            <v>기아모텍</v>
          </cell>
          <cell r="F1426" t="str">
            <v>B</v>
          </cell>
          <cell r="G1426" t="str">
            <v>BESTA</v>
          </cell>
          <cell r="H1426" t="str">
            <v>041102050317</v>
          </cell>
          <cell r="I1426" t="str">
            <v>S084 58/59 051</v>
          </cell>
          <cell r="J1426" t="str">
            <v>MIRROR REINF R/L</v>
          </cell>
          <cell r="K1426" t="str">
            <v>금형</v>
          </cell>
          <cell r="L1426" t="str">
            <v>BE/PI</v>
          </cell>
          <cell r="M1426">
            <v>1</v>
          </cell>
          <cell r="Y1426" t="str">
            <v>STEEL</v>
          </cell>
          <cell r="Z1426">
            <v>0.3610215</v>
          </cell>
          <cell r="AA1426" t="str">
            <v>730x350x300</v>
          </cell>
          <cell r="AB1426" t="str">
            <v>85-08-02</v>
          </cell>
          <cell r="AI1426" t="str">
            <v>풍원산업</v>
          </cell>
        </row>
        <row r="1427">
          <cell r="A1427">
            <v>1116.5</v>
          </cell>
          <cell r="E1427" t="str">
            <v>기아모텍</v>
          </cell>
          <cell r="F1427" t="str">
            <v>B</v>
          </cell>
          <cell r="G1427" t="str">
            <v>BESTA</v>
          </cell>
          <cell r="H1427" t="str">
            <v>041102050317</v>
          </cell>
          <cell r="I1427" t="str">
            <v>S084 58/59 051</v>
          </cell>
          <cell r="J1427" t="str">
            <v>MIRROR REINF R/L</v>
          </cell>
          <cell r="K1427" t="str">
            <v>금형</v>
          </cell>
          <cell r="L1427" t="str">
            <v>FL</v>
          </cell>
          <cell r="M1427">
            <v>1</v>
          </cell>
          <cell r="Y1427" t="str">
            <v>STEEL</v>
          </cell>
          <cell r="Z1427">
            <v>0.3610215</v>
          </cell>
          <cell r="AA1427" t="str">
            <v>730x350x300</v>
          </cell>
          <cell r="AB1427" t="str">
            <v>85-08-02</v>
          </cell>
          <cell r="AI1427" t="str">
            <v>풍원산업</v>
          </cell>
        </row>
        <row r="1428">
          <cell r="A1428">
            <v>1117</v>
          </cell>
          <cell r="E1428" t="str">
            <v>기아모텍</v>
          </cell>
          <cell r="F1428" t="str">
            <v>B</v>
          </cell>
          <cell r="G1428" t="str">
            <v>BESTA</v>
          </cell>
          <cell r="H1428" t="str">
            <v>041102130169</v>
          </cell>
          <cell r="I1428" t="str">
            <v>S084 72 031</v>
          </cell>
          <cell r="J1428" t="str">
            <v>RR. DOOR OUT</v>
          </cell>
          <cell r="K1428" t="str">
            <v>금형</v>
          </cell>
          <cell r="L1428" t="str">
            <v>PR 1/3</v>
          </cell>
          <cell r="M1428">
            <v>1</v>
          </cell>
          <cell r="N1428">
            <v>19476688</v>
          </cell>
          <cell r="Y1428" t="str">
            <v>주물</v>
          </cell>
          <cell r="Z1428">
            <v>17.532503999999999</v>
          </cell>
          <cell r="AA1428" t="str">
            <v>2350x1800x880</v>
          </cell>
          <cell r="AB1428" t="str">
            <v>85-12-02</v>
          </cell>
          <cell r="AG1428" t="str">
            <v>KIA</v>
          </cell>
          <cell r="AI1428" t="str">
            <v>KMO 안산2공장</v>
          </cell>
        </row>
        <row r="1429">
          <cell r="A1429">
            <v>1118</v>
          </cell>
          <cell r="E1429" t="str">
            <v>기아모텍</v>
          </cell>
          <cell r="F1429" t="str">
            <v>B</v>
          </cell>
          <cell r="G1429" t="str">
            <v>BESTA</v>
          </cell>
          <cell r="H1429" t="str">
            <v>041102230176</v>
          </cell>
          <cell r="I1429" t="str">
            <v>S084 72 031</v>
          </cell>
          <cell r="J1429" t="str">
            <v>RR. DOOR OUT</v>
          </cell>
          <cell r="K1429" t="str">
            <v>금형</v>
          </cell>
          <cell r="L1429" t="str">
            <v>TR/PIE 2/3</v>
          </cell>
          <cell r="M1429">
            <v>1</v>
          </cell>
          <cell r="N1429">
            <v>17700903</v>
          </cell>
          <cell r="Y1429" t="str">
            <v>주물</v>
          </cell>
          <cell r="Z1429">
            <v>16.413408</v>
          </cell>
          <cell r="AA1429" t="str">
            <v>2200x1800x880</v>
          </cell>
          <cell r="AB1429" t="str">
            <v>85-12-02</v>
          </cell>
          <cell r="AG1429" t="str">
            <v>KIA</v>
          </cell>
          <cell r="AI1429" t="str">
            <v>KMO 안산2공장</v>
          </cell>
        </row>
        <row r="1430">
          <cell r="A1430">
            <v>1119</v>
          </cell>
          <cell r="E1430" t="str">
            <v>기아모텍</v>
          </cell>
          <cell r="F1430" t="str">
            <v>B</v>
          </cell>
          <cell r="G1430" t="str">
            <v>BESTA</v>
          </cell>
          <cell r="H1430" t="str">
            <v>041102330213</v>
          </cell>
          <cell r="I1430" t="str">
            <v>S084 72 031</v>
          </cell>
          <cell r="J1430" t="str">
            <v>RR. DOOR OUT</v>
          </cell>
          <cell r="K1430" t="str">
            <v>금형</v>
          </cell>
          <cell r="L1430" t="str">
            <v>FL/PI 3/3</v>
          </cell>
          <cell r="M1430">
            <v>1</v>
          </cell>
          <cell r="N1430">
            <v>18144390</v>
          </cell>
          <cell r="Y1430" t="str">
            <v>주물</v>
          </cell>
          <cell r="Z1430">
            <v>17.052649200000001</v>
          </cell>
          <cell r="AA1430" t="str">
            <v>2260x1800x890</v>
          </cell>
          <cell r="AB1430" t="str">
            <v>85-12-02</v>
          </cell>
          <cell r="AG1430" t="str">
            <v>KIA</v>
          </cell>
          <cell r="AI1430" t="str">
            <v>KMO 안산2공장</v>
          </cell>
        </row>
        <row r="1431">
          <cell r="A1431">
            <v>1120</v>
          </cell>
          <cell r="E1431" t="str">
            <v>기아모텍</v>
          </cell>
          <cell r="F1431" t="str">
            <v>B</v>
          </cell>
          <cell r="G1431" t="str">
            <v>BESTA</v>
          </cell>
          <cell r="H1431" t="str">
            <v>041102030432</v>
          </cell>
          <cell r="I1431" t="str">
            <v>S084 72 101</v>
          </cell>
          <cell r="J1431" t="str">
            <v>REINF LWR ROLLER</v>
          </cell>
          <cell r="K1431" t="str">
            <v>금형</v>
          </cell>
          <cell r="L1431" t="str">
            <v>BL,FO,PIE</v>
          </cell>
          <cell r="M1431">
            <v>3</v>
          </cell>
          <cell r="N1431">
            <v>11044000</v>
          </cell>
          <cell r="AA1431" t="str">
            <v>xx</v>
          </cell>
          <cell r="AB1431" t="str">
            <v>85-12-03</v>
          </cell>
          <cell r="AG1431" t="str">
            <v>FUJI</v>
          </cell>
          <cell r="AI1431" t="str">
            <v>한우정공</v>
          </cell>
        </row>
        <row r="1432">
          <cell r="A1432">
            <v>1121</v>
          </cell>
          <cell r="E1432" t="str">
            <v>기아모텍</v>
          </cell>
          <cell r="F1432" t="str">
            <v>A</v>
          </cell>
          <cell r="G1432" t="str">
            <v>TITAN</v>
          </cell>
          <cell r="H1432" t="str">
            <v>041107550016</v>
          </cell>
          <cell r="I1432" t="str">
            <v>SL01 10 231</v>
          </cell>
          <cell r="J1432" t="str">
            <v>COVER SEAL</v>
          </cell>
          <cell r="K1432" t="str">
            <v>금형</v>
          </cell>
          <cell r="L1432" t="str">
            <v>TR &amp; SL</v>
          </cell>
          <cell r="M1432">
            <v>1</v>
          </cell>
          <cell r="N1432">
            <v>6316000</v>
          </cell>
          <cell r="Y1432" t="str">
            <v>주물</v>
          </cell>
          <cell r="Z1432">
            <v>1.18</v>
          </cell>
          <cell r="AA1432" t="str">
            <v>960x680x620</v>
          </cell>
          <cell r="AB1432" t="str">
            <v>87-1</v>
          </cell>
          <cell r="AG1432" t="str">
            <v>서해공업㈜ 반　</v>
          </cell>
          <cell r="AI1432" t="str">
            <v>일석산업</v>
          </cell>
        </row>
        <row r="1433">
          <cell r="A1433">
            <v>1122</v>
          </cell>
          <cell r="E1433" t="str">
            <v>기아모텍</v>
          </cell>
          <cell r="F1433" t="str">
            <v>A</v>
          </cell>
          <cell r="G1433" t="str">
            <v>TITAN</v>
          </cell>
          <cell r="H1433" t="str">
            <v>041107550016</v>
          </cell>
          <cell r="I1433" t="str">
            <v>SL01 10 231</v>
          </cell>
          <cell r="J1433" t="str">
            <v>COVER SEAL</v>
          </cell>
          <cell r="K1433" t="str">
            <v>금형</v>
          </cell>
          <cell r="L1433" t="str">
            <v>REST</v>
          </cell>
          <cell r="M1433">
            <v>1</v>
          </cell>
          <cell r="N1433">
            <v>6766000</v>
          </cell>
          <cell r="Y1433" t="str">
            <v>주물</v>
          </cell>
          <cell r="Z1433">
            <v>1.27</v>
          </cell>
          <cell r="AA1433" t="str">
            <v>640x970x620</v>
          </cell>
          <cell r="AB1433" t="str">
            <v>87-1</v>
          </cell>
          <cell r="AG1433" t="str">
            <v>서해공업㈜ 반　</v>
          </cell>
          <cell r="AI1433" t="str">
            <v>일석산업</v>
          </cell>
        </row>
        <row r="1434">
          <cell r="A1434">
            <v>1123</v>
          </cell>
          <cell r="E1434" t="str">
            <v>기아모텍</v>
          </cell>
          <cell r="F1434" t="str">
            <v>A</v>
          </cell>
          <cell r="G1434" t="str">
            <v>TITAN</v>
          </cell>
          <cell r="H1434" t="str">
            <v>041107550016</v>
          </cell>
          <cell r="I1434" t="str">
            <v>SL01 10 231</v>
          </cell>
          <cell r="J1434" t="str">
            <v>COVER SEAL</v>
          </cell>
          <cell r="K1434" t="str">
            <v>금형</v>
          </cell>
          <cell r="L1434" t="str">
            <v>DR</v>
          </cell>
          <cell r="M1434">
            <v>1</v>
          </cell>
          <cell r="N1434">
            <v>8569000</v>
          </cell>
          <cell r="Y1434" t="str">
            <v>주물</v>
          </cell>
          <cell r="Z1434">
            <v>1.64</v>
          </cell>
          <cell r="AA1434" t="str">
            <v>810x1120x620</v>
          </cell>
          <cell r="AB1434" t="str">
            <v>87-1</v>
          </cell>
          <cell r="AG1434" t="str">
            <v>서해공업㈜ 반　</v>
          </cell>
          <cell r="AI1434" t="str">
            <v>일석산업</v>
          </cell>
        </row>
        <row r="1435">
          <cell r="A1435">
            <v>1124</v>
          </cell>
          <cell r="E1435" t="str">
            <v>기아모텍</v>
          </cell>
          <cell r="F1435" t="str">
            <v>A</v>
          </cell>
          <cell r="G1435" t="str">
            <v>TITAN</v>
          </cell>
          <cell r="H1435" t="str">
            <v>041107550016</v>
          </cell>
          <cell r="I1435" t="str">
            <v>SL01 10 231</v>
          </cell>
          <cell r="J1435" t="str">
            <v>COVER SEAL</v>
          </cell>
          <cell r="K1435" t="str">
            <v>금형</v>
          </cell>
          <cell r="L1435" t="str">
            <v>CAM TR</v>
          </cell>
          <cell r="M1435">
            <v>1</v>
          </cell>
          <cell r="N1435">
            <v>13523000</v>
          </cell>
          <cell r="Y1435" t="str">
            <v>주물</v>
          </cell>
          <cell r="Z1435">
            <v>2.64</v>
          </cell>
          <cell r="AA1435" t="str">
            <v>1000x1340x620</v>
          </cell>
          <cell r="AB1435" t="str">
            <v>87-1</v>
          </cell>
          <cell r="AG1435" t="str">
            <v>서해공업㈜ 반　</v>
          </cell>
          <cell r="AI1435" t="str">
            <v>일석산업</v>
          </cell>
        </row>
        <row r="1436">
          <cell r="A1436">
            <v>1125</v>
          </cell>
          <cell r="E1436" t="str">
            <v>기아모텍</v>
          </cell>
          <cell r="F1436" t="str">
            <v>A</v>
          </cell>
          <cell r="G1436" t="str">
            <v>TITAN</v>
          </cell>
          <cell r="H1436" t="str">
            <v>041107550016</v>
          </cell>
          <cell r="I1436" t="str">
            <v>SL01 10 231</v>
          </cell>
          <cell r="J1436" t="str">
            <v>COVER SEAL</v>
          </cell>
          <cell r="K1436" t="str">
            <v>금형</v>
          </cell>
          <cell r="L1436" t="str">
            <v>CAM CUT</v>
          </cell>
          <cell r="M1436">
            <v>1</v>
          </cell>
          <cell r="N1436">
            <v>15325000</v>
          </cell>
          <cell r="Y1436" t="str">
            <v>주물</v>
          </cell>
          <cell r="Z1436">
            <v>3</v>
          </cell>
          <cell r="AA1436" t="str">
            <v>1040x1440x620</v>
          </cell>
          <cell r="AB1436" t="str">
            <v>87-1</v>
          </cell>
          <cell r="AG1436" t="str">
            <v>서해공업㈜ 반　</v>
          </cell>
          <cell r="AI1436" t="str">
            <v>일석산업</v>
          </cell>
        </row>
        <row r="1437">
          <cell r="A1437">
            <v>1126</v>
          </cell>
          <cell r="E1437" t="str">
            <v>기아모텍</v>
          </cell>
          <cell r="F1437" t="str">
            <v>A</v>
          </cell>
          <cell r="G1437" t="str">
            <v>NT-0</v>
          </cell>
          <cell r="H1437" t="str">
            <v>041107550036</v>
          </cell>
          <cell r="I1437" t="str">
            <v>SL07 10 401</v>
          </cell>
          <cell r="J1437" t="str">
            <v>OIL PAN</v>
          </cell>
          <cell r="M1437">
            <v>4</v>
          </cell>
          <cell r="N1437">
            <v>36800000</v>
          </cell>
          <cell r="Z1437">
            <v>6</v>
          </cell>
          <cell r="AA1437" t="str">
            <v>xx</v>
          </cell>
          <cell r="AB1437" t="str">
            <v>87-1</v>
          </cell>
          <cell r="AG1437" t="str">
            <v>서해공업㈜ 반　</v>
          </cell>
          <cell r="AI1437" t="str">
            <v>영재정공</v>
          </cell>
        </row>
        <row r="1438">
          <cell r="A1438">
            <v>1127.0999755859375</v>
          </cell>
          <cell r="E1438" t="str">
            <v>기아모텍</v>
          </cell>
          <cell r="F1438" t="str">
            <v>A</v>
          </cell>
          <cell r="G1438" t="str">
            <v>TITAN</v>
          </cell>
          <cell r="I1438" t="str">
            <v>SL07 10 401</v>
          </cell>
          <cell r="J1438" t="str">
            <v>OIL PAN</v>
          </cell>
          <cell r="K1438" t="str">
            <v>금형</v>
          </cell>
          <cell r="L1438" t="str">
            <v>TR</v>
          </cell>
          <cell r="M1438">
            <v>1</v>
          </cell>
          <cell r="Y1438" t="str">
            <v>주물</v>
          </cell>
          <cell r="Z1438">
            <v>1.27</v>
          </cell>
          <cell r="AA1438" t="str">
            <v>680x920x620</v>
          </cell>
          <cell r="AB1438" t="str">
            <v>87-1</v>
          </cell>
          <cell r="AG1438" t="str">
            <v>서해공업㈜ 반　</v>
          </cell>
          <cell r="AI1438" t="str">
            <v>영재정공</v>
          </cell>
        </row>
        <row r="1439">
          <cell r="A1439">
            <v>1127.199951171875</v>
          </cell>
          <cell r="E1439" t="str">
            <v>기아모텍</v>
          </cell>
          <cell r="F1439" t="str">
            <v>A</v>
          </cell>
          <cell r="G1439" t="str">
            <v>TITAN</v>
          </cell>
          <cell r="I1439" t="str">
            <v>SL07 10 401</v>
          </cell>
          <cell r="J1439" t="str">
            <v>OIL PAN</v>
          </cell>
          <cell r="K1439" t="str">
            <v>금형</v>
          </cell>
          <cell r="L1439" t="str">
            <v>FL</v>
          </cell>
          <cell r="M1439">
            <v>1</v>
          </cell>
          <cell r="Y1439" t="str">
            <v>주물</v>
          </cell>
          <cell r="Z1439">
            <v>1.27</v>
          </cell>
          <cell r="AA1439" t="str">
            <v>680x920x620</v>
          </cell>
          <cell r="AB1439" t="str">
            <v>87-1</v>
          </cell>
          <cell r="AG1439" t="str">
            <v>서해공업㈜ 반　</v>
          </cell>
          <cell r="AI1439" t="str">
            <v>영재정공</v>
          </cell>
        </row>
        <row r="1440">
          <cell r="A1440">
            <v>1127.300048828125</v>
          </cell>
          <cell r="E1440" t="str">
            <v>기아모텍</v>
          </cell>
          <cell r="F1440" t="str">
            <v>A</v>
          </cell>
          <cell r="G1440" t="str">
            <v>TITAN</v>
          </cell>
          <cell r="I1440" t="str">
            <v>SL07 10 401</v>
          </cell>
          <cell r="J1440" t="str">
            <v>OIL PAN</v>
          </cell>
          <cell r="K1440" t="str">
            <v>금형</v>
          </cell>
          <cell r="L1440" t="str">
            <v>REST</v>
          </cell>
          <cell r="M1440">
            <v>1</v>
          </cell>
          <cell r="Y1440" t="str">
            <v>주물</v>
          </cell>
          <cell r="Z1440">
            <v>1.27</v>
          </cell>
          <cell r="AA1440" t="str">
            <v>680x920x620</v>
          </cell>
          <cell r="AB1440" t="str">
            <v>87-1</v>
          </cell>
          <cell r="AG1440" t="str">
            <v>서해공업㈜ 반　</v>
          </cell>
          <cell r="AI1440" t="str">
            <v>영재정공</v>
          </cell>
        </row>
        <row r="1441">
          <cell r="A1441">
            <v>1128</v>
          </cell>
          <cell r="E1441" t="str">
            <v>기아모텍</v>
          </cell>
          <cell r="F1441" t="str">
            <v>A</v>
          </cell>
          <cell r="G1441" t="str">
            <v>TITAN</v>
          </cell>
          <cell r="I1441" t="str">
            <v>SL07 10 401</v>
          </cell>
          <cell r="J1441" t="str">
            <v>OIL PAN</v>
          </cell>
          <cell r="K1441" t="str">
            <v>금형</v>
          </cell>
          <cell r="L1441" t="str">
            <v>PIE</v>
          </cell>
          <cell r="M1441">
            <v>1</v>
          </cell>
          <cell r="N1441">
            <v>7089000</v>
          </cell>
          <cell r="Y1441" t="str">
            <v>주물</v>
          </cell>
          <cell r="Z1441">
            <v>1.36</v>
          </cell>
          <cell r="AA1441" t="str">
            <v>960x720x620</v>
          </cell>
          <cell r="AB1441" t="str">
            <v>87-1</v>
          </cell>
          <cell r="AG1441" t="str">
            <v>서해공업㈜ 반　</v>
          </cell>
          <cell r="AI1441" t="str">
            <v>영재정공</v>
          </cell>
        </row>
        <row r="1442">
          <cell r="A1442">
            <v>1129</v>
          </cell>
          <cell r="E1442" t="str">
            <v>기아모텍</v>
          </cell>
          <cell r="F1442" t="str">
            <v>A</v>
          </cell>
          <cell r="G1442" t="str">
            <v>TITAN</v>
          </cell>
          <cell r="I1442" t="str">
            <v>SL07 10 401</v>
          </cell>
          <cell r="J1442" t="str">
            <v>OIL PAN</v>
          </cell>
          <cell r="K1442" t="str">
            <v>금형</v>
          </cell>
          <cell r="L1442" t="str">
            <v>CAM PIE</v>
          </cell>
          <cell r="M1442">
            <v>1</v>
          </cell>
          <cell r="N1442">
            <v>8441000</v>
          </cell>
          <cell r="Y1442" t="str">
            <v>주물</v>
          </cell>
          <cell r="Z1442">
            <v>1.64</v>
          </cell>
          <cell r="AA1442" t="str">
            <v>640x1340x620</v>
          </cell>
          <cell r="AB1442" t="str">
            <v>87-1</v>
          </cell>
          <cell r="AG1442" t="str">
            <v>서해공업㈜ 반　</v>
          </cell>
          <cell r="AI1442" t="str">
            <v>영재정공</v>
          </cell>
        </row>
        <row r="1443">
          <cell r="A1443">
            <v>1130</v>
          </cell>
          <cell r="E1443" t="str">
            <v>기아모텍</v>
          </cell>
          <cell r="F1443" t="str">
            <v>A</v>
          </cell>
          <cell r="G1443" t="str">
            <v>TITAN</v>
          </cell>
          <cell r="I1443" t="str">
            <v>SL07 10 401</v>
          </cell>
          <cell r="J1443" t="str">
            <v>OIL PAN</v>
          </cell>
          <cell r="K1443" t="str">
            <v>금형</v>
          </cell>
          <cell r="L1443" t="str">
            <v>DR</v>
          </cell>
          <cell r="M1443">
            <v>1</v>
          </cell>
          <cell r="N1443">
            <v>8893000</v>
          </cell>
          <cell r="Y1443" t="str">
            <v>주물</v>
          </cell>
          <cell r="Z1443">
            <v>1.73</v>
          </cell>
          <cell r="AA1443" t="str">
            <v>1080x940x620</v>
          </cell>
          <cell r="AB1443" t="str">
            <v>87-1</v>
          </cell>
          <cell r="AG1443" t="str">
            <v>서해공업㈜ 반　</v>
          </cell>
          <cell r="AI1443" t="str">
            <v>영재정공</v>
          </cell>
        </row>
        <row r="1444">
          <cell r="A1444">
            <v>1131</v>
          </cell>
          <cell r="E1444" t="str">
            <v>기아모텍</v>
          </cell>
          <cell r="F1444" t="str">
            <v>C4</v>
          </cell>
          <cell r="G1444" t="str">
            <v>전차종</v>
          </cell>
          <cell r="H1444" t="str">
            <v>043701013762</v>
          </cell>
          <cell r="I1444" t="str">
            <v>US-652PW</v>
          </cell>
          <cell r="J1444" t="str">
            <v>조립공구A/DRIVER</v>
          </cell>
          <cell r="K1444" t="str">
            <v>치구</v>
          </cell>
          <cell r="M1444">
            <v>5</v>
          </cell>
          <cell r="N1444">
            <v>1250000</v>
          </cell>
          <cell r="AA1444" t="str">
            <v>xx</v>
          </cell>
          <cell r="AK1444" t="str">
            <v>확인 불가</v>
          </cell>
        </row>
        <row r="1445">
          <cell r="A1445">
            <v>1132</v>
          </cell>
          <cell r="E1445" t="str">
            <v>기아모텍</v>
          </cell>
          <cell r="F1445" t="str">
            <v>A</v>
          </cell>
          <cell r="G1445" t="str">
            <v>전차종</v>
          </cell>
          <cell r="H1445" t="str">
            <v>030901011914</v>
          </cell>
          <cell r="I1445" t="str">
            <v>VERNIER SCALE</v>
          </cell>
          <cell r="J1445" t="str">
            <v>LAY OUT M/C</v>
          </cell>
          <cell r="K1445" t="str">
            <v>설비</v>
          </cell>
          <cell r="M1445">
            <v>1</v>
          </cell>
          <cell r="N1445">
            <v>13500000</v>
          </cell>
          <cell r="Z1445">
            <v>0</v>
          </cell>
          <cell r="AA1445" t="str">
            <v>xx</v>
          </cell>
          <cell r="AB1445" t="str">
            <v>850710</v>
          </cell>
          <cell r="AI1445" t="str">
            <v>KMO 안산2공장</v>
          </cell>
        </row>
        <row r="1446">
          <cell r="A1446">
            <v>1133</v>
          </cell>
          <cell r="E1446" t="str">
            <v>기아모텍</v>
          </cell>
          <cell r="F1446" t="str">
            <v>B</v>
          </cell>
          <cell r="G1446" t="str">
            <v>BESTA RFA E/G</v>
          </cell>
          <cell r="H1446" t="str">
            <v>041102022511</v>
          </cell>
          <cell r="I1446" t="str">
            <v>VN01 10 401</v>
          </cell>
          <cell r="J1446" t="str">
            <v>PAN OIL</v>
          </cell>
          <cell r="K1446" t="str">
            <v>금형</v>
          </cell>
          <cell r="L1446" t="str">
            <v>5.PI</v>
          </cell>
          <cell r="M1446">
            <v>1</v>
          </cell>
          <cell r="N1446">
            <v>11860000</v>
          </cell>
          <cell r="Y1446" t="str">
            <v>주물</v>
          </cell>
          <cell r="Z1446">
            <v>2.0299999999999998</v>
          </cell>
          <cell r="AA1446" t="str">
            <v>1000x600x720</v>
          </cell>
          <cell r="AB1446" t="str">
            <v>92-4</v>
          </cell>
          <cell r="AG1446" t="str">
            <v>서해공업㈜ 반　</v>
          </cell>
          <cell r="AI1446" t="str">
            <v>영재정공</v>
          </cell>
        </row>
        <row r="1447">
          <cell r="A1447">
            <v>1134</v>
          </cell>
          <cell r="E1447" t="str">
            <v>기아모텍</v>
          </cell>
          <cell r="F1447" t="str">
            <v>B</v>
          </cell>
          <cell r="G1447" t="str">
            <v>BESTA RFA E/G</v>
          </cell>
          <cell r="H1447" t="str">
            <v>041102022511</v>
          </cell>
          <cell r="I1447" t="str">
            <v>VN01 10 401</v>
          </cell>
          <cell r="J1447" t="str">
            <v>PAN OIL</v>
          </cell>
          <cell r="K1447" t="str">
            <v>금형</v>
          </cell>
          <cell r="L1447" t="str">
            <v>4.FL</v>
          </cell>
          <cell r="M1447">
            <v>1</v>
          </cell>
          <cell r="N1447">
            <v>13775000</v>
          </cell>
          <cell r="Y1447" t="str">
            <v>주물</v>
          </cell>
          <cell r="Z1447">
            <v>2</v>
          </cell>
          <cell r="AA1447" t="str">
            <v>1140x600x620</v>
          </cell>
          <cell r="AB1447" t="str">
            <v>92-4</v>
          </cell>
          <cell r="AG1447" t="str">
            <v>서해공업㈜ 반　</v>
          </cell>
          <cell r="AI1447" t="str">
            <v>영재정공</v>
          </cell>
        </row>
        <row r="1448">
          <cell r="A1448">
            <v>1135</v>
          </cell>
          <cell r="E1448" t="str">
            <v>기아모텍</v>
          </cell>
          <cell r="F1448" t="str">
            <v>B</v>
          </cell>
          <cell r="G1448" t="str">
            <v>BESTA RFA E/G</v>
          </cell>
          <cell r="H1448" t="str">
            <v>041102022511</v>
          </cell>
          <cell r="I1448" t="str">
            <v>VN01 10 401</v>
          </cell>
          <cell r="J1448" t="str">
            <v>PAN OIL</v>
          </cell>
          <cell r="K1448" t="str">
            <v>금형</v>
          </cell>
          <cell r="L1448" t="str">
            <v>3.TR&amp;C/PI</v>
          </cell>
          <cell r="M1448">
            <v>1</v>
          </cell>
          <cell r="N1448">
            <v>15059000</v>
          </cell>
          <cell r="Y1448" t="str">
            <v>주물</v>
          </cell>
          <cell r="Z1448">
            <v>2.4700000000000002</v>
          </cell>
          <cell r="AA1448" t="str">
            <v>1140x640x720</v>
          </cell>
          <cell r="AB1448" t="str">
            <v>92-4</v>
          </cell>
          <cell r="AG1448" t="str">
            <v>서해공업㈜ 반　</v>
          </cell>
          <cell r="AI1448" t="str">
            <v>영재정공</v>
          </cell>
        </row>
        <row r="1449">
          <cell r="A1449">
            <v>1136</v>
          </cell>
          <cell r="E1449" t="str">
            <v>기아모텍</v>
          </cell>
          <cell r="F1449" t="str">
            <v>B</v>
          </cell>
          <cell r="G1449" t="str">
            <v>BESTA RFA E/G</v>
          </cell>
          <cell r="H1449" t="str">
            <v>041102022511</v>
          </cell>
          <cell r="I1449" t="str">
            <v>VN01 10 401</v>
          </cell>
          <cell r="J1449" t="str">
            <v>PAN OIL</v>
          </cell>
          <cell r="K1449" t="str">
            <v>금형</v>
          </cell>
          <cell r="L1449" t="str">
            <v>2.RE</v>
          </cell>
          <cell r="M1449">
            <v>1</v>
          </cell>
          <cell r="N1449">
            <v>17941000</v>
          </cell>
          <cell r="Y1449" t="str">
            <v>주물</v>
          </cell>
          <cell r="Z1449">
            <v>3.01</v>
          </cell>
          <cell r="AA1449" t="str">
            <v>1160x765x720</v>
          </cell>
          <cell r="AB1449" t="str">
            <v>92-4</v>
          </cell>
          <cell r="AG1449" t="str">
            <v>서해공업㈜ 반　</v>
          </cell>
          <cell r="AI1449" t="str">
            <v>영재정공</v>
          </cell>
        </row>
        <row r="1450">
          <cell r="A1450">
            <v>1137</v>
          </cell>
          <cell r="E1450" t="str">
            <v>기아모텍</v>
          </cell>
          <cell r="F1450" t="str">
            <v>B</v>
          </cell>
          <cell r="G1450" t="str">
            <v>BESTA RFA E/G</v>
          </cell>
          <cell r="H1450" t="str">
            <v>041102022511</v>
          </cell>
          <cell r="I1450" t="str">
            <v>VN01 10 401</v>
          </cell>
          <cell r="J1450" t="str">
            <v>PAN OIL</v>
          </cell>
          <cell r="K1450" t="str">
            <v>금형</v>
          </cell>
          <cell r="L1450" t="str">
            <v>1.DR</v>
          </cell>
          <cell r="M1450">
            <v>1</v>
          </cell>
          <cell r="N1450">
            <v>19273000</v>
          </cell>
          <cell r="Y1450" t="str">
            <v>주물</v>
          </cell>
          <cell r="Z1450">
            <v>2.5299999999999998</v>
          </cell>
          <cell r="AA1450" t="str">
            <v>1140x654x720</v>
          </cell>
          <cell r="AB1450" t="str">
            <v>92-4</v>
          </cell>
          <cell r="AG1450" t="str">
            <v>서해공업㈜ 반　</v>
          </cell>
          <cell r="AI1450" t="str">
            <v>영재정공</v>
          </cell>
        </row>
        <row r="1451">
          <cell r="A1451">
            <v>1138</v>
          </cell>
          <cell r="E1451" t="str">
            <v>기아모텍</v>
          </cell>
          <cell r="F1451" t="str">
            <v>A</v>
          </cell>
          <cell r="G1451" t="str">
            <v>전차종</v>
          </cell>
          <cell r="H1451" t="str">
            <v>030909010606</v>
          </cell>
          <cell r="J1451" t="str">
            <v>OIL PAN LEAK TESTER</v>
          </cell>
          <cell r="K1451" t="str">
            <v>설비</v>
          </cell>
          <cell r="M1451">
            <v>1</v>
          </cell>
          <cell r="N1451">
            <v>6500000</v>
          </cell>
          <cell r="Z1451">
            <v>0</v>
          </cell>
          <cell r="AA1451" t="str">
            <v>xx</v>
          </cell>
          <cell r="AB1451" t="str">
            <v>880618</v>
          </cell>
          <cell r="AG1451" t="str">
            <v>오주산업　　　　　</v>
          </cell>
          <cell r="AI1451" t="str">
            <v>영재정공</v>
          </cell>
        </row>
        <row r="1452">
          <cell r="A1452">
            <v>1139</v>
          </cell>
          <cell r="E1452" t="str">
            <v>기아모텍</v>
          </cell>
          <cell r="F1452" t="str">
            <v>B</v>
          </cell>
          <cell r="G1452" t="str">
            <v>PRIDE P037</v>
          </cell>
          <cell r="H1452" t="str">
            <v>042103010236</v>
          </cell>
          <cell r="J1452" t="str">
            <v>RR DOOR IN ASSY W/J R/L</v>
          </cell>
          <cell r="K1452" t="str">
            <v>치구</v>
          </cell>
          <cell r="L1452" t="str">
            <v>010ST</v>
          </cell>
          <cell r="M1452">
            <v>2</v>
          </cell>
          <cell r="N1452">
            <v>14000000</v>
          </cell>
          <cell r="Z1452">
            <v>0</v>
          </cell>
          <cell r="AA1452" t="str">
            <v>xx</v>
          </cell>
          <cell r="AB1452" t="str">
            <v>87-12-26</v>
          </cell>
          <cell r="AG1452" t="str">
            <v>우신SYS.</v>
          </cell>
          <cell r="AI1452" t="str">
            <v>KMO 안산2공장</v>
          </cell>
        </row>
        <row r="1453">
          <cell r="A1453">
            <v>1140</v>
          </cell>
          <cell r="E1453" t="str">
            <v>기아모텍</v>
          </cell>
          <cell r="F1453" t="str">
            <v>A</v>
          </cell>
          <cell r="G1453" t="str">
            <v>PRIDE P038</v>
          </cell>
          <cell r="H1453" t="str">
            <v>042103010246</v>
          </cell>
          <cell r="J1453" t="str">
            <v>RR DOOR HINGE &amp; WGW W/J</v>
          </cell>
          <cell r="K1453" t="str">
            <v>치구</v>
          </cell>
          <cell r="L1453" t="str">
            <v>060ST</v>
          </cell>
          <cell r="M1453">
            <v>2</v>
          </cell>
          <cell r="N1453">
            <v>18500000</v>
          </cell>
          <cell r="Z1453">
            <v>0</v>
          </cell>
          <cell r="AA1453" t="str">
            <v>xx</v>
          </cell>
          <cell r="AB1453" t="str">
            <v>87-12-26</v>
          </cell>
          <cell r="AG1453" t="str">
            <v>우신SYS.</v>
          </cell>
          <cell r="AI1453" t="str">
            <v>KMO 안산2공장</v>
          </cell>
        </row>
        <row r="1454">
          <cell r="A1454">
            <v>1140.0999755859375</v>
          </cell>
          <cell r="E1454" t="str">
            <v>기아모텍</v>
          </cell>
          <cell r="F1454" t="str">
            <v>A</v>
          </cell>
          <cell r="G1454" t="str">
            <v>PRIDE P038</v>
          </cell>
          <cell r="H1454" t="str">
            <v>042103010246</v>
          </cell>
          <cell r="J1454" t="str">
            <v>RR DOOR HINGE &amp; WGW W/J</v>
          </cell>
          <cell r="K1454" t="str">
            <v>치구</v>
          </cell>
          <cell r="L1454" t="str">
            <v>060ST</v>
          </cell>
          <cell r="M1454">
            <v>1</v>
          </cell>
          <cell r="N1454">
            <v>18500000</v>
          </cell>
          <cell r="Z1454">
            <v>0</v>
          </cell>
          <cell r="AA1454" t="str">
            <v>xx</v>
          </cell>
          <cell r="AB1454" t="str">
            <v>87-12-26</v>
          </cell>
          <cell r="AG1454" t="str">
            <v>우신SYS.</v>
          </cell>
          <cell r="AI1454" t="str">
            <v>KMO 안산2공장</v>
          </cell>
        </row>
        <row r="1455">
          <cell r="A1455">
            <v>1140.199951171875</v>
          </cell>
          <cell r="E1455" t="str">
            <v>기아모텍</v>
          </cell>
          <cell r="F1455" t="str">
            <v>A</v>
          </cell>
          <cell r="G1455" t="str">
            <v>PRIDE P038</v>
          </cell>
          <cell r="H1455" t="str">
            <v>042103010246</v>
          </cell>
          <cell r="J1455" t="str">
            <v>RR DOOR HINGE &amp; WGW W/J</v>
          </cell>
          <cell r="K1455" t="str">
            <v>치구</v>
          </cell>
          <cell r="L1455" t="str">
            <v>060ST</v>
          </cell>
          <cell r="M1455">
            <v>1</v>
          </cell>
          <cell r="N1455">
            <v>18500000</v>
          </cell>
          <cell r="Z1455">
            <v>0</v>
          </cell>
          <cell r="AA1455" t="str">
            <v>xx</v>
          </cell>
          <cell r="AB1455" t="str">
            <v>87-12-26</v>
          </cell>
          <cell r="AG1455" t="str">
            <v>우신SYS.</v>
          </cell>
          <cell r="AI1455" t="str">
            <v>KMO 안산2공장</v>
          </cell>
        </row>
        <row r="1456">
          <cell r="A1456">
            <v>1140.300048828125</v>
          </cell>
          <cell r="E1456" t="str">
            <v>기아모텍</v>
          </cell>
          <cell r="F1456" t="str">
            <v>A</v>
          </cell>
          <cell r="G1456" t="str">
            <v>PRIDE P038</v>
          </cell>
          <cell r="H1456" t="str">
            <v>042103010246</v>
          </cell>
          <cell r="J1456" t="str">
            <v>RR DOOR HINGE &amp; WGW W/J</v>
          </cell>
          <cell r="K1456" t="str">
            <v>치구</v>
          </cell>
          <cell r="L1456" t="str">
            <v>060ST</v>
          </cell>
          <cell r="M1456">
            <v>1</v>
          </cell>
          <cell r="N1456">
            <v>18500000</v>
          </cell>
          <cell r="Z1456">
            <v>0</v>
          </cell>
          <cell r="AA1456" t="str">
            <v>xx</v>
          </cell>
          <cell r="AB1456" t="str">
            <v>87-12-26</v>
          </cell>
          <cell r="AG1456" t="str">
            <v>우신SYS.</v>
          </cell>
          <cell r="AI1456" t="str">
            <v>KMO 안산2공장</v>
          </cell>
        </row>
        <row r="1457">
          <cell r="A1457">
            <v>1141</v>
          </cell>
          <cell r="E1457" t="str">
            <v>기아모텍</v>
          </cell>
          <cell r="F1457" t="str">
            <v>A</v>
          </cell>
          <cell r="G1457" t="str">
            <v>PRIDE P038</v>
          </cell>
          <cell r="H1457" t="str">
            <v>042104011605</v>
          </cell>
          <cell r="J1457" t="str">
            <v>FRT DOOR IN ASSY W/J</v>
          </cell>
          <cell r="K1457" t="str">
            <v>치구</v>
          </cell>
          <cell r="L1457" t="str">
            <v>020ST</v>
          </cell>
          <cell r="M1457">
            <v>1</v>
          </cell>
          <cell r="N1457">
            <v>36537752</v>
          </cell>
          <cell r="Z1457">
            <v>0</v>
          </cell>
          <cell r="AA1457" t="str">
            <v>xx</v>
          </cell>
          <cell r="AB1457" t="str">
            <v>88-03-31</v>
          </cell>
          <cell r="AG1457" t="str">
            <v>KIA</v>
          </cell>
          <cell r="AI1457" t="str">
            <v>KMO 안산2공장</v>
          </cell>
        </row>
        <row r="1458">
          <cell r="A1458">
            <v>1142</v>
          </cell>
          <cell r="E1458" t="str">
            <v>기아모텍</v>
          </cell>
          <cell r="F1458" t="str">
            <v>A</v>
          </cell>
          <cell r="G1458" t="str">
            <v>PRIDE</v>
          </cell>
          <cell r="H1458" t="str">
            <v>042104011615</v>
          </cell>
          <cell r="J1458" t="str">
            <v>RR DOOR LINE JIG MASTER</v>
          </cell>
          <cell r="K1458" t="str">
            <v>치구</v>
          </cell>
          <cell r="M1458">
            <v>1</v>
          </cell>
          <cell r="N1458">
            <v>11078779</v>
          </cell>
          <cell r="Z1458">
            <v>0</v>
          </cell>
          <cell r="AA1458" t="str">
            <v>xx</v>
          </cell>
          <cell r="AB1458" t="str">
            <v>88-03-31</v>
          </cell>
          <cell r="AG1458" t="str">
            <v>KIA</v>
          </cell>
          <cell r="AI1458" t="str">
            <v>KMO 안산2공장</v>
          </cell>
        </row>
        <row r="1459">
          <cell r="A1459">
            <v>1143</v>
          </cell>
          <cell r="E1459" t="str">
            <v>기아모텍</v>
          </cell>
          <cell r="F1459" t="str">
            <v>A</v>
          </cell>
          <cell r="G1459" t="str">
            <v>PRIDE</v>
          </cell>
          <cell r="H1459" t="str">
            <v>042104011835</v>
          </cell>
          <cell r="J1459" t="str">
            <v>HINGE ATTACHEMENT FIX.RL</v>
          </cell>
          <cell r="K1459" t="str">
            <v>치구</v>
          </cell>
          <cell r="L1459" t="str">
            <v>090ST</v>
          </cell>
          <cell r="M1459">
            <v>2</v>
          </cell>
          <cell r="N1459">
            <v>155848432</v>
          </cell>
          <cell r="AA1459" t="str">
            <v>xx</v>
          </cell>
          <cell r="AB1459" t="str">
            <v>87-01-04</v>
          </cell>
          <cell r="AG1459" t="str">
            <v>MAZDA</v>
          </cell>
          <cell r="AI1459" t="str">
            <v>일석산업</v>
          </cell>
        </row>
        <row r="1460">
          <cell r="A1460">
            <v>1143.0999755859375</v>
          </cell>
          <cell r="E1460" t="str">
            <v>기아모텍</v>
          </cell>
          <cell r="F1460" t="str">
            <v>A</v>
          </cell>
          <cell r="G1460" t="str">
            <v>PRIDE</v>
          </cell>
          <cell r="H1460" t="str">
            <v>042104011835</v>
          </cell>
          <cell r="J1460" t="str">
            <v>HINGE ATTACHEMENT FIX.RL</v>
          </cell>
          <cell r="K1460" t="str">
            <v>치구</v>
          </cell>
          <cell r="L1460" t="str">
            <v>090ST</v>
          </cell>
          <cell r="M1460">
            <v>1</v>
          </cell>
          <cell r="AA1460" t="str">
            <v>xx</v>
          </cell>
          <cell r="AB1460" t="str">
            <v>87-01-04</v>
          </cell>
          <cell r="AG1460" t="str">
            <v>MAZDA</v>
          </cell>
          <cell r="AI1460" t="str">
            <v>일석산업</v>
          </cell>
        </row>
        <row r="1461">
          <cell r="A1461">
            <v>1143.199951171875</v>
          </cell>
          <cell r="E1461" t="str">
            <v>기아모텍</v>
          </cell>
          <cell r="F1461" t="str">
            <v>A</v>
          </cell>
          <cell r="G1461" t="str">
            <v>PRIDE</v>
          </cell>
          <cell r="H1461" t="str">
            <v>042104011835</v>
          </cell>
          <cell r="J1461" t="str">
            <v>HINGE ATTACHEMENT FIX.RL</v>
          </cell>
          <cell r="K1461" t="str">
            <v>치구</v>
          </cell>
          <cell r="L1461" t="str">
            <v>090ST</v>
          </cell>
          <cell r="M1461">
            <v>1</v>
          </cell>
          <cell r="AA1461" t="str">
            <v>xx</v>
          </cell>
          <cell r="AB1461" t="str">
            <v>87-01-04</v>
          </cell>
          <cell r="AG1461" t="str">
            <v>MAZDA</v>
          </cell>
          <cell r="AI1461" t="str">
            <v>일석산업</v>
          </cell>
        </row>
        <row r="1462">
          <cell r="A1462">
            <v>1144</v>
          </cell>
          <cell r="E1462" t="str">
            <v>기아모텍</v>
          </cell>
          <cell r="F1462" t="str">
            <v>A</v>
          </cell>
          <cell r="G1462" t="str">
            <v>PRIDE</v>
          </cell>
          <cell r="H1462" t="str">
            <v>045111100012</v>
          </cell>
          <cell r="J1462" t="str">
            <v>OIL PAN전용 PALLET</v>
          </cell>
          <cell r="K1462" t="str">
            <v>치구</v>
          </cell>
          <cell r="L1462" t="str">
            <v>PALLET</v>
          </cell>
          <cell r="M1462">
            <v>10</v>
          </cell>
          <cell r="N1462">
            <v>3400000</v>
          </cell>
          <cell r="Z1462">
            <v>0</v>
          </cell>
          <cell r="AA1462" t="str">
            <v>xx</v>
          </cell>
          <cell r="AB1462" t="str">
            <v>86-12-30</v>
          </cell>
          <cell r="AG1462" t="str">
            <v>동화기계</v>
          </cell>
          <cell r="AI1462" t="str">
            <v>KMO 안산2공장</v>
          </cell>
        </row>
        <row r="1463">
          <cell r="A1463">
            <v>1145</v>
          </cell>
          <cell r="E1463" t="str">
            <v>기아모텍</v>
          </cell>
          <cell r="F1463" t="str">
            <v>A</v>
          </cell>
          <cell r="G1463" t="str">
            <v>PRIDE</v>
          </cell>
          <cell r="H1463" t="str">
            <v>045211100329</v>
          </cell>
          <cell r="J1463" t="str">
            <v>OIL PAN전용 PALLET</v>
          </cell>
          <cell r="K1463" t="str">
            <v>치구</v>
          </cell>
          <cell r="L1463" t="str">
            <v>PALLET</v>
          </cell>
          <cell r="M1463">
            <v>5</v>
          </cell>
          <cell r="N1463">
            <v>1700000</v>
          </cell>
          <cell r="Z1463">
            <v>0</v>
          </cell>
          <cell r="AA1463" t="str">
            <v>xx</v>
          </cell>
          <cell r="AB1463" t="str">
            <v>86-10-31</v>
          </cell>
          <cell r="AG1463" t="str">
            <v>동화기계</v>
          </cell>
          <cell r="AI1463" t="str">
            <v>KMO 안산2공장</v>
          </cell>
        </row>
        <row r="1464">
          <cell r="A1464">
            <v>1146</v>
          </cell>
          <cell r="E1464" t="str">
            <v>기아모텍</v>
          </cell>
          <cell r="F1464" t="str">
            <v>A</v>
          </cell>
          <cell r="G1464" t="str">
            <v>PRIDE P038</v>
          </cell>
          <cell r="H1464" t="str">
            <v>046201010461</v>
          </cell>
          <cell r="J1464" t="str">
            <v>RR DOOR EMBOSSING JIG RL</v>
          </cell>
          <cell r="K1464" t="str">
            <v>치구</v>
          </cell>
          <cell r="L1464" t="str">
            <v>050ST</v>
          </cell>
          <cell r="M1464">
            <v>2</v>
          </cell>
          <cell r="N1464">
            <v>43000000</v>
          </cell>
          <cell r="Z1464">
            <v>0</v>
          </cell>
          <cell r="AA1464" t="str">
            <v>xx</v>
          </cell>
          <cell r="AB1464" t="str">
            <v>87-12-31</v>
          </cell>
          <cell r="AG1464" t="str">
            <v>효진</v>
          </cell>
          <cell r="AI1464" t="str">
            <v>KMO 안산2공장</v>
          </cell>
        </row>
        <row r="1465">
          <cell r="A1465">
            <v>1147</v>
          </cell>
          <cell r="E1465" t="str">
            <v>기아모텍</v>
          </cell>
          <cell r="F1465" t="str">
            <v>A</v>
          </cell>
          <cell r="G1465" t="str">
            <v>PRIDE</v>
          </cell>
          <cell r="H1465" t="str">
            <v>046501012041</v>
          </cell>
          <cell r="J1465" t="str">
            <v>표준MESH PALLET</v>
          </cell>
          <cell r="K1465" t="str">
            <v>치구</v>
          </cell>
          <cell r="L1465" t="str">
            <v>PALLET</v>
          </cell>
          <cell r="M1465">
            <v>20</v>
          </cell>
          <cell r="N1465">
            <v>1900000</v>
          </cell>
          <cell r="Z1465">
            <v>0</v>
          </cell>
          <cell r="AA1465" t="str">
            <v>xx</v>
          </cell>
          <cell r="AB1465" t="str">
            <v>87-05-30</v>
          </cell>
          <cell r="AG1465" t="str">
            <v>협성기계</v>
          </cell>
          <cell r="AI1465" t="str">
            <v>KMO 안산2공장</v>
          </cell>
        </row>
        <row r="1466">
          <cell r="A1466">
            <v>1148</v>
          </cell>
          <cell r="E1466" t="str">
            <v>기아모텍</v>
          </cell>
          <cell r="F1466" t="str">
            <v>A</v>
          </cell>
          <cell r="G1466" t="str">
            <v>PRIDE</v>
          </cell>
          <cell r="H1466" t="str">
            <v>046501012171</v>
          </cell>
          <cell r="J1466" t="str">
            <v>Frt BUMPER 대차</v>
          </cell>
          <cell r="K1466" t="str">
            <v>치구</v>
          </cell>
          <cell r="L1466" t="str">
            <v>PALLET</v>
          </cell>
          <cell r="M1466">
            <v>65</v>
          </cell>
          <cell r="N1466">
            <v>16000000</v>
          </cell>
          <cell r="Z1466">
            <v>0</v>
          </cell>
          <cell r="AA1466" t="str">
            <v>xx</v>
          </cell>
          <cell r="AB1466" t="str">
            <v>87-07-30</v>
          </cell>
          <cell r="AG1466" t="str">
            <v>삼보정공</v>
          </cell>
          <cell r="AI1466" t="str">
            <v>광주 ㈜호원</v>
          </cell>
          <cell r="AJ1466" t="str">
            <v>창화공업</v>
          </cell>
          <cell r="AK1466" t="str">
            <v>KMC 직납</v>
          </cell>
        </row>
        <row r="1467">
          <cell r="A1467">
            <v>1149</v>
          </cell>
          <cell r="E1467" t="str">
            <v>기아모텍</v>
          </cell>
          <cell r="F1467" t="str">
            <v>A</v>
          </cell>
          <cell r="G1467" t="str">
            <v>PRIDE</v>
          </cell>
          <cell r="H1467" t="str">
            <v>046501012181</v>
          </cell>
          <cell r="J1467" t="str">
            <v>Rr. BUMPER 대차</v>
          </cell>
          <cell r="K1467" t="str">
            <v>치구</v>
          </cell>
          <cell r="L1467" t="str">
            <v>PALLET</v>
          </cell>
          <cell r="M1467">
            <v>60</v>
          </cell>
          <cell r="N1467">
            <v>15000000</v>
          </cell>
          <cell r="Z1467">
            <v>0</v>
          </cell>
          <cell r="AA1467" t="str">
            <v>xx</v>
          </cell>
          <cell r="AB1467" t="str">
            <v>87-07-30</v>
          </cell>
          <cell r="AG1467" t="str">
            <v>삼보정공</v>
          </cell>
          <cell r="AI1467" t="str">
            <v>광주 ㈜호원</v>
          </cell>
          <cell r="AJ1467" t="str">
            <v>창화공업</v>
          </cell>
          <cell r="AK1467" t="str">
            <v>KMC 직납</v>
          </cell>
        </row>
        <row r="1468">
          <cell r="A1468">
            <v>1150</v>
          </cell>
          <cell r="E1468" t="str">
            <v>기아모텍</v>
          </cell>
          <cell r="F1468" t="str">
            <v>B</v>
          </cell>
          <cell r="G1468" t="str">
            <v>PRIDE</v>
          </cell>
          <cell r="H1468" t="str">
            <v>046501012391</v>
          </cell>
          <cell r="J1468" t="str">
            <v>메시 파레트</v>
          </cell>
          <cell r="K1468" t="str">
            <v>치구</v>
          </cell>
          <cell r="L1468" t="str">
            <v>PALLET</v>
          </cell>
          <cell r="M1468">
            <v>70</v>
          </cell>
          <cell r="N1468">
            <v>8400000</v>
          </cell>
          <cell r="Z1468">
            <v>0</v>
          </cell>
          <cell r="AA1468" t="str">
            <v>xx</v>
          </cell>
          <cell r="AB1468" t="str">
            <v>87-11-30</v>
          </cell>
          <cell r="AG1468" t="str">
            <v>협성기계</v>
          </cell>
          <cell r="AI1468" t="str">
            <v>KMO 안산2공장</v>
          </cell>
        </row>
        <row r="1469">
          <cell r="A1469">
            <v>1151</v>
          </cell>
          <cell r="E1469" t="str">
            <v>기아모텍</v>
          </cell>
          <cell r="F1469" t="str">
            <v>B</v>
          </cell>
          <cell r="G1469" t="str">
            <v>CONCORD</v>
          </cell>
          <cell r="H1469" t="str">
            <v>046501012871</v>
          </cell>
          <cell r="J1469" t="str">
            <v>RR. BUMPER 전용대차</v>
          </cell>
          <cell r="K1469" t="str">
            <v>치구</v>
          </cell>
          <cell r="L1469" t="str">
            <v>PALLET</v>
          </cell>
          <cell r="M1469">
            <v>30</v>
          </cell>
          <cell r="N1469">
            <v>7500000</v>
          </cell>
          <cell r="Z1469">
            <v>0</v>
          </cell>
          <cell r="AA1469" t="str">
            <v>xx</v>
          </cell>
          <cell r="AB1469" t="str">
            <v>88-01-31</v>
          </cell>
          <cell r="AG1469" t="str">
            <v>동화기계</v>
          </cell>
          <cell r="AI1469" t="str">
            <v>대륭강업</v>
          </cell>
        </row>
        <row r="1470">
          <cell r="A1470">
            <v>1152</v>
          </cell>
          <cell r="E1470" t="str">
            <v>기아모텍</v>
          </cell>
          <cell r="F1470" t="str">
            <v>B</v>
          </cell>
          <cell r="G1470" t="str">
            <v>CONCORD</v>
          </cell>
          <cell r="H1470" t="str">
            <v>046501012881</v>
          </cell>
          <cell r="J1470" t="str">
            <v>FRT. BUMPER 전용대차</v>
          </cell>
          <cell r="K1470" t="str">
            <v>치구</v>
          </cell>
          <cell r="L1470" t="str">
            <v>PALLET</v>
          </cell>
          <cell r="M1470">
            <v>25</v>
          </cell>
          <cell r="N1470">
            <v>6150000</v>
          </cell>
          <cell r="Z1470">
            <v>0</v>
          </cell>
          <cell r="AA1470" t="str">
            <v>xx</v>
          </cell>
          <cell r="AB1470" t="str">
            <v>88-01-31</v>
          </cell>
          <cell r="AG1470" t="str">
            <v>동화기계</v>
          </cell>
          <cell r="AI1470" t="str">
            <v>KMO 안산2공장</v>
          </cell>
        </row>
        <row r="1471">
          <cell r="A1471">
            <v>1153</v>
          </cell>
          <cell r="E1471" t="str">
            <v>기아모텍</v>
          </cell>
          <cell r="F1471" t="str">
            <v>C4</v>
          </cell>
          <cell r="G1471" t="str">
            <v>CONCORD</v>
          </cell>
          <cell r="H1471" t="str">
            <v>046801012171</v>
          </cell>
          <cell r="J1471" t="str">
            <v>기동용 REACTOR</v>
          </cell>
          <cell r="K1471" t="str">
            <v>치구</v>
          </cell>
          <cell r="L1471" t="str">
            <v>440V 3.90KW</v>
          </cell>
          <cell r="M1471">
            <v>1</v>
          </cell>
          <cell r="N1471">
            <v>600000</v>
          </cell>
          <cell r="Z1471">
            <v>0</v>
          </cell>
          <cell r="AA1471" t="str">
            <v>xx</v>
          </cell>
          <cell r="AB1471" t="str">
            <v>87-09-30</v>
          </cell>
          <cell r="AG1471" t="str">
            <v>한성전기</v>
          </cell>
          <cell r="AK1471" t="str">
            <v>확인 불가</v>
          </cell>
        </row>
        <row r="1472">
          <cell r="A1472">
            <v>1154</v>
          </cell>
          <cell r="E1472" t="str">
            <v>기아모텍</v>
          </cell>
          <cell r="F1472" t="str">
            <v>C4</v>
          </cell>
          <cell r="G1472" t="str">
            <v>CONCORD</v>
          </cell>
          <cell r="H1472" t="str">
            <v>046801012181</v>
          </cell>
          <cell r="J1472" t="str">
            <v>기동용 REACTOR</v>
          </cell>
          <cell r="K1472" t="str">
            <v>치구</v>
          </cell>
          <cell r="L1472" t="str">
            <v>440V 3.75KW</v>
          </cell>
          <cell r="M1472">
            <v>1</v>
          </cell>
          <cell r="N1472">
            <v>500000</v>
          </cell>
          <cell r="Z1472">
            <v>0</v>
          </cell>
          <cell r="AA1472" t="str">
            <v>xx</v>
          </cell>
          <cell r="AB1472" t="str">
            <v>87-09-30</v>
          </cell>
          <cell r="AG1472" t="str">
            <v>한성전기</v>
          </cell>
          <cell r="AK1472" t="str">
            <v>확인 불가</v>
          </cell>
        </row>
        <row r="1473">
          <cell r="A1473">
            <v>1155</v>
          </cell>
          <cell r="E1473" t="str">
            <v>기아모텍</v>
          </cell>
          <cell r="F1473" t="str">
            <v>C4</v>
          </cell>
          <cell r="G1473" t="str">
            <v>전차종</v>
          </cell>
          <cell r="H1473" t="str">
            <v>046501013811</v>
          </cell>
          <cell r="J1473" t="str">
            <v>드럼운반구</v>
          </cell>
          <cell r="K1473" t="str">
            <v>치구</v>
          </cell>
          <cell r="M1473">
            <v>2</v>
          </cell>
          <cell r="N1473">
            <v>900000</v>
          </cell>
          <cell r="AA1473" t="str">
            <v>xx</v>
          </cell>
          <cell r="AK1473" t="str">
            <v>확인 불가</v>
          </cell>
        </row>
        <row r="1474">
          <cell r="A1474">
            <v>1156</v>
          </cell>
          <cell r="E1474" t="str">
            <v>기아모텍</v>
          </cell>
          <cell r="F1474" t="str">
            <v>C3</v>
          </cell>
          <cell r="G1474" t="str">
            <v>CONCORD W/G</v>
          </cell>
          <cell r="J1474" t="str">
            <v>MAIN JIG</v>
          </cell>
          <cell r="K1474" t="str">
            <v>치구</v>
          </cell>
          <cell r="L1474" t="str">
            <v>JIG</v>
          </cell>
          <cell r="M1474">
            <v>9</v>
          </cell>
          <cell r="N1474">
            <v>950000000</v>
          </cell>
          <cell r="AA1474" t="str">
            <v>xx</v>
          </cell>
          <cell r="AB1474" t="str">
            <v>96-9</v>
          </cell>
          <cell r="AG1474" t="str">
            <v>우신시스</v>
          </cell>
          <cell r="AI1474" t="str">
            <v>KMO 안산1공장</v>
          </cell>
        </row>
        <row r="1475">
          <cell r="A1475">
            <v>1157</v>
          </cell>
          <cell r="E1475" t="str">
            <v>기아모텍</v>
          </cell>
          <cell r="F1475" t="str">
            <v>A</v>
          </cell>
          <cell r="G1475" t="str">
            <v>PRIDE P037</v>
          </cell>
          <cell r="J1475" t="str">
            <v>INST PANEL 대차</v>
          </cell>
          <cell r="K1475" t="str">
            <v>설비</v>
          </cell>
          <cell r="L1475" t="str">
            <v>PALLET</v>
          </cell>
          <cell r="M1475">
            <v>1</v>
          </cell>
          <cell r="N1475">
            <v>250000</v>
          </cell>
          <cell r="AA1475" t="str">
            <v>xx</v>
          </cell>
          <cell r="AB1475" t="str">
            <v>87-01-30</v>
          </cell>
          <cell r="AI1475" t="str">
            <v>KMO 광주공장</v>
          </cell>
        </row>
        <row r="1476">
          <cell r="A1476">
            <v>1158</v>
          </cell>
          <cell r="E1476" t="str">
            <v>기아모텍</v>
          </cell>
          <cell r="F1476" t="str">
            <v>A</v>
          </cell>
          <cell r="G1476" t="str">
            <v>PRIDE P031</v>
          </cell>
          <cell r="J1476" t="str">
            <v>T/S TRIM 대차</v>
          </cell>
          <cell r="K1476" t="str">
            <v>설비</v>
          </cell>
          <cell r="L1476" t="str">
            <v>PALLET</v>
          </cell>
          <cell r="M1476">
            <v>45</v>
          </cell>
          <cell r="N1476">
            <v>7425000</v>
          </cell>
          <cell r="Z1476">
            <v>0</v>
          </cell>
          <cell r="AA1476" t="str">
            <v>xx</v>
          </cell>
          <cell r="AB1476" t="str">
            <v>87-06-30</v>
          </cell>
          <cell r="AG1476" t="str">
            <v>KIA,효진</v>
          </cell>
          <cell r="AI1476" t="str">
            <v>광주 제일산업</v>
          </cell>
        </row>
        <row r="1477">
          <cell r="A1477">
            <v>1159</v>
          </cell>
          <cell r="E1477" t="str">
            <v>기아모텍</v>
          </cell>
          <cell r="F1477" t="str">
            <v>A</v>
          </cell>
          <cell r="G1477" t="str">
            <v>AVELLA</v>
          </cell>
          <cell r="H1477" t="str">
            <v>041101123873</v>
          </cell>
          <cell r="J1477" t="str">
            <v>MUD GUARD R/L</v>
          </cell>
          <cell r="K1477" t="str">
            <v>금형</v>
          </cell>
          <cell r="M1477">
            <v>1</v>
          </cell>
          <cell r="N1477">
            <v>37930622</v>
          </cell>
          <cell r="AA1477" t="str">
            <v>xx</v>
          </cell>
          <cell r="AI1477" t="str">
            <v>㈜태진</v>
          </cell>
          <cell r="AK1477" t="str">
            <v>#448과 중복</v>
          </cell>
        </row>
        <row r="1478">
          <cell r="A1478">
            <v>1160</v>
          </cell>
          <cell r="E1478" t="str">
            <v>기아모텍</v>
          </cell>
          <cell r="F1478" t="str">
            <v>A</v>
          </cell>
          <cell r="G1478" t="str">
            <v>AVELLA</v>
          </cell>
          <cell r="H1478" t="str">
            <v>041101123883</v>
          </cell>
          <cell r="J1478" t="str">
            <v>MUD GUARD R/L</v>
          </cell>
          <cell r="K1478" t="str">
            <v>금형</v>
          </cell>
          <cell r="M1478">
            <v>1</v>
          </cell>
          <cell r="N1478">
            <v>37930622</v>
          </cell>
          <cell r="AA1478" t="str">
            <v>xx</v>
          </cell>
          <cell r="AI1478" t="str">
            <v>㈜태진</v>
          </cell>
          <cell r="AK1478" t="str">
            <v>#449와 중복</v>
          </cell>
        </row>
        <row r="1479">
          <cell r="A1479">
            <v>1161</v>
          </cell>
          <cell r="E1479" t="str">
            <v>기아모텍</v>
          </cell>
          <cell r="F1479" t="str">
            <v>A</v>
          </cell>
          <cell r="G1479" t="str">
            <v>AVELLA</v>
          </cell>
          <cell r="H1479" t="str">
            <v>041101123893</v>
          </cell>
          <cell r="J1479" t="str">
            <v>MUD GUARD R/L</v>
          </cell>
          <cell r="K1479" t="str">
            <v>금형</v>
          </cell>
          <cell r="M1479">
            <v>1</v>
          </cell>
          <cell r="N1479">
            <v>58461309</v>
          </cell>
          <cell r="AA1479" t="str">
            <v>xx</v>
          </cell>
          <cell r="AI1479" t="str">
            <v>㈜태진</v>
          </cell>
          <cell r="AK1479" t="str">
            <v>#447과 중복</v>
          </cell>
        </row>
        <row r="1480">
          <cell r="A1480">
            <v>1162</v>
          </cell>
          <cell r="E1480" t="str">
            <v>기아모텍</v>
          </cell>
          <cell r="F1480" t="str">
            <v>A</v>
          </cell>
          <cell r="G1480" t="str">
            <v>SPORTAGE</v>
          </cell>
          <cell r="H1480" t="str">
            <v>041101123903</v>
          </cell>
          <cell r="J1480" t="str">
            <v>SCUFF PLATE R/L</v>
          </cell>
          <cell r="K1480" t="str">
            <v>금형</v>
          </cell>
          <cell r="M1480">
            <v>1</v>
          </cell>
          <cell r="N1480">
            <v>19184950</v>
          </cell>
          <cell r="Z1480">
            <v>8.3932199999999995</v>
          </cell>
          <cell r="AA1480" t="str">
            <v>1500x1100x720</v>
          </cell>
          <cell r="AI1480" t="str">
            <v>태광공업</v>
          </cell>
          <cell r="AK1480" t="str">
            <v>#366과 중복</v>
          </cell>
        </row>
        <row r="1481">
          <cell r="A1481">
            <v>1163</v>
          </cell>
          <cell r="E1481" t="str">
            <v>기아모텍</v>
          </cell>
          <cell r="F1481" t="str">
            <v>A</v>
          </cell>
          <cell r="G1481" t="str">
            <v>SPORTAGE</v>
          </cell>
          <cell r="H1481" t="str">
            <v>041101123913</v>
          </cell>
          <cell r="J1481" t="str">
            <v>KNEE BOLSTER</v>
          </cell>
          <cell r="K1481" t="str">
            <v>금형</v>
          </cell>
          <cell r="M1481">
            <v>3</v>
          </cell>
          <cell r="N1481">
            <v>30146138</v>
          </cell>
          <cell r="AA1481" t="str">
            <v>xx</v>
          </cell>
          <cell r="AI1481" t="str">
            <v>㈜태진</v>
          </cell>
          <cell r="AK1481" t="str">
            <v>#359,360과 중복</v>
          </cell>
        </row>
        <row r="1482">
          <cell r="A1482">
            <v>1164</v>
          </cell>
          <cell r="E1482" t="str">
            <v>기아모텍</v>
          </cell>
          <cell r="F1482" t="str">
            <v>A</v>
          </cell>
          <cell r="G1482" t="str">
            <v>SPORTAGE</v>
          </cell>
          <cell r="H1482" t="str">
            <v>041101123923</v>
          </cell>
          <cell r="I1482" t="str">
            <v>K013 60 402</v>
          </cell>
          <cell r="J1482" t="str">
            <v>INPANEL CORE</v>
          </cell>
          <cell r="K1482" t="str">
            <v>금형</v>
          </cell>
          <cell r="M1482">
            <v>1</v>
          </cell>
          <cell r="N1482">
            <v>87120025</v>
          </cell>
          <cell r="Y1482" t="str">
            <v>주물</v>
          </cell>
          <cell r="Z1482">
            <v>22.124942399999998</v>
          </cell>
          <cell r="AA1482" t="str">
            <v>2200x1360x1570</v>
          </cell>
          <cell r="AI1482" t="str">
            <v>KMO 구로공장</v>
          </cell>
        </row>
        <row r="1483">
          <cell r="A1483">
            <v>1165</v>
          </cell>
          <cell r="E1483" t="str">
            <v>기아모텍</v>
          </cell>
          <cell r="F1483" t="str">
            <v>A</v>
          </cell>
          <cell r="G1483" t="str">
            <v>SPORTAGE</v>
          </cell>
          <cell r="H1483" t="str">
            <v>041101123933</v>
          </cell>
          <cell r="J1483" t="str">
            <v>INPANEL PAD</v>
          </cell>
          <cell r="K1483" t="str">
            <v>금형</v>
          </cell>
          <cell r="M1483">
            <v>4</v>
          </cell>
          <cell r="N1483">
            <v>125854260</v>
          </cell>
          <cell r="Y1483" t="str">
            <v>주물</v>
          </cell>
          <cell r="AA1483" t="str">
            <v>xx</v>
          </cell>
          <cell r="AI1483" t="str">
            <v>KMO 구로공장</v>
          </cell>
        </row>
        <row r="1484">
          <cell r="A1484">
            <v>1166</v>
          </cell>
          <cell r="E1484" t="str">
            <v>기아모텍</v>
          </cell>
          <cell r="F1484" t="str">
            <v>A</v>
          </cell>
          <cell r="G1484" t="str">
            <v>SPORTAGE</v>
          </cell>
          <cell r="H1484" t="str">
            <v>041101123933</v>
          </cell>
          <cell r="J1484" t="str">
            <v>INPANEL PAD</v>
          </cell>
          <cell r="K1484" t="str">
            <v>금형</v>
          </cell>
          <cell r="M1484">
            <v>1</v>
          </cell>
          <cell r="Y1484" t="str">
            <v>주물</v>
          </cell>
          <cell r="Z1484">
            <v>6.8445720000000003</v>
          </cell>
          <cell r="AA1484" t="str">
            <v>1730x800x1050</v>
          </cell>
          <cell r="AI1484" t="str">
            <v>KMO 구로공장</v>
          </cell>
        </row>
        <row r="1485">
          <cell r="A1485">
            <v>1167</v>
          </cell>
          <cell r="E1485" t="str">
            <v>기아모텍</v>
          </cell>
          <cell r="F1485" t="str">
            <v>A</v>
          </cell>
          <cell r="G1485" t="str">
            <v>SPORTAGE</v>
          </cell>
          <cell r="H1485" t="str">
            <v>041101123933</v>
          </cell>
          <cell r="J1485" t="str">
            <v>INPANEL PAD</v>
          </cell>
          <cell r="K1485" t="str">
            <v>금형</v>
          </cell>
          <cell r="M1485">
            <v>1</v>
          </cell>
          <cell r="Y1485" t="str">
            <v>주물</v>
          </cell>
          <cell r="Z1485">
            <v>6.8445720000000003</v>
          </cell>
          <cell r="AA1485" t="str">
            <v>1730x800x1050</v>
          </cell>
          <cell r="AI1485" t="str">
            <v>KMO 구로공장</v>
          </cell>
        </row>
        <row r="1486">
          <cell r="A1486">
            <v>1168</v>
          </cell>
          <cell r="E1486" t="str">
            <v>기아모텍</v>
          </cell>
          <cell r="F1486" t="str">
            <v>A</v>
          </cell>
          <cell r="G1486" t="str">
            <v>SPORTAGE</v>
          </cell>
          <cell r="H1486" t="str">
            <v>041101123933</v>
          </cell>
          <cell r="J1486" t="str">
            <v>INPANEL PAD</v>
          </cell>
          <cell r="K1486" t="str">
            <v>금형</v>
          </cell>
          <cell r="M1486">
            <v>1</v>
          </cell>
          <cell r="Y1486" t="str">
            <v>주물</v>
          </cell>
          <cell r="Z1486">
            <v>6.8445720000000003</v>
          </cell>
          <cell r="AA1486" t="str">
            <v>1730x800x1050</v>
          </cell>
          <cell r="AI1486" t="str">
            <v>KMO 구로공장</v>
          </cell>
        </row>
        <row r="1487">
          <cell r="A1487">
            <v>1169</v>
          </cell>
          <cell r="E1487" t="str">
            <v>기아모텍</v>
          </cell>
          <cell r="F1487" t="str">
            <v>A</v>
          </cell>
          <cell r="G1487" t="str">
            <v>SPORTAGE</v>
          </cell>
          <cell r="H1487" t="str">
            <v>041101123933</v>
          </cell>
          <cell r="J1487" t="str">
            <v>INPANEL PAD</v>
          </cell>
          <cell r="K1487" t="str">
            <v>금형</v>
          </cell>
          <cell r="M1487">
            <v>1</v>
          </cell>
          <cell r="Y1487" t="str">
            <v>주물</v>
          </cell>
          <cell r="Z1487">
            <v>6.8445720000000003</v>
          </cell>
          <cell r="AA1487" t="str">
            <v>1730x800x1050</v>
          </cell>
          <cell r="AI1487" t="str">
            <v>KMO 구로공장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書"/>
      <sheetName val="別紙 "/>
      <sheetName val="別紙2"/>
      <sheetName val="データ  (6)"/>
      <sheetName val="データ  (7)"/>
      <sheetName val="データ  (3)"/>
      <sheetName val="データ  (4)"/>
      <sheetName val="データ  (5)"/>
      <sheetName val="KMO"/>
      <sheetName val="DataSheet"/>
      <sheetName val="목록"/>
      <sheetName val="data"/>
      <sheetName val="주행"/>
    </sheetNames>
    <sheetDataSet>
      <sheetData sheetId="0" refreshError="1">
        <row r="15">
          <cell r="M15" t="str">
            <v>Penett® 調査結果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N26:AM35"/>
  <sheetViews>
    <sheetView showGridLines="0" view="pageBreakPreview" zoomScale="85" zoomScaleNormal="85" zoomScaleSheetLayoutView="85" workbookViewId="0">
      <selection activeCell="BY23" sqref="BY23"/>
    </sheetView>
  </sheetViews>
  <sheetFormatPr defaultColWidth="2.6640625" defaultRowHeight="15.6"/>
  <cols>
    <col min="1" max="16384" width="2.6640625" style="173"/>
  </cols>
  <sheetData>
    <row r="26" spans="14:39" ht="12" customHeight="1">
      <c r="N26" s="172"/>
      <c r="O26" s="172"/>
      <c r="P26" s="172"/>
      <c r="Q26" s="172"/>
      <c r="R26" s="172"/>
      <c r="S26" s="172"/>
      <c r="T26" s="667" t="s">
        <v>1</v>
      </c>
      <c r="U26" s="667"/>
      <c r="V26" s="667"/>
      <c r="W26" s="667"/>
      <c r="X26" s="667"/>
      <c r="Y26" s="667"/>
      <c r="Z26" s="667"/>
      <c r="AA26" s="667"/>
      <c r="AB26" s="667"/>
      <c r="AC26" s="667"/>
      <c r="AD26" s="667"/>
      <c r="AE26" s="667"/>
      <c r="AF26" s="667"/>
      <c r="AG26" s="667"/>
      <c r="AH26" s="667"/>
      <c r="AI26" s="172"/>
      <c r="AJ26" s="172"/>
      <c r="AK26" s="172"/>
      <c r="AL26" s="172"/>
      <c r="AM26" s="172"/>
    </row>
    <row r="27" spans="14:39" ht="12" customHeight="1">
      <c r="N27" s="172"/>
      <c r="O27" s="172"/>
      <c r="P27" s="172"/>
      <c r="Q27" s="172"/>
      <c r="R27" s="172"/>
      <c r="S27" s="172"/>
      <c r="T27" s="667"/>
      <c r="U27" s="667"/>
      <c r="V27" s="667"/>
      <c r="W27" s="667"/>
      <c r="X27" s="667"/>
      <c r="Y27" s="667"/>
      <c r="Z27" s="667"/>
      <c r="AA27" s="667"/>
      <c r="AB27" s="667"/>
      <c r="AC27" s="667"/>
      <c r="AD27" s="667"/>
      <c r="AE27" s="667"/>
      <c r="AF27" s="667"/>
      <c r="AG27" s="667"/>
      <c r="AH27" s="667"/>
      <c r="AI27" s="172"/>
      <c r="AJ27" s="172"/>
      <c r="AK27" s="172"/>
      <c r="AL27" s="172"/>
      <c r="AM27" s="172"/>
    </row>
    <row r="28" spans="14:39" ht="12" customHeight="1">
      <c r="T28" s="174"/>
      <c r="U28" s="174"/>
    </row>
    <row r="29" spans="14:39" ht="12" customHeight="1">
      <c r="R29" s="668" t="s">
        <v>97</v>
      </c>
      <c r="S29" s="669"/>
      <c r="T29" s="669"/>
      <c r="U29" s="670"/>
      <c r="V29" s="677" t="s">
        <v>98</v>
      </c>
      <c r="W29" s="678"/>
      <c r="X29" s="678"/>
      <c r="Y29" s="678"/>
      <c r="Z29" s="679"/>
      <c r="AA29" s="677" t="s">
        <v>99</v>
      </c>
      <c r="AB29" s="678"/>
      <c r="AC29" s="678"/>
      <c r="AD29" s="678"/>
      <c r="AE29" s="679"/>
      <c r="AF29" s="677" t="s">
        <v>100</v>
      </c>
      <c r="AG29" s="678"/>
      <c r="AH29" s="678"/>
      <c r="AI29" s="678"/>
      <c r="AJ29" s="683"/>
    </row>
    <row r="30" spans="14:39" ht="12" customHeight="1">
      <c r="R30" s="671"/>
      <c r="S30" s="672"/>
      <c r="T30" s="672"/>
      <c r="U30" s="673"/>
      <c r="V30" s="680"/>
      <c r="W30" s="681"/>
      <c r="X30" s="681"/>
      <c r="Y30" s="681"/>
      <c r="Z30" s="682"/>
      <c r="AA30" s="680"/>
      <c r="AB30" s="681"/>
      <c r="AC30" s="681"/>
      <c r="AD30" s="681"/>
      <c r="AE30" s="682"/>
      <c r="AF30" s="680"/>
      <c r="AG30" s="681"/>
      <c r="AH30" s="681"/>
      <c r="AI30" s="681"/>
      <c r="AJ30" s="684"/>
    </row>
    <row r="31" spans="14:39" ht="12" customHeight="1">
      <c r="R31" s="671"/>
      <c r="S31" s="672"/>
      <c r="T31" s="672"/>
      <c r="U31" s="673"/>
      <c r="V31" s="677"/>
      <c r="W31" s="678"/>
      <c r="X31" s="678"/>
      <c r="Y31" s="678"/>
      <c r="Z31" s="679"/>
      <c r="AA31" s="691"/>
      <c r="AB31" s="692"/>
      <c r="AC31" s="692"/>
      <c r="AD31" s="692"/>
      <c r="AE31" s="693"/>
      <c r="AF31" s="677"/>
      <c r="AG31" s="678"/>
      <c r="AH31" s="678"/>
      <c r="AI31" s="678"/>
      <c r="AJ31" s="683"/>
    </row>
    <row r="32" spans="14:39">
      <c r="R32" s="671"/>
      <c r="S32" s="672"/>
      <c r="T32" s="672"/>
      <c r="U32" s="673"/>
      <c r="V32" s="685"/>
      <c r="W32" s="686"/>
      <c r="X32" s="686"/>
      <c r="Y32" s="686"/>
      <c r="Z32" s="687"/>
      <c r="AA32" s="694"/>
      <c r="AB32" s="695"/>
      <c r="AC32" s="695"/>
      <c r="AD32" s="695"/>
      <c r="AE32" s="696"/>
      <c r="AF32" s="685"/>
      <c r="AG32" s="686"/>
      <c r="AH32" s="686"/>
      <c r="AI32" s="686"/>
      <c r="AJ32" s="700"/>
    </row>
    <row r="33" spans="14:39" ht="12" customHeight="1">
      <c r="N33" s="176"/>
      <c r="O33" s="176"/>
      <c r="P33" s="176"/>
      <c r="Q33" s="176"/>
      <c r="R33" s="671"/>
      <c r="S33" s="672"/>
      <c r="T33" s="672"/>
      <c r="U33" s="673"/>
      <c r="V33" s="685"/>
      <c r="W33" s="686"/>
      <c r="X33" s="686"/>
      <c r="Y33" s="686"/>
      <c r="Z33" s="687"/>
      <c r="AA33" s="694"/>
      <c r="AB33" s="695"/>
      <c r="AC33" s="695"/>
      <c r="AD33" s="695"/>
      <c r="AE33" s="696"/>
      <c r="AF33" s="685"/>
      <c r="AG33" s="686"/>
      <c r="AH33" s="686"/>
      <c r="AI33" s="686"/>
      <c r="AJ33" s="700"/>
      <c r="AK33" s="176"/>
      <c r="AL33" s="176"/>
      <c r="AM33" s="176"/>
    </row>
    <row r="34" spans="14:39" ht="17.25" customHeight="1">
      <c r="N34" s="176"/>
      <c r="O34" s="176"/>
      <c r="P34" s="176"/>
      <c r="Q34" s="176"/>
      <c r="R34" s="674"/>
      <c r="S34" s="675"/>
      <c r="T34" s="675"/>
      <c r="U34" s="676"/>
      <c r="V34" s="688"/>
      <c r="W34" s="689"/>
      <c r="X34" s="689"/>
      <c r="Y34" s="689"/>
      <c r="Z34" s="690"/>
      <c r="AA34" s="697"/>
      <c r="AB34" s="698"/>
      <c r="AC34" s="698"/>
      <c r="AD34" s="698"/>
      <c r="AE34" s="699"/>
      <c r="AF34" s="688"/>
      <c r="AG34" s="689"/>
      <c r="AH34" s="689"/>
      <c r="AI34" s="689"/>
      <c r="AJ34" s="701"/>
      <c r="AK34" s="176"/>
      <c r="AL34" s="176"/>
      <c r="AM34" s="176"/>
    </row>
    <row r="35" spans="14:39" ht="17.25" customHeight="1">
      <c r="N35" s="176"/>
      <c r="O35" s="176"/>
      <c r="P35" s="176"/>
      <c r="Q35" s="176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6"/>
      <c r="AL35" s="176"/>
      <c r="AM35" s="176"/>
    </row>
  </sheetData>
  <mergeCells count="8">
    <mergeCell ref="T26:AH27"/>
    <mergeCell ref="R29:U34"/>
    <mergeCell ref="V29:Z30"/>
    <mergeCell ref="AA29:AE30"/>
    <mergeCell ref="AF29:AJ30"/>
    <mergeCell ref="V31:Z34"/>
    <mergeCell ref="AA31:AE34"/>
    <mergeCell ref="AF31:AJ34"/>
  </mergeCells>
  <phoneticPr fontId="2"/>
  <printOptions horizontalCentered="1" verticalCentered="1"/>
  <pageMargins left="0.59" right="0.59" top="0.59" bottom="0.59" header="0.31" footer="0.31"/>
  <pageSetup paperSize="9" scale="7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32DF-DFDA-40B9-92AE-B11E30471AFC}">
  <dimension ref="A1:AZ34"/>
  <sheetViews>
    <sheetView view="pageBreakPreview" zoomScaleNormal="100" zoomScaleSheetLayoutView="100" workbookViewId="0">
      <selection activeCell="J16" sqref="J16:AP16"/>
    </sheetView>
  </sheetViews>
  <sheetFormatPr defaultColWidth="2.6640625" defaultRowHeight="13.5" customHeight="1"/>
  <cols>
    <col min="1" max="23" width="2.6640625" style="3" customWidth="1"/>
    <col min="24" max="24" width="2.44140625" style="3" customWidth="1"/>
    <col min="25" max="41" width="2.6640625" style="3" customWidth="1"/>
    <col min="42" max="16384" width="2.6640625" style="3"/>
  </cols>
  <sheetData>
    <row r="1" spans="1:52" ht="30" customHeight="1" thickBot="1">
      <c r="A1" s="1"/>
      <c r="B1" s="1"/>
      <c r="C1" s="1" t="s">
        <v>14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6" customHeight="1" thickTop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3.5" customHeight="1" thickTop="1"/>
    <row r="4" spans="1:52" ht="9" customHeight="1" thickBot="1">
      <c r="B4" s="3" t="s">
        <v>15</v>
      </c>
    </row>
    <row r="5" spans="1:52" ht="30" customHeight="1" thickBot="1">
      <c r="C5" s="702" t="s">
        <v>16</v>
      </c>
      <c r="D5" s="703"/>
      <c r="E5" s="704"/>
      <c r="F5" s="705" t="s">
        <v>17</v>
      </c>
      <c r="G5" s="703"/>
      <c r="H5" s="703"/>
      <c r="I5" s="704"/>
      <c r="J5" s="705" t="s">
        <v>18</v>
      </c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  <c r="Y5" s="703"/>
      <c r="Z5" s="703"/>
      <c r="AA5" s="703"/>
      <c r="AB5" s="703"/>
      <c r="AC5" s="703"/>
      <c r="AD5" s="703"/>
      <c r="AE5" s="703"/>
      <c r="AF5" s="703"/>
      <c r="AG5" s="703"/>
      <c r="AH5" s="703"/>
      <c r="AI5" s="703"/>
      <c r="AJ5" s="703"/>
      <c r="AK5" s="703"/>
      <c r="AL5" s="703"/>
      <c r="AM5" s="703"/>
      <c r="AN5" s="703"/>
      <c r="AO5" s="703"/>
      <c r="AP5" s="704"/>
      <c r="AQ5" s="705" t="s">
        <v>19</v>
      </c>
      <c r="AR5" s="703"/>
      <c r="AS5" s="703"/>
      <c r="AT5" s="704"/>
      <c r="AU5" s="705" t="s">
        <v>20</v>
      </c>
      <c r="AV5" s="703"/>
      <c r="AW5" s="703"/>
      <c r="AX5" s="706"/>
    </row>
    <row r="6" spans="1:52" ht="30" customHeight="1">
      <c r="C6" s="707">
        <v>1</v>
      </c>
      <c r="D6" s="708"/>
      <c r="E6" s="709"/>
      <c r="F6" s="710">
        <v>45482</v>
      </c>
      <c r="G6" s="708"/>
      <c r="H6" s="708"/>
      <c r="I6" s="709"/>
      <c r="J6" s="711" t="s">
        <v>109</v>
      </c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  <c r="Y6" s="712"/>
      <c r="Z6" s="712"/>
      <c r="AA6" s="712"/>
      <c r="AB6" s="712"/>
      <c r="AC6" s="712"/>
      <c r="AD6" s="712"/>
      <c r="AE6" s="712"/>
      <c r="AF6" s="712"/>
      <c r="AG6" s="712"/>
      <c r="AH6" s="712"/>
      <c r="AI6" s="712"/>
      <c r="AJ6" s="712"/>
      <c r="AK6" s="712"/>
      <c r="AL6" s="712"/>
      <c r="AM6" s="712"/>
      <c r="AN6" s="712"/>
      <c r="AO6" s="712"/>
      <c r="AP6" s="713"/>
      <c r="AQ6" s="714"/>
      <c r="AR6" s="708"/>
      <c r="AS6" s="708"/>
      <c r="AT6" s="709"/>
      <c r="AU6" s="714"/>
      <c r="AV6" s="708"/>
      <c r="AW6" s="708"/>
      <c r="AX6" s="715"/>
    </row>
    <row r="7" spans="1:52" ht="30" customHeight="1">
      <c r="C7" s="716">
        <v>2</v>
      </c>
      <c r="D7" s="717"/>
      <c r="E7" s="718"/>
      <c r="F7" s="710">
        <v>45490</v>
      </c>
      <c r="G7" s="708"/>
      <c r="H7" s="708"/>
      <c r="I7" s="709"/>
      <c r="J7" s="719" t="s">
        <v>74</v>
      </c>
      <c r="K7" s="720"/>
      <c r="L7" s="720"/>
      <c r="M7" s="720"/>
      <c r="N7" s="720"/>
      <c r="O7" s="720"/>
      <c r="P7" s="720"/>
      <c r="Q7" s="720"/>
      <c r="R7" s="720"/>
      <c r="S7" s="720"/>
      <c r="T7" s="720"/>
      <c r="U7" s="720"/>
      <c r="V7" s="720"/>
      <c r="W7" s="720"/>
      <c r="X7" s="720"/>
      <c r="Y7" s="720"/>
      <c r="Z7" s="720"/>
      <c r="AA7" s="720"/>
      <c r="AB7" s="720"/>
      <c r="AC7" s="720"/>
      <c r="AD7" s="720"/>
      <c r="AE7" s="720"/>
      <c r="AF7" s="720"/>
      <c r="AG7" s="720"/>
      <c r="AH7" s="720"/>
      <c r="AI7" s="720"/>
      <c r="AJ7" s="720"/>
      <c r="AK7" s="720"/>
      <c r="AL7" s="720"/>
      <c r="AM7" s="720"/>
      <c r="AN7" s="720"/>
      <c r="AO7" s="720"/>
      <c r="AP7" s="721"/>
      <c r="AQ7" s="722"/>
      <c r="AR7" s="717"/>
      <c r="AS7" s="717"/>
      <c r="AT7" s="718"/>
      <c r="AU7" s="722"/>
      <c r="AV7" s="717"/>
      <c r="AW7" s="717"/>
      <c r="AX7" s="723"/>
    </row>
    <row r="8" spans="1:52" ht="30" customHeight="1">
      <c r="C8" s="716">
        <v>3</v>
      </c>
      <c r="D8" s="717"/>
      <c r="E8" s="718"/>
      <c r="F8" s="724"/>
      <c r="G8" s="717"/>
      <c r="H8" s="717"/>
      <c r="I8" s="718"/>
      <c r="J8" s="725"/>
      <c r="K8" s="720"/>
      <c r="L8" s="720"/>
      <c r="M8" s="720"/>
      <c r="N8" s="720"/>
      <c r="O8" s="720"/>
      <c r="P8" s="720"/>
      <c r="Q8" s="720"/>
      <c r="R8" s="720"/>
      <c r="S8" s="720"/>
      <c r="T8" s="720"/>
      <c r="U8" s="720"/>
      <c r="V8" s="720"/>
      <c r="W8" s="720"/>
      <c r="X8" s="720"/>
      <c r="Y8" s="720"/>
      <c r="Z8" s="720"/>
      <c r="AA8" s="720"/>
      <c r="AB8" s="720"/>
      <c r="AC8" s="720"/>
      <c r="AD8" s="720"/>
      <c r="AE8" s="720"/>
      <c r="AF8" s="720"/>
      <c r="AG8" s="720"/>
      <c r="AH8" s="720"/>
      <c r="AI8" s="720"/>
      <c r="AJ8" s="720"/>
      <c r="AK8" s="720"/>
      <c r="AL8" s="720"/>
      <c r="AM8" s="720"/>
      <c r="AN8" s="720"/>
      <c r="AO8" s="720"/>
      <c r="AP8" s="721"/>
      <c r="AQ8" s="722"/>
      <c r="AR8" s="717"/>
      <c r="AS8" s="717"/>
      <c r="AT8" s="718"/>
      <c r="AU8" s="722"/>
      <c r="AV8" s="717"/>
      <c r="AW8" s="717"/>
      <c r="AX8" s="723"/>
    </row>
    <row r="9" spans="1:52" ht="30" customHeight="1">
      <c r="C9" s="716">
        <v>4</v>
      </c>
      <c r="D9" s="717"/>
      <c r="E9" s="718"/>
      <c r="F9" s="724"/>
      <c r="G9" s="717"/>
      <c r="H9" s="717"/>
      <c r="I9" s="718"/>
      <c r="J9" s="725"/>
      <c r="K9" s="720"/>
      <c r="L9" s="720"/>
      <c r="M9" s="720"/>
      <c r="N9" s="720"/>
      <c r="O9" s="720"/>
      <c r="P9" s="720"/>
      <c r="Q9" s="720"/>
      <c r="R9" s="720"/>
      <c r="S9" s="720"/>
      <c r="T9" s="720"/>
      <c r="U9" s="720"/>
      <c r="V9" s="720"/>
      <c r="W9" s="720"/>
      <c r="X9" s="720"/>
      <c r="Y9" s="720"/>
      <c r="Z9" s="720"/>
      <c r="AA9" s="720"/>
      <c r="AB9" s="720"/>
      <c r="AC9" s="720"/>
      <c r="AD9" s="720"/>
      <c r="AE9" s="720"/>
      <c r="AF9" s="720"/>
      <c r="AG9" s="720"/>
      <c r="AH9" s="720"/>
      <c r="AI9" s="720"/>
      <c r="AJ9" s="720"/>
      <c r="AK9" s="720"/>
      <c r="AL9" s="720"/>
      <c r="AM9" s="720"/>
      <c r="AN9" s="720"/>
      <c r="AO9" s="720"/>
      <c r="AP9" s="721"/>
      <c r="AQ9" s="722"/>
      <c r="AR9" s="717"/>
      <c r="AS9" s="717"/>
      <c r="AT9" s="718"/>
      <c r="AU9" s="722"/>
      <c r="AV9" s="717"/>
      <c r="AW9" s="717"/>
      <c r="AX9" s="723"/>
    </row>
    <row r="10" spans="1:52" ht="30" customHeight="1">
      <c r="C10" s="716">
        <v>5</v>
      </c>
      <c r="D10" s="717"/>
      <c r="E10" s="718"/>
      <c r="F10" s="724"/>
      <c r="G10" s="717"/>
      <c r="H10" s="717"/>
      <c r="I10" s="718"/>
      <c r="J10" s="725"/>
      <c r="K10" s="720"/>
      <c r="L10" s="720"/>
      <c r="M10" s="720"/>
      <c r="N10" s="720"/>
      <c r="O10" s="720"/>
      <c r="P10" s="720"/>
      <c r="Q10" s="720"/>
      <c r="R10" s="720"/>
      <c r="S10" s="720"/>
      <c r="T10" s="720"/>
      <c r="U10" s="720"/>
      <c r="V10" s="720"/>
      <c r="W10" s="720"/>
      <c r="X10" s="720"/>
      <c r="Y10" s="720"/>
      <c r="Z10" s="720"/>
      <c r="AA10" s="720"/>
      <c r="AB10" s="720"/>
      <c r="AC10" s="720"/>
      <c r="AD10" s="720"/>
      <c r="AE10" s="720"/>
      <c r="AF10" s="720"/>
      <c r="AG10" s="720"/>
      <c r="AH10" s="720"/>
      <c r="AI10" s="720"/>
      <c r="AJ10" s="720"/>
      <c r="AK10" s="720"/>
      <c r="AL10" s="720"/>
      <c r="AM10" s="720"/>
      <c r="AN10" s="720"/>
      <c r="AO10" s="720"/>
      <c r="AP10" s="721"/>
      <c r="AQ10" s="722"/>
      <c r="AR10" s="717"/>
      <c r="AS10" s="717"/>
      <c r="AT10" s="718"/>
      <c r="AU10" s="722"/>
      <c r="AV10" s="717"/>
      <c r="AW10" s="717"/>
      <c r="AX10" s="723"/>
    </row>
    <row r="11" spans="1:52" ht="30" customHeight="1">
      <c r="C11" s="716">
        <v>6</v>
      </c>
      <c r="D11" s="717"/>
      <c r="E11" s="718"/>
      <c r="F11" s="724"/>
      <c r="G11" s="717"/>
      <c r="H11" s="717"/>
      <c r="I11" s="718"/>
      <c r="J11" s="725"/>
      <c r="K11" s="720"/>
      <c r="L11" s="720"/>
      <c r="M11" s="720"/>
      <c r="N11" s="720"/>
      <c r="O11" s="720"/>
      <c r="P11" s="720"/>
      <c r="Q11" s="720"/>
      <c r="R11" s="720"/>
      <c r="S11" s="720"/>
      <c r="T11" s="720"/>
      <c r="U11" s="720"/>
      <c r="V11" s="720"/>
      <c r="W11" s="720"/>
      <c r="X11" s="720"/>
      <c r="Y11" s="720"/>
      <c r="Z11" s="720"/>
      <c r="AA11" s="720"/>
      <c r="AB11" s="720"/>
      <c r="AC11" s="720"/>
      <c r="AD11" s="720"/>
      <c r="AE11" s="720"/>
      <c r="AF11" s="720"/>
      <c r="AG11" s="720"/>
      <c r="AH11" s="720"/>
      <c r="AI11" s="720"/>
      <c r="AJ11" s="720"/>
      <c r="AK11" s="720"/>
      <c r="AL11" s="720"/>
      <c r="AM11" s="720"/>
      <c r="AN11" s="720"/>
      <c r="AO11" s="720"/>
      <c r="AP11" s="721"/>
      <c r="AQ11" s="722"/>
      <c r="AR11" s="717"/>
      <c r="AS11" s="717"/>
      <c r="AT11" s="718"/>
      <c r="AU11" s="722"/>
      <c r="AV11" s="717"/>
      <c r="AW11" s="717"/>
      <c r="AX11" s="723"/>
    </row>
    <row r="12" spans="1:52" ht="30" customHeight="1">
      <c r="C12" s="716">
        <v>7</v>
      </c>
      <c r="D12" s="717"/>
      <c r="E12" s="718"/>
      <c r="F12" s="724"/>
      <c r="G12" s="717"/>
      <c r="H12" s="717"/>
      <c r="I12" s="718"/>
      <c r="J12" s="725"/>
      <c r="K12" s="720"/>
      <c r="L12" s="720"/>
      <c r="M12" s="720"/>
      <c r="N12" s="720"/>
      <c r="O12" s="720"/>
      <c r="P12" s="720"/>
      <c r="Q12" s="720"/>
      <c r="R12" s="720"/>
      <c r="S12" s="720"/>
      <c r="T12" s="720"/>
      <c r="U12" s="720"/>
      <c r="V12" s="720"/>
      <c r="W12" s="720"/>
      <c r="X12" s="720"/>
      <c r="Y12" s="720"/>
      <c r="Z12" s="720"/>
      <c r="AA12" s="720"/>
      <c r="AB12" s="720"/>
      <c r="AC12" s="720"/>
      <c r="AD12" s="720"/>
      <c r="AE12" s="720"/>
      <c r="AF12" s="720"/>
      <c r="AG12" s="720"/>
      <c r="AH12" s="720"/>
      <c r="AI12" s="720"/>
      <c r="AJ12" s="720"/>
      <c r="AK12" s="720"/>
      <c r="AL12" s="720"/>
      <c r="AM12" s="720"/>
      <c r="AN12" s="720"/>
      <c r="AO12" s="720"/>
      <c r="AP12" s="721"/>
      <c r="AQ12" s="722"/>
      <c r="AR12" s="717"/>
      <c r="AS12" s="717"/>
      <c r="AT12" s="718"/>
      <c r="AU12" s="722"/>
      <c r="AV12" s="717"/>
      <c r="AW12" s="717"/>
      <c r="AX12" s="723"/>
    </row>
    <row r="13" spans="1:52" ht="30" customHeight="1">
      <c r="C13" s="716">
        <v>8</v>
      </c>
      <c r="D13" s="717"/>
      <c r="E13" s="718"/>
      <c r="F13" s="724"/>
      <c r="G13" s="717"/>
      <c r="H13" s="717"/>
      <c r="I13" s="718"/>
      <c r="J13" s="725"/>
      <c r="K13" s="720"/>
      <c r="L13" s="720"/>
      <c r="M13" s="720"/>
      <c r="N13" s="720"/>
      <c r="O13" s="720"/>
      <c r="P13" s="720"/>
      <c r="Q13" s="720"/>
      <c r="R13" s="720"/>
      <c r="S13" s="720"/>
      <c r="T13" s="720"/>
      <c r="U13" s="720"/>
      <c r="V13" s="720"/>
      <c r="W13" s="720"/>
      <c r="X13" s="720"/>
      <c r="Y13" s="720"/>
      <c r="Z13" s="720"/>
      <c r="AA13" s="720"/>
      <c r="AB13" s="720"/>
      <c r="AC13" s="720"/>
      <c r="AD13" s="720"/>
      <c r="AE13" s="720"/>
      <c r="AF13" s="720"/>
      <c r="AG13" s="720"/>
      <c r="AH13" s="720"/>
      <c r="AI13" s="720"/>
      <c r="AJ13" s="720"/>
      <c r="AK13" s="720"/>
      <c r="AL13" s="720"/>
      <c r="AM13" s="720"/>
      <c r="AN13" s="720"/>
      <c r="AO13" s="720"/>
      <c r="AP13" s="721"/>
      <c r="AQ13" s="722"/>
      <c r="AR13" s="717"/>
      <c r="AS13" s="717"/>
      <c r="AT13" s="718"/>
      <c r="AU13" s="722"/>
      <c r="AV13" s="717"/>
      <c r="AW13" s="717"/>
      <c r="AX13" s="723"/>
    </row>
    <row r="14" spans="1:52" ht="30" customHeight="1">
      <c r="C14" s="726">
        <v>9</v>
      </c>
      <c r="D14" s="727"/>
      <c r="E14" s="728"/>
      <c r="F14" s="729"/>
      <c r="G14" s="727"/>
      <c r="H14" s="727"/>
      <c r="I14" s="728"/>
      <c r="J14" s="730"/>
      <c r="K14" s="731"/>
      <c r="L14" s="731"/>
      <c r="M14" s="731"/>
      <c r="N14" s="731"/>
      <c r="O14" s="731"/>
      <c r="P14" s="731"/>
      <c r="Q14" s="731"/>
      <c r="R14" s="731"/>
      <c r="S14" s="731"/>
      <c r="T14" s="731"/>
      <c r="U14" s="731"/>
      <c r="V14" s="731"/>
      <c r="W14" s="731"/>
      <c r="X14" s="731"/>
      <c r="Y14" s="731"/>
      <c r="Z14" s="731"/>
      <c r="AA14" s="731"/>
      <c r="AB14" s="731"/>
      <c r="AC14" s="731"/>
      <c r="AD14" s="731"/>
      <c r="AE14" s="731"/>
      <c r="AF14" s="731"/>
      <c r="AG14" s="731"/>
      <c r="AH14" s="731"/>
      <c r="AI14" s="731"/>
      <c r="AJ14" s="731"/>
      <c r="AK14" s="731"/>
      <c r="AL14" s="731"/>
      <c r="AM14" s="731"/>
      <c r="AN14" s="731"/>
      <c r="AO14" s="731"/>
      <c r="AP14" s="732"/>
      <c r="AQ14" s="733"/>
      <c r="AR14" s="727"/>
      <c r="AS14" s="727"/>
      <c r="AT14" s="728"/>
      <c r="AU14" s="733"/>
      <c r="AV14" s="727"/>
      <c r="AW14" s="727"/>
      <c r="AX14" s="734"/>
    </row>
    <row r="15" spans="1:52" ht="30" customHeight="1">
      <c r="C15" s="726">
        <v>10</v>
      </c>
      <c r="D15" s="727"/>
      <c r="E15" s="728"/>
      <c r="F15" s="729"/>
      <c r="G15" s="727"/>
      <c r="H15" s="727"/>
      <c r="I15" s="728"/>
      <c r="J15" s="730"/>
      <c r="K15" s="731"/>
      <c r="L15" s="731"/>
      <c r="M15" s="731"/>
      <c r="N15" s="731"/>
      <c r="O15" s="731"/>
      <c r="P15" s="731"/>
      <c r="Q15" s="731"/>
      <c r="R15" s="731"/>
      <c r="S15" s="731"/>
      <c r="T15" s="731"/>
      <c r="U15" s="731"/>
      <c r="V15" s="731"/>
      <c r="W15" s="731"/>
      <c r="X15" s="731"/>
      <c r="Y15" s="731"/>
      <c r="Z15" s="731"/>
      <c r="AA15" s="731"/>
      <c r="AB15" s="731"/>
      <c r="AC15" s="731"/>
      <c r="AD15" s="731"/>
      <c r="AE15" s="731"/>
      <c r="AF15" s="731"/>
      <c r="AG15" s="731"/>
      <c r="AH15" s="731"/>
      <c r="AI15" s="731"/>
      <c r="AJ15" s="731"/>
      <c r="AK15" s="731"/>
      <c r="AL15" s="731"/>
      <c r="AM15" s="731"/>
      <c r="AN15" s="731"/>
      <c r="AO15" s="731"/>
      <c r="AP15" s="732"/>
      <c r="AQ15" s="733"/>
      <c r="AR15" s="727"/>
      <c r="AS15" s="727"/>
      <c r="AT15" s="728"/>
      <c r="AU15" s="733"/>
      <c r="AV15" s="727"/>
      <c r="AW15" s="727"/>
      <c r="AX15" s="734"/>
    </row>
    <row r="16" spans="1:52" ht="30" customHeight="1">
      <c r="C16" s="726">
        <v>11</v>
      </c>
      <c r="D16" s="727"/>
      <c r="E16" s="728"/>
      <c r="F16" s="729"/>
      <c r="G16" s="727"/>
      <c r="H16" s="727"/>
      <c r="I16" s="728"/>
      <c r="J16" s="730"/>
      <c r="K16" s="731"/>
      <c r="L16" s="731"/>
      <c r="M16" s="731"/>
      <c r="N16" s="731"/>
      <c r="O16" s="731"/>
      <c r="P16" s="731"/>
      <c r="Q16" s="731"/>
      <c r="R16" s="731"/>
      <c r="S16" s="731"/>
      <c r="T16" s="731"/>
      <c r="U16" s="731"/>
      <c r="V16" s="731"/>
      <c r="W16" s="731"/>
      <c r="X16" s="731"/>
      <c r="Y16" s="731"/>
      <c r="Z16" s="731"/>
      <c r="AA16" s="731"/>
      <c r="AB16" s="731"/>
      <c r="AC16" s="731"/>
      <c r="AD16" s="731"/>
      <c r="AE16" s="731"/>
      <c r="AF16" s="731"/>
      <c r="AG16" s="731"/>
      <c r="AH16" s="731"/>
      <c r="AI16" s="731"/>
      <c r="AJ16" s="731"/>
      <c r="AK16" s="731"/>
      <c r="AL16" s="731"/>
      <c r="AM16" s="731"/>
      <c r="AN16" s="731"/>
      <c r="AO16" s="731"/>
      <c r="AP16" s="732"/>
      <c r="AQ16" s="733"/>
      <c r="AR16" s="727"/>
      <c r="AS16" s="727"/>
      <c r="AT16" s="728"/>
      <c r="AU16" s="733"/>
      <c r="AV16" s="727"/>
      <c r="AW16" s="727"/>
      <c r="AX16" s="734"/>
    </row>
    <row r="17" spans="3:50" ht="30" customHeight="1">
      <c r="C17" s="726">
        <v>12</v>
      </c>
      <c r="D17" s="727"/>
      <c r="E17" s="728"/>
      <c r="F17" s="729"/>
      <c r="G17" s="727"/>
      <c r="H17" s="727"/>
      <c r="I17" s="728"/>
      <c r="J17" s="730"/>
      <c r="K17" s="731"/>
      <c r="L17" s="731"/>
      <c r="M17" s="731"/>
      <c r="N17" s="731"/>
      <c r="O17" s="731"/>
      <c r="P17" s="731"/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1"/>
      <c r="AI17" s="731"/>
      <c r="AJ17" s="731"/>
      <c r="AK17" s="731"/>
      <c r="AL17" s="731"/>
      <c r="AM17" s="731"/>
      <c r="AN17" s="731"/>
      <c r="AO17" s="731"/>
      <c r="AP17" s="732"/>
      <c r="AQ17" s="733"/>
      <c r="AR17" s="727"/>
      <c r="AS17" s="727"/>
      <c r="AT17" s="728"/>
      <c r="AU17" s="733"/>
      <c r="AV17" s="727"/>
      <c r="AW17" s="727"/>
      <c r="AX17" s="734"/>
    </row>
    <row r="18" spans="3:50" ht="30" customHeight="1">
      <c r="C18" s="716">
        <v>13</v>
      </c>
      <c r="D18" s="717"/>
      <c r="E18" s="718"/>
      <c r="F18" s="724"/>
      <c r="G18" s="717"/>
      <c r="H18" s="717"/>
      <c r="I18" s="718"/>
      <c r="J18" s="725"/>
      <c r="K18" s="720"/>
      <c r="L18" s="720"/>
      <c r="M18" s="720"/>
      <c r="N18" s="720"/>
      <c r="O18" s="720"/>
      <c r="P18" s="720"/>
      <c r="Q18" s="720"/>
      <c r="R18" s="720"/>
      <c r="S18" s="720"/>
      <c r="T18" s="720"/>
      <c r="U18" s="720"/>
      <c r="V18" s="720"/>
      <c r="W18" s="720"/>
      <c r="X18" s="720"/>
      <c r="Y18" s="720"/>
      <c r="Z18" s="720"/>
      <c r="AA18" s="720"/>
      <c r="AB18" s="720"/>
      <c r="AC18" s="720"/>
      <c r="AD18" s="720"/>
      <c r="AE18" s="720"/>
      <c r="AF18" s="720"/>
      <c r="AG18" s="720"/>
      <c r="AH18" s="720"/>
      <c r="AI18" s="720"/>
      <c r="AJ18" s="720"/>
      <c r="AK18" s="720"/>
      <c r="AL18" s="720"/>
      <c r="AM18" s="720"/>
      <c r="AN18" s="720"/>
      <c r="AO18" s="720"/>
      <c r="AP18" s="721"/>
      <c r="AQ18" s="722"/>
      <c r="AR18" s="717"/>
      <c r="AS18" s="717"/>
      <c r="AT18" s="718"/>
      <c r="AU18" s="722"/>
      <c r="AV18" s="717"/>
      <c r="AW18" s="717"/>
      <c r="AX18" s="723"/>
    </row>
    <row r="19" spans="3:50" ht="30" customHeight="1">
      <c r="C19" s="726">
        <v>14</v>
      </c>
      <c r="D19" s="727"/>
      <c r="E19" s="728"/>
      <c r="F19" s="729"/>
      <c r="G19" s="727"/>
      <c r="H19" s="727"/>
      <c r="I19" s="728"/>
      <c r="J19" s="730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731"/>
      <c r="AB19" s="731"/>
      <c r="AC19" s="731"/>
      <c r="AD19" s="731"/>
      <c r="AE19" s="731"/>
      <c r="AF19" s="731"/>
      <c r="AG19" s="731"/>
      <c r="AH19" s="731"/>
      <c r="AI19" s="731"/>
      <c r="AJ19" s="731"/>
      <c r="AK19" s="731"/>
      <c r="AL19" s="731"/>
      <c r="AM19" s="731"/>
      <c r="AN19" s="731"/>
      <c r="AO19" s="731"/>
      <c r="AP19" s="732"/>
      <c r="AQ19" s="733"/>
      <c r="AR19" s="727"/>
      <c r="AS19" s="727"/>
      <c r="AT19" s="728"/>
      <c r="AU19" s="733"/>
      <c r="AV19" s="727"/>
      <c r="AW19" s="727"/>
      <c r="AX19" s="734"/>
    </row>
    <row r="20" spans="3:50" ht="30" customHeight="1">
      <c r="C20" s="726">
        <v>15</v>
      </c>
      <c r="D20" s="727"/>
      <c r="E20" s="728"/>
      <c r="F20" s="729"/>
      <c r="G20" s="727"/>
      <c r="H20" s="727"/>
      <c r="I20" s="728"/>
      <c r="J20" s="730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731"/>
      <c r="AB20" s="731"/>
      <c r="AC20" s="731"/>
      <c r="AD20" s="731"/>
      <c r="AE20" s="731"/>
      <c r="AF20" s="731"/>
      <c r="AG20" s="731"/>
      <c r="AH20" s="731"/>
      <c r="AI20" s="731"/>
      <c r="AJ20" s="731"/>
      <c r="AK20" s="731"/>
      <c r="AL20" s="731"/>
      <c r="AM20" s="731"/>
      <c r="AN20" s="731"/>
      <c r="AO20" s="731"/>
      <c r="AP20" s="732"/>
      <c r="AQ20" s="733"/>
      <c r="AR20" s="727"/>
      <c r="AS20" s="727"/>
      <c r="AT20" s="728"/>
      <c r="AU20" s="733"/>
      <c r="AV20" s="727"/>
      <c r="AW20" s="727"/>
      <c r="AX20" s="734"/>
    </row>
    <row r="21" spans="3:50" ht="30" customHeight="1">
      <c r="C21" s="716">
        <v>16</v>
      </c>
      <c r="D21" s="717"/>
      <c r="E21" s="718"/>
      <c r="F21" s="724"/>
      <c r="G21" s="717"/>
      <c r="H21" s="717"/>
      <c r="I21" s="718"/>
      <c r="J21" s="725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720"/>
      <c r="AB21" s="720"/>
      <c r="AC21" s="720"/>
      <c r="AD21" s="720"/>
      <c r="AE21" s="720"/>
      <c r="AF21" s="720"/>
      <c r="AG21" s="720"/>
      <c r="AH21" s="720"/>
      <c r="AI21" s="720"/>
      <c r="AJ21" s="720"/>
      <c r="AK21" s="720"/>
      <c r="AL21" s="720"/>
      <c r="AM21" s="720"/>
      <c r="AN21" s="720"/>
      <c r="AO21" s="720"/>
      <c r="AP21" s="721"/>
      <c r="AQ21" s="722"/>
      <c r="AR21" s="717"/>
      <c r="AS21" s="717"/>
      <c r="AT21" s="718"/>
      <c r="AU21" s="722"/>
      <c r="AV21" s="717"/>
      <c r="AW21" s="717"/>
      <c r="AX21" s="723"/>
    </row>
    <row r="22" spans="3:50" ht="30" customHeight="1">
      <c r="C22" s="716">
        <v>17</v>
      </c>
      <c r="D22" s="717"/>
      <c r="E22" s="718"/>
      <c r="F22" s="724"/>
      <c r="G22" s="717"/>
      <c r="H22" s="717"/>
      <c r="I22" s="718"/>
      <c r="J22" s="725"/>
      <c r="K22" s="720"/>
      <c r="L22" s="720"/>
      <c r="M22" s="720"/>
      <c r="N22" s="720"/>
      <c r="O22" s="720"/>
      <c r="P22" s="720"/>
      <c r="Q22" s="720"/>
      <c r="R22" s="720"/>
      <c r="S22" s="720"/>
      <c r="T22" s="720"/>
      <c r="U22" s="720"/>
      <c r="V22" s="720"/>
      <c r="W22" s="720"/>
      <c r="X22" s="720"/>
      <c r="Y22" s="720"/>
      <c r="Z22" s="720"/>
      <c r="AA22" s="720"/>
      <c r="AB22" s="720"/>
      <c r="AC22" s="720"/>
      <c r="AD22" s="720"/>
      <c r="AE22" s="720"/>
      <c r="AF22" s="720"/>
      <c r="AG22" s="720"/>
      <c r="AH22" s="720"/>
      <c r="AI22" s="720"/>
      <c r="AJ22" s="720"/>
      <c r="AK22" s="720"/>
      <c r="AL22" s="720"/>
      <c r="AM22" s="720"/>
      <c r="AN22" s="720"/>
      <c r="AO22" s="720"/>
      <c r="AP22" s="721"/>
      <c r="AQ22" s="722"/>
      <c r="AR22" s="717"/>
      <c r="AS22" s="717"/>
      <c r="AT22" s="718"/>
      <c r="AU22" s="722"/>
      <c r="AV22" s="717"/>
      <c r="AW22" s="717"/>
      <c r="AX22" s="723"/>
    </row>
    <row r="23" spans="3:50" ht="30" customHeight="1">
      <c r="C23" s="716">
        <v>18</v>
      </c>
      <c r="D23" s="717"/>
      <c r="E23" s="718"/>
      <c r="F23" s="724"/>
      <c r="G23" s="717"/>
      <c r="H23" s="717"/>
      <c r="I23" s="718"/>
      <c r="J23" s="725"/>
      <c r="K23" s="720"/>
      <c r="L23" s="720"/>
      <c r="M23" s="720"/>
      <c r="N23" s="720"/>
      <c r="O23" s="720"/>
      <c r="P23" s="720"/>
      <c r="Q23" s="720"/>
      <c r="R23" s="720"/>
      <c r="S23" s="720"/>
      <c r="T23" s="720"/>
      <c r="U23" s="720"/>
      <c r="V23" s="720"/>
      <c r="W23" s="720"/>
      <c r="X23" s="720"/>
      <c r="Y23" s="720"/>
      <c r="Z23" s="720"/>
      <c r="AA23" s="720"/>
      <c r="AB23" s="720"/>
      <c r="AC23" s="720"/>
      <c r="AD23" s="720"/>
      <c r="AE23" s="720"/>
      <c r="AF23" s="720"/>
      <c r="AG23" s="720"/>
      <c r="AH23" s="720"/>
      <c r="AI23" s="720"/>
      <c r="AJ23" s="720"/>
      <c r="AK23" s="720"/>
      <c r="AL23" s="720"/>
      <c r="AM23" s="720"/>
      <c r="AN23" s="720"/>
      <c r="AO23" s="720"/>
      <c r="AP23" s="721"/>
      <c r="AQ23" s="722"/>
      <c r="AR23" s="717"/>
      <c r="AS23" s="717"/>
      <c r="AT23" s="718"/>
      <c r="AU23" s="722"/>
      <c r="AV23" s="717"/>
      <c r="AW23" s="717"/>
      <c r="AX23" s="723"/>
    </row>
    <row r="24" spans="3:50" ht="30" customHeight="1">
      <c r="C24" s="716">
        <v>19</v>
      </c>
      <c r="D24" s="717"/>
      <c r="E24" s="718"/>
      <c r="F24" s="724"/>
      <c r="G24" s="717"/>
      <c r="H24" s="717"/>
      <c r="I24" s="718"/>
      <c r="J24" s="725"/>
      <c r="K24" s="720"/>
      <c r="L24" s="720"/>
      <c r="M24" s="720"/>
      <c r="N24" s="720"/>
      <c r="O24" s="720"/>
      <c r="P24" s="720"/>
      <c r="Q24" s="720"/>
      <c r="R24" s="720"/>
      <c r="S24" s="720"/>
      <c r="T24" s="720"/>
      <c r="U24" s="720"/>
      <c r="V24" s="720"/>
      <c r="W24" s="720"/>
      <c r="X24" s="720"/>
      <c r="Y24" s="720"/>
      <c r="Z24" s="720"/>
      <c r="AA24" s="720"/>
      <c r="AB24" s="720"/>
      <c r="AC24" s="720"/>
      <c r="AD24" s="720"/>
      <c r="AE24" s="720"/>
      <c r="AF24" s="720"/>
      <c r="AG24" s="720"/>
      <c r="AH24" s="720"/>
      <c r="AI24" s="720"/>
      <c r="AJ24" s="720"/>
      <c r="AK24" s="720"/>
      <c r="AL24" s="720"/>
      <c r="AM24" s="720"/>
      <c r="AN24" s="720"/>
      <c r="AO24" s="720"/>
      <c r="AP24" s="721"/>
      <c r="AQ24" s="722"/>
      <c r="AR24" s="717"/>
      <c r="AS24" s="717"/>
      <c r="AT24" s="718"/>
      <c r="AU24" s="722"/>
      <c r="AV24" s="717"/>
      <c r="AW24" s="717"/>
      <c r="AX24" s="723"/>
    </row>
    <row r="25" spans="3:50" ht="30" customHeight="1">
      <c r="C25" s="716">
        <v>20</v>
      </c>
      <c r="D25" s="717"/>
      <c r="E25" s="718"/>
      <c r="F25" s="724"/>
      <c r="G25" s="717"/>
      <c r="H25" s="717"/>
      <c r="I25" s="718"/>
      <c r="J25" s="725"/>
      <c r="K25" s="720"/>
      <c r="L25" s="720"/>
      <c r="M25" s="720"/>
      <c r="N25" s="720"/>
      <c r="O25" s="720"/>
      <c r="P25" s="720"/>
      <c r="Q25" s="720"/>
      <c r="R25" s="720"/>
      <c r="S25" s="720"/>
      <c r="T25" s="720"/>
      <c r="U25" s="720"/>
      <c r="V25" s="720"/>
      <c r="W25" s="720"/>
      <c r="X25" s="720"/>
      <c r="Y25" s="720"/>
      <c r="Z25" s="720"/>
      <c r="AA25" s="720"/>
      <c r="AB25" s="720"/>
      <c r="AC25" s="720"/>
      <c r="AD25" s="720"/>
      <c r="AE25" s="720"/>
      <c r="AF25" s="720"/>
      <c r="AG25" s="720"/>
      <c r="AH25" s="720"/>
      <c r="AI25" s="720"/>
      <c r="AJ25" s="720"/>
      <c r="AK25" s="720"/>
      <c r="AL25" s="720"/>
      <c r="AM25" s="720"/>
      <c r="AN25" s="720"/>
      <c r="AO25" s="720"/>
      <c r="AP25" s="721"/>
      <c r="AQ25" s="722"/>
      <c r="AR25" s="717"/>
      <c r="AS25" s="717"/>
      <c r="AT25" s="718"/>
      <c r="AU25" s="722"/>
      <c r="AV25" s="717"/>
      <c r="AW25" s="717"/>
      <c r="AX25" s="723"/>
    </row>
    <row r="26" spans="3:50" ht="30" customHeight="1">
      <c r="C26" s="716">
        <v>21</v>
      </c>
      <c r="D26" s="717"/>
      <c r="E26" s="718"/>
      <c r="F26" s="724"/>
      <c r="G26" s="717"/>
      <c r="H26" s="717"/>
      <c r="I26" s="718"/>
      <c r="J26" s="725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720"/>
      <c r="AB26" s="720"/>
      <c r="AC26" s="720"/>
      <c r="AD26" s="720"/>
      <c r="AE26" s="720"/>
      <c r="AF26" s="720"/>
      <c r="AG26" s="720"/>
      <c r="AH26" s="720"/>
      <c r="AI26" s="720"/>
      <c r="AJ26" s="720"/>
      <c r="AK26" s="720"/>
      <c r="AL26" s="720"/>
      <c r="AM26" s="720"/>
      <c r="AN26" s="720"/>
      <c r="AO26" s="720"/>
      <c r="AP26" s="721"/>
      <c r="AQ26" s="722"/>
      <c r="AR26" s="717"/>
      <c r="AS26" s="717"/>
      <c r="AT26" s="718"/>
      <c r="AU26" s="722"/>
      <c r="AV26" s="717"/>
      <c r="AW26" s="717"/>
      <c r="AX26" s="723"/>
    </row>
    <row r="27" spans="3:50" ht="30" customHeight="1">
      <c r="C27" s="716">
        <v>22</v>
      </c>
      <c r="D27" s="717"/>
      <c r="E27" s="718"/>
      <c r="F27" s="722"/>
      <c r="G27" s="717"/>
      <c r="H27" s="717"/>
      <c r="I27" s="718"/>
      <c r="J27" s="725"/>
      <c r="K27" s="720"/>
      <c r="L27" s="720"/>
      <c r="M27" s="720"/>
      <c r="N27" s="720"/>
      <c r="O27" s="720"/>
      <c r="P27" s="720"/>
      <c r="Q27" s="720"/>
      <c r="R27" s="720"/>
      <c r="S27" s="720"/>
      <c r="T27" s="720"/>
      <c r="U27" s="720"/>
      <c r="V27" s="720"/>
      <c r="W27" s="720"/>
      <c r="X27" s="720"/>
      <c r="Y27" s="720"/>
      <c r="Z27" s="720"/>
      <c r="AA27" s="720"/>
      <c r="AB27" s="720"/>
      <c r="AC27" s="720"/>
      <c r="AD27" s="720"/>
      <c r="AE27" s="720"/>
      <c r="AF27" s="720"/>
      <c r="AG27" s="720"/>
      <c r="AH27" s="720"/>
      <c r="AI27" s="720"/>
      <c r="AJ27" s="720"/>
      <c r="AK27" s="720"/>
      <c r="AL27" s="720"/>
      <c r="AM27" s="720"/>
      <c r="AN27" s="720"/>
      <c r="AO27" s="720"/>
      <c r="AP27" s="721"/>
      <c r="AQ27" s="722"/>
      <c r="AR27" s="717"/>
      <c r="AS27" s="717"/>
      <c r="AT27" s="718"/>
      <c r="AU27" s="722"/>
      <c r="AV27" s="717"/>
      <c r="AW27" s="717"/>
      <c r="AX27" s="723"/>
    </row>
    <row r="28" spans="3:50" ht="30" customHeight="1">
      <c r="C28" s="716">
        <v>23</v>
      </c>
      <c r="D28" s="717"/>
      <c r="E28" s="718"/>
      <c r="F28" s="722"/>
      <c r="G28" s="717"/>
      <c r="H28" s="717"/>
      <c r="I28" s="718"/>
      <c r="J28" s="725"/>
      <c r="K28" s="720"/>
      <c r="L28" s="720"/>
      <c r="M28" s="720"/>
      <c r="N28" s="720"/>
      <c r="O28" s="720"/>
      <c r="P28" s="720"/>
      <c r="Q28" s="720"/>
      <c r="R28" s="720"/>
      <c r="S28" s="720"/>
      <c r="T28" s="720"/>
      <c r="U28" s="720"/>
      <c r="V28" s="720"/>
      <c r="W28" s="720"/>
      <c r="X28" s="720"/>
      <c r="Y28" s="720"/>
      <c r="Z28" s="720"/>
      <c r="AA28" s="720"/>
      <c r="AB28" s="720"/>
      <c r="AC28" s="720"/>
      <c r="AD28" s="720"/>
      <c r="AE28" s="720"/>
      <c r="AF28" s="720"/>
      <c r="AG28" s="720"/>
      <c r="AH28" s="720"/>
      <c r="AI28" s="720"/>
      <c r="AJ28" s="720"/>
      <c r="AK28" s="720"/>
      <c r="AL28" s="720"/>
      <c r="AM28" s="720"/>
      <c r="AN28" s="720"/>
      <c r="AO28" s="720"/>
      <c r="AP28" s="721"/>
      <c r="AQ28" s="722"/>
      <c r="AR28" s="717"/>
      <c r="AS28" s="717"/>
      <c r="AT28" s="718"/>
      <c r="AU28" s="722"/>
      <c r="AV28" s="717"/>
      <c r="AW28" s="717"/>
      <c r="AX28" s="723"/>
    </row>
    <row r="29" spans="3:50" ht="30" customHeight="1">
      <c r="C29" s="716">
        <v>24</v>
      </c>
      <c r="D29" s="717"/>
      <c r="E29" s="718"/>
      <c r="F29" s="722"/>
      <c r="G29" s="717"/>
      <c r="H29" s="717"/>
      <c r="I29" s="718"/>
      <c r="J29" s="725"/>
      <c r="K29" s="720"/>
      <c r="L29" s="720"/>
      <c r="M29" s="720"/>
      <c r="N29" s="720"/>
      <c r="O29" s="720"/>
      <c r="P29" s="720"/>
      <c r="Q29" s="720"/>
      <c r="R29" s="720"/>
      <c r="S29" s="720"/>
      <c r="T29" s="720"/>
      <c r="U29" s="720"/>
      <c r="V29" s="720"/>
      <c r="W29" s="720"/>
      <c r="X29" s="720"/>
      <c r="Y29" s="720"/>
      <c r="Z29" s="720"/>
      <c r="AA29" s="720"/>
      <c r="AB29" s="720"/>
      <c r="AC29" s="720"/>
      <c r="AD29" s="720"/>
      <c r="AE29" s="720"/>
      <c r="AF29" s="720"/>
      <c r="AG29" s="720"/>
      <c r="AH29" s="720"/>
      <c r="AI29" s="720"/>
      <c r="AJ29" s="720"/>
      <c r="AK29" s="720"/>
      <c r="AL29" s="720"/>
      <c r="AM29" s="720"/>
      <c r="AN29" s="720"/>
      <c r="AO29" s="720"/>
      <c r="AP29" s="721"/>
      <c r="AQ29" s="722"/>
      <c r="AR29" s="717"/>
      <c r="AS29" s="717"/>
      <c r="AT29" s="718"/>
      <c r="AU29" s="722"/>
      <c r="AV29" s="717"/>
      <c r="AW29" s="717"/>
      <c r="AX29" s="723"/>
    </row>
    <row r="30" spans="3:50" ht="30" customHeight="1">
      <c r="C30" s="716">
        <v>25</v>
      </c>
      <c r="D30" s="717"/>
      <c r="E30" s="718"/>
      <c r="F30" s="722"/>
      <c r="G30" s="717"/>
      <c r="H30" s="717"/>
      <c r="I30" s="718"/>
      <c r="J30" s="725"/>
      <c r="K30" s="720"/>
      <c r="L30" s="720"/>
      <c r="M30" s="720"/>
      <c r="N30" s="720"/>
      <c r="O30" s="720"/>
      <c r="P30" s="720"/>
      <c r="Q30" s="720"/>
      <c r="R30" s="720"/>
      <c r="S30" s="720"/>
      <c r="T30" s="720"/>
      <c r="U30" s="720"/>
      <c r="V30" s="720"/>
      <c r="W30" s="720"/>
      <c r="X30" s="720"/>
      <c r="Y30" s="720"/>
      <c r="Z30" s="720"/>
      <c r="AA30" s="720"/>
      <c r="AB30" s="720"/>
      <c r="AC30" s="720"/>
      <c r="AD30" s="720"/>
      <c r="AE30" s="720"/>
      <c r="AF30" s="720"/>
      <c r="AG30" s="720"/>
      <c r="AH30" s="720"/>
      <c r="AI30" s="720"/>
      <c r="AJ30" s="720"/>
      <c r="AK30" s="720"/>
      <c r="AL30" s="720"/>
      <c r="AM30" s="720"/>
      <c r="AN30" s="720"/>
      <c r="AO30" s="720"/>
      <c r="AP30" s="721"/>
      <c r="AQ30" s="722"/>
      <c r="AR30" s="717"/>
      <c r="AS30" s="717"/>
      <c r="AT30" s="718"/>
      <c r="AU30" s="722"/>
      <c r="AV30" s="717"/>
      <c r="AW30" s="717"/>
      <c r="AX30" s="723"/>
    </row>
    <row r="31" spans="3:50" ht="30" customHeight="1" thickBot="1">
      <c r="C31" s="735">
        <v>26</v>
      </c>
      <c r="D31" s="736"/>
      <c r="E31" s="737"/>
      <c r="F31" s="738"/>
      <c r="G31" s="736"/>
      <c r="H31" s="736"/>
      <c r="I31" s="737"/>
      <c r="J31" s="739"/>
      <c r="K31" s="740"/>
      <c r="L31" s="740"/>
      <c r="M31" s="740"/>
      <c r="N31" s="740"/>
      <c r="O31" s="740"/>
      <c r="P31" s="740"/>
      <c r="Q31" s="740"/>
      <c r="R31" s="740"/>
      <c r="S31" s="740"/>
      <c r="T31" s="740"/>
      <c r="U31" s="740"/>
      <c r="V31" s="740"/>
      <c r="W31" s="740"/>
      <c r="X31" s="740"/>
      <c r="Y31" s="740"/>
      <c r="Z31" s="740"/>
      <c r="AA31" s="740"/>
      <c r="AB31" s="740"/>
      <c r="AC31" s="740"/>
      <c r="AD31" s="740"/>
      <c r="AE31" s="740"/>
      <c r="AF31" s="740"/>
      <c r="AG31" s="740"/>
      <c r="AH31" s="740"/>
      <c r="AI31" s="740"/>
      <c r="AJ31" s="740"/>
      <c r="AK31" s="740"/>
      <c r="AL31" s="740"/>
      <c r="AM31" s="740"/>
      <c r="AN31" s="740"/>
      <c r="AO31" s="740"/>
      <c r="AP31" s="741"/>
      <c r="AQ31" s="738"/>
      <c r="AR31" s="736"/>
      <c r="AS31" s="736"/>
      <c r="AT31" s="737"/>
      <c r="AU31" s="738"/>
      <c r="AV31" s="736"/>
      <c r="AW31" s="736"/>
      <c r="AX31" s="742"/>
    </row>
    <row r="32" spans="3:50" ht="30" customHeight="1"/>
    <row r="33" ht="30" customHeight="1"/>
    <row r="34" ht="30" customHeight="1"/>
  </sheetData>
  <mergeCells count="135">
    <mergeCell ref="C31:E31"/>
    <mergeCell ref="F31:I31"/>
    <mergeCell ref="J31:AP31"/>
    <mergeCell ref="AQ31:AT31"/>
    <mergeCell ref="AU31:AX31"/>
    <mergeCell ref="C29:E29"/>
    <mergeCell ref="F29:I29"/>
    <mergeCell ref="J29:AP29"/>
    <mergeCell ref="AQ29:AT29"/>
    <mergeCell ref="AU29:AX29"/>
    <mergeCell ref="C30:E30"/>
    <mergeCell ref="F30:I30"/>
    <mergeCell ref="J30:AP30"/>
    <mergeCell ref="AQ30:AT30"/>
    <mergeCell ref="AU30:AX30"/>
    <mergeCell ref="C27:E27"/>
    <mergeCell ref="F27:I27"/>
    <mergeCell ref="J27:AP27"/>
    <mergeCell ref="AQ27:AT27"/>
    <mergeCell ref="AU27:AX27"/>
    <mergeCell ref="C28:E28"/>
    <mergeCell ref="F28:I28"/>
    <mergeCell ref="J28:AP28"/>
    <mergeCell ref="AQ28:AT28"/>
    <mergeCell ref="AU28:AX28"/>
    <mergeCell ref="C25:E25"/>
    <mergeCell ref="F25:I25"/>
    <mergeCell ref="J25:AP25"/>
    <mergeCell ref="AQ25:AT25"/>
    <mergeCell ref="AU25:AX25"/>
    <mergeCell ref="C26:E26"/>
    <mergeCell ref="F26:I26"/>
    <mergeCell ref="J26:AP26"/>
    <mergeCell ref="AQ26:AT26"/>
    <mergeCell ref="AU26:AX26"/>
    <mergeCell ref="C23:E23"/>
    <mergeCell ref="F23:I23"/>
    <mergeCell ref="J23:AP23"/>
    <mergeCell ref="AQ23:AT23"/>
    <mergeCell ref="AU23:AX23"/>
    <mergeCell ref="C24:E24"/>
    <mergeCell ref="F24:I24"/>
    <mergeCell ref="J24:AP24"/>
    <mergeCell ref="AQ24:AT24"/>
    <mergeCell ref="AU24:AX24"/>
    <mergeCell ref="C21:E21"/>
    <mergeCell ref="F21:I21"/>
    <mergeCell ref="J21:AP21"/>
    <mergeCell ref="AQ21:AT21"/>
    <mergeCell ref="AU21:AX21"/>
    <mergeCell ref="C22:E22"/>
    <mergeCell ref="F22:I22"/>
    <mergeCell ref="J22:AP22"/>
    <mergeCell ref="AQ22:AT22"/>
    <mergeCell ref="AU22:AX22"/>
    <mergeCell ref="C19:E19"/>
    <mergeCell ref="F19:I19"/>
    <mergeCell ref="J19:AP19"/>
    <mergeCell ref="AQ19:AT19"/>
    <mergeCell ref="AU19:AX19"/>
    <mergeCell ref="C20:E20"/>
    <mergeCell ref="F20:I20"/>
    <mergeCell ref="J20:AP20"/>
    <mergeCell ref="AQ20:AT20"/>
    <mergeCell ref="AU20:AX20"/>
    <mergeCell ref="C17:E17"/>
    <mergeCell ref="F17:I17"/>
    <mergeCell ref="J17:AP17"/>
    <mergeCell ref="AQ17:AT17"/>
    <mergeCell ref="AU17:AX17"/>
    <mergeCell ref="C18:E18"/>
    <mergeCell ref="F18:I18"/>
    <mergeCell ref="J18:AP18"/>
    <mergeCell ref="AQ18:AT18"/>
    <mergeCell ref="AU18:AX18"/>
    <mergeCell ref="C15:E15"/>
    <mergeCell ref="F15:I15"/>
    <mergeCell ref="J15:AP15"/>
    <mergeCell ref="AQ15:AT15"/>
    <mergeCell ref="AU15:AX15"/>
    <mergeCell ref="C16:E16"/>
    <mergeCell ref="F16:I16"/>
    <mergeCell ref="J16:AP16"/>
    <mergeCell ref="AQ16:AT16"/>
    <mergeCell ref="AU16:AX16"/>
    <mergeCell ref="C13:E13"/>
    <mergeCell ref="F13:I13"/>
    <mergeCell ref="J13:AP13"/>
    <mergeCell ref="AQ13:AT13"/>
    <mergeCell ref="AU13:AX13"/>
    <mergeCell ref="C14:E14"/>
    <mergeCell ref="F14:I14"/>
    <mergeCell ref="J14:AP14"/>
    <mergeCell ref="AQ14:AT14"/>
    <mergeCell ref="AU14:AX14"/>
    <mergeCell ref="C11:E11"/>
    <mergeCell ref="F11:I11"/>
    <mergeCell ref="J11:AP11"/>
    <mergeCell ref="AQ11:AT11"/>
    <mergeCell ref="AU11:AX11"/>
    <mergeCell ref="C12:E12"/>
    <mergeCell ref="F12:I12"/>
    <mergeCell ref="J12:AP12"/>
    <mergeCell ref="AQ12:AT12"/>
    <mergeCell ref="AU12:AX12"/>
    <mergeCell ref="C9:E9"/>
    <mergeCell ref="F9:I9"/>
    <mergeCell ref="J9:AP9"/>
    <mergeCell ref="AQ9:AT9"/>
    <mergeCell ref="AU9:AX9"/>
    <mergeCell ref="C10:E10"/>
    <mergeCell ref="F10:I10"/>
    <mergeCell ref="J10:AP10"/>
    <mergeCell ref="AQ10:AT10"/>
    <mergeCell ref="AU10:AX10"/>
    <mergeCell ref="C7:E7"/>
    <mergeCell ref="F7:I7"/>
    <mergeCell ref="J7:AP7"/>
    <mergeCell ref="AQ7:AT7"/>
    <mergeCell ref="AU7:AX7"/>
    <mergeCell ref="C8:E8"/>
    <mergeCell ref="F8:I8"/>
    <mergeCell ref="J8:AP8"/>
    <mergeCell ref="AQ8:AT8"/>
    <mergeCell ref="AU8:AX8"/>
    <mergeCell ref="C5:E5"/>
    <mergeCell ref="F5:I5"/>
    <mergeCell ref="J5:AP5"/>
    <mergeCell ref="AQ5:AT5"/>
    <mergeCell ref="AU5:AX5"/>
    <mergeCell ref="C6:E6"/>
    <mergeCell ref="F6:I6"/>
    <mergeCell ref="J6:AP6"/>
    <mergeCell ref="AQ6:AT6"/>
    <mergeCell ref="AU6:AX6"/>
  </mergeCells>
  <phoneticPr fontId="1" type="noConversion"/>
  <pageMargins left="0.75" right="0.75" top="1" bottom="1" header="0.5" footer="0.5"/>
  <pageSetup paperSize="9" scale="6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154B-3815-4E67-A326-868410BDCBAB}">
  <sheetPr>
    <tabColor theme="0"/>
  </sheetPr>
  <dimension ref="A1:AS762"/>
  <sheetViews>
    <sheetView showGridLines="0" zoomScale="85" zoomScaleNormal="85" zoomScaleSheetLayoutView="69" workbookViewId="0">
      <pane xSplit="1" ySplit="11" topLeftCell="L107" activePane="bottomRight" state="frozen"/>
      <selection activeCell="J10" sqref="J10:AV10"/>
      <selection pane="topRight" activeCell="J10" sqref="J10:AV10"/>
      <selection pane="bottomLeft" activeCell="J10" sqref="J10:AV10"/>
      <selection pane="bottomRight" activeCell="P127" sqref="P127:S127"/>
    </sheetView>
  </sheetViews>
  <sheetFormatPr defaultColWidth="2.6640625" defaultRowHeight="13.5" customHeight="1"/>
  <cols>
    <col min="1" max="1" width="5.6640625" style="5" customWidth="1"/>
    <col min="2" max="2" width="16" style="5" bestFit="1" customWidth="1"/>
    <col min="3" max="4" width="10.6640625" style="5" customWidth="1"/>
    <col min="5" max="5" width="4.44140625" style="5" bestFit="1" customWidth="1"/>
    <col min="6" max="6" width="11" style="5" bestFit="1" customWidth="1"/>
    <col min="7" max="7" width="47.44140625" style="6" bestFit="1" customWidth="1"/>
    <col min="8" max="10" width="2.6640625" style="6" customWidth="1"/>
    <col min="11" max="11" width="17.21875" style="26" customWidth="1"/>
    <col min="12" max="13" width="16.44140625" style="6" customWidth="1"/>
    <col min="14" max="14" width="4.44140625" style="6" bestFit="1" customWidth="1"/>
    <col min="15" max="15" width="11" style="6" bestFit="1" customWidth="1"/>
    <col min="16" max="16" width="64" style="6" customWidth="1"/>
    <col min="17" max="19" width="2.6640625" style="6" customWidth="1"/>
    <col min="20" max="20" width="15.109375" style="8" customWidth="1"/>
    <col min="21" max="21" width="26.77734375" style="7" bestFit="1" customWidth="1"/>
    <col min="22" max="22" width="16.44140625" style="8" customWidth="1"/>
    <col min="23" max="23" width="21" style="8" customWidth="1"/>
    <col min="24" max="24" width="8.21875" style="5" bestFit="1" customWidth="1"/>
    <col min="25" max="25" width="7" style="5" bestFit="1" customWidth="1"/>
    <col min="26" max="26" width="5" style="5" bestFit="1" customWidth="1"/>
    <col min="27" max="27" width="8.21875" style="5" bestFit="1" customWidth="1"/>
    <col min="28" max="29" width="5" style="5" bestFit="1" customWidth="1"/>
    <col min="30" max="30" width="8.21875" style="5" bestFit="1" customWidth="1"/>
    <col min="31" max="32" width="5" style="5" bestFit="1" customWidth="1"/>
    <col min="33" max="33" width="5.109375" style="5" customWidth="1"/>
    <col min="34" max="34" width="2.6640625" style="5"/>
    <col min="35" max="35" width="3.21875" style="5" customWidth="1"/>
    <col min="36" max="40" width="2.6640625" style="5"/>
    <col min="41" max="41" width="2.6640625" style="5" customWidth="1"/>
    <col min="42" max="42" width="24.77734375" style="5" customWidth="1"/>
    <col min="43" max="16384" width="2.6640625" style="5"/>
  </cols>
  <sheetData>
    <row r="1" spans="1:45" ht="9" customHeight="1">
      <c r="Z1" s="9"/>
    </row>
    <row r="2" spans="1:45" ht="14.7" customHeight="1" thickBot="1">
      <c r="A2" s="5" t="s">
        <v>2</v>
      </c>
    </row>
    <row r="3" spans="1:45" ht="14.4" thickTop="1" thickBot="1">
      <c r="A3" s="10"/>
      <c r="B3" s="10"/>
      <c r="C3" s="10"/>
      <c r="D3" s="10"/>
      <c r="E3" s="10"/>
      <c r="F3" s="10"/>
      <c r="G3" s="11"/>
      <c r="H3" s="11"/>
      <c r="I3" s="11"/>
      <c r="J3" s="11"/>
      <c r="K3" s="558"/>
      <c r="L3" s="11"/>
      <c r="M3" s="11"/>
      <c r="N3" s="11"/>
      <c r="O3" s="11"/>
      <c r="P3" s="11"/>
      <c r="Q3" s="11"/>
      <c r="R3" s="11"/>
      <c r="S3" s="11"/>
      <c r="T3" s="13"/>
      <c r="U3" s="12"/>
      <c r="V3" s="13"/>
      <c r="W3" s="13"/>
      <c r="X3" s="10"/>
      <c r="Y3" s="10"/>
      <c r="Z3" s="10"/>
      <c r="AA3" s="10"/>
      <c r="AB3" s="10"/>
      <c r="AC3" s="10"/>
      <c r="AD3" s="10"/>
      <c r="AE3" s="10"/>
      <c r="AF3" s="10"/>
    </row>
    <row r="4" spans="1:45" ht="13.8" thickTop="1">
      <c r="B4" s="14" t="s">
        <v>3</v>
      </c>
    </row>
    <row r="5" spans="1:45" ht="11.7" customHeight="1">
      <c r="B5" s="774" t="s">
        <v>76</v>
      </c>
      <c r="C5" s="776"/>
      <c r="D5" s="776"/>
      <c r="E5" s="776"/>
      <c r="F5" s="776"/>
      <c r="G5" s="776"/>
      <c r="H5" s="775"/>
      <c r="I5" s="849" t="s">
        <v>77</v>
      </c>
      <c r="J5" s="850"/>
      <c r="K5" s="850"/>
      <c r="L5" s="850"/>
      <c r="M5" s="850"/>
      <c r="N5" s="850"/>
      <c r="O5" s="850"/>
      <c r="P5" s="850"/>
      <c r="Q5" s="850"/>
      <c r="R5" s="850"/>
      <c r="S5" s="850"/>
      <c r="T5" s="850"/>
      <c r="U5" s="15"/>
      <c r="V5" s="16"/>
      <c r="W5" s="16"/>
      <c r="X5" s="16"/>
      <c r="Y5" s="17" t="s">
        <v>27</v>
      </c>
      <c r="AA5" s="847"/>
      <c r="AB5" s="848"/>
      <c r="AC5" s="18"/>
      <c r="AD5" s="847"/>
      <c r="AE5" s="848"/>
      <c r="AF5" s="18">
        <f>COUNTIF($C$12:$C$1714,AD5)</f>
        <v>0</v>
      </c>
    </row>
    <row r="6" spans="1:45" ht="12" customHeight="1">
      <c r="B6" s="774" t="s">
        <v>78</v>
      </c>
      <c r="C6" s="776"/>
      <c r="D6" s="775"/>
      <c r="E6" s="777" t="str">
        <f>IF((E7+E8+E9)=E10,"체크정상","체크이상")</f>
        <v>체크이상</v>
      </c>
      <c r="F6" s="778"/>
      <c r="G6" s="774" t="s">
        <v>79</v>
      </c>
      <c r="H6" s="775"/>
      <c r="I6" s="777" t="str">
        <f>IF((I7+I8+I9)=I10,"체크정상","체크이상")</f>
        <v>체크이상</v>
      </c>
      <c r="J6" s="778"/>
      <c r="K6" s="771" t="s">
        <v>78</v>
      </c>
      <c r="L6" s="772"/>
      <c r="M6" s="772"/>
      <c r="N6" s="772"/>
      <c r="O6" s="773"/>
      <c r="P6" s="777" t="str">
        <f>IF((P7+P8+P9+E7)=P10,"체크정상","체크이상")</f>
        <v>체크이상</v>
      </c>
      <c r="Q6" s="778"/>
      <c r="R6" s="774" t="s">
        <v>79</v>
      </c>
      <c r="S6" s="775"/>
      <c r="T6" s="21" t="str">
        <f>IF((T7+T8+T9+I7)=T10,"체크정상","체크이상")</f>
        <v>체크이상</v>
      </c>
      <c r="U6" s="20"/>
      <c r="W6" s="18" t="s">
        <v>26</v>
      </c>
      <c r="X6" s="18">
        <f>SUM(X7:X10)</f>
        <v>39</v>
      </c>
      <c r="Y6" s="17">
        <f>COUNTIF($C$85:$C$600,"*"&amp;"SPARE"&amp;"*")</f>
        <v>0</v>
      </c>
    </row>
    <row r="7" spans="1:45" ht="12" customHeight="1">
      <c r="B7" s="771" t="s">
        <v>80</v>
      </c>
      <c r="C7" s="772"/>
      <c r="D7" s="773"/>
      <c r="E7" s="774">
        <f>COUNTIFS($F:$F,"ib*",$Y:$Y,"OK")</f>
        <v>0</v>
      </c>
      <c r="F7" s="775"/>
      <c r="G7" s="771" t="s">
        <v>80</v>
      </c>
      <c r="H7" s="773"/>
      <c r="I7" s="774">
        <f>COUNTIFS($O:$O,"Ob*",$Y:$Y,"OK")</f>
        <v>0</v>
      </c>
      <c r="J7" s="775"/>
      <c r="K7" s="771" t="s">
        <v>80</v>
      </c>
      <c r="L7" s="772"/>
      <c r="M7" s="772"/>
      <c r="N7" s="772"/>
      <c r="O7" s="773"/>
      <c r="P7" s="774">
        <f>COUNTIFS($F:$F,"ib*",$AB:$AB,"OK")</f>
        <v>0</v>
      </c>
      <c r="Q7" s="775"/>
      <c r="R7" s="771" t="s">
        <v>81</v>
      </c>
      <c r="S7" s="773"/>
      <c r="T7" s="21">
        <f>COUNTIFS($O:$O,"Ob*",$AB:$AB,"OK")</f>
        <v>0</v>
      </c>
      <c r="U7" s="15"/>
      <c r="W7" s="18" t="s">
        <v>23</v>
      </c>
      <c r="X7" s="18">
        <f>COUNTIF($C$85:$C$800,"*"&amp;"DA16A"&amp;"*")</f>
        <v>24</v>
      </c>
      <c r="Y7" s="17" t="s">
        <v>28</v>
      </c>
    </row>
    <row r="8" spans="1:45" ht="12" customHeight="1">
      <c r="B8" s="771" t="s">
        <v>82</v>
      </c>
      <c r="C8" s="772"/>
      <c r="D8" s="773"/>
      <c r="E8" s="774">
        <f>COUNTIFS($F:$F,"ib*",$Y:$Y,"NG")</f>
        <v>0</v>
      </c>
      <c r="F8" s="775"/>
      <c r="G8" s="771" t="s">
        <v>82</v>
      </c>
      <c r="H8" s="773"/>
      <c r="I8" s="774">
        <f>COUNTIFS($O:$O,"Ob*",$Y:$Y,"NG")</f>
        <v>0</v>
      </c>
      <c r="J8" s="775"/>
      <c r="K8" s="771" t="s">
        <v>82</v>
      </c>
      <c r="L8" s="772"/>
      <c r="M8" s="772"/>
      <c r="N8" s="772"/>
      <c r="O8" s="773"/>
      <c r="P8" s="774">
        <f>COUNTIFS($F:$F,"ib*",$AB:$AB,"NG")</f>
        <v>0</v>
      </c>
      <c r="Q8" s="775"/>
      <c r="R8" s="771" t="s">
        <v>83</v>
      </c>
      <c r="S8" s="773"/>
      <c r="T8" s="21">
        <f>COUNTIFS($O:$O,"Ob*",$AB:$AB,"NG")</f>
        <v>0</v>
      </c>
      <c r="U8" s="15"/>
      <c r="W8" s="18" t="s">
        <v>22</v>
      </c>
      <c r="X8" s="18">
        <f>COUNTIF($C$85:$C$800,"*"&amp;"DC16A"&amp;"*")</f>
        <v>13</v>
      </c>
      <c r="Y8" s="17">
        <f>COUNTIF($C$85:$C$600,"*"&amp;"EMPTY"&amp;"*")</f>
        <v>3</v>
      </c>
    </row>
    <row r="9" spans="1:45" ht="12" customHeight="1">
      <c r="B9" s="771" t="s">
        <v>84</v>
      </c>
      <c r="C9" s="772"/>
      <c r="D9" s="773"/>
      <c r="E9" s="774">
        <f>COUNTIFS($F:$F,"ib*",$Y:$Y,"SKIP")</f>
        <v>0</v>
      </c>
      <c r="F9" s="775"/>
      <c r="G9" s="771" t="s">
        <v>84</v>
      </c>
      <c r="H9" s="773"/>
      <c r="I9" s="774">
        <f>COUNTIFS($O:$O,"ob*",$Y:$Y,"SKIP")</f>
        <v>0</v>
      </c>
      <c r="J9" s="775"/>
      <c r="K9" s="771" t="s">
        <v>84</v>
      </c>
      <c r="L9" s="772"/>
      <c r="M9" s="772"/>
      <c r="N9" s="772"/>
      <c r="O9" s="773"/>
      <c r="P9" s="774">
        <f>COUNTIFS($F:$F,"ib*",$AB:$AB,"SKIP")</f>
        <v>0</v>
      </c>
      <c r="Q9" s="775"/>
      <c r="R9" s="771" t="s">
        <v>85</v>
      </c>
      <c r="S9" s="773"/>
      <c r="T9" s="21">
        <f>COUNTIFS($O:$O,"Ob*",$AB:$AB,"SKIP")</f>
        <v>0</v>
      </c>
      <c r="U9" s="15"/>
      <c r="W9" s="18" t="s">
        <v>24</v>
      </c>
      <c r="X9" s="18">
        <f>COUNTIF($C$85:$C$800,"*"&amp;"DAC16C"&amp;"*")</f>
        <v>2</v>
      </c>
    </row>
    <row r="10" spans="1:45" ht="12" customHeight="1">
      <c r="B10" s="771" t="s">
        <v>86</v>
      </c>
      <c r="C10" s="772"/>
      <c r="D10" s="773"/>
      <c r="E10" s="774">
        <f>COUNTIFS($F:$F,"ib*",$G:$G,"*")</f>
        <v>315</v>
      </c>
      <c r="F10" s="775"/>
      <c r="G10" s="771" t="s">
        <v>87</v>
      </c>
      <c r="H10" s="773"/>
      <c r="I10" s="774">
        <f>COUNTIFS($O:$O,"ob*",$P:$P,"*")</f>
        <v>193</v>
      </c>
      <c r="J10" s="775"/>
      <c r="K10" s="771" t="s">
        <v>86</v>
      </c>
      <c r="L10" s="772"/>
      <c r="M10" s="772"/>
      <c r="N10" s="772"/>
      <c r="O10" s="773"/>
      <c r="P10" s="774">
        <f>COUNTIFS($F:$F,"ib*",$G:$G,"*")</f>
        <v>315</v>
      </c>
      <c r="Q10" s="775"/>
      <c r="R10" s="771" t="s">
        <v>87</v>
      </c>
      <c r="S10" s="773"/>
      <c r="T10" s="21">
        <f>COUNTIFS($O:$O,"ob*",$P:$P,"*")</f>
        <v>193</v>
      </c>
      <c r="U10" s="15"/>
      <c r="W10" s="18" t="s">
        <v>25</v>
      </c>
      <c r="X10" s="18">
        <f>COUNTIF($C$85:$C$600,"*"&amp;"DAC32C"&amp;"*")</f>
        <v>0</v>
      </c>
    </row>
    <row r="11" spans="1:45" ht="12" customHeight="1">
      <c r="B11" s="771" t="s">
        <v>88</v>
      </c>
      <c r="C11" s="772"/>
      <c r="D11" s="773"/>
      <c r="E11" s="794">
        <f>(E7/E10)</f>
        <v>0</v>
      </c>
      <c r="F11" s="795"/>
      <c r="G11" s="771" t="s">
        <v>88</v>
      </c>
      <c r="H11" s="773"/>
      <c r="I11" s="794">
        <f>(I7/I10)</f>
        <v>0</v>
      </c>
      <c r="J11" s="795"/>
      <c r="K11" s="771" t="s">
        <v>89</v>
      </c>
      <c r="L11" s="772"/>
      <c r="M11" s="772"/>
      <c r="N11" s="772"/>
      <c r="O11" s="773"/>
      <c r="P11" s="794">
        <f>((P7+E7)/P10)</f>
        <v>0</v>
      </c>
      <c r="Q11" s="795"/>
      <c r="R11" s="771" t="s">
        <v>89</v>
      </c>
      <c r="S11" s="773"/>
      <c r="T11" s="22">
        <f>(T7/T10)</f>
        <v>0</v>
      </c>
      <c r="U11" s="23"/>
    </row>
    <row r="12" spans="1:45" ht="13.8" thickBot="1">
      <c r="B12" s="24"/>
      <c r="C12" s="24"/>
      <c r="D12" s="24"/>
      <c r="E12" s="24"/>
      <c r="F12" s="24"/>
      <c r="G12" s="24"/>
      <c r="H12" s="24"/>
      <c r="I12" s="24"/>
      <c r="J12" s="24"/>
      <c r="K12" s="559"/>
      <c r="L12" s="24"/>
      <c r="M12" s="24"/>
      <c r="N12" s="24"/>
      <c r="O12" s="24"/>
      <c r="P12" s="24"/>
      <c r="Q12" s="24"/>
      <c r="R12" s="24"/>
      <c r="S12" s="24"/>
      <c r="T12" s="25"/>
      <c r="U12" s="24"/>
      <c r="V12" s="25"/>
      <c r="W12" s="25"/>
      <c r="X12" s="24"/>
      <c r="Y12" s="24"/>
      <c r="Z12" s="26"/>
      <c r="AA12" s="851" t="s">
        <v>101</v>
      </c>
      <c r="AB12" s="852"/>
      <c r="AC12" s="853"/>
    </row>
    <row r="13" spans="1:45" ht="11.7" customHeight="1">
      <c r="B13" s="779" t="s">
        <v>0</v>
      </c>
      <c r="C13" s="781" t="s">
        <v>4</v>
      </c>
      <c r="D13" s="781" t="s">
        <v>5</v>
      </c>
      <c r="E13" s="783" t="s">
        <v>90</v>
      </c>
      <c r="F13" s="783" t="s">
        <v>6</v>
      </c>
      <c r="G13" s="785" t="s">
        <v>21</v>
      </c>
      <c r="H13" s="786"/>
      <c r="I13" s="786"/>
      <c r="J13" s="787"/>
      <c r="K13" s="783" t="s">
        <v>1545</v>
      </c>
      <c r="L13" s="870" t="s">
        <v>1570</v>
      </c>
      <c r="M13" s="802" t="s">
        <v>13</v>
      </c>
      <c r="N13" s="783" t="s">
        <v>90</v>
      </c>
      <c r="O13" s="783" t="s">
        <v>6</v>
      </c>
      <c r="P13" s="862" t="s">
        <v>7</v>
      </c>
      <c r="Q13" s="863"/>
      <c r="R13" s="863"/>
      <c r="S13" s="855"/>
      <c r="T13" s="783" t="s">
        <v>1545</v>
      </c>
      <c r="U13" s="870" t="s">
        <v>1570</v>
      </c>
      <c r="V13" s="854" t="s">
        <v>13</v>
      </c>
      <c r="W13" s="855"/>
      <c r="X13" s="858" t="s">
        <v>91</v>
      </c>
      <c r="Y13" s="859"/>
      <c r="Z13" s="860"/>
      <c r="AA13" s="861" t="s">
        <v>92</v>
      </c>
      <c r="AB13" s="859"/>
      <c r="AC13" s="860"/>
      <c r="AD13" s="861" t="s">
        <v>92</v>
      </c>
      <c r="AE13" s="859"/>
      <c r="AF13" s="860"/>
    </row>
    <row r="14" spans="1:45" ht="13.2">
      <c r="B14" s="780"/>
      <c r="C14" s="782"/>
      <c r="D14" s="782"/>
      <c r="E14" s="784"/>
      <c r="F14" s="784"/>
      <c r="G14" s="796"/>
      <c r="H14" s="797"/>
      <c r="I14" s="797"/>
      <c r="J14" s="798"/>
      <c r="K14" s="784"/>
      <c r="L14" s="871"/>
      <c r="M14" s="803"/>
      <c r="N14" s="784"/>
      <c r="O14" s="784"/>
      <c r="P14" s="867"/>
      <c r="Q14" s="868"/>
      <c r="R14" s="868"/>
      <c r="S14" s="869"/>
      <c r="T14" s="784"/>
      <c r="U14" s="871"/>
      <c r="V14" s="856"/>
      <c r="W14" s="857"/>
      <c r="X14" s="30" t="s">
        <v>93</v>
      </c>
      <c r="Y14" s="31" t="s">
        <v>94</v>
      </c>
      <c r="Z14" s="32" t="s">
        <v>95</v>
      </c>
      <c r="AA14" s="33" t="s">
        <v>93</v>
      </c>
      <c r="AB14" s="31" t="s">
        <v>94</v>
      </c>
      <c r="AC14" s="32" t="s">
        <v>95</v>
      </c>
      <c r="AD14" s="30" t="s">
        <v>93</v>
      </c>
      <c r="AE14" s="31" t="s">
        <v>94</v>
      </c>
      <c r="AF14" s="32" t="s">
        <v>95</v>
      </c>
    </row>
    <row r="15" spans="1:45" ht="17.25" customHeight="1">
      <c r="B15" s="34">
        <v>1</v>
      </c>
      <c r="C15" s="791" t="s">
        <v>12</v>
      </c>
      <c r="D15" s="791"/>
      <c r="E15" s="35" t="s">
        <v>10</v>
      </c>
      <c r="F15" s="544" t="s">
        <v>43</v>
      </c>
      <c r="G15" s="302" t="s">
        <v>577</v>
      </c>
      <c r="H15" s="303"/>
      <c r="I15" s="303"/>
      <c r="J15" s="304"/>
      <c r="K15" s="589"/>
      <c r="L15" s="613" t="s">
        <v>1513</v>
      </c>
      <c r="M15" s="598"/>
      <c r="N15" s="35" t="s">
        <v>11</v>
      </c>
      <c r="O15" s="545" t="s">
        <v>1486</v>
      </c>
      <c r="P15" s="532" t="s">
        <v>601</v>
      </c>
      <c r="Q15" s="533"/>
      <c r="R15" s="533"/>
      <c r="S15" s="534"/>
      <c r="T15" s="589"/>
      <c r="U15" s="613" t="s">
        <v>1513</v>
      </c>
      <c r="V15" s="769"/>
      <c r="W15" s="770"/>
      <c r="X15" s="40"/>
      <c r="Y15" s="41"/>
      <c r="Z15" s="41"/>
      <c r="AA15" s="42"/>
      <c r="AB15" s="41"/>
      <c r="AC15" s="43"/>
      <c r="AD15" s="41"/>
      <c r="AE15" s="41"/>
      <c r="AF15" s="43"/>
      <c r="AP15" s="743" t="s">
        <v>102</v>
      </c>
      <c r="AQ15" s="744"/>
      <c r="AR15" s="744"/>
      <c r="AS15" s="745"/>
    </row>
    <row r="16" spans="1:45" ht="17.25" customHeight="1">
      <c r="B16" s="34">
        <v>2</v>
      </c>
      <c r="C16" s="792"/>
      <c r="D16" s="792"/>
      <c r="E16" s="35" t="s">
        <v>10</v>
      </c>
      <c r="F16" s="544" t="str">
        <f>LEFT(F15,1)&amp;DEC2HEX(HEX2DEC(MID(F15,2,LENB(F15)-1))+1,LENB(F15)-1)</f>
        <v>IB10001</v>
      </c>
      <c r="G16" s="302" t="s">
        <v>578</v>
      </c>
      <c r="H16" s="303"/>
      <c r="I16" s="303"/>
      <c r="J16" s="304"/>
      <c r="K16" s="589"/>
      <c r="L16" s="613" t="s">
        <v>1513</v>
      </c>
      <c r="M16" s="598"/>
      <c r="N16" s="35" t="s">
        <v>11</v>
      </c>
      <c r="O16" s="545" t="str">
        <f>LEFT(O15,1)&amp;DEC2HEX(HEX2DEC(MID(O15,2,LENB(O15)-1))+1,LENB(O15)-1)</f>
        <v>OB10001</v>
      </c>
      <c r="P16" s="532" t="s">
        <v>602</v>
      </c>
      <c r="Q16" s="533"/>
      <c r="R16" s="533"/>
      <c r="S16" s="534"/>
      <c r="T16" s="589"/>
      <c r="U16" s="613" t="s">
        <v>1513</v>
      </c>
      <c r="V16" s="769"/>
      <c r="W16" s="770"/>
      <c r="X16" s="40"/>
      <c r="Y16" s="41"/>
      <c r="Z16" s="43"/>
      <c r="AA16" s="42"/>
      <c r="AB16" s="41"/>
      <c r="AC16" s="43"/>
      <c r="AD16" s="41"/>
      <c r="AE16" s="41"/>
      <c r="AF16" s="43"/>
      <c r="AP16" s="743" t="s">
        <v>103</v>
      </c>
      <c r="AQ16" s="744"/>
      <c r="AR16" s="744"/>
      <c r="AS16" s="745"/>
    </row>
    <row r="17" spans="2:45" ht="17.25" customHeight="1">
      <c r="B17" s="34">
        <v>3</v>
      </c>
      <c r="C17" s="792"/>
      <c r="D17" s="792"/>
      <c r="E17" s="35" t="s">
        <v>10</v>
      </c>
      <c r="F17" s="544" t="str">
        <f t="shared" ref="F17:F46" si="0">LEFT(F16,1)&amp;DEC2HEX(HEX2DEC(MID(F16,2,LENB(F16)-1))+1,LENB(F16)-1)</f>
        <v>IB10002</v>
      </c>
      <c r="G17" s="302" t="s">
        <v>579</v>
      </c>
      <c r="H17" s="303"/>
      <c r="I17" s="303"/>
      <c r="J17" s="304"/>
      <c r="K17" s="589"/>
      <c r="L17" s="613" t="s">
        <v>1513</v>
      </c>
      <c r="M17" s="598"/>
      <c r="N17" s="35" t="s">
        <v>11</v>
      </c>
      <c r="O17" s="545" t="str">
        <f t="shared" ref="O17:O46" si="1">LEFT(O16,1)&amp;DEC2HEX(HEX2DEC(MID(O16,2,LENB(O16)-1))+1,LENB(O16)-1)</f>
        <v>OB10002</v>
      </c>
      <c r="P17" s="532" t="s">
        <v>603</v>
      </c>
      <c r="Q17" s="533"/>
      <c r="R17" s="533"/>
      <c r="S17" s="534"/>
      <c r="T17" s="589"/>
      <c r="U17" s="613" t="s">
        <v>1513</v>
      </c>
      <c r="V17" s="769"/>
      <c r="W17" s="770"/>
      <c r="X17" s="40"/>
      <c r="Y17" s="41"/>
      <c r="Z17" s="43"/>
      <c r="AA17" s="42"/>
      <c r="AB17" s="41"/>
      <c r="AC17" s="43"/>
      <c r="AD17" s="41"/>
      <c r="AE17" s="41"/>
      <c r="AF17" s="43"/>
      <c r="AP17" s="743" t="s">
        <v>104</v>
      </c>
      <c r="AQ17" s="744"/>
      <c r="AR17" s="744"/>
      <c r="AS17" s="745"/>
    </row>
    <row r="18" spans="2:45" ht="17.25" customHeight="1">
      <c r="B18" s="34">
        <v>4</v>
      </c>
      <c r="C18" s="792"/>
      <c r="D18" s="792"/>
      <c r="E18" s="35" t="s">
        <v>10</v>
      </c>
      <c r="F18" s="544" t="str">
        <f t="shared" si="0"/>
        <v>IB10003</v>
      </c>
      <c r="G18" s="302" t="s">
        <v>580</v>
      </c>
      <c r="H18" s="303"/>
      <c r="I18" s="303"/>
      <c r="J18" s="304"/>
      <c r="K18" s="589"/>
      <c r="L18" s="613" t="s">
        <v>1513</v>
      </c>
      <c r="M18" s="598"/>
      <c r="N18" s="35" t="s">
        <v>11</v>
      </c>
      <c r="O18" s="545" t="str">
        <f t="shared" si="1"/>
        <v>OB10003</v>
      </c>
      <c r="P18" s="532" t="s">
        <v>578</v>
      </c>
      <c r="Q18" s="533"/>
      <c r="R18" s="533"/>
      <c r="S18" s="534"/>
      <c r="T18" s="589"/>
      <c r="U18" s="613" t="s">
        <v>1513</v>
      </c>
      <c r="V18" s="769"/>
      <c r="W18" s="770"/>
      <c r="X18" s="40"/>
      <c r="Y18" s="41"/>
      <c r="Z18" s="41"/>
      <c r="AA18" s="42"/>
      <c r="AB18" s="41"/>
      <c r="AC18" s="43"/>
      <c r="AD18" s="41"/>
      <c r="AE18" s="41"/>
      <c r="AF18" s="43"/>
      <c r="AP18" s="766" t="s">
        <v>110</v>
      </c>
      <c r="AQ18" s="767"/>
      <c r="AR18" s="767"/>
      <c r="AS18" s="768"/>
    </row>
    <row r="19" spans="2:45" ht="17.25" customHeight="1">
      <c r="B19" s="34">
        <v>5</v>
      </c>
      <c r="C19" s="792"/>
      <c r="D19" s="792"/>
      <c r="E19" s="35" t="s">
        <v>10</v>
      </c>
      <c r="F19" s="544" t="str">
        <f t="shared" si="0"/>
        <v>IB10004</v>
      </c>
      <c r="G19" s="302" t="s">
        <v>581</v>
      </c>
      <c r="H19" s="303"/>
      <c r="I19" s="303"/>
      <c r="J19" s="304"/>
      <c r="K19" s="589"/>
      <c r="L19" s="613" t="s">
        <v>1513</v>
      </c>
      <c r="M19" s="598"/>
      <c r="N19" s="35" t="s">
        <v>11</v>
      </c>
      <c r="O19" s="545" t="str">
        <f t="shared" si="1"/>
        <v>OB10004</v>
      </c>
      <c r="P19" s="532" t="s">
        <v>604</v>
      </c>
      <c r="Q19" s="533"/>
      <c r="R19" s="533"/>
      <c r="S19" s="534"/>
      <c r="T19" s="589"/>
      <c r="U19" s="613" t="s">
        <v>1513</v>
      </c>
      <c r="V19" s="769"/>
      <c r="W19" s="770"/>
      <c r="X19" s="40"/>
      <c r="Y19" s="41"/>
      <c r="Z19" s="43"/>
      <c r="AA19" s="42"/>
      <c r="AB19" s="41"/>
      <c r="AC19" s="43"/>
      <c r="AD19" s="41"/>
      <c r="AE19" s="41"/>
      <c r="AF19" s="43"/>
      <c r="AP19" s="766" t="s">
        <v>111</v>
      </c>
      <c r="AQ19" s="767"/>
      <c r="AR19" s="767"/>
      <c r="AS19" s="768"/>
    </row>
    <row r="20" spans="2:45" ht="17.25" customHeight="1">
      <c r="B20" s="34">
        <v>6</v>
      </c>
      <c r="C20" s="792"/>
      <c r="D20" s="792"/>
      <c r="E20" s="35" t="s">
        <v>10</v>
      </c>
      <c r="F20" s="544" t="str">
        <f t="shared" si="0"/>
        <v>IB10005</v>
      </c>
      <c r="G20" s="302" t="s">
        <v>582</v>
      </c>
      <c r="H20" s="303"/>
      <c r="I20" s="303"/>
      <c r="J20" s="304"/>
      <c r="K20" s="589"/>
      <c r="L20" s="613" t="s">
        <v>1513</v>
      </c>
      <c r="M20" s="598"/>
      <c r="N20" s="35" t="s">
        <v>11</v>
      </c>
      <c r="O20" s="545" t="str">
        <f t="shared" si="1"/>
        <v>OB10005</v>
      </c>
      <c r="P20" s="532" t="s">
        <v>605</v>
      </c>
      <c r="Q20" s="533"/>
      <c r="R20" s="533"/>
      <c r="S20" s="534"/>
      <c r="T20" s="589"/>
      <c r="U20" s="613" t="s">
        <v>1513</v>
      </c>
      <c r="V20" s="769"/>
      <c r="W20" s="770"/>
      <c r="X20" s="40"/>
      <c r="Y20" s="41"/>
      <c r="Z20" s="43"/>
      <c r="AA20" s="42"/>
      <c r="AB20" s="41"/>
      <c r="AC20" s="43"/>
      <c r="AD20" s="41"/>
      <c r="AE20" s="41"/>
      <c r="AF20" s="43"/>
      <c r="AP20" s="766" t="s">
        <v>112</v>
      </c>
      <c r="AQ20" s="767"/>
      <c r="AR20" s="767"/>
      <c r="AS20" s="768"/>
    </row>
    <row r="21" spans="2:45" ht="17.25" customHeight="1">
      <c r="B21" s="34">
        <v>7</v>
      </c>
      <c r="C21" s="792"/>
      <c r="D21" s="792"/>
      <c r="E21" s="35" t="s">
        <v>10</v>
      </c>
      <c r="F21" s="544" t="str">
        <f t="shared" si="0"/>
        <v>IB10006</v>
      </c>
      <c r="G21" s="302" t="s">
        <v>583</v>
      </c>
      <c r="H21" s="303"/>
      <c r="I21" s="303"/>
      <c r="J21" s="304"/>
      <c r="K21" s="589"/>
      <c r="L21" s="613" t="s">
        <v>1513</v>
      </c>
      <c r="M21" s="598"/>
      <c r="N21" s="35" t="s">
        <v>11</v>
      </c>
      <c r="O21" s="545" t="str">
        <f t="shared" si="1"/>
        <v>OB10006</v>
      </c>
      <c r="P21" s="532" t="s">
        <v>606</v>
      </c>
      <c r="Q21" s="533"/>
      <c r="R21" s="533"/>
      <c r="S21" s="534"/>
      <c r="T21" s="589"/>
      <c r="U21" s="613" t="s">
        <v>1513</v>
      </c>
      <c r="V21" s="769"/>
      <c r="W21" s="770"/>
      <c r="X21" s="40"/>
      <c r="Y21" s="41"/>
      <c r="Z21" s="43"/>
      <c r="AA21" s="42"/>
      <c r="AB21" s="41"/>
      <c r="AC21" s="43"/>
      <c r="AD21" s="41"/>
      <c r="AE21" s="41"/>
      <c r="AF21" s="43"/>
      <c r="AP21" s="766" t="s">
        <v>113</v>
      </c>
      <c r="AQ21" s="767"/>
      <c r="AR21" s="767"/>
      <c r="AS21" s="768"/>
    </row>
    <row r="22" spans="2:45" ht="17.25" customHeight="1">
      <c r="B22" s="34">
        <v>8</v>
      </c>
      <c r="C22" s="792"/>
      <c r="D22" s="792"/>
      <c r="E22" s="35" t="s">
        <v>10</v>
      </c>
      <c r="F22" s="544" t="str">
        <f t="shared" si="0"/>
        <v>IB10007</v>
      </c>
      <c r="G22" s="302" t="s">
        <v>584</v>
      </c>
      <c r="H22" s="303"/>
      <c r="I22" s="303"/>
      <c r="J22" s="304"/>
      <c r="K22" s="589"/>
      <c r="L22" s="613" t="s">
        <v>1513</v>
      </c>
      <c r="M22" s="598"/>
      <c r="N22" s="35" t="s">
        <v>11</v>
      </c>
      <c r="O22" s="545" t="str">
        <f t="shared" si="1"/>
        <v>OB10007</v>
      </c>
      <c r="P22" s="532" t="s">
        <v>582</v>
      </c>
      <c r="Q22" s="533"/>
      <c r="R22" s="533"/>
      <c r="S22" s="534"/>
      <c r="T22" s="589"/>
      <c r="U22" s="613" t="s">
        <v>1513</v>
      </c>
      <c r="V22" s="769"/>
      <c r="W22" s="770"/>
      <c r="X22" s="40"/>
      <c r="Y22" s="41"/>
      <c r="Z22" s="43"/>
      <c r="AA22" s="42"/>
      <c r="AB22" s="41"/>
      <c r="AC22" s="43"/>
      <c r="AD22" s="41"/>
      <c r="AE22" s="41"/>
      <c r="AF22" s="43"/>
      <c r="AP22" s="743" t="s">
        <v>102</v>
      </c>
      <c r="AQ22" s="744"/>
      <c r="AR22" s="744"/>
      <c r="AS22" s="745"/>
    </row>
    <row r="23" spans="2:45" ht="17.25" customHeight="1">
      <c r="B23" s="34">
        <v>9</v>
      </c>
      <c r="C23" s="792"/>
      <c r="D23" s="792"/>
      <c r="E23" s="35" t="s">
        <v>10</v>
      </c>
      <c r="F23" s="544" t="str">
        <f t="shared" si="0"/>
        <v>IB10008</v>
      </c>
      <c r="G23" s="302" t="s">
        <v>589</v>
      </c>
      <c r="H23" s="303"/>
      <c r="I23" s="303"/>
      <c r="J23" s="304"/>
      <c r="K23" s="589"/>
      <c r="L23" s="613" t="s">
        <v>1513</v>
      </c>
      <c r="M23" s="598"/>
      <c r="N23" s="35" t="s">
        <v>11</v>
      </c>
      <c r="O23" s="545" t="str">
        <f t="shared" si="1"/>
        <v>OB10008</v>
      </c>
      <c r="P23" s="532" t="s">
        <v>610</v>
      </c>
      <c r="Q23" s="533"/>
      <c r="R23" s="533"/>
      <c r="S23" s="534"/>
      <c r="T23" s="589"/>
      <c r="U23" s="613" t="s">
        <v>1513</v>
      </c>
      <c r="V23" s="769"/>
      <c r="W23" s="770"/>
      <c r="X23" s="40"/>
      <c r="Y23" s="41"/>
      <c r="Z23" s="43"/>
      <c r="AA23" s="42"/>
      <c r="AB23" s="41"/>
      <c r="AC23" s="43"/>
      <c r="AD23" s="41"/>
      <c r="AE23" s="41"/>
      <c r="AF23" s="43"/>
      <c r="AP23" s="743" t="s">
        <v>103</v>
      </c>
      <c r="AQ23" s="744"/>
      <c r="AR23" s="744"/>
      <c r="AS23" s="745"/>
    </row>
    <row r="24" spans="2:45" ht="17.25" customHeight="1">
      <c r="B24" s="34">
        <v>10</v>
      </c>
      <c r="C24" s="792"/>
      <c r="D24" s="792"/>
      <c r="E24" s="35" t="s">
        <v>10</v>
      </c>
      <c r="F24" s="544" t="str">
        <f t="shared" si="0"/>
        <v>IB10009</v>
      </c>
      <c r="G24" s="302" t="s">
        <v>590</v>
      </c>
      <c r="H24" s="303"/>
      <c r="I24" s="303"/>
      <c r="J24" s="304"/>
      <c r="K24" s="589"/>
      <c r="L24" s="613" t="s">
        <v>1513</v>
      </c>
      <c r="M24" s="598"/>
      <c r="N24" s="35" t="s">
        <v>11</v>
      </c>
      <c r="O24" s="545" t="str">
        <f t="shared" si="1"/>
        <v>OB10009</v>
      </c>
      <c r="P24" s="532" t="s">
        <v>611</v>
      </c>
      <c r="Q24" s="533"/>
      <c r="R24" s="533"/>
      <c r="S24" s="534"/>
      <c r="T24" s="589"/>
      <c r="U24" s="613" t="s">
        <v>1513</v>
      </c>
      <c r="V24" s="769"/>
      <c r="W24" s="770"/>
      <c r="X24" s="40"/>
      <c r="Y24" s="41"/>
      <c r="Z24" s="43"/>
      <c r="AA24" s="42"/>
      <c r="AB24" s="41"/>
      <c r="AC24" s="43"/>
      <c r="AD24" s="41"/>
      <c r="AE24" s="41"/>
      <c r="AF24" s="43"/>
      <c r="AP24" s="743" t="s">
        <v>104</v>
      </c>
      <c r="AQ24" s="744"/>
      <c r="AR24" s="744"/>
      <c r="AS24" s="745"/>
    </row>
    <row r="25" spans="2:45" ht="17.25" customHeight="1">
      <c r="B25" s="34">
        <v>11</v>
      </c>
      <c r="C25" s="792"/>
      <c r="D25" s="792"/>
      <c r="E25" s="35" t="s">
        <v>10</v>
      </c>
      <c r="F25" s="544" t="str">
        <f t="shared" si="0"/>
        <v>IB1000A</v>
      </c>
      <c r="G25" s="302" t="s">
        <v>591</v>
      </c>
      <c r="H25" s="303"/>
      <c r="I25" s="303"/>
      <c r="J25" s="304"/>
      <c r="K25" s="589"/>
      <c r="L25" s="613" t="s">
        <v>1513</v>
      </c>
      <c r="M25" s="598"/>
      <c r="N25" s="35" t="s">
        <v>11</v>
      </c>
      <c r="O25" s="545" t="str">
        <f t="shared" si="1"/>
        <v>OB1000A</v>
      </c>
      <c r="P25" s="532" t="s">
        <v>612</v>
      </c>
      <c r="Q25" s="533"/>
      <c r="R25" s="533"/>
      <c r="S25" s="534"/>
      <c r="T25" s="589"/>
      <c r="U25" s="613" t="s">
        <v>1513</v>
      </c>
      <c r="V25" s="769"/>
      <c r="W25" s="770"/>
      <c r="X25" s="40"/>
      <c r="Y25" s="41"/>
      <c r="Z25" s="43"/>
      <c r="AA25" s="42"/>
      <c r="AB25" s="41"/>
      <c r="AC25" s="43"/>
      <c r="AD25" s="41"/>
      <c r="AE25" s="41"/>
      <c r="AF25" s="43"/>
      <c r="AP25" s="766" t="s">
        <v>110</v>
      </c>
      <c r="AQ25" s="767"/>
      <c r="AR25" s="767"/>
      <c r="AS25" s="768"/>
    </row>
    <row r="26" spans="2:45" ht="17.25" customHeight="1">
      <c r="B26" s="34">
        <v>12</v>
      </c>
      <c r="C26" s="792"/>
      <c r="D26" s="792"/>
      <c r="E26" s="35" t="s">
        <v>10</v>
      </c>
      <c r="F26" s="544" t="str">
        <f t="shared" si="0"/>
        <v>IB1000B</v>
      </c>
      <c r="G26" s="302" t="s">
        <v>592</v>
      </c>
      <c r="H26" s="303"/>
      <c r="I26" s="303"/>
      <c r="J26" s="304"/>
      <c r="K26" s="589"/>
      <c r="L26" s="613" t="s">
        <v>1513</v>
      </c>
      <c r="M26" s="598"/>
      <c r="N26" s="35" t="s">
        <v>11</v>
      </c>
      <c r="O26" s="545" t="str">
        <f t="shared" si="1"/>
        <v>OB1000B</v>
      </c>
      <c r="P26" s="532" t="s">
        <v>590</v>
      </c>
      <c r="Q26" s="533"/>
      <c r="R26" s="533"/>
      <c r="S26" s="534"/>
      <c r="T26" s="589"/>
      <c r="U26" s="613" t="s">
        <v>1513</v>
      </c>
      <c r="V26" s="769"/>
      <c r="W26" s="770"/>
      <c r="X26" s="40"/>
      <c r="Y26" s="41"/>
      <c r="Z26" s="43"/>
      <c r="AA26" s="42"/>
      <c r="AB26" s="41"/>
      <c r="AC26" s="43"/>
      <c r="AD26" s="41"/>
      <c r="AE26" s="41"/>
      <c r="AF26" s="43"/>
      <c r="AP26" s="766" t="s">
        <v>111</v>
      </c>
      <c r="AQ26" s="767"/>
      <c r="AR26" s="767"/>
      <c r="AS26" s="768"/>
    </row>
    <row r="27" spans="2:45" ht="17.25" customHeight="1">
      <c r="B27" s="34">
        <v>13</v>
      </c>
      <c r="C27" s="792"/>
      <c r="D27" s="792"/>
      <c r="E27" s="35" t="s">
        <v>10</v>
      </c>
      <c r="F27" s="544" t="str">
        <f t="shared" si="0"/>
        <v>IB1000C</v>
      </c>
      <c r="G27" s="302" t="s">
        <v>288</v>
      </c>
      <c r="H27" s="303"/>
      <c r="I27" s="303"/>
      <c r="J27" s="304"/>
      <c r="K27" s="589"/>
      <c r="L27" s="613" t="s">
        <v>1513</v>
      </c>
      <c r="M27" s="598"/>
      <c r="N27" s="35" t="s">
        <v>11</v>
      </c>
      <c r="O27" s="545" t="str">
        <f t="shared" si="1"/>
        <v>OB1000C</v>
      </c>
      <c r="P27" s="532" t="s">
        <v>289</v>
      </c>
      <c r="Q27" s="533"/>
      <c r="R27" s="533"/>
      <c r="S27" s="534"/>
      <c r="T27" s="589"/>
      <c r="U27" s="613" t="s">
        <v>1513</v>
      </c>
      <c r="V27" s="769"/>
      <c r="W27" s="770"/>
      <c r="X27" s="40"/>
      <c r="Y27" s="41"/>
      <c r="Z27" s="43"/>
      <c r="AA27" s="42"/>
      <c r="AB27" s="41"/>
      <c r="AC27" s="43"/>
      <c r="AD27" s="41"/>
      <c r="AE27" s="41"/>
      <c r="AF27" s="43"/>
      <c r="AP27" s="766" t="s">
        <v>112</v>
      </c>
      <c r="AQ27" s="767"/>
      <c r="AR27" s="767"/>
      <c r="AS27" s="768"/>
    </row>
    <row r="28" spans="2:45" ht="17.25" customHeight="1">
      <c r="B28" s="34">
        <v>14</v>
      </c>
      <c r="C28" s="792"/>
      <c r="D28" s="792"/>
      <c r="E28" s="35" t="s">
        <v>10</v>
      </c>
      <c r="F28" s="544" t="str">
        <f t="shared" si="0"/>
        <v>IB1000D</v>
      </c>
      <c r="G28" s="302" t="s">
        <v>290</v>
      </c>
      <c r="H28" s="303"/>
      <c r="I28" s="303"/>
      <c r="J28" s="304"/>
      <c r="K28" s="589"/>
      <c r="L28" s="613" t="s">
        <v>1513</v>
      </c>
      <c r="M28" s="598"/>
      <c r="N28" s="35" t="s">
        <v>11</v>
      </c>
      <c r="O28" s="545" t="str">
        <f t="shared" si="1"/>
        <v>OB1000D</v>
      </c>
      <c r="P28" s="532" t="s">
        <v>291</v>
      </c>
      <c r="Q28" s="533"/>
      <c r="R28" s="533"/>
      <c r="S28" s="534"/>
      <c r="T28" s="589"/>
      <c r="U28" s="613" t="s">
        <v>1513</v>
      </c>
      <c r="V28" s="769"/>
      <c r="W28" s="770"/>
      <c r="X28" s="40"/>
      <c r="Y28" s="41"/>
      <c r="Z28" s="43"/>
      <c r="AA28" s="42"/>
      <c r="AB28" s="41"/>
      <c r="AC28" s="43"/>
      <c r="AD28" s="41"/>
      <c r="AE28" s="41"/>
      <c r="AF28" s="43"/>
      <c r="AP28" s="766" t="s">
        <v>113</v>
      </c>
      <c r="AQ28" s="767"/>
      <c r="AR28" s="767"/>
      <c r="AS28" s="768"/>
    </row>
    <row r="29" spans="2:45" ht="17.25" customHeight="1">
      <c r="B29" s="34">
        <v>15</v>
      </c>
      <c r="C29" s="792"/>
      <c r="D29" s="792"/>
      <c r="E29" s="35" t="s">
        <v>10</v>
      </c>
      <c r="F29" s="544" t="str">
        <f t="shared" si="0"/>
        <v>IB1000E</v>
      </c>
      <c r="G29" s="302" t="s">
        <v>292</v>
      </c>
      <c r="H29" s="303"/>
      <c r="I29" s="303"/>
      <c r="J29" s="304"/>
      <c r="K29" s="589"/>
      <c r="L29" s="613" t="s">
        <v>1513</v>
      </c>
      <c r="M29" s="598"/>
      <c r="N29" s="35" t="s">
        <v>11</v>
      </c>
      <c r="O29" s="545" t="str">
        <f t="shared" si="1"/>
        <v>OB1000E</v>
      </c>
      <c r="P29" s="532" t="s">
        <v>293</v>
      </c>
      <c r="Q29" s="533"/>
      <c r="R29" s="533"/>
      <c r="S29" s="534"/>
      <c r="T29" s="589"/>
      <c r="U29" s="613" t="s">
        <v>1513</v>
      </c>
      <c r="V29" s="769"/>
      <c r="W29" s="770"/>
      <c r="X29" s="40"/>
      <c r="Y29" s="41"/>
      <c r="Z29" s="43"/>
      <c r="AA29" s="42"/>
      <c r="AB29" s="41"/>
      <c r="AC29" s="43"/>
      <c r="AD29" s="41"/>
      <c r="AE29" s="41"/>
      <c r="AF29" s="43"/>
      <c r="AP29" s="743" t="s">
        <v>102</v>
      </c>
      <c r="AQ29" s="744"/>
      <c r="AR29" s="744"/>
      <c r="AS29" s="745"/>
    </row>
    <row r="30" spans="2:45" ht="17.25" customHeight="1">
      <c r="B30" s="34">
        <v>16</v>
      </c>
      <c r="C30" s="792"/>
      <c r="D30" s="792"/>
      <c r="E30" s="35" t="s">
        <v>10</v>
      </c>
      <c r="F30" s="544" t="str">
        <f t="shared" si="0"/>
        <v>IB1000F</v>
      </c>
      <c r="G30" s="302" t="s">
        <v>294</v>
      </c>
      <c r="H30" s="303"/>
      <c r="I30" s="303"/>
      <c r="J30" s="304"/>
      <c r="K30" s="589"/>
      <c r="L30" s="613" t="s">
        <v>1513</v>
      </c>
      <c r="M30" s="598"/>
      <c r="N30" s="35" t="s">
        <v>11</v>
      </c>
      <c r="O30" s="545" t="str">
        <f t="shared" si="1"/>
        <v>OB1000F</v>
      </c>
      <c r="P30" s="532" t="s">
        <v>290</v>
      </c>
      <c r="Q30" s="533"/>
      <c r="R30" s="533"/>
      <c r="S30" s="534"/>
      <c r="T30" s="589"/>
      <c r="U30" s="613" t="s">
        <v>1513</v>
      </c>
      <c r="V30" s="769"/>
      <c r="W30" s="770"/>
      <c r="X30" s="40"/>
      <c r="Y30" s="41"/>
      <c r="Z30" s="43"/>
      <c r="AA30" s="42"/>
      <c r="AB30" s="41"/>
      <c r="AC30" s="43"/>
      <c r="AD30" s="41"/>
      <c r="AE30" s="41"/>
      <c r="AF30" s="43"/>
      <c r="AP30" s="743" t="s">
        <v>103</v>
      </c>
      <c r="AQ30" s="744"/>
      <c r="AR30" s="744"/>
      <c r="AS30" s="745"/>
    </row>
    <row r="31" spans="2:45" ht="17.25" customHeight="1">
      <c r="B31" s="34">
        <v>17</v>
      </c>
      <c r="C31" s="792"/>
      <c r="D31" s="792"/>
      <c r="E31" s="35" t="s">
        <v>10</v>
      </c>
      <c r="F31" s="544" t="str">
        <f t="shared" si="0"/>
        <v>IB10010</v>
      </c>
      <c r="G31" s="302" t="s">
        <v>585</v>
      </c>
      <c r="H31" s="303"/>
      <c r="I31" s="303"/>
      <c r="J31" s="304"/>
      <c r="K31" s="589"/>
      <c r="L31" s="613" t="s">
        <v>1513</v>
      </c>
      <c r="M31" s="598"/>
      <c r="N31" s="35" t="s">
        <v>11</v>
      </c>
      <c r="O31" s="545" t="str">
        <f t="shared" si="1"/>
        <v>OB10010</v>
      </c>
      <c r="P31" s="532" t="s">
        <v>607</v>
      </c>
      <c r="Q31" s="533"/>
      <c r="R31" s="533"/>
      <c r="S31" s="534"/>
      <c r="T31" s="589"/>
      <c r="U31" s="613" t="s">
        <v>1513</v>
      </c>
      <c r="V31" s="769"/>
      <c r="W31" s="770"/>
      <c r="X31" s="40"/>
      <c r="Y31" s="41"/>
      <c r="Z31" s="43"/>
      <c r="AA31" s="42"/>
      <c r="AB31" s="41"/>
      <c r="AC31" s="43"/>
      <c r="AD31" s="41"/>
      <c r="AE31" s="41"/>
      <c r="AF31" s="43"/>
      <c r="AP31" s="743" t="s">
        <v>104</v>
      </c>
      <c r="AQ31" s="744"/>
      <c r="AR31" s="744"/>
      <c r="AS31" s="745"/>
    </row>
    <row r="32" spans="2:45" ht="17.25" customHeight="1">
      <c r="B32" s="34">
        <v>18</v>
      </c>
      <c r="C32" s="792"/>
      <c r="D32" s="792"/>
      <c r="E32" s="35" t="s">
        <v>10</v>
      </c>
      <c r="F32" s="544" t="str">
        <f t="shared" si="0"/>
        <v>IB10011</v>
      </c>
      <c r="G32" s="302" t="s">
        <v>586</v>
      </c>
      <c r="H32" s="303"/>
      <c r="I32" s="303"/>
      <c r="J32" s="304"/>
      <c r="K32" s="589"/>
      <c r="L32" s="613" t="s">
        <v>1513</v>
      </c>
      <c r="M32" s="598"/>
      <c r="N32" s="35" t="s">
        <v>11</v>
      </c>
      <c r="O32" s="545" t="str">
        <f t="shared" si="1"/>
        <v>OB10011</v>
      </c>
      <c r="P32" s="532" t="s">
        <v>608</v>
      </c>
      <c r="Q32" s="533"/>
      <c r="R32" s="533"/>
      <c r="S32" s="534"/>
      <c r="T32" s="589"/>
      <c r="U32" s="613" t="s">
        <v>1513</v>
      </c>
      <c r="V32" s="769"/>
      <c r="W32" s="770"/>
      <c r="X32" s="40"/>
      <c r="Y32" s="41"/>
      <c r="Z32" s="43"/>
      <c r="AA32" s="42"/>
      <c r="AB32" s="41"/>
      <c r="AC32" s="43"/>
      <c r="AD32" s="41"/>
      <c r="AE32" s="41"/>
      <c r="AF32" s="43"/>
      <c r="AP32" s="766" t="s">
        <v>110</v>
      </c>
      <c r="AQ32" s="767"/>
      <c r="AR32" s="767"/>
      <c r="AS32" s="768"/>
    </row>
    <row r="33" spans="2:45" ht="17.25" customHeight="1">
      <c r="B33" s="34">
        <v>19</v>
      </c>
      <c r="C33" s="792"/>
      <c r="D33" s="792"/>
      <c r="E33" s="35" t="s">
        <v>10</v>
      </c>
      <c r="F33" s="544" t="str">
        <f t="shared" si="0"/>
        <v>IB10012</v>
      </c>
      <c r="G33" s="302" t="s">
        <v>587</v>
      </c>
      <c r="H33" s="303"/>
      <c r="I33" s="303"/>
      <c r="J33" s="304"/>
      <c r="K33" s="589"/>
      <c r="L33" s="613" t="s">
        <v>1513</v>
      </c>
      <c r="M33" s="598"/>
      <c r="N33" s="35" t="s">
        <v>11</v>
      </c>
      <c r="O33" s="545" t="str">
        <f t="shared" si="1"/>
        <v>OB10012</v>
      </c>
      <c r="P33" s="532" t="s">
        <v>609</v>
      </c>
      <c r="Q33" s="533"/>
      <c r="R33" s="533"/>
      <c r="S33" s="534"/>
      <c r="T33" s="589"/>
      <c r="U33" s="613" t="s">
        <v>1513</v>
      </c>
      <c r="V33" s="769"/>
      <c r="W33" s="770"/>
      <c r="X33" s="40"/>
      <c r="Y33" s="41"/>
      <c r="Z33" s="43"/>
      <c r="AA33" s="42"/>
      <c r="AB33" s="41"/>
      <c r="AC33" s="43"/>
      <c r="AD33" s="41"/>
      <c r="AE33" s="41"/>
      <c r="AF33" s="43"/>
      <c r="AP33" s="766" t="s">
        <v>111</v>
      </c>
      <c r="AQ33" s="767"/>
      <c r="AR33" s="767"/>
      <c r="AS33" s="768"/>
    </row>
    <row r="34" spans="2:45" ht="17.25" customHeight="1">
      <c r="B34" s="34">
        <v>20</v>
      </c>
      <c r="C34" s="792"/>
      <c r="D34" s="792"/>
      <c r="E34" s="35" t="s">
        <v>10</v>
      </c>
      <c r="F34" s="544" t="str">
        <f t="shared" si="0"/>
        <v>IB10013</v>
      </c>
      <c r="G34" s="302" t="s">
        <v>588</v>
      </c>
      <c r="H34" s="303"/>
      <c r="I34" s="303"/>
      <c r="J34" s="304"/>
      <c r="K34" s="589"/>
      <c r="L34" s="613" t="s">
        <v>1513</v>
      </c>
      <c r="M34" s="598"/>
      <c r="N34" s="35" t="s">
        <v>11</v>
      </c>
      <c r="O34" s="545" t="str">
        <f t="shared" si="1"/>
        <v>OB10013</v>
      </c>
      <c r="P34" s="532" t="s">
        <v>586</v>
      </c>
      <c r="Q34" s="533"/>
      <c r="R34" s="533"/>
      <c r="S34" s="534"/>
      <c r="T34" s="589"/>
      <c r="U34" s="613" t="s">
        <v>1513</v>
      </c>
      <c r="V34" s="769"/>
      <c r="W34" s="770"/>
      <c r="X34" s="40"/>
      <c r="Y34" s="41"/>
      <c r="Z34" s="43"/>
      <c r="AA34" s="42"/>
      <c r="AB34" s="41"/>
      <c r="AC34" s="43"/>
      <c r="AD34" s="41"/>
      <c r="AE34" s="41"/>
      <c r="AF34" s="43"/>
      <c r="AP34" s="766" t="s">
        <v>112</v>
      </c>
      <c r="AQ34" s="767"/>
      <c r="AR34" s="767"/>
      <c r="AS34" s="768"/>
    </row>
    <row r="35" spans="2:45" ht="17.25" customHeight="1">
      <c r="B35" s="34">
        <v>21</v>
      </c>
      <c r="C35" s="792"/>
      <c r="D35" s="792"/>
      <c r="E35" s="35" t="s">
        <v>10</v>
      </c>
      <c r="F35" s="544" t="str">
        <f t="shared" si="0"/>
        <v>IB10014</v>
      </c>
      <c r="G35" s="302" t="s">
        <v>593</v>
      </c>
      <c r="H35" s="303"/>
      <c r="I35" s="303"/>
      <c r="J35" s="304"/>
      <c r="K35" s="589"/>
      <c r="L35" s="613" t="s">
        <v>1513</v>
      </c>
      <c r="M35" s="598"/>
      <c r="N35" s="35" t="s">
        <v>11</v>
      </c>
      <c r="O35" s="545" t="str">
        <f t="shared" si="1"/>
        <v>OB10014</v>
      </c>
      <c r="P35" s="532" t="s">
        <v>613</v>
      </c>
      <c r="Q35" s="533"/>
      <c r="R35" s="533"/>
      <c r="S35" s="534"/>
      <c r="T35" s="589"/>
      <c r="U35" s="613" t="s">
        <v>1513</v>
      </c>
      <c r="V35" s="769"/>
      <c r="W35" s="770"/>
      <c r="X35" s="40"/>
      <c r="Y35" s="41"/>
      <c r="Z35" s="43"/>
      <c r="AA35" s="42"/>
      <c r="AB35" s="41"/>
      <c r="AC35" s="43"/>
      <c r="AD35" s="41"/>
      <c r="AE35" s="41"/>
      <c r="AF35" s="43"/>
      <c r="AP35" s="766" t="s">
        <v>113</v>
      </c>
      <c r="AQ35" s="767"/>
      <c r="AR35" s="767"/>
      <c r="AS35" s="768"/>
    </row>
    <row r="36" spans="2:45" ht="17.25" customHeight="1">
      <c r="B36" s="34">
        <v>22</v>
      </c>
      <c r="C36" s="792"/>
      <c r="D36" s="792"/>
      <c r="E36" s="35" t="s">
        <v>10</v>
      </c>
      <c r="F36" s="544" t="str">
        <f t="shared" si="0"/>
        <v>IB10015</v>
      </c>
      <c r="G36" s="302" t="s">
        <v>594</v>
      </c>
      <c r="H36" s="303"/>
      <c r="I36" s="303"/>
      <c r="J36" s="304"/>
      <c r="K36" s="589"/>
      <c r="L36" s="613" t="s">
        <v>1513</v>
      </c>
      <c r="M36" s="598"/>
      <c r="N36" s="35" t="s">
        <v>11</v>
      </c>
      <c r="O36" s="545" t="str">
        <f t="shared" si="1"/>
        <v>OB10015</v>
      </c>
      <c r="P36" s="532" t="s">
        <v>614</v>
      </c>
      <c r="Q36" s="533"/>
      <c r="R36" s="533"/>
      <c r="S36" s="534"/>
      <c r="T36" s="589"/>
      <c r="U36" s="613" t="s">
        <v>1513</v>
      </c>
      <c r="V36" s="769"/>
      <c r="W36" s="770"/>
      <c r="X36" s="40"/>
      <c r="Y36" s="41"/>
      <c r="Z36" s="43"/>
      <c r="AA36" s="42"/>
      <c r="AB36" s="41"/>
      <c r="AC36" s="43"/>
      <c r="AD36" s="41"/>
      <c r="AE36" s="41"/>
      <c r="AF36" s="43"/>
      <c r="AP36" s="766" t="s">
        <v>114</v>
      </c>
      <c r="AQ36" s="767"/>
      <c r="AR36" s="767"/>
      <c r="AS36" s="768"/>
    </row>
    <row r="37" spans="2:45" ht="17.25" customHeight="1">
      <c r="B37" s="34">
        <v>23</v>
      </c>
      <c r="C37" s="792"/>
      <c r="D37" s="792"/>
      <c r="E37" s="35" t="s">
        <v>10</v>
      </c>
      <c r="F37" s="544" t="str">
        <f t="shared" si="0"/>
        <v>IB10016</v>
      </c>
      <c r="G37" s="302" t="s">
        <v>595</v>
      </c>
      <c r="H37" s="303"/>
      <c r="I37" s="303"/>
      <c r="J37" s="304"/>
      <c r="K37" s="589"/>
      <c r="L37" s="613" t="s">
        <v>1513</v>
      </c>
      <c r="M37" s="598"/>
      <c r="N37" s="35" t="s">
        <v>11</v>
      </c>
      <c r="O37" s="545" t="str">
        <f t="shared" si="1"/>
        <v>OB10016</v>
      </c>
      <c r="P37" s="532" t="s">
        <v>615</v>
      </c>
      <c r="Q37" s="533"/>
      <c r="R37" s="533"/>
      <c r="S37" s="534"/>
      <c r="T37" s="589"/>
      <c r="U37" s="613" t="s">
        <v>1513</v>
      </c>
      <c r="V37" s="769"/>
      <c r="W37" s="770"/>
      <c r="X37" s="40"/>
      <c r="Y37" s="41"/>
      <c r="Z37" s="43"/>
      <c r="AA37" s="42"/>
      <c r="AB37" s="41"/>
      <c r="AC37" s="43"/>
      <c r="AD37" s="41"/>
      <c r="AE37" s="41"/>
      <c r="AF37" s="43"/>
      <c r="AP37" s="766" t="s">
        <v>115</v>
      </c>
      <c r="AQ37" s="767"/>
      <c r="AR37" s="767"/>
      <c r="AS37" s="768"/>
    </row>
    <row r="38" spans="2:45" ht="17.25" customHeight="1">
      <c r="B38" s="34">
        <v>24</v>
      </c>
      <c r="C38" s="792"/>
      <c r="D38" s="792"/>
      <c r="E38" s="35" t="s">
        <v>10</v>
      </c>
      <c r="F38" s="544" t="str">
        <f t="shared" si="0"/>
        <v>IB10017</v>
      </c>
      <c r="G38" s="302" t="s">
        <v>596</v>
      </c>
      <c r="H38" s="303"/>
      <c r="I38" s="303"/>
      <c r="J38" s="304"/>
      <c r="K38" s="589"/>
      <c r="L38" s="613" t="s">
        <v>1513</v>
      </c>
      <c r="M38" s="598"/>
      <c r="N38" s="35" t="s">
        <v>11</v>
      </c>
      <c r="O38" s="545" t="str">
        <f t="shared" si="1"/>
        <v>OB10017</v>
      </c>
      <c r="P38" s="532" t="s">
        <v>594</v>
      </c>
      <c r="Q38" s="533"/>
      <c r="R38" s="533"/>
      <c r="S38" s="534"/>
      <c r="T38" s="589"/>
      <c r="U38" s="613" t="s">
        <v>1513</v>
      </c>
      <c r="V38" s="769"/>
      <c r="W38" s="770"/>
      <c r="X38" s="40"/>
      <c r="Y38" s="41"/>
      <c r="Z38" s="43"/>
      <c r="AA38" s="42"/>
      <c r="AB38" s="41"/>
      <c r="AC38" s="43"/>
      <c r="AD38" s="41"/>
      <c r="AE38" s="41"/>
      <c r="AF38" s="43"/>
      <c r="AP38" s="743" t="s">
        <v>102</v>
      </c>
      <c r="AQ38" s="744"/>
      <c r="AR38" s="744"/>
      <c r="AS38" s="745"/>
    </row>
    <row r="39" spans="2:45" ht="17.25" customHeight="1">
      <c r="B39" s="34">
        <v>25</v>
      </c>
      <c r="C39" s="792"/>
      <c r="D39" s="792"/>
      <c r="E39" s="35" t="s">
        <v>10</v>
      </c>
      <c r="F39" s="544" t="str">
        <f t="shared" si="0"/>
        <v>IB10018</v>
      </c>
      <c r="G39" s="302" t="s">
        <v>597</v>
      </c>
      <c r="H39" s="303"/>
      <c r="I39" s="303"/>
      <c r="J39" s="304"/>
      <c r="K39" s="589"/>
      <c r="L39" s="613" t="s">
        <v>1513</v>
      </c>
      <c r="M39" s="598"/>
      <c r="N39" s="35" t="s">
        <v>11</v>
      </c>
      <c r="O39" s="545" t="str">
        <f t="shared" si="1"/>
        <v>OB10018</v>
      </c>
      <c r="P39" s="532" t="s">
        <v>616</v>
      </c>
      <c r="Q39" s="533"/>
      <c r="R39" s="533"/>
      <c r="S39" s="534"/>
      <c r="T39" s="589"/>
      <c r="U39" s="613" t="s">
        <v>1513</v>
      </c>
      <c r="V39" s="769"/>
      <c r="W39" s="770"/>
      <c r="X39" s="40"/>
      <c r="Y39" s="41"/>
      <c r="Z39" s="43"/>
      <c r="AA39" s="42"/>
      <c r="AB39" s="41"/>
      <c r="AC39" s="43"/>
      <c r="AD39" s="41"/>
      <c r="AE39" s="41"/>
      <c r="AF39" s="43"/>
      <c r="AP39" s="743" t="s">
        <v>103</v>
      </c>
      <c r="AQ39" s="744"/>
      <c r="AR39" s="744"/>
      <c r="AS39" s="745"/>
    </row>
    <row r="40" spans="2:45" ht="17.25" customHeight="1">
      <c r="B40" s="34">
        <v>26</v>
      </c>
      <c r="C40" s="792"/>
      <c r="D40" s="792"/>
      <c r="E40" s="35" t="s">
        <v>10</v>
      </c>
      <c r="F40" s="544" t="str">
        <f t="shared" si="0"/>
        <v>IB10019</v>
      </c>
      <c r="G40" s="302" t="s">
        <v>598</v>
      </c>
      <c r="H40" s="303"/>
      <c r="I40" s="303"/>
      <c r="J40" s="304"/>
      <c r="K40" s="589"/>
      <c r="L40" s="613" t="s">
        <v>1513</v>
      </c>
      <c r="M40" s="598"/>
      <c r="N40" s="35" t="s">
        <v>11</v>
      </c>
      <c r="O40" s="545" t="str">
        <f t="shared" si="1"/>
        <v>OB10019</v>
      </c>
      <c r="P40" s="532" t="s">
        <v>617</v>
      </c>
      <c r="Q40" s="533"/>
      <c r="R40" s="533"/>
      <c r="S40" s="534"/>
      <c r="T40" s="589"/>
      <c r="U40" s="613" t="s">
        <v>1513</v>
      </c>
      <c r="V40" s="769"/>
      <c r="W40" s="770"/>
      <c r="X40" s="40"/>
      <c r="Y40" s="41"/>
      <c r="Z40" s="43"/>
      <c r="AA40" s="42"/>
      <c r="AB40" s="41"/>
      <c r="AC40" s="43"/>
      <c r="AD40" s="41"/>
      <c r="AE40" s="41"/>
      <c r="AF40" s="43"/>
      <c r="AP40" s="743" t="s">
        <v>104</v>
      </c>
      <c r="AQ40" s="744"/>
      <c r="AR40" s="744"/>
      <c r="AS40" s="745"/>
    </row>
    <row r="41" spans="2:45" ht="17.25" customHeight="1">
      <c r="B41" s="34">
        <v>27</v>
      </c>
      <c r="C41" s="792"/>
      <c r="D41" s="792"/>
      <c r="E41" s="35" t="s">
        <v>10</v>
      </c>
      <c r="F41" s="544" t="str">
        <f t="shared" si="0"/>
        <v>IB1001A</v>
      </c>
      <c r="G41" s="302" t="s">
        <v>599</v>
      </c>
      <c r="H41" s="303"/>
      <c r="I41" s="303"/>
      <c r="J41" s="304"/>
      <c r="K41" s="589"/>
      <c r="L41" s="613" t="s">
        <v>1513</v>
      </c>
      <c r="M41" s="598"/>
      <c r="N41" s="35" t="s">
        <v>11</v>
      </c>
      <c r="O41" s="545" t="str">
        <f t="shared" si="1"/>
        <v>OB1001A</v>
      </c>
      <c r="P41" s="532" t="s">
        <v>618</v>
      </c>
      <c r="Q41" s="533"/>
      <c r="R41" s="533"/>
      <c r="S41" s="534"/>
      <c r="T41" s="589"/>
      <c r="U41" s="613" t="s">
        <v>1513</v>
      </c>
      <c r="V41" s="769"/>
      <c r="W41" s="770"/>
      <c r="X41" s="40"/>
      <c r="Y41" s="41"/>
      <c r="Z41" s="43"/>
      <c r="AA41" s="42"/>
      <c r="AB41" s="41"/>
      <c r="AC41" s="43"/>
      <c r="AD41" s="41"/>
      <c r="AE41" s="41"/>
      <c r="AF41" s="43"/>
      <c r="AP41" s="766" t="s">
        <v>110</v>
      </c>
      <c r="AQ41" s="767"/>
      <c r="AR41" s="767"/>
      <c r="AS41" s="768"/>
    </row>
    <row r="42" spans="2:45" ht="17.25" customHeight="1">
      <c r="B42" s="34">
        <v>28</v>
      </c>
      <c r="C42" s="792"/>
      <c r="D42" s="792"/>
      <c r="E42" s="35" t="s">
        <v>10</v>
      </c>
      <c r="F42" s="544" t="str">
        <f t="shared" si="0"/>
        <v>IB1001B</v>
      </c>
      <c r="G42" s="302" t="s">
        <v>600</v>
      </c>
      <c r="H42" s="303"/>
      <c r="I42" s="303"/>
      <c r="J42" s="304"/>
      <c r="K42" s="589"/>
      <c r="L42" s="613" t="s">
        <v>1513</v>
      </c>
      <c r="M42" s="598"/>
      <c r="N42" s="35" t="s">
        <v>11</v>
      </c>
      <c r="O42" s="545" t="str">
        <f t="shared" si="1"/>
        <v>OB1001B</v>
      </c>
      <c r="P42" s="532" t="s">
        <v>598</v>
      </c>
      <c r="Q42" s="533"/>
      <c r="R42" s="533"/>
      <c r="S42" s="534"/>
      <c r="T42" s="589"/>
      <c r="U42" s="613" t="s">
        <v>1513</v>
      </c>
      <c r="V42" s="769"/>
      <c r="W42" s="770"/>
      <c r="X42" s="40"/>
      <c r="Y42" s="41"/>
      <c r="Z42" s="43"/>
      <c r="AA42" s="42"/>
      <c r="AB42" s="41"/>
      <c r="AC42" s="43"/>
      <c r="AD42" s="41"/>
      <c r="AE42" s="41"/>
      <c r="AF42" s="43"/>
      <c r="AP42" s="766" t="s">
        <v>111</v>
      </c>
      <c r="AQ42" s="767"/>
      <c r="AR42" s="767"/>
      <c r="AS42" s="768"/>
    </row>
    <row r="43" spans="2:45" ht="17.25" customHeight="1">
      <c r="B43" s="34">
        <v>29</v>
      </c>
      <c r="C43" s="792"/>
      <c r="D43" s="792"/>
      <c r="E43" s="35" t="s">
        <v>10</v>
      </c>
      <c r="F43" s="36" t="str">
        <f t="shared" si="0"/>
        <v>IB1001C</v>
      </c>
      <c r="G43" s="302"/>
      <c r="H43" s="429"/>
      <c r="I43" s="429"/>
      <c r="J43" s="430"/>
      <c r="K43" s="589"/>
      <c r="L43" s="613"/>
      <c r="M43" s="598"/>
      <c r="N43" s="35" t="s">
        <v>11</v>
      </c>
      <c r="O43" s="38" t="str">
        <f t="shared" si="1"/>
        <v>OB1001C</v>
      </c>
      <c r="P43" s="532"/>
      <c r="Q43" s="535"/>
      <c r="R43" s="535"/>
      <c r="S43" s="536"/>
      <c r="T43" s="589"/>
      <c r="U43" s="613"/>
      <c r="V43" s="769"/>
      <c r="W43" s="770"/>
      <c r="X43" s="40"/>
      <c r="Y43" s="41"/>
      <c r="Z43" s="43"/>
      <c r="AA43" s="42"/>
      <c r="AB43" s="41"/>
      <c r="AC43" s="43"/>
      <c r="AD43" s="41"/>
      <c r="AE43" s="41"/>
      <c r="AF43" s="43"/>
      <c r="AP43" s="766" t="s">
        <v>112</v>
      </c>
      <c r="AQ43" s="767"/>
      <c r="AR43" s="767"/>
      <c r="AS43" s="768"/>
    </row>
    <row r="44" spans="2:45" ht="17.25" customHeight="1">
      <c r="B44" s="34">
        <v>30</v>
      </c>
      <c r="C44" s="792"/>
      <c r="D44" s="792"/>
      <c r="E44" s="35" t="s">
        <v>10</v>
      </c>
      <c r="F44" s="36" t="str">
        <f t="shared" si="0"/>
        <v>IB1001D</v>
      </c>
      <c r="G44" s="302"/>
      <c r="H44" s="303"/>
      <c r="I44" s="303"/>
      <c r="J44" s="304"/>
      <c r="K44" s="589"/>
      <c r="L44" s="613"/>
      <c r="M44" s="598"/>
      <c r="N44" s="35" t="s">
        <v>11</v>
      </c>
      <c r="O44" s="38" t="str">
        <f t="shared" si="1"/>
        <v>OB1001D</v>
      </c>
      <c r="P44" s="532"/>
      <c r="Q44" s="306"/>
      <c r="R44" s="306"/>
      <c r="S44" s="307"/>
      <c r="T44" s="589"/>
      <c r="U44" s="613"/>
      <c r="V44" s="769"/>
      <c r="W44" s="770"/>
      <c r="X44" s="40"/>
      <c r="Y44" s="41"/>
      <c r="Z44" s="43"/>
      <c r="AA44" s="42"/>
      <c r="AB44" s="41"/>
      <c r="AC44" s="43"/>
      <c r="AD44" s="41"/>
      <c r="AE44" s="41"/>
      <c r="AF44" s="43"/>
      <c r="AP44" s="766" t="s">
        <v>113</v>
      </c>
      <c r="AQ44" s="767"/>
      <c r="AR44" s="767"/>
      <c r="AS44" s="768"/>
    </row>
    <row r="45" spans="2:45" ht="17.25" customHeight="1">
      <c r="B45" s="34">
        <v>31</v>
      </c>
      <c r="C45" s="792"/>
      <c r="D45" s="792"/>
      <c r="E45" s="35" t="s">
        <v>10</v>
      </c>
      <c r="F45" s="36" t="str">
        <f t="shared" si="0"/>
        <v>IB1001E</v>
      </c>
      <c r="G45" s="302"/>
      <c r="H45" s="303"/>
      <c r="I45" s="303"/>
      <c r="J45" s="304"/>
      <c r="K45" s="589"/>
      <c r="L45" s="613"/>
      <c r="M45" s="598"/>
      <c r="N45" s="35" t="s">
        <v>11</v>
      </c>
      <c r="O45" s="38" t="str">
        <f t="shared" si="1"/>
        <v>OB1001E</v>
      </c>
      <c r="P45" s="532"/>
      <c r="Q45" s="533"/>
      <c r="R45" s="533"/>
      <c r="S45" s="534"/>
      <c r="T45" s="589"/>
      <c r="U45" s="613"/>
      <c r="V45" s="769"/>
      <c r="W45" s="770"/>
      <c r="X45" s="40"/>
      <c r="Y45" s="41"/>
      <c r="Z45" s="41"/>
      <c r="AA45" s="42"/>
      <c r="AB45" s="41"/>
      <c r="AC45" s="43"/>
      <c r="AD45" s="41"/>
      <c r="AE45" s="41"/>
      <c r="AF45" s="43"/>
      <c r="AP45" s="766" t="s">
        <v>114</v>
      </c>
      <c r="AQ45" s="767"/>
      <c r="AR45" s="767"/>
      <c r="AS45" s="768"/>
    </row>
    <row r="46" spans="2:45" ht="17.25" customHeight="1" thickBot="1">
      <c r="B46" s="44">
        <v>32</v>
      </c>
      <c r="C46" s="793"/>
      <c r="D46" s="793"/>
      <c r="E46" s="45" t="s">
        <v>10</v>
      </c>
      <c r="F46" s="46" t="str">
        <f t="shared" si="0"/>
        <v>IB1001F</v>
      </c>
      <c r="G46" s="302"/>
      <c r="H46" s="421"/>
      <c r="I46" s="421"/>
      <c r="J46" s="422"/>
      <c r="K46" s="589"/>
      <c r="L46" s="614"/>
      <c r="M46" s="598"/>
      <c r="N46" s="45" t="s">
        <v>11</v>
      </c>
      <c r="O46" s="48" t="str">
        <f t="shared" si="1"/>
        <v>OB1001F</v>
      </c>
      <c r="P46" s="532"/>
      <c r="Q46" s="421"/>
      <c r="R46" s="421"/>
      <c r="S46" s="422"/>
      <c r="T46" s="589"/>
      <c r="U46" s="613"/>
      <c r="V46" s="769"/>
      <c r="W46" s="770"/>
      <c r="X46" s="49"/>
      <c r="Y46" s="50"/>
      <c r="Z46" s="50"/>
      <c r="AA46" s="51"/>
      <c r="AB46" s="50"/>
      <c r="AC46" s="52"/>
      <c r="AD46" s="50"/>
      <c r="AE46" s="50"/>
      <c r="AF46" s="52"/>
      <c r="AP46" s="766" t="s">
        <v>115</v>
      </c>
      <c r="AQ46" s="767"/>
      <c r="AR46" s="767"/>
      <c r="AS46" s="768"/>
    </row>
    <row r="47" spans="2:45" ht="13.8" thickBot="1">
      <c r="B47" s="53"/>
      <c r="C47" s="53"/>
      <c r="D47" s="53"/>
      <c r="E47" s="53"/>
      <c r="F47" s="53"/>
      <c r="G47" s="53"/>
      <c r="H47" s="53"/>
      <c r="I47" s="53"/>
      <c r="J47" s="53"/>
      <c r="K47" s="560"/>
      <c r="L47" s="54"/>
      <c r="M47" s="53"/>
      <c r="N47" s="53"/>
      <c r="O47" s="53"/>
      <c r="P47" s="53"/>
      <c r="Q47" s="53"/>
      <c r="R47" s="53"/>
      <c r="S47" s="53"/>
      <c r="T47" s="55"/>
      <c r="U47" s="54"/>
      <c r="V47" s="55"/>
      <c r="W47" s="55"/>
      <c r="X47" s="53"/>
      <c r="Y47" s="53"/>
      <c r="Z47" s="26"/>
      <c r="AA47" s="56"/>
      <c r="AB47" s="57"/>
      <c r="AC47" s="58"/>
    </row>
    <row r="48" spans="2:45" ht="11.7" customHeight="1">
      <c r="B48" s="779" t="s">
        <v>0</v>
      </c>
      <c r="C48" s="781" t="s">
        <v>4</v>
      </c>
      <c r="D48" s="781" t="s">
        <v>5</v>
      </c>
      <c r="E48" s="783" t="s">
        <v>90</v>
      </c>
      <c r="F48" s="783" t="s">
        <v>66</v>
      </c>
      <c r="G48" s="785" t="s">
        <v>21</v>
      </c>
      <c r="H48" s="786"/>
      <c r="I48" s="786"/>
      <c r="J48" s="787"/>
      <c r="K48" s="783" t="s">
        <v>1545</v>
      </c>
      <c r="L48" s="27"/>
      <c r="M48" s="615"/>
      <c r="N48" s="783" t="s">
        <v>90</v>
      </c>
      <c r="O48" s="783" t="s">
        <v>6</v>
      </c>
      <c r="P48" s="862" t="s">
        <v>7</v>
      </c>
      <c r="Q48" s="863"/>
      <c r="R48" s="863"/>
      <c r="S48" s="855"/>
      <c r="T48" s="783" t="s">
        <v>1545</v>
      </c>
      <c r="U48" s="59"/>
      <c r="V48" s="854" t="s">
        <v>13</v>
      </c>
      <c r="W48" s="855"/>
      <c r="X48" s="858" t="s">
        <v>91</v>
      </c>
      <c r="Y48" s="859"/>
      <c r="Z48" s="860"/>
      <c r="AA48" s="861" t="s">
        <v>92</v>
      </c>
      <c r="AB48" s="859"/>
      <c r="AC48" s="860"/>
      <c r="AD48" s="861" t="s">
        <v>92</v>
      </c>
      <c r="AE48" s="859"/>
      <c r="AF48" s="860"/>
    </row>
    <row r="49" spans="2:45" ht="13.2">
      <c r="B49" s="780"/>
      <c r="C49" s="782"/>
      <c r="D49" s="782"/>
      <c r="E49" s="784"/>
      <c r="F49" s="784"/>
      <c r="G49" s="788"/>
      <c r="H49" s="789"/>
      <c r="I49" s="789"/>
      <c r="J49" s="790"/>
      <c r="K49" s="784"/>
      <c r="L49" s="29"/>
      <c r="M49" s="616"/>
      <c r="N49" s="784"/>
      <c r="O49" s="784"/>
      <c r="P49" s="864"/>
      <c r="Q49" s="865"/>
      <c r="R49" s="865"/>
      <c r="S49" s="866"/>
      <c r="T49" s="784"/>
      <c r="U49" s="60"/>
      <c r="V49" s="856"/>
      <c r="W49" s="857"/>
      <c r="X49" s="30" t="s">
        <v>93</v>
      </c>
      <c r="Y49" s="31" t="s">
        <v>94</v>
      </c>
      <c r="Z49" s="32" t="s">
        <v>95</v>
      </c>
      <c r="AA49" s="33" t="s">
        <v>93</v>
      </c>
      <c r="AB49" s="31" t="s">
        <v>94</v>
      </c>
      <c r="AC49" s="32" t="s">
        <v>95</v>
      </c>
      <c r="AD49" s="30" t="s">
        <v>93</v>
      </c>
      <c r="AE49" s="31" t="s">
        <v>94</v>
      </c>
      <c r="AF49" s="32" t="s">
        <v>95</v>
      </c>
    </row>
    <row r="50" spans="2:45" ht="15" customHeight="1">
      <c r="B50" s="34">
        <v>1</v>
      </c>
      <c r="C50" s="791" t="s">
        <v>12</v>
      </c>
      <c r="D50" s="791"/>
      <c r="E50" s="35" t="s">
        <v>10</v>
      </c>
      <c r="F50" s="36" t="s">
        <v>67</v>
      </c>
      <c r="G50" s="302"/>
      <c r="H50" s="303"/>
      <c r="I50" s="303"/>
      <c r="J50" s="304"/>
      <c r="K50" s="143"/>
      <c r="L50" s="37"/>
      <c r="M50" s="598"/>
      <c r="N50" s="35" t="s">
        <v>11</v>
      </c>
      <c r="O50" s="38" t="s">
        <v>68</v>
      </c>
      <c r="P50" s="532"/>
      <c r="Q50" s="533"/>
      <c r="R50" s="533"/>
      <c r="S50" s="534"/>
      <c r="T50" s="598"/>
      <c r="U50" s="61"/>
      <c r="V50" s="769"/>
      <c r="W50" s="770"/>
      <c r="X50" s="40"/>
      <c r="Y50" s="41"/>
      <c r="Z50" s="41"/>
      <c r="AA50" s="42"/>
      <c r="AB50" s="41"/>
      <c r="AC50" s="43"/>
      <c r="AD50" s="41"/>
      <c r="AE50" s="41"/>
      <c r="AF50" s="43"/>
      <c r="AP50" s="743" t="s">
        <v>102</v>
      </c>
      <c r="AQ50" s="744"/>
      <c r="AR50" s="744"/>
      <c r="AS50" s="745"/>
    </row>
    <row r="51" spans="2:45" ht="12" customHeight="1">
      <c r="B51" s="34">
        <v>2</v>
      </c>
      <c r="C51" s="792"/>
      <c r="D51" s="792"/>
      <c r="E51" s="35" t="s">
        <v>10</v>
      </c>
      <c r="F51" s="36" t="str">
        <f>LEFT(F50,1)&amp;DEC2HEX(HEX2DEC(MID(F50,2,LENB(F50)-1))+1,LENB(F50)-1)</f>
        <v>IB10021</v>
      </c>
      <c r="G51" s="302"/>
      <c r="H51" s="303"/>
      <c r="I51" s="303"/>
      <c r="J51" s="304"/>
      <c r="K51" s="143"/>
      <c r="L51" s="37"/>
      <c r="M51" s="598"/>
      <c r="N51" s="35" t="s">
        <v>11</v>
      </c>
      <c r="O51" s="38" t="str">
        <f>LEFT(O50,1)&amp;DEC2HEX(HEX2DEC(MID(O50,2,LENB(O50)-1))+1,LENB(O50)-1)</f>
        <v>OB11021</v>
      </c>
      <c r="P51" s="532"/>
      <c r="Q51" s="533"/>
      <c r="R51" s="533"/>
      <c r="S51" s="534"/>
      <c r="T51" s="598"/>
      <c r="U51" s="62"/>
      <c r="V51" s="769"/>
      <c r="W51" s="770"/>
      <c r="X51" s="40"/>
      <c r="Y51" s="41"/>
      <c r="Z51" s="43"/>
      <c r="AA51" s="42"/>
      <c r="AB51" s="41"/>
      <c r="AC51" s="43"/>
      <c r="AD51" s="41"/>
      <c r="AE51" s="41"/>
      <c r="AF51" s="43"/>
      <c r="AP51" s="743" t="s">
        <v>103</v>
      </c>
      <c r="AQ51" s="744"/>
      <c r="AR51" s="744"/>
      <c r="AS51" s="745"/>
    </row>
    <row r="52" spans="2:45" ht="17.25" customHeight="1">
      <c r="B52" s="34">
        <v>3</v>
      </c>
      <c r="C52" s="792"/>
      <c r="D52" s="792"/>
      <c r="E52" s="35" t="s">
        <v>10</v>
      </c>
      <c r="F52" s="36" t="str">
        <f t="shared" ref="F52:F81" si="2">LEFT(F51,1)&amp;DEC2HEX(HEX2DEC(MID(F51,2,LENB(F51)-1))+1,LENB(F51)-1)</f>
        <v>IB10022</v>
      </c>
      <c r="G52" s="302"/>
      <c r="H52" s="303"/>
      <c r="I52" s="303"/>
      <c r="J52" s="304"/>
      <c r="K52" s="143"/>
      <c r="L52" s="37"/>
      <c r="M52" s="598"/>
      <c r="N52" s="35" t="s">
        <v>11</v>
      </c>
      <c r="O52" s="38" t="str">
        <f t="shared" ref="O52:O81" si="3">LEFT(O51,1)&amp;DEC2HEX(HEX2DEC(MID(O51,2,LENB(O51)-1))+1,LENB(O51)-1)</f>
        <v>OB11022</v>
      </c>
      <c r="P52" s="532"/>
      <c r="Q52" s="533"/>
      <c r="R52" s="533"/>
      <c r="S52" s="534"/>
      <c r="T52" s="598"/>
      <c r="U52" s="62"/>
      <c r="V52" s="769"/>
      <c r="W52" s="770"/>
      <c r="X52" s="40"/>
      <c r="Y52" s="41"/>
      <c r="Z52" s="43"/>
      <c r="AA52" s="42"/>
      <c r="AB52" s="41"/>
      <c r="AC52" s="43"/>
      <c r="AD52" s="41"/>
      <c r="AE52" s="41"/>
      <c r="AF52" s="43"/>
      <c r="AP52" s="743" t="s">
        <v>104</v>
      </c>
      <c r="AQ52" s="744"/>
      <c r="AR52" s="744"/>
      <c r="AS52" s="745"/>
    </row>
    <row r="53" spans="2:45" ht="17.25" customHeight="1">
      <c r="B53" s="34">
        <v>4</v>
      </c>
      <c r="C53" s="792"/>
      <c r="D53" s="792"/>
      <c r="E53" s="35" t="s">
        <v>10</v>
      </c>
      <c r="F53" s="36" t="str">
        <f t="shared" si="2"/>
        <v>IB10023</v>
      </c>
      <c r="G53" s="305"/>
      <c r="H53" s="306"/>
      <c r="I53" s="306"/>
      <c r="J53" s="307"/>
      <c r="K53" s="143"/>
      <c r="L53" s="37"/>
      <c r="M53" s="598"/>
      <c r="N53" s="35" t="s">
        <v>11</v>
      </c>
      <c r="O53" s="38" t="str">
        <f t="shared" si="3"/>
        <v>OB11023</v>
      </c>
      <c r="P53" s="532"/>
      <c r="Q53" s="533"/>
      <c r="R53" s="533"/>
      <c r="S53" s="534"/>
      <c r="T53" s="598"/>
      <c r="U53" s="62"/>
      <c r="V53" s="769"/>
      <c r="W53" s="770"/>
      <c r="X53" s="40"/>
      <c r="Y53" s="41"/>
      <c r="Z53" s="41"/>
      <c r="AA53" s="42"/>
      <c r="AB53" s="41"/>
      <c r="AC53" s="43"/>
      <c r="AD53" s="41"/>
      <c r="AE53" s="41"/>
      <c r="AF53" s="43"/>
      <c r="AP53" s="766" t="s">
        <v>110</v>
      </c>
      <c r="AQ53" s="767"/>
      <c r="AR53" s="767"/>
      <c r="AS53" s="768"/>
    </row>
    <row r="54" spans="2:45" ht="17.25" customHeight="1">
      <c r="B54" s="34">
        <v>5</v>
      </c>
      <c r="C54" s="792"/>
      <c r="D54" s="792"/>
      <c r="E54" s="35" t="s">
        <v>10</v>
      </c>
      <c r="F54" s="36" t="str">
        <f t="shared" si="2"/>
        <v>IB10024</v>
      </c>
      <c r="G54" s="302"/>
      <c r="H54" s="303"/>
      <c r="I54" s="303"/>
      <c r="J54" s="304"/>
      <c r="K54" s="143"/>
      <c r="L54" s="37"/>
      <c r="M54" s="598"/>
      <c r="N54" s="35" t="s">
        <v>11</v>
      </c>
      <c r="O54" s="38" t="str">
        <f t="shared" si="3"/>
        <v>OB11024</v>
      </c>
      <c r="P54" s="532"/>
      <c r="Q54" s="533"/>
      <c r="R54" s="533"/>
      <c r="S54" s="534"/>
      <c r="T54" s="598"/>
      <c r="U54" s="61"/>
      <c r="V54" s="769"/>
      <c r="W54" s="770"/>
      <c r="X54" s="40"/>
      <c r="Y54" s="41"/>
      <c r="Z54" s="43"/>
      <c r="AA54" s="42"/>
      <c r="AB54" s="41"/>
      <c r="AC54" s="43"/>
      <c r="AD54" s="41"/>
      <c r="AE54" s="41"/>
      <c r="AF54" s="43"/>
      <c r="AP54" s="766" t="s">
        <v>111</v>
      </c>
      <c r="AQ54" s="767"/>
      <c r="AR54" s="767"/>
      <c r="AS54" s="768"/>
    </row>
    <row r="55" spans="2:45" ht="17.25" customHeight="1">
      <c r="B55" s="34">
        <v>6</v>
      </c>
      <c r="C55" s="792"/>
      <c r="D55" s="792"/>
      <c r="E55" s="35" t="s">
        <v>10</v>
      </c>
      <c r="F55" s="36" t="str">
        <f t="shared" si="2"/>
        <v>IB10025</v>
      </c>
      <c r="G55" s="302"/>
      <c r="H55" s="303"/>
      <c r="I55" s="303"/>
      <c r="J55" s="304"/>
      <c r="K55" s="143"/>
      <c r="L55" s="37"/>
      <c r="M55" s="598"/>
      <c r="N55" s="35" t="s">
        <v>11</v>
      </c>
      <c r="O55" s="38" t="str">
        <f t="shared" si="3"/>
        <v>OB11025</v>
      </c>
      <c r="P55" s="532"/>
      <c r="Q55" s="533"/>
      <c r="R55" s="533"/>
      <c r="S55" s="534"/>
      <c r="T55" s="598"/>
      <c r="U55" s="61"/>
      <c r="V55" s="769"/>
      <c r="W55" s="770"/>
      <c r="X55" s="40"/>
      <c r="Y55" s="41"/>
      <c r="Z55" s="43"/>
      <c r="AA55" s="42"/>
      <c r="AB55" s="41"/>
      <c r="AC55" s="43"/>
      <c r="AD55" s="41"/>
      <c r="AE55" s="41"/>
      <c r="AF55" s="43"/>
      <c r="AP55" s="766" t="s">
        <v>112</v>
      </c>
      <c r="AQ55" s="767"/>
      <c r="AR55" s="767"/>
      <c r="AS55" s="768"/>
    </row>
    <row r="56" spans="2:45" ht="17.25" customHeight="1">
      <c r="B56" s="34">
        <v>7</v>
      </c>
      <c r="C56" s="792"/>
      <c r="D56" s="792"/>
      <c r="E56" s="35" t="s">
        <v>10</v>
      </c>
      <c r="F56" s="36" t="str">
        <f t="shared" si="2"/>
        <v>IB10026</v>
      </c>
      <c r="G56" s="302"/>
      <c r="H56" s="303"/>
      <c r="I56" s="303"/>
      <c r="J56" s="304"/>
      <c r="K56" s="143"/>
      <c r="L56" s="37"/>
      <c r="M56" s="598"/>
      <c r="N56" s="35" t="s">
        <v>11</v>
      </c>
      <c r="O56" s="38" t="str">
        <f t="shared" si="3"/>
        <v>OB11026</v>
      </c>
      <c r="P56" s="532"/>
      <c r="Q56" s="533"/>
      <c r="R56" s="533"/>
      <c r="S56" s="534"/>
      <c r="T56" s="598"/>
      <c r="U56" s="61"/>
      <c r="V56" s="769"/>
      <c r="W56" s="770"/>
      <c r="X56" s="40"/>
      <c r="Y56" s="41"/>
      <c r="Z56" s="43"/>
      <c r="AA56" s="42"/>
      <c r="AB56" s="41"/>
      <c r="AC56" s="43"/>
      <c r="AD56" s="41"/>
      <c r="AE56" s="41"/>
      <c r="AF56" s="43"/>
      <c r="AP56" s="766" t="s">
        <v>113</v>
      </c>
      <c r="AQ56" s="767"/>
      <c r="AR56" s="767"/>
      <c r="AS56" s="768"/>
    </row>
    <row r="57" spans="2:45" ht="17.25" customHeight="1">
      <c r="B57" s="34">
        <v>8</v>
      </c>
      <c r="C57" s="792"/>
      <c r="D57" s="792"/>
      <c r="E57" s="35" t="s">
        <v>10</v>
      </c>
      <c r="F57" s="36" t="str">
        <f t="shared" si="2"/>
        <v>IB10027</v>
      </c>
      <c r="G57" s="305"/>
      <c r="H57" s="306"/>
      <c r="I57" s="306"/>
      <c r="J57" s="307"/>
      <c r="K57" s="143"/>
      <c r="L57" s="37"/>
      <c r="M57" s="598"/>
      <c r="N57" s="35" t="s">
        <v>11</v>
      </c>
      <c r="O57" s="38" t="str">
        <f t="shared" si="3"/>
        <v>OB11027</v>
      </c>
      <c r="P57" s="532"/>
      <c r="Q57" s="533"/>
      <c r="R57" s="533"/>
      <c r="S57" s="534"/>
      <c r="T57" s="598"/>
      <c r="U57" s="61"/>
      <c r="V57" s="769"/>
      <c r="W57" s="770"/>
      <c r="X57" s="40"/>
      <c r="Y57" s="41"/>
      <c r="Z57" s="43"/>
      <c r="AA57" s="42"/>
      <c r="AB57" s="41"/>
      <c r="AC57" s="43"/>
      <c r="AD57" s="41"/>
      <c r="AE57" s="41"/>
      <c r="AF57" s="43"/>
      <c r="AP57" s="743" t="s">
        <v>102</v>
      </c>
      <c r="AQ57" s="744"/>
      <c r="AR57" s="744"/>
      <c r="AS57" s="745"/>
    </row>
    <row r="58" spans="2:45" ht="17.25" customHeight="1">
      <c r="B58" s="34">
        <v>9</v>
      </c>
      <c r="C58" s="792"/>
      <c r="D58" s="792"/>
      <c r="E58" s="35" t="s">
        <v>10</v>
      </c>
      <c r="F58" s="36" t="str">
        <f t="shared" si="2"/>
        <v>IB10028</v>
      </c>
      <c r="G58" s="302"/>
      <c r="H58" s="303"/>
      <c r="I58" s="303"/>
      <c r="J58" s="304"/>
      <c r="K58" s="143"/>
      <c r="L58" s="37"/>
      <c r="M58" s="598"/>
      <c r="N58" s="35" t="s">
        <v>11</v>
      </c>
      <c r="O58" s="38" t="str">
        <f t="shared" si="3"/>
        <v>OB11028</v>
      </c>
      <c r="P58" s="532"/>
      <c r="Q58" s="533"/>
      <c r="R58" s="533"/>
      <c r="S58" s="534"/>
      <c r="T58" s="598"/>
      <c r="U58" s="61"/>
      <c r="V58" s="769"/>
      <c r="W58" s="770"/>
      <c r="X58" s="40"/>
      <c r="Y58" s="41"/>
      <c r="Z58" s="43"/>
      <c r="AA58" s="42"/>
      <c r="AB58" s="41"/>
      <c r="AC58" s="43"/>
      <c r="AD58" s="41"/>
      <c r="AE58" s="41"/>
      <c r="AF58" s="43"/>
      <c r="AP58" s="743" t="s">
        <v>103</v>
      </c>
      <c r="AQ58" s="744"/>
      <c r="AR58" s="744"/>
      <c r="AS58" s="745"/>
    </row>
    <row r="59" spans="2:45" ht="17.25" customHeight="1">
      <c r="B59" s="34">
        <v>10</v>
      </c>
      <c r="C59" s="792"/>
      <c r="D59" s="792"/>
      <c r="E59" s="35" t="s">
        <v>10</v>
      </c>
      <c r="F59" s="36" t="str">
        <f t="shared" si="2"/>
        <v>IB10029</v>
      </c>
      <c r="G59" s="302"/>
      <c r="H59" s="303"/>
      <c r="I59" s="303"/>
      <c r="J59" s="304"/>
      <c r="K59" s="143"/>
      <c r="L59" s="37"/>
      <c r="M59" s="598"/>
      <c r="N59" s="35" t="s">
        <v>11</v>
      </c>
      <c r="O59" s="38" t="str">
        <f t="shared" si="3"/>
        <v>OB11029</v>
      </c>
      <c r="P59" s="305"/>
      <c r="Q59" s="306"/>
      <c r="R59" s="306"/>
      <c r="S59" s="307"/>
      <c r="T59" s="598"/>
      <c r="U59" s="61"/>
      <c r="V59" s="769"/>
      <c r="W59" s="770"/>
      <c r="X59" s="40"/>
      <c r="Y59" s="41"/>
      <c r="Z59" s="43"/>
      <c r="AA59" s="42"/>
      <c r="AB59" s="41"/>
      <c r="AC59" s="43"/>
      <c r="AD59" s="41"/>
      <c r="AE59" s="41"/>
      <c r="AF59" s="43"/>
      <c r="AP59" s="743" t="s">
        <v>104</v>
      </c>
      <c r="AQ59" s="744"/>
      <c r="AR59" s="744"/>
      <c r="AS59" s="745"/>
    </row>
    <row r="60" spans="2:45" ht="17.25" customHeight="1">
      <c r="B60" s="34">
        <v>11</v>
      </c>
      <c r="C60" s="792"/>
      <c r="D60" s="792"/>
      <c r="E60" s="35" t="s">
        <v>10</v>
      </c>
      <c r="F60" s="36" t="str">
        <f t="shared" si="2"/>
        <v>IB1002A</v>
      </c>
      <c r="G60" s="302"/>
      <c r="H60" s="303"/>
      <c r="I60" s="303"/>
      <c r="J60" s="304"/>
      <c r="K60" s="143"/>
      <c r="L60" s="37"/>
      <c r="M60" s="598"/>
      <c r="N60" s="35" t="s">
        <v>11</v>
      </c>
      <c r="O60" s="38" t="str">
        <f t="shared" si="3"/>
        <v>OB1102A</v>
      </c>
      <c r="P60" s="532"/>
      <c r="Q60" s="533"/>
      <c r="R60" s="533"/>
      <c r="S60" s="534"/>
      <c r="T60" s="598"/>
      <c r="U60" s="61"/>
      <c r="V60" s="769"/>
      <c r="W60" s="770"/>
      <c r="X60" s="40"/>
      <c r="Y60" s="41"/>
      <c r="Z60" s="43"/>
      <c r="AA60" s="42"/>
      <c r="AB60" s="41"/>
      <c r="AC60" s="43"/>
      <c r="AD60" s="41"/>
      <c r="AE60" s="41"/>
      <c r="AF60" s="43"/>
      <c r="AP60" s="766" t="s">
        <v>110</v>
      </c>
      <c r="AQ60" s="767"/>
      <c r="AR60" s="767"/>
      <c r="AS60" s="768"/>
    </row>
    <row r="61" spans="2:45" ht="17.25" customHeight="1">
      <c r="B61" s="34">
        <v>12</v>
      </c>
      <c r="C61" s="792"/>
      <c r="D61" s="792"/>
      <c r="E61" s="35" t="s">
        <v>10</v>
      </c>
      <c r="F61" s="36" t="str">
        <f t="shared" si="2"/>
        <v>IB1002B</v>
      </c>
      <c r="G61" s="305"/>
      <c r="H61" s="306"/>
      <c r="I61" s="306"/>
      <c r="J61" s="307"/>
      <c r="K61" s="143"/>
      <c r="L61" s="37"/>
      <c r="M61" s="598"/>
      <c r="N61" s="35" t="s">
        <v>11</v>
      </c>
      <c r="O61" s="38" t="str">
        <f t="shared" si="3"/>
        <v>OB1102B</v>
      </c>
      <c r="P61" s="305"/>
      <c r="Q61" s="306"/>
      <c r="R61" s="306"/>
      <c r="S61" s="307"/>
      <c r="T61" s="598"/>
      <c r="U61" s="61"/>
      <c r="V61" s="769"/>
      <c r="W61" s="770"/>
      <c r="X61" s="40"/>
      <c r="Y61" s="41"/>
      <c r="Z61" s="43"/>
      <c r="AA61" s="42"/>
      <c r="AB61" s="41"/>
      <c r="AC61" s="43"/>
      <c r="AD61" s="41"/>
      <c r="AE61" s="41"/>
      <c r="AF61" s="43"/>
      <c r="AP61" s="766" t="s">
        <v>111</v>
      </c>
      <c r="AQ61" s="767"/>
      <c r="AR61" s="767"/>
      <c r="AS61" s="768"/>
    </row>
    <row r="62" spans="2:45" ht="17.25" customHeight="1">
      <c r="B62" s="34">
        <v>13</v>
      </c>
      <c r="C62" s="792"/>
      <c r="D62" s="792"/>
      <c r="E62" s="35" t="s">
        <v>10</v>
      </c>
      <c r="F62" s="36" t="str">
        <f t="shared" si="2"/>
        <v>IB1002C</v>
      </c>
      <c r="G62" s="766"/>
      <c r="H62" s="767"/>
      <c r="I62" s="767"/>
      <c r="J62" s="768"/>
      <c r="K62" s="143"/>
      <c r="L62" s="37"/>
      <c r="M62" s="598"/>
      <c r="N62" s="35" t="s">
        <v>11</v>
      </c>
      <c r="O62" s="38" t="str">
        <f t="shared" si="3"/>
        <v>OB1102C</v>
      </c>
      <c r="P62" s="799"/>
      <c r="Q62" s="800"/>
      <c r="R62" s="800"/>
      <c r="S62" s="801"/>
      <c r="T62" s="596"/>
      <c r="U62" s="61"/>
      <c r="V62" s="769"/>
      <c r="W62" s="770"/>
      <c r="X62" s="40"/>
      <c r="Y62" s="41"/>
      <c r="Z62" s="43"/>
      <c r="AA62" s="42"/>
      <c r="AB62" s="41"/>
      <c r="AC62" s="43"/>
      <c r="AD62" s="41"/>
      <c r="AE62" s="41"/>
      <c r="AF62" s="43"/>
      <c r="AP62" s="766" t="s">
        <v>112</v>
      </c>
      <c r="AQ62" s="767"/>
      <c r="AR62" s="767"/>
      <c r="AS62" s="768"/>
    </row>
    <row r="63" spans="2:45" ht="17.25" customHeight="1">
      <c r="B63" s="34">
        <v>14</v>
      </c>
      <c r="C63" s="792"/>
      <c r="D63" s="792"/>
      <c r="E63" s="35" t="s">
        <v>10</v>
      </c>
      <c r="F63" s="36" t="str">
        <f t="shared" si="2"/>
        <v>IB1002D</v>
      </c>
      <c r="G63" s="766"/>
      <c r="H63" s="767"/>
      <c r="I63" s="767"/>
      <c r="J63" s="768"/>
      <c r="K63" s="143"/>
      <c r="L63" s="37"/>
      <c r="M63" s="598"/>
      <c r="N63" s="35" t="s">
        <v>11</v>
      </c>
      <c r="O63" s="38" t="str">
        <f t="shared" si="3"/>
        <v>OB1102D</v>
      </c>
      <c r="P63" s="799"/>
      <c r="Q63" s="800"/>
      <c r="R63" s="800"/>
      <c r="S63" s="801"/>
      <c r="T63" s="596"/>
      <c r="U63" s="61"/>
      <c r="V63" s="769"/>
      <c r="W63" s="770"/>
      <c r="X63" s="40"/>
      <c r="Y63" s="41"/>
      <c r="Z63" s="43"/>
      <c r="AA63" s="42"/>
      <c r="AB63" s="41"/>
      <c r="AC63" s="43"/>
      <c r="AD63" s="41"/>
      <c r="AE63" s="41"/>
      <c r="AF63" s="43"/>
      <c r="AP63" s="766" t="s">
        <v>113</v>
      </c>
      <c r="AQ63" s="767"/>
      <c r="AR63" s="767"/>
      <c r="AS63" s="768"/>
    </row>
    <row r="64" spans="2:45" ht="17.25" customHeight="1">
      <c r="B64" s="34">
        <v>15</v>
      </c>
      <c r="C64" s="792"/>
      <c r="D64" s="792"/>
      <c r="E64" s="35" t="s">
        <v>10</v>
      </c>
      <c r="F64" s="36" t="str">
        <f t="shared" si="2"/>
        <v>IB1002E</v>
      </c>
      <c r="G64" s="766"/>
      <c r="H64" s="767"/>
      <c r="I64" s="767"/>
      <c r="J64" s="768"/>
      <c r="K64" s="143"/>
      <c r="L64" s="37"/>
      <c r="M64" s="598"/>
      <c r="N64" s="35" t="s">
        <v>11</v>
      </c>
      <c r="O64" s="38" t="str">
        <f t="shared" si="3"/>
        <v>OB1102E</v>
      </c>
      <c r="P64" s="799"/>
      <c r="Q64" s="800"/>
      <c r="R64" s="800"/>
      <c r="S64" s="801"/>
      <c r="T64" s="596"/>
      <c r="U64" s="61"/>
      <c r="V64" s="769"/>
      <c r="W64" s="770"/>
      <c r="X64" s="40"/>
      <c r="Y64" s="41"/>
      <c r="Z64" s="43"/>
      <c r="AA64" s="42"/>
      <c r="AB64" s="41"/>
      <c r="AC64" s="43"/>
      <c r="AD64" s="41"/>
      <c r="AE64" s="41"/>
      <c r="AF64" s="43"/>
      <c r="AP64" s="743" t="s">
        <v>102</v>
      </c>
      <c r="AQ64" s="744"/>
      <c r="AR64" s="744"/>
      <c r="AS64" s="745"/>
    </row>
    <row r="65" spans="2:45" ht="17.25" customHeight="1">
      <c r="B65" s="34">
        <v>16</v>
      </c>
      <c r="C65" s="792"/>
      <c r="D65" s="792"/>
      <c r="E65" s="35" t="s">
        <v>10</v>
      </c>
      <c r="F65" s="36" t="str">
        <f t="shared" si="2"/>
        <v>IB1002F</v>
      </c>
      <c r="G65" s="766"/>
      <c r="H65" s="767"/>
      <c r="I65" s="767"/>
      <c r="J65" s="768"/>
      <c r="K65" s="143"/>
      <c r="L65" s="37"/>
      <c r="M65" s="598"/>
      <c r="N65" s="35" t="s">
        <v>11</v>
      </c>
      <c r="O65" s="38" t="str">
        <f t="shared" si="3"/>
        <v>OB1102F</v>
      </c>
      <c r="P65" s="799"/>
      <c r="Q65" s="800"/>
      <c r="R65" s="800"/>
      <c r="S65" s="801"/>
      <c r="T65" s="596"/>
      <c r="U65" s="61"/>
      <c r="V65" s="769"/>
      <c r="W65" s="770"/>
      <c r="X65" s="40"/>
      <c r="Y65" s="41"/>
      <c r="Z65" s="43"/>
      <c r="AA65" s="42"/>
      <c r="AB65" s="41"/>
      <c r="AC65" s="43"/>
      <c r="AD65" s="41"/>
      <c r="AE65" s="41"/>
      <c r="AF65" s="43"/>
      <c r="AP65" s="743" t="s">
        <v>103</v>
      </c>
      <c r="AQ65" s="744"/>
      <c r="AR65" s="744"/>
      <c r="AS65" s="745"/>
    </row>
    <row r="66" spans="2:45" ht="17.25" customHeight="1">
      <c r="B66" s="34">
        <v>17</v>
      </c>
      <c r="C66" s="792"/>
      <c r="D66" s="792"/>
      <c r="E66" s="35" t="s">
        <v>10</v>
      </c>
      <c r="F66" s="36" t="str">
        <f t="shared" si="2"/>
        <v>IB10030</v>
      </c>
      <c r="G66" s="743"/>
      <c r="H66" s="744"/>
      <c r="I66" s="744"/>
      <c r="J66" s="745"/>
      <c r="K66" s="143"/>
      <c r="L66" s="37"/>
      <c r="M66" s="598"/>
      <c r="N66" s="35" t="s">
        <v>11</v>
      </c>
      <c r="O66" s="38" t="str">
        <f t="shared" si="3"/>
        <v>OB11030</v>
      </c>
      <c r="P66" s="799"/>
      <c r="Q66" s="800"/>
      <c r="R66" s="800"/>
      <c r="S66" s="801"/>
      <c r="T66" s="596"/>
      <c r="U66" s="61"/>
      <c r="V66" s="769"/>
      <c r="W66" s="770"/>
      <c r="X66" s="40"/>
      <c r="Y66" s="41"/>
      <c r="Z66" s="43"/>
      <c r="AA66" s="42"/>
      <c r="AB66" s="41"/>
      <c r="AC66" s="43"/>
      <c r="AD66" s="41"/>
      <c r="AE66" s="41"/>
      <c r="AF66" s="43"/>
      <c r="AP66" s="743" t="s">
        <v>104</v>
      </c>
      <c r="AQ66" s="744"/>
      <c r="AR66" s="744"/>
      <c r="AS66" s="745"/>
    </row>
    <row r="67" spans="2:45" ht="17.25" customHeight="1">
      <c r="B67" s="34">
        <v>18</v>
      </c>
      <c r="C67" s="792"/>
      <c r="D67" s="792"/>
      <c r="E67" s="35" t="s">
        <v>10</v>
      </c>
      <c r="F67" s="36" t="str">
        <f t="shared" si="2"/>
        <v>IB10031</v>
      </c>
      <c r="G67" s="743"/>
      <c r="H67" s="744"/>
      <c r="I67" s="744"/>
      <c r="J67" s="745"/>
      <c r="K67" s="143"/>
      <c r="L67" s="37"/>
      <c r="M67" s="598"/>
      <c r="N67" s="35" t="s">
        <v>11</v>
      </c>
      <c r="O67" s="38" t="str">
        <f t="shared" si="3"/>
        <v>OB11031</v>
      </c>
      <c r="P67" s="799"/>
      <c r="Q67" s="800"/>
      <c r="R67" s="800"/>
      <c r="S67" s="801"/>
      <c r="T67" s="596"/>
      <c r="U67" s="61"/>
      <c r="V67" s="769"/>
      <c r="W67" s="770"/>
      <c r="X67" s="40"/>
      <c r="Y67" s="41"/>
      <c r="Z67" s="43"/>
      <c r="AA67" s="42"/>
      <c r="AB67" s="41"/>
      <c r="AC67" s="43"/>
      <c r="AD67" s="41"/>
      <c r="AE67" s="41"/>
      <c r="AF67" s="43"/>
      <c r="AP67" s="766" t="s">
        <v>110</v>
      </c>
      <c r="AQ67" s="767"/>
      <c r="AR67" s="767"/>
      <c r="AS67" s="768"/>
    </row>
    <row r="68" spans="2:45" ht="17.25" customHeight="1">
      <c r="B68" s="34">
        <v>19</v>
      </c>
      <c r="C68" s="792"/>
      <c r="D68" s="792"/>
      <c r="E68" s="35" t="s">
        <v>10</v>
      </c>
      <c r="F68" s="36" t="str">
        <f t="shared" si="2"/>
        <v>IB10032</v>
      </c>
      <c r="G68" s="743"/>
      <c r="H68" s="744"/>
      <c r="I68" s="744"/>
      <c r="J68" s="745"/>
      <c r="K68" s="143"/>
      <c r="L68" s="37"/>
      <c r="M68" s="598"/>
      <c r="N68" s="35" t="s">
        <v>11</v>
      </c>
      <c r="O68" s="38" t="str">
        <f t="shared" si="3"/>
        <v>OB11032</v>
      </c>
      <c r="P68" s="799"/>
      <c r="Q68" s="800"/>
      <c r="R68" s="800"/>
      <c r="S68" s="801"/>
      <c r="T68" s="596"/>
      <c r="U68" s="61"/>
      <c r="V68" s="769"/>
      <c r="W68" s="770"/>
      <c r="X68" s="40"/>
      <c r="Y68" s="41"/>
      <c r="Z68" s="43"/>
      <c r="AA68" s="42"/>
      <c r="AB68" s="41"/>
      <c r="AC68" s="43"/>
      <c r="AD68" s="41"/>
      <c r="AE68" s="41"/>
      <c r="AF68" s="43"/>
      <c r="AP68" s="766" t="s">
        <v>111</v>
      </c>
      <c r="AQ68" s="767"/>
      <c r="AR68" s="767"/>
      <c r="AS68" s="768"/>
    </row>
    <row r="69" spans="2:45" ht="17.25" customHeight="1">
      <c r="B69" s="34">
        <v>20</v>
      </c>
      <c r="C69" s="792"/>
      <c r="D69" s="792"/>
      <c r="E69" s="35" t="s">
        <v>10</v>
      </c>
      <c r="F69" s="36" t="str">
        <f t="shared" si="2"/>
        <v>IB10033</v>
      </c>
      <c r="G69" s="766"/>
      <c r="H69" s="767"/>
      <c r="I69" s="767"/>
      <c r="J69" s="768"/>
      <c r="K69" s="143"/>
      <c r="L69" s="37"/>
      <c r="M69" s="598"/>
      <c r="N69" s="35" t="s">
        <v>11</v>
      </c>
      <c r="O69" s="38" t="str">
        <f t="shared" si="3"/>
        <v>OB11033</v>
      </c>
      <c r="P69" s="799"/>
      <c r="Q69" s="800"/>
      <c r="R69" s="800"/>
      <c r="S69" s="801"/>
      <c r="T69" s="596"/>
      <c r="U69" s="61"/>
      <c r="V69" s="769"/>
      <c r="W69" s="770"/>
      <c r="X69" s="40"/>
      <c r="Y69" s="41"/>
      <c r="Z69" s="43"/>
      <c r="AA69" s="42"/>
      <c r="AB69" s="41"/>
      <c r="AC69" s="43"/>
      <c r="AD69" s="41"/>
      <c r="AE69" s="41"/>
      <c r="AF69" s="43"/>
      <c r="AP69" s="766" t="s">
        <v>112</v>
      </c>
      <c r="AQ69" s="767"/>
      <c r="AR69" s="767"/>
      <c r="AS69" s="768"/>
    </row>
    <row r="70" spans="2:45" ht="17.25" customHeight="1">
      <c r="B70" s="34">
        <v>21</v>
      </c>
      <c r="C70" s="792"/>
      <c r="D70" s="792"/>
      <c r="E70" s="35" t="s">
        <v>10</v>
      </c>
      <c r="F70" s="36" t="str">
        <f t="shared" si="2"/>
        <v>IB10034</v>
      </c>
      <c r="G70" s="766"/>
      <c r="H70" s="767"/>
      <c r="I70" s="767"/>
      <c r="J70" s="768"/>
      <c r="K70" s="143"/>
      <c r="L70" s="37"/>
      <c r="M70" s="598"/>
      <c r="N70" s="35" t="s">
        <v>11</v>
      </c>
      <c r="O70" s="38" t="str">
        <f t="shared" si="3"/>
        <v>OB11034</v>
      </c>
      <c r="P70" s="799"/>
      <c r="Q70" s="800"/>
      <c r="R70" s="800"/>
      <c r="S70" s="801"/>
      <c r="T70" s="596"/>
      <c r="U70" s="61"/>
      <c r="V70" s="769"/>
      <c r="W70" s="770"/>
      <c r="X70" s="40"/>
      <c r="Y70" s="41"/>
      <c r="Z70" s="43"/>
      <c r="AA70" s="42"/>
      <c r="AB70" s="41"/>
      <c r="AC70" s="43"/>
      <c r="AD70" s="41"/>
      <c r="AE70" s="41"/>
      <c r="AF70" s="43"/>
      <c r="AP70" s="766" t="s">
        <v>113</v>
      </c>
      <c r="AQ70" s="767"/>
      <c r="AR70" s="767"/>
      <c r="AS70" s="768"/>
    </row>
    <row r="71" spans="2:45" ht="17.25" customHeight="1">
      <c r="B71" s="34">
        <v>22</v>
      </c>
      <c r="C71" s="792"/>
      <c r="D71" s="792"/>
      <c r="E71" s="35" t="s">
        <v>10</v>
      </c>
      <c r="F71" s="36" t="str">
        <f t="shared" si="2"/>
        <v>IB10035</v>
      </c>
      <c r="G71" s="766"/>
      <c r="H71" s="767"/>
      <c r="I71" s="767"/>
      <c r="J71" s="768"/>
      <c r="K71" s="143"/>
      <c r="L71" s="37"/>
      <c r="M71" s="598"/>
      <c r="N71" s="35" t="s">
        <v>11</v>
      </c>
      <c r="O71" s="38" t="str">
        <f t="shared" si="3"/>
        <v>OB11035</v>
      </c>
      <c r="P71" s="799"/>
      <c r="Q71" s="800"/>
      <c r="R71" s="800"/>
      <c r="S71" s="801"/>
      <c r="T71" s="596"/>
      <c r="U71" s="61"/>
      <c r="V71" s="769"/>
      <c r="W71" s="770"/>
      <c r="X71" s="40"/>
      <c r="Y71" s="41"/>
      <c r="Z71" s="43"/>
      <c r="AA71" s="42"/>
      <c r="AB71" s="41"/>
      <c r="AC71" s="43"/>
      <c r="AD71" s="41"/>
      <c r="AE71" s="41"/>
      <c r="AF71" s="43"/>
      <c r="AP71" s="766" t="s">
        <v>114</v>
      </c>
      <c r="AQ71" s="767"/>
      <c r="AR71" s="767"/>
      <c r="AS71" s="768"/>
    </row>
    <row r="72" spans="2:45" ht="17.25" customHeight="1">
      <c r="B72" s="34">
        <v>23</v>
      </c>
      <c r="C72" s="792"/>
      <c r="D72" s="792"/>
      <c r="E72" s="35" t="s">
        <v>10</v>
      </c>
      <c r="F72" s="36" t="str">
        <f t="shared" si="2"/>
        <v>IB10036</v>
      </c>
      <c r="G72" s="766"/>
      <c r="H72" s="767"/>
      <c r="I72" s="767"/>
      <c r="J72" s="768"/>
      <c r="K72" s="143"/>
      <c r="L72" s="37"/>
      <c r="M72" s="598"/>
      <c r="N72" s="35" t="s">
        <v>11</v>
      </c>
      <c r="O72" s="38" t="str">
        <f t="shared" si="3"/>
        <v>OB11036</v>
      </c>
      <c r="P72" s="799"/>
      <c r="Q72" s="800"/>
      <c r="R72" s="800"/>
      <c r="S72" s="801"/>
      <c r="T72" s="596"/>
      <c r="U72" s="61"/>
      <c r="V72" s="769"/>
      <c r="W72" s="770"/>
      <c r="X72" s="40"/>
      <c r="Y72" s="41"/>
      <c r="Z72" s="43"/>
      <c r="AA72" s="42"/>
      <c r="AB72" s="41"/>
      <c r="AC72" s="43"/>
      <c r="AD72" s="41"/>
      <c r="AE72" s="41"/>
      <c r="AF72" s="43"/>
      <c r="AP72" s="766" t="s">
        <v>115</v>
      </c>
      <c r="AQ72" s="767"/>
      <c r="AR72" s="767"/>
      <c r="AS72" s="768"/>
    </row>
    <row r="73" spans="2:45" ht="17.25" customHeight="1">
      <c r="B73" s="34">
        <v>24</v>
      </c>
      <c r="C73" s="792"/>
      <c r="D73" s="792"/>
      <c r="E73" s="35" t="s">
        <v>10</v>
      </c>
      <c r="F73" s="36" t="str">
        <f t="shared" si="2"/>
        <v>IB10037</v>
      </c>
      <c r="G73" s="743"/>
      <c r="H73" s="744"/>
      <c r="I73" s="744"/>
      <c r="J73" s="745"/>
      <c r="K73" s="143"/>
      <c r="L73" s="37"/>
      <c r="M73" s="598"/>
      <c r="N73" s="35" t="s">
        <v>11</v>
      </c>
      <c r="O73" s="38" t="str">
        <f t="shared" si="3"/>
        <v>OB11037</v>
      </c>
      <c r="P73" s="799"/>
      <c r="Q73" s="800"/>
      <c r="R73" s="800"/>
      <c r="S73" s="801"/>
      <c r="T73" s="596"/>
      <c r="U73" s="61"/>
      <c r="V73" s="769"/>
      <c r="W73" s="770"/>
      <c r="X73" s="40"/>
      <c r="Y73" s="41"/>
      <c r="Z73" s="43"/>
      <c r="AA73" s="42"/>
      <c r="AB73" s="41"/>
      <c r="AC73" s="43"/>
      <c r="AD73" s="41"/>
      <c r="AE73" s="41"/>
      <c r="AF73" s="43"/>
      <c r="AP73" s="743" t="s">
        <v>102</v>
      </c>
      <c r="AQ73" s="744"/>
      <c r="AR73" s="744"/>
      <c r="AS73" s="745"/>
    </row>
    <row r="74" spans="2:45" ht="17.25" customHeight="1">
      <c r="B74" s="34">
        <v>25</v>
      </c>
      <c r="C74" s="792"/>
      <c r="D74" s="792"/>
      <c r="E74" s="35" t="s">
        <v>10</v>
      </c>
      <c r="F74" s="36" t="str">
        <f t="shared" si="2"/>
        <v>IB10038</v>
      </c>
      <c r="G74" s="743"/>
      <c r="H74" s="744"/>
      <c r="I74" s="744"/>
      <c r="J74" s="745"/>
      <c r="K74" s="143"/>
      <c r="L74" s="37"/>
      <c r="M74" s="598"/>
      <c r="N74" s="35" t="s">
        <v>11</v>
      </c>
      <c r="O74" s="38" t="str">
        <f t="shared" si="3"/>
        <v>OB11038</v>
      </c>
      <c r="P74" s="755"/>
      <c r="Q74" s="756"/>
      <c r="R74" s="756"/>
      <c r="S74" s="757"/>
      <c r="T74" s="596"/>
      <c r="U74" s="61"/>
      <c r="V74" s="769"/>
      <c r="W74" s="770"/>
      <c r="X74" s="40"/>
      <c r="Y74" s="41"/>
      <c r="Z74" s="43"/>
      <c r="AA74" s="42"/>
      <c r="AB74" s="41"/>
      <c r="AC74" s="43"/>
      <c r="AD74" s="41"/>
      <c r="AE74" s="41"/>
      <c r="AF74" s="43"/>
      <c r="AP74" s="743" t="s">
        <v>103</v>
      </c>
      <c r="AQ74" s="744"/>
      <c r="AR74" s="744"/>
      <c r="AS74" s="745"/>
    </row>
    <row r="75" spans="2:45" ht="17.25" customHeight="1">
      <c r="B75" s="34">
        <v>26</v>
      </c>
      <c r="C75" s="792"/>
      <c r="D75" s="792"/>
      <c r="E75" s="35" t="s">
        <v>10</v>
      </c>
      <c r="F75" s="36" t="str">
        <f t="shared" si="2"/>
        <v>IB10039</v>
      </c>
      <c r="G75" s="743"/>
      <c r="H75" s="744"/>
      <c r="I75" s="744"/>
      <c r="J75" s="745"/>
      <c r="K75" s="143"/>
      <c r="L75" s="37"/>
      <c r="M75" s="598"/>
      <c r="N75" s="35" t="s">
        <v>11</v>
      </c>
      <c r="O75" s="38" t="str">
        <f t="shared" si="3"/>
        <v>OB11039</v>
      </c>
      <c r="P75" s="755"/>
      <c r="Q75" s="756"/>
      <c r="R75" s="756"/>
      <c r="S75" s="757"/>
      <c r="T75" s="596"/>
      <c r="U75" s="61"/>
      <c r="V75" s="769"/>
      <c r="W75" s="770"/>
      <c r="X75" s="40"/>
      <c r="Y75" s="41"/>
      <c r="Z75" s="43"/>
      <c r="AA75" s="42"/>
      <c r="AB75" s="41"/>
      <c r="AC75" s="43"/>
      <c r="AD75" s="41"/>
      <c r="AE75" s="41"/>
      <c r="AF75" s="43"/>
      <c r="AP75" s="743" t="s">
        <v>104</v>
      </c>
      <c r="AQ75" s="744"/>
      <c r="AR75" s="744"/>
      <c r="AS75" s="745"/>
    </row>
    <row r="76" spans="2:45" ht="17.25" customHeight="1">
      <c r="B76" s="34">
        <v>27</v>
      </c>
      <c r="C76" s="792"/>
      <c r="D76" s="792"/>
      <c r="E76" s="35" t="s">
        <v>10</v>
      </c>
      <c r="F76" s="36" t="str">
        <f t="shared" si="2"/>
        <v>IB1003A</v>
      </c>
      <c r="G76" s="766"/>
      <c r="H76" s="767"/>
      <c r="I76" s="767"/>
      <c r="J76" s="768"/>
      <c r="K76" s="143"/>
      <c r="L76" s="37"/>
      <c r="M76" s="598"/>
      <c r="N76" s="35" t="s">
        <v>11</v>
      </c>
      <c r="O76" s="38" t="str">
        <f t="shared" si="3"/>
        <v>OB1103A</v>
      </c>
      <c r="P76" s="755"/>
      <c r="Q76" s="756"/>
      <c r="R76" s="756"/>
      <c r="S76" s="757"/>
      <c r="T76" s="596"/>
      <c r="U76" s="61"/>
      <c r="V76" s="769"/>
      <c r="W76" s="770"/>
      <c r="X76" s="40"/>
      <c r="Y76" s="41"/>
      <c r="Z76" s="43"/>
      <c r="AA76" s="42"/>
      <c r="AB76" s="41"/>
      <c r="AC76" s="43"/>
      <c r="AD76" s="41"/>
      <c r="AE76" s="41"/>
      <c r="AF76" s="43"/>
      <c r="AP76" s="766" t="s">
        <v>110</v>
      </c>
      <c r="AQ76" s="767"/>
      <c r="AR76" s="767"/>
      <c r="AS76" s="768"/>
    </row>
    <row r="77" spans="2:45" ht="17.25" customHeight="1">
      <c r="B77" s="34">
        <v>28</v>
      </c>
      <c r="C77" s="792"/>
      <c r="D77" s="792"/>
      <c r="E77" s="35" t="s">
        <v>10</v>
      </c>
      <c r="F77" s="36" t="str">
        <f t="shared" si="2"/>
        <v>IB1003B</v>
      </c>
      <c r="G77" s="766"/>
      <c r="H77" s="767"/>
      <c r="I77" s="767"/>
      <c r="J77" s="768"/>
      <c r="K77" s="143"/>
      <c r="L77" s="37"/>
      <c r="M77" s="598"/>
      <c r="N77" s="35" t="s">
        <v>11</v>
      </c>
      <c r="O77" s="38" t="str">
        <f t="shared" si="3"/>
        <v>OB1103B</v>
      </c>
      <c r="P77" s="755"/>
      <c r="Q77" s="756"/>
      <c r="R77" s="756"/>
      <c r="S77" s="757"/>
      <c r="T77" s="596"/>
      <c r="U77" s="61"/>
      <c r="V77" s="769"/>
      <c r="W77" s="770"/>
      <c r="X77" s="40"/>
      <c r="Y77" s="41"/>
      <c r="Z77" s="43"/>
      <c r="AA77" s="42"/>
      <c r="AB77" s="41"/>
      <c r="AC77" s="43"/>
      <c r="AD77" s="41"/>
      <c r="AE77" s="41"/>
      <c r="AF77" s="43"/>
      <c r="AP77" s="766" t="s">
        <v>111</v>
      </c>
      <c r="AQ77" s="767"/>
      <c r="AR77" s="767"/>
      <c r="AS77" s="768"/>
    </row>
    <row r="78" spans="2:45" ht="17.25" customHeight="1">
      <c r="B78" s="34">
        <v>29</v>
      </c>
      <c r="C78" s="792"/>
      <c r="D78" s="792"/>
      <c r="E78" s="35" t="s">
        <v>10</v>
      </c>
      <c r="F78" s="36" t="str">
        <f t="shared" si="2"/>
        <v>IB1003C</v>
      </c>
      <c r="G78" s="766"/>
      <c r="H78" s="767"/>
      <c r="I78" s="767"/>
      <c r="J78" s="768"/>
      <c r="K78" s="143"/>
      <c r="L78" s="37"/>
      <c r="M78" s="598"/>
      <c r="N78" s="35" t="s">
        <v>11</v>
      </c>
      <c r="O78" s="38" t="str">
        <f t="shared" si="3"/>
        <v>OB1103C</v>
      </c>
      <c r="P78" s="799"/>
      <c r="Q78" s="800"/>
      <c r="R78" s="800"/>
      <c r="S78" s="801"/>
      <c r="T78" s="596"/>
      <c r="U78" s="61"/>
      <c r="V78" s="769"/>
      <c r="W78" s="770"/>
      <c r="X78" s="40"/>
      <c r="Y78" s="41"/>
      <c r="Z78" s="43"/>
      <c r="AA78" s="42"/>
      <c r="AB78" s="41"/>
      <c r="AC78" s="43"/>
      <c r="AD78" s="41"/>
      <c r="AE78" s="41"/>
      <c r="AF78" s="43"/>
      <c r="AP78" s="766" t="s">
        <v>112</v>
      </c>
      <c r="AQ78" s="767"/>
      <c r="AR78" s="767"/>
      <c r="AS78" s="768"/>
    </row>
    <row r="79" spans="2:45" ht="17.25" customHeight="1">
      <c r="B79" s="34">
        <v>30</v>
      </c>
      <c r="C79" s="792"/>
      <c r="D79" s="792"/>
      <c r="E79" s="35" t="s">
        <v>10</v>
      </c>
      <c r="F79" s="36" t="str">
        <f t="shared" si="2"/>
        <v>IB1003D</v>
      </c>
      <c r="G79" s="766"/>
      <c r="H79" s="767"/>
      <c r="I79" s="767"/>
      <c r="J79" s="768"/>
      <c r="K79" s="143"/>
      <c r="L79" s="37"/>
      <c r="M79" s="598"/>
      <c r="N79" s="35" t="s">
        <v>11</v>
      </c>
      <c r="O79" s="38" t="str">
        <f t="shared" si="3"/>
        <v>OB1103D</v>
      </c>
      <c r="P79" s="755"/>
      <c r="Q79" s="756"/>
      <c r="R79" s="756"/>
      <c r="S79" s="757"/>
      <c r="T79" s="596"/>
      <c r="U79" s="61"/>
      <c r="V79" s="769"/>
      <c r="W79" s="770"/>
      <c r="X79" s="40"/>
      <c r="Y79" s="41"/>
      <c r="Z79" s="43"/>
      <c r="AA79" s="42"/>
      <c r="AB79" s="41"/>
      <c r="AC79" s="43"/>
      <c r="AD79" s="41"/>
      <c r="AE79" s="41"/>
      <c r="AF79" s="43"/>
      <c r="AP79" s="766" t="s">
        <v>113</v>
      </c>
      <c r="AQ79" s="767"/>
      <c r="AR79" s="767"/>
      <c r="AS79" s="768"/>
    </row>
    <row r="80" spans="2:45" ht="17.25" customHeight="1">
      <c r="B80" s="34">
        <v>31</v>
      </c>
      <c r="C80" s="792"/>
      <c r="D80" s="792"/>
      <c r="E80" s="35" t="s">
        <v>10</v>
      </c>
      <c r="F80" s="36" t="str">
        <f t="shared" si="2"/>
        <v>IB1003E</v>
      </c>
      <c r="G80" s="766"/>
      <c r="H80" s="767"/>
      <c r="I80" s="767"/>
      <c r="J80" s="768"/>
      <c r="K80" s="143"/>
      <c r="L80" s="37"/>
      <c r="M80" s="598"/>
      <c r="N80" s="35" t="s">
        <v>11</v>
      </c>
      <c r="O80" s="38" t="str">
        <f t="shared" si="3"/>
        <v>OB1103E</v>
      </c>
      <c r="P80" s="799"/>
      <c r="Q80" s="800"/>
      <c r="R80" s="800"/>
      <c r="S80" s="801"/>
      <c r="T80" s="596"/>
      <c r="U80" s="62"/>
      <c r="V80" s="769"/>
      <c r="W80" s="770"/>
      <c r="X80" s="40"/>
      <c r="Y80" s="41"/>
      <c r="Z80" s="41"/>
      <c r="AA80" s="42"/>
      <c r="AB80" s="41"/>
      <c r="AC80" s="43"/>
      <c r="AD80" s="41"/>
      <c r="AE80" s="41"/>
      <c r="AF80" s="43"/>
      <c r="AP80" s="766" t="s">
        <v>114</v>
      </c>
      <c r="AQ80" s="767"/>
      <c r="AR80" s="767"/>
      <c r="AS80" s="768"/>
    </row>
    <row r="81" spans="2:45" ht="17.25" customHeight="1" thickBot="1">
      <c r="B81" s="44">
        <v>32</v>
      </c>
      <c r="C81" s="793"/>
      <c r="D81" s="793"/>
      <c r="E81" s="45" t="s">
        <v>10</v>
      </c>
      <c r="F81" s="46" t="str">
        <f t="shared" si="2"/>
        <v>IB1003F</v>
      </c>
      <c r="G81" s="807"/>
      <c r="H81" s="808"/>
      <c r="I81" s="808"/>
      <c r="J81" s="809"/>
      <c r="K81" s="154"/>
      <c r="L81" s="47"/>
      <c r="M81" s="617"/>
      <c r="N81" s="45" t="s">
        <v>11</v>
      </c>
      <c r="O81" s="48" t="str">
        <f t="shared" si="3"/>
        <v>OB1103F</v>
      </c>
      <c r="P81" s="807"/>
      <c r="Q81" s="808"/>
      <c r="R81" s="808"/>
      <c r="S81" s="809"/>
      <c r="T81" s="597"/>
      <c r="U81" s="63"/>
      <c r="V81" s="872"/>
      <c r="W81" s="873"/>
      <c r="X81" s="49"/>
      <c r="Y81" s="50"/>
      <c r="Z81" s="50"/>
      <c r="AA81" s="51"/>
      <c r="AB81" s="50"/>
      <c r="AC81" s="52"/>
      <c r="AD81" s="50"/>
      <c r="AE81" s="50"/>
      <c r="AF81" s="52"/>
      <c r="AP81" s="766" t="s">
        <v>115</v>
      </c>
      <c r="AQ81" s="767"/>
      <c r="AR81" s="767"/>
      <c r="AS81" s="768"/>
    </row>
    <row r="82" spans="2:45" ht="17.25" customHeight="1" thickBot="1">
      <c r="B82" s="71"/>
      <c r="C82" s="64"/>
      <c r="D82" s="64"/>
      <c r="E82" s="65"/>
      <c r="F82" s="455"/>
      <c r="G82" s="456"/>
      <c r="H82" s="456"/>
      <c r="I82" s="456"/>
      <c r="J82" s="456"/>
      <c r="K82" s="461"/>
      <c r="L82" s="457"/>
      <c r="M82" s="456"/>
      <c r="N82" s="456"/>
      <c r="O82" s="456"/>
      <c r="P82" s="456"/>
      <c r="Q82" s="456"/>
      <c r="R82" s="456"/>
      <c r="S82" s="456"/>
      <c r="T82" s="459"/>
      <c r="U82" s="458"/>
      <c r="V82" s="459"/>
      <c r="W82" s="459"/>
      <c r="X82" s="460"/>
      <c r="Y82" s="461"/>
      <c r="Z82" s="461"/>
      <c r="AA82" s="461"/>
      <c r="AB82" s="461"/>
      <c r="AC82" s="461"/>
      <c r="AD82" s="461"/>
      <c r="AE82" s="461"/>
      <c r="AF82" s="461"/>
      <c r="AP82" s="743" t="s">
        <v>102</v>
      </c>
      <c r="AQ82" s="744"/>
      <c r="AR82" s="744"/>
      <c r="AS82" s="745"/>
    </row>
    <row r="83" spans="2:45" ht="16.5" customHeight="1">
      <c r="B83" s="779" t="s">
        <v>0</v>
      </c>
      <c r="C83" s="781" t="s">
        <v>4</v>
      </c>
      <c r="D83" s="781" t="s">
        <v>5</v>
      </c>
      <c r="E83" s="783" t="s">
        <v>90</v>
      </c>
      <c r="F83" s="783" t="s">
        <v>6</v>
      </c>
      <c r="G83" s="785" t="s">
        <v>7</v>
      </c>
      <c r="H83" s="786"/>
      <c r="I83" s="786"/>
      <c r="J83" s="787"/>
      <c r="K83" s="783" t="s">
        <v>1545</v>
      </c>
      <c r="L83" s="27"/>
      <c r="M83" s="615"/>
      <c r="N83" s="783" t="s">
        <v>90</v>
      </c>
      <c r="O83" s="783" t="s">
        <v>6</v>
      </c>
      <c r="P83" s="785" t="s">
        <v>21</v>
      </c>
      <c r="Q83" s="786"/>
      <c r="R83" s="786"/>
      <c r="S83" s="787"/>
      <c r="T83" s="783" t="s">
        <v>1544</v>
      </c>
      <c r="U83" s="72"/>
      <c r="V83" s="862" t="s">
        <v>13</v>
      </c>
      <c r="W83" s="855"/>
      <c r="X83" s="858" t="s">
        <v>96</v>
      </c>
      <c r="Y83" s="859"/>
      <c r="Z83" s="875"/>
      <c r="AA83" s="858" t="s">
        <v>92</v>
      </c>
      <c r="AB83" s="859"/>
      <c r="AC83" s="860"/>
      <c r="AD83" s="861" t="s">
        <v>9</v>
      </c>
      <c r="AE83" s="859"/>
      <c r="AF83" s="860"/>
      <c r="AP83" s="743" t="s">
        <v>103</v>
      </c>
      <c r="AQ83" s="744"/>
      <c r="AR83" s="744"/>
      <c r="AS83" s="745"/>
    </row>
    <row r="84" spans="2:45" ht="17.25" customHeight="1">
      <c r="B84" s="804"/>
      <c r="C84" s="805"/>
      <c r="D84" s="805"/>
      <c r="E84" s="806"/>
      <c r="F84" s="806"/>
      <c r="G84" s="788"/>
      <c r="H84" s="789"/>
      <c r="I84" s="789"/>
      <c r="J84" s="790"/>
      <c r="K84" s="784"/>
      <c r="L84" s="73"/>
      <c r="M84" s="618"/>
      <c r="N84" s="806"/>
      <c r="O84" s="806"/>
      <c r="P84" s="829"/>
      <c r="Q84" s="830"/>
      <c r="R84" s="830"/>
      <c r="S84" s="831"/>
      <c r="T84" s="806"/>
      <c r="U84" s="74"/>
      <c r="V84" s="874"/>
      <c r="W84" s="857"/>
      <c r="X84" s="30" t="s">
        <v>93</v>
      </c>
      <c r="Y84" s="31" t="s">
        <v>94</v>
      </c>
      <c r="Z84" s="31" t="s">
        <v>95</v>
      </c>
      <c r="AA84" s="30" t="s">
        <v>93</v>
      </c>
      <c r="AB84" s="31" t="s">
        <v>94</v>
      </c>
      <c r="AC84" s="32" t="s">
        <v>95</v>
      </c>
      <c r="AD84" s="30" t="s">
        <v>93</v>
      </c>
      <c r="AE84" s="31" t="s">
        <v>94</v>
      </c>
      <c r="AF84" s="32" t="s">
        <v>95</v>
      </c>
      <c r="AP84" s="743" t="s">
        <v>104</v>
      </c>
      <c r="AQ84" s="744"/>
      <c r="AR84" s="744"/>
      <c r="AS84" s="745"/>
    </row>
    <row r="85" spans="2:45" ht="17.25" customHeight="1">
      <c r="B85" s="75">
        <v>0</v>
      </c>
      <c r="C85" s="810" t="s">
        <v>1512</v>
      </c>
      <c r="D85" s="813" t="s">
        <v>69</v>
      </c>
      <c r="E85" s="76" t="s">
        <v>10</v>
      </c>
      <c r="F85" s="77" t="s">
        <v>32</v>
      </c>
      <c r="G85" s="302" t="s">
        <v>1423</v>
      </c>
      <c r="H85" s="303"/>
      <c r="I85" s="303"/>
      <c r="J85" s="304"/>
      <c r="K85" s="590" t="s">
        <v>1513</v>
      </c>
      <c r="L85" s="81"/>
      <c r="M85" s="590"/>
      <c r="N85" s="76" t="s">
        <v>11</v>
      </c>
      <c r="O85" s="82" t="s">
        <v>33</v>
      </c>
      <c r="P85" s="83"/>
      <c r="Q85" s="84"/>
      <c r="R85" s="84"/>
      <c r="S85" s="85"/>
      <c r="T85" s="590"/>
      <c r="U85" s="86"/>
      <c r="V85" s="876"/>
      <c r="W85" s="770"/>
      <c r="X85" s="40"/>
      <c r="Y85" s="41"/>
      <c r="Z85" s="41"/>
      <c r="AA85" s="41"/>
      <c r="AB85" s="41"/>
      <c r="AC85" s="88"/>
      <c r="AD85" s="41"/>
      <c r="AE85" s="41"/>
      <c r="AF85" s="88"/>
      <c r="AP85" s="766" t="s">
        <v>110</v>
      </c>
      <c r="AQ85" s="767"/>
      <c r="AR85" s="767"/>
      <c r="AS85" s="768"/>
    </row>
    <row r="86" spans="2:45" ht="17.25" customHeight="1">
      <c r="B86" s="75">
        <v>1</v>
      </c>
      <c r="C86" s="811"/>
      <c r="D86" s="792"/>
      <c r="E86" s="76" t="s">
        <v>10</v>
      </c>
      <c r="F86" s="77" t="str">
        <f>LEFT(F85,1)&amp;DEC2HEX(HEX2DEC(MID(F85,2,LENB(F85)-1))+1,LENB(F85)-1)</f>
        <v>IB11001</v>
      </c>
      <c r="G86" s="302" t="s">
        <v>1424</v>
      </c>
      <c r="H86" s="303"/>
      <c r="I86" s="303"/>
      <c r="J86" s="304"/>
      <c r="K86" s="590" t="s">
        <v>1513</v>
      </c>
      <c r="L86" s="81"/>
      <c r="M86" s="590"/>
      <c r="N86" s="76" t="s">
        <v>11</v>
      </c>
      <c r="O86" s="82" t="str">
        <f>LEFT(O85,1)&amp;DEC2HEX(HEX2DEC(MID(O85,2,LENB(O85)-1))+1,LENB(O85)-1)</f>
        <v>OB11001</v>
      </c>
      <c r="P86" s="83"/>
      <c r="Q86" s="84"/>
      <c r="R86" s="84"/>
      <c r="S86" s="85"/>
      <c r="T86" s="590"/>
      <c r="U86" s="86"/>
      <c r="V86" s="876"/>
      <c r="W86" s="770"/>
      <c r="X86" s="40"/>
      <c r="Y86" s="41"/>
      <c r="Z86" s="41"/>
      <c r="AA86" s="41"/>
      <c r="AB86" s="41"/>
      <c r="AC86" s="88"/>
      <c r="AD86" s="41"/>
      <c r="AE86" s="41"/>
      <c r="AF86" s="88"/>
      <c r="AP86" s="766" t="s">
        <v>111</v>
      </c>
      <c r="AQ86" s="767"/>
      <c r="AR86" s="767"/>
      <c r="AS86" s="768"/>
    </row>
    <row r="87" spans="2:45" ht="17.25" customHeight="1">
      <c r="B87" s="75">
        <v>2</v>
      </c>
      <c r="C87" s="811"/>
      <c r="D87" s="792"/>
      <c r="E87" s="76" t="s">
        <v>10</v>
      </c>
      <c r="F87" s="77" t="str">
        <f t="shared" ref="F87:F150" si="4">LEFT(F86,1)&amp;DEC2HEX(HEX2DEC(MID(F86,2,LENB(F86)-1))+1,LENB(F86)-1)</f>
        <v>IB11002</v>
      </c>
      <c r="G87" s="302" t="s">
        <v>1425</v>
      </c>
      <c r="H87" s="303"/>
      <c r="I87" s="303"/>
      <c r="J87" s="304"/>
      <c r="K87" s="590" t="s">
        <v>1513</v>
      </c>
      <c r="L87" s="81"/>
      <c r="M87" s="590"/>
      <c r="N87" s="76" t="s">
        <v>11</v>
      </c>
      <c r="O87" s="82" t="str">
        <f t="shared" ref="O87:O150" si="5">LEFT(O86,1)&amp;DEC2HEX(HEX2DEC(MID(O86,2,LENB(O86)-1))+1,LENB(O86)-1)</f>
        <v>OB11002</v>
      </c>
      <c r="P87" s="83"/>
      <c r="Q87" s="84"/>
      <c r="R87" s="84"/>
      <c r="S87" s="85"/>
      <c r="T87" s="590"/>
      <c r="U87" s="86"/>
      <c r="V87" s="876"/>
      <c r="W87" s="770"/>
      <c r="X87" s="40"/>
      <c r="Y87" s="41"/>
      <c r="Z87" s="41"/>
      <c r="AA87" s="41"/>
      <c r="AB87" s="41"/>
      <c r="AC87" s="88"/>
      <c r="AD87" s="41"/>
      <c r="AE87" s="41"/>
      <c r="AF87" s="88"/>
      <c r="AP87" s="766" t="s">
        <v>112</v>
      </c>
      <c r="AQ87" s="767"/>
      <c r="AR87" s="767"/>
      <c r="AS87" s="768"/>
    </row>
    <row r="88" spans="2:45" ht="17.25" customHeight="1">
      <c r="B88" s="75">
        <v>3</v>
      </c>
      <c r="C88" s="811"/>
      <c r="D88" s="792"/>
      <c r="E88" s="76" t="s">
        <v>10</v>
      </c>
      <c r="F88" s="77" t="str">
        <f t="shared" si="4"/>
        <v>IB11003</v>
      </c>
      <c r="G88" s="302" t="s">
        <v>1426</v>
      </c>
      <c r="H88" s="303"/>
      <c r="I88" s="303"/>
      <c r="J88" s="304"/>
      <c r="K88" s="590" t="s">
        <v>1513</v>
      </c>
      <c r="L88" s="81"/>
      <c r="M88" s="590"/>
      <c r="N88" s="76" t="s">
        <v>11</v>
      </c>
      <c r="O88" s="82" t="str">
        <f t="shared" si="5"/>
        <v>OB11003</v>
      </c>
      <c r="P88" s="83"/>
      <c r="Q88" s="84"/>
      <c r="R88" s="84"/>
      <c r="S88" s="85"/>
      <c r="T88" s="590"/>
      <c r="U88" s="86"/>
      <c r="V88" s="876"/>
      <c r="W88" s="770"/>
      <c r="X88" s="40"/>
      <c r="Y88" s="41"/>
      <c r="Z88" s="41"/>
      <c r="AA88" s="41"/>
      <c r="AB88" s="41"/>
      <c r="AC88" s="88"/>
      <c r="AD88" s="41"/>
      <c r="AE88" s="41"/>
      <c r="AF88" s="88"/>
      <c r="AP88" s="766" t="s">
        <v>113</v>
      </c>
      <c r="AQ88" s="767"/>
      <c r="AR88" s="767"/>
      <c r="AS88" s="768"/>
    </row>
    <row r="89" spans="2:45" ht="17.25" customHeight="1">
      <c r="B89" s="75">
        <v>4</v>
      </c>
      <c r="C89" s="811"/>
      <c r="D89" s="792"/>
      <c r="E89" s="76" t="s">
        <v>10</v>
      </c>
      <c r="F89" s="77" t="str">
        <f t="shared" si="4"/>
        <v>IB11004</v>
      </c>
      <c r="G89" s="302" t="s">
        <v>1427</v>
      </c>
      <c r="H89" s="303"/>
      <c r="I89" s="303"/>
      <c r="J89" s="304"/>
      <c r="K89" s="590" t="s">
        <v>1513</v>
      </c>
      <c r="L89" s="81"/>
      <c r="M89" s="590"/>
      <c r="N89" s="76" t="s">
        <v>11</v>
      </c>
      <c r="O89" s="82" t="str">
        <f t="shared" si="5"/>
        <v>OB11004</v>
      </c>
      <c r="P89" s="83"/>
      <c r="Q89" s="84"/>
      <c r="R89" s="84"/>
      <c r="S89" s="85"/>
      <c r="T89" s="590"/>
      <c r="U89" s="86"/>
      <c r="V89" s="876"/>
      <c r="W89" s="770"/>
      <c r="X89" s="40"/>
      <c r="Y89" s="41"/>
      <c r="Z89" s="41"/>
      <c r="AA89" s="41"/>
      <c r="AB89" s="41"/>
      <c r="AC89" s="88"/>
      <c r="AD89" s="41"/>
      <c r="AE89" s="41"/>
      <c r="AF89" s="88"/>
      <c r="AP89" s="766" t="s">
        <v>114</v>
      </c>
      <c r="AQ89" s="767"/>
      <c r="AR89" s="767"/>
      <c r="AS89" s="768"/>
    </row>
    <row r="90" spans="2:45" ht="17.25" customHeight="1">
      <c r="B90" s="75">
        <v>5</v>
      </c>
      <c r="C90" s="811"/>
      <c r="D90" s="792"/>
      <c r="E90" s="76" t="s">
        <v>10</v>
      </c>
      <c r="F90" s="77" t="str">
        <f t="shared" si="4"/>
        <v>IB11005</v>
      </c>
      <c r="G90" s="302" t="s">
        <v>1428</v>
      </c>
      <c r="H90" s="90"/>
      <c r="I90" s="90"/>
      <c r="J90" s="91"/>
      <c r="K90" s="590" t="s">
        <v>1513</v>
      </c>
      <c r="L90" s="81"/>
      <c r="M90" s="590"/>
      <c r="N90" s="76" t="s">
        <v>11</v>
      </c>
      <c r="O90" s="82" t="str">
        <f t="shared" si="5"/>
        <v>OB11005</v>
      </c>
      <c r="P90" s="83"/>
      <c r="Q90" s="84"/>
      <c r="R90" s="84"/>
      <c r="S90" s="85"/>
      <c r="T90" s="590"/>
      <c r="U90" s="86"/>
      <c r="V90" s="876"/>
      <c r="W90" s="770"/>
      <c r="X90" s="40"/>
      <c r="Y90" s="41"/>
      <c r="Z90" s="41"/>
      <c r="AA90" s="41"/>
      <c r="AB90" s="41"/>
      <c r="AC90" s="88"/>
      <c r="AD90" s="41"/>
      <c r="AE90" s="41"/>
      <c r="AF90" s="88"/>
      <c r="AP90" s="766" t="s">
        <v>115</v>
      </c>
      <c r="AQ90" s="767"/>
      <c r="AR90" s="767"/>
      <c r="AS90" s="768"/>
    </row>
    <row r="91" spans="2:45" ht="17.25" customHeight="1">
      <c r="B91" s="75">
        <v>6</v>
      </c>
      <c r="C91" s="811"/>
      <c r="D91" s="792"/>
      <c r="E91" s="76" t="s">
        <v>10</v>
      </c>
      <c r="F91" s="77" t="str">
        <f t="shared" si="4"/>
        <v>IB11006</v>
      </c>
      <c r="G91" s="89" t="s">
        <v>1429</v>
      </c>
      <c r="H91" s="90"/>
      <c r="I91" s="90"/>
      <c r="J91" s="91"/>
      <c r="K91" s="590" t="s">
        <v>1513</v>
      </c>
      <c r="L91" s="81"/>
      <c r="M91" s="590"/>
      <c r="N91" s="76" t="s">
        <v>11</v>
      </c>
      <c r="O91" s="82" t="str">
        <f t="shared" si="5"/>
        <v>OB11006</v>
      </c>
      <c r="P91" s="83"/>
      <c r="Q91" s="84"/>
      <c r="R91" s="84"/>
      <c r="S91" s="85"/>
      <c r="T91" s="590"/>
      <c r="U91" s="86"/>
      <c r="V91" s="876"/>
      <c r="W91" s="770"/>
      <c r="X91" s="40"/>
      <c r="Y91" s="41"/>
      <c r="Z91" s="41"/>
      <c r="AA91" s="41"/>
      <c r="AB91" s="41"/>
      <c r="AC91" s="88"/>
      <c r="AD91" s="41"/>
      <c r="AE91" s="41"/>
      <c r="AF91" s="88"/>
      <c r="AP91" s="743" t="s">
        <v>102</v>
      </c>
      <c r="AQ91" s="744"/>
      <c r="AR91" s="744"/>
      <c r="AS91" s="745"/>
    </row>
    <row r="92" spans="2:45" ht="17.25" customHeight="1">
      <c r="B92" s="75">
        <v>7</v>
      </c>
      <c r="C92" s="811"/>
      <c r="D92" s="792"/>
      <c r="E92" s="76" t="s">
        <v>10</v>
      </c>
      <c r="F92" s="77" t="str">
        <f t="shared" si="4"/>
        <v>IB11007</v>
      </c>
      <c r="G92" s="302" t="s">
        <v>1430</v>
      </c>
      <c r="H92" s="90"/>
      <c r="I92" s="90"/>
      <c r="J92" s="91"/>
      <c r="K92" s="590" t="s">
        <v>1513</v>
      </c>
      <c r="L92" s="81"/>
      <c r="M92" s="590"/>
      <c r="N92" s="76" t="s">
        <v>11</v>
      </c>
      <c r="O92" s="82" t="str">
        <f t="shared" si="5"/>
        <v>OB11007</v>
      </c>
      <c r="P92" s="83"/>
      <c r="Q92" s="84"/>
      <c r="R92" s="84"/>
      <c r="S92" s="85"/>
      <c r="T92" s="590"/>
      <c r="U92" s="86"/>
      <c r="V92" s="876"/>
      <c r="W92" s="770"/>
      <c r="X92" s="40"/>
      <c r="Y92" s="41"/>
      <c r="Z92" s="41"/>
      <c r="AA92" s="41"/>
      <c r="AB92" s="41"/>
      <c r="AC92" s="88"/>
      <c r="AD92" s="41"/>
      <c r="AE92" s="41"/>
      <c r="AF92" s="88"/>
      <c r="AP92" s="743" t="s">
        <v>103</v>
      </c>
      <c r="AQ92" s="744"/>
      <c r="AR92" s="744"/>
      <c r="AS92" s="745"/>
    </row>
    <row r="93" spans="2:45" ht="17.25" customHeight="1">
      <c r="B93" s="75">
        <v>8</v>
      </c>
      <c r="C93" s="811"/>
      <c r="D93" s="792"/>
      <c r="E93" s="76" t="s">
        <v>10</v>
      </c>
      <c r="F93" s="77" t="str">
        <f t="shared" si="4"/>
        <v>IB11008</v>
      </c>
      <c r="G93" s="89" t="s">
        <v>1431</v>
      </c>
      <c r="H93" s="90"/>
      <c r="I93" s="90"/>
      <c r="J93" s="91"/>
      <c r="K93" s="590" t="s">
        <v>1513</v>
      </c>
      <c r="L93" s="81"/>
      <c r="M93" s="590"/>
      <c r="N93" s="76" t="s">
        <v>11</v>
      </c>
      <c r="O93" s="82" t="str">
        <f t="shared" si="5"/>
        <v>OB11008</v>
      </c>
      <c r="P93" s="83"/>
      <c r="Q93" s="84"/>
      <c r="R93" s="84"/>
      <c r="S93" s="85"/>
      <c r="T93" s="590"/>
      <c r="U93" s="86"/>
      <c r="V93" s="876"/>
      <c r="W93" s="770"/>
      <c r="X93" s="40"/>
      <c r="Y93" s="41"/>
      <c r="Z93" s="41"/>
      <c r="AA93" s="41"/>
      <c r="AB93" s="41"/>
      <c r="AC93" s="88"/>
      <c r="AD93" s="41"/>
      <c r="AE93" s="41"/>
      <c r="AF93" s="88"/>
      <c r="AP93" s="743" t="s">
        <v>104</v>
      </c>
      <c r="AQ93" s="744"/>
      <c r="AR93" s="744"/>
      <c r="AS93" s="745"/>
    </row>
    <row r="94" spans="2:45" ht="17.25" customHeight="1">
      <c r="B94" s="75">
        <v>9</v>
      </c>
      <c r="C94" s="811"/>
      <c r="D94" s="792"/>
      <c r="E94" s="76" t="s">
        <v>10</v>
      </c>
      <c r="F94" s="77" t="str">
        <f t="shared" si="4"/>
        <v>IB11009</v>
      </c>
      <c r="G94" s="89" t="s">
        <v>1432</v>
      </c>
      <c r="H94" s="90"/>
      <c r="I94" s="90"/>
      <c r="J94" s="91"/>
      <c r="K94" s="590" t="s">
        <v>1513</v>
      </c>
      <c r="L94" s="81"/>
      <c r="M94" s="590"/>
      <c r="N94" s="76" t="s">
        <v>11</v>
      </c>
      <c r="O94" s="82" t="str">
        <f t="shared" si="5"/>
        <v>OB11009</v>
      </c>
      <c r="P94" s="83"/>
      <c r="Q94" s="84"/>
      <c r="R94" s="84"/>
      <c r="S94" s="85"/>
      <c r="T94" s="590"/>
      <c r="U94" s="86"/>
      <c r="V94" s="876"/>
      <c r="W94" s="770"/>
      <c r="X94" s="40"/>
      <c r="Y94" s="41"/>
      <c r="Z94" s="41"/>
      <c r="AA94" s="41"/>
      <c r="AB94" s="41"/>
      <c r="AC94" s="88"/>
      <c r="AD94" s="41"/>
      <c r="AE94" s="41"/>
      <c r="AF94" s="88"/>
      <c r="AP94" s="766" t="s">
        <v>110</v>
      </c>
      <c r="AQ94" s="767"/>
      <c r="AR94" s="767"/>
      <c r="AS94" s="768"/>
    </row>
    <row r="95" spans="2:45" ht="17.25" customHeight="1">
      <c r="B95" s="75">
        <v>10</v>
      </c>
      <c r="C95" s="811"/>
      <c r="D95" s="792"/>
      <c r="E95" s="76" t="s">
        <v>10</v>
      </c>
      <c r="F95" s="77" t="str">
        <f t="shared" si="4"/>
        <v>IB1100A</v>
      </c>
      <c r="G95" s="89"/>
      <c r="H95" s="90"/>
      <c r="I95" s="90"/>
      <c r="J95" s="91"/>
      <c r="K95" s="590"/>
      <c r="L95" s="81"/>
      <c r="M95" s="590"/>
      <c r="N95" s="76" t="s">
        <v>11</v>
      </c>
      <c r="O95" s="82" t="str">
        <f t="shared" si="5"/>
        <v>OB1100A</v>
      </c>
      <c r="P95" s="83"/>
      <c r="Q95" s="84"/>
      <c r="R95" s="84"/>
      <c r="S95" s="85"/>
      <c r="T95" s="590"/>
      <c r="U95" s="86"/>
      <c r="V95" s="876"/>
      <c r="W95" s="770"/>
      <c r="X95" s="40"/>
      <c r="Y95" s="41"/>
      <c r="Z95" s="41"/>
      <c r="AA95" s="41"/>
      <c r="AB95" s="41"/>
      <c r="AC95" s="88"/>
      <c r="AD95" s="41"/>
      <c r="AE95" s="41"/>
      <c r="AF95" s="88"/>
      <c r="AP95" s="766" t="s">
        <v>111</v>
      </c>
      <c r="AQ95" s="767"/>
      <c r="AR95" s="767"/>
      <c r="AS95" s="768"/>
    </row>
    <row r="96" spans="2:45" ht="17.25" customHeight="1">
      <c r="B96" s="75">
        <v>11</v>
      </c>
      <c r="C96" s="811"/>
      <c r="D96" s="792"/>
      <c r="E96" s="76" t="s">
        <v>10</v>
      </c>
      <c r="F96" s="77" t="str">
        <f t="shared" si="4"/>
        <v>IB1100B</v>
      </c>
      <c r="G96" s="89"/>
      <c r="H96" s="90"/>
      <c r="I96" s="90"/>
      <c r="J96" s="91"/>
      <c r="K96" s="590"/>
      <c r="L96" s="81"/>
      <c r="M96" s="590"/>
      <c r="N96" s="76" t="s">
        <v>11</v>
      </c>
      <c r="O96" s="82" t="str">
        <f t="shared" si="5"/>
        <v>OB1100B</v>
      </c>
      <c r="P96" s="83"/>
      <c r="Q96" s="84"/>
      <c r="R96" s="84"/>
      <c r="S96" s="85"/>
      <c r="T96" s="590"/>
      <c r="U96" s="86"/>
      <c r="V96" s="876"/>
      <c r="W96" s="770"/>
      <c r="X96" s="40"/>
      <c r="Y96" s="41"/>
      <c r="Z96" s="41"/>
      <c r="AA96" s="41"/>
      <c r="AB96" s="41"/>
      <c r="AC96" s="88"/>
      <c r="AD96" s="41"/>
      <c r="AE96" s="41"/>
      <c r="AF96" s="88"/>
      <c r="AP96" s="766" t="s">
        <v>112</v>
      </c>
      <c r="AQ96" s="767"/>
      <c r="AR96" s="767"/>
      <c r="AS96" s="768"/>
    </row>
    <row r="97" spans="2:45" ht="17.25" customHeight="1">
      <c r="B97" s="75">
        <v>12</v>
      </c>
      <c r="C97" s="811"/>
      <c r="D97" s="792"/>
      <c r="E97" s="76" t="s">
        <v>10</v>
      </c>
      <c r="F97" s="77" t="str">
        <f t="shared" si="4"/>
        <v>IB1100C</v>
      </c>
      <c r="G97" s="302"/>
      <c r="H97" s="303"/>
      <c r="I97" s="303"/>
      <c r="J97" s="304"/>
      <c r="K97" s="590"/>
      <c r="L97" s="81"/>
      <c r="M97" s="590"/>
      <c r="N97" s="76" t="s">
        <v>11</v>
      </c>
      <c r="O97" s="82" t="str">
        <f t="shared" si="5"/>
        <v>OB1100C</v>
      </c>
      <c r="P97" s="83"/>
      <c r="Q97" s="84"/>
      <c r="R97" s="84"/>
      <c r="S97" s="85"/>
      <c r="T97" s="590"/>
      <c r="U97" s="86"/>
      <c r="V97" s="876"/>
      <c r="W97" s="770"/>
      <c r="X97" s="40"/>
      <c r="Y97" s="41"/>
      <c r="Z97" s="41"/>
      <c r="AA97" s="41"/>
      <c r="AB97" s="41"/>
      <c r="AC97" s="88"/>
      <c r="AD97" s="41"/>
      <c r="AE97" s="41"/>
      <c r="AF97" s="88"/>
      <c r="AP97" s="766" t="s">
        <v>113</v>
      </c>
      <c r="AQ97" s="767"/>
      <c r="AR97" s="767"/>
      <c r="AS97" s="768"/>
    </row>
    <row r="98" spans="2:45" ht="17.25" customHeight="1">
      <c r="B98" s="75">
        <v>13</v>
      </c>
      <c r="C98" s="811"/>
      <c r="D98" s="792"/>
      <c r="E98" s="76" t="s">
        <v>10</v>
      </c>
      <c r="F98" s="77" t="str">
        <f t="shared" si="4"/>
        <v>IB1100D</v>
      </c>
      <c r="G98" s="302"/>
      <c r="H98" s="303"/>
      <c r="I98" s="303"/>
      <c r="J98" s="304"/>
      <c r="K98" s="590"/>
      <c r="L98" s="81"/>
      <c r="M98" s="590"/>
      <c r="N98" s="76" t="s">
        <v>11</v>
      </c>
      <c r="O98" s="82" t="str">
        <f t="shared" si="5"/>
        <v>OB1100D</v>
      </c>
      <c r="P98" s="83"/>
      <c r="Q98" s="84"/>
      <c r="R98" s="84"/>
      <c r="S98" s="85"/>
      <c r="T98" s="590"/>
      <c r="U98" s="86"/>
      <c r="V98" s="876"/>
      <c r="W98" s="770"/>
      <c r="X98" s="40"/>
      <c r="Y98" s="41"/>
      <c r="Z98" s="41"/>
      <c r="AA98" s="41"/>
      <c r="AB98" s="41"/>
      <c r="AC98" s="88"/>
      <c r="AD98" s="41"/>
      <c r="AE98" s="41"/>
      <c r="AF98" s="88"/>
      <c r="AP98" s="766" t="s">
        <v>114</v>
      </c>
      <c r="AQ98" s="767"/>
      <c r="AR98" s="767"/>
      <c r="AS98" s="768"/>
    </row>
    <row r="99" spans="2:45" ht="17.25" customHeight="1">
      <c r="B99" s="75">
        <v>14</v>
      </c>
      <c r="C99" s="811"/>
      <c r="D99" s="792"/>
      <c r="E99" s="76" t="s">
        <v>10</v>
      </c>
      <c r="F99" s="77" t="str">
        <f t="shared" si="4"/>
        <v>IB1100E</v>
      </c>
      <c r="G99" s="302"/>
      <c r="H99" s="303"/>
      <c r="I99" s="303"/>
      <c r="J99" s="304"/>
      <c r="K99" s="590"/>
      <c r="L99" s="81"/>
      <c r="M99" s="590"/>
      <c r="N99" s="76" t="s">
        <v>11</v>
      </c>
      <c r="O99" s="82" t="str">
        <f t="shared" si="5"/>
        <v>OB1100E</v>
      </c>
      <c r="P99" s="83"/>
      <c r="Q99" s="84"/>
      <c r="R99" s="84"/>
      <c r="S99" s="85"/>
      <c r="T99" s="590"/>
      <c r="U99" s="86"/>
      <c r="V99" s="876"/>
      <c r="W99" s="770"/>
      <c r="X99" s="40"/>
      <c r="Y99" s="41"/>
      <c r="Z99" s="41"/>
      <c r="AA99" s="41"/>
      <c r="AB99" s="41"/>
      <c r="AC99" s="88"/>
      <c r="AD99" s="41"/>
      <c r="AE99" s="41"/>
      <c r="AF99" s="88"/>
      <c r="AP99" s="766" t="s">
        <v>115</v>
      </c>
      <c r="AQ99" s="767"/>
      <c r="AR99" s="767"/>
      <c r="AS99" s="768"/>
    </row>
    <row r="100" spans="2:45" ht="17.25" customHeight="1">
      <c r="B100" s="75">
        <v>15</v>
      </c>
      <c r="C100" s="812"/>
      <c r="D100" s="814"/>
      <c r="E100" s="76" t="s">
        <v>10</v>
      </c>
      <c r="F100" s="77" t="str">
        <f t="shared" si="4"/>
        <v>IB1100F</v>
      </c>
      <c r="G100" s="89"/>
      <c r="H100" s="90"/>
      <c r="I100" s="90"/>
      <c r="J100" s="91"/>
      <c r="K100" s="590"/>
      <c r="L100" s="81"/>
      <c r="M100" s="590"/>
      <c r="N100" s="76" t="s">
        <v>11</v>
      </c>
      <c r="O100" s="82" t="str">
        <f t="shared" si="5"/>
        <v>OB1100F</v>
      </c>
      <c r="P100" s="314"/>
      <c r="Q100" s="315"/>
      <c r="R100" s="315"/>
      <c r="S100" s="316"/>
      <c r="T100" s="590"/>
      <c r="U100" s="86"/>
      <c r="V100" s="876"/>
      <c r="W100" s="770"/>
      <c r="X100" s="40"/>
      <c r="Y100" s="41"/>
      <c r="Z100" s="41"/>
      <c r="AA100" s="41"/>
      <c r="AB100" s="41"/>
      <c r="AC100" s="88"/>
      <c r="AD100" s="41"/>
      <c r="AE100" s="41"/>
      <c r="AF100" s="88"/>
    </row>
    <row r="101" spans="2:45" ht="17.25" customHeight="1">
      <c r="B101" s="75">
        <v>16</v>
      </c>
      <c r="C101" s="815" t="s">
        <v>1560</v>
      </c>
      <c r="D101" s="813" t="s">
        <v>69</v>
      </c>
      <c r="E101" s="76" t="s">
        <v>10</v>
      </c>
      <c r="F101" s="77" t="str">
        <f t="shared" si="4"/>
        <v>IB11010</v>
      </c>
      <c r="G101" s="83"/>
      <c r="H101" s="84"/>
      <c r="I101" s="84"/>
      <c r="J101" s="85"/>
      <c r="K101" s="590"/>
      <c r="L101" s="81"/>
      <c r="M101" s="590"/>
      <c r="N101" s="76" t="s">
        <v>11</v>
      </c>
      <c r="O101" s="82" t="str">
        <f t="shared" si="5"/>
        <v>OB11010</v>
      </c>
      <c r="P101" s="78"/>
      <c r="Q101" s="79"/>
      <c r="R101" s="79"/>
      <c r="S101" s="80"/>
      <c r="T101" s="590"/>
      <c r="U101" s="86"/>
      <c r="V101" s="876"/>
      <c r="W101" s="770"/>
      <c r="X101" s="40"/>
      <c r="Y101" s="41"/>
      <c r="Z101" s="41"/>
      <c r="AA101" s="41"/>
      <c r="AB101" s="41"/>
      <c r="AC101" s="88"/>
      <c r="AD101" s="41"/>
      <c r="AE101" s="41"/>
      <c r="AF101" s="88"/>
    </row>
    <row r="102" spans="2:45" ht="17.25" customHeight="1">
      <c r="B102" s="75">
        <v>17</v>
      </c>
      <c r="C102" s="816"/>
      <c r="D102" s="792"/>
      <c r="E102" s="76" t="s">
        <v>10</v>
      </c>
      <c r="F102" s="77" t="str">
        <f t="shared" si="4"/>
        <v>IB11011</v>
      </c>
      <c r="G102" s="83"/>
      <c r="H102" s="84"/>
      <c r="I102" s="84"/>
      <c r="J102" s="85"/>
      <c r="K102" s="590"/>
      <c r="L102" s="81"/>
      <c r="M102" s="590"/>
      <c r="N102" s="76" t="s">
        <v>11</v>
      </c>
      <c r="O102" s="82" t="str">
        <f t="shared" si="5"/>
        <v>OB11011</v>
      </c>
      <c r="P102" s="78"/>
      <c r="Q102" s="79"/>
      <c r="R102" s="79"/>
      <c r="S102" s="80"/>
      <c r="T102" s="590"/>
      <c r="U102" s="86"/>
      <c r="V102" s="876"/>
      <c r="W102" s="770"/>
      <c r="X102" s="40"/>
      <c r="Y102" s="41"/>
      <c r="Z102" s="41"/>
      <c r="AA102" s="41"/>
      <c r="AB102" s="41"/>
      <c r="AC102" s="88"/>
      <c r="AD102" s="41"/>
      <c r="AE102" s="41"/>
      <c r="AF102" s="88"/>
    </row>
    <row r="103" spans="2:45" ht="17.25" customHeight="1">
      <c r="B103" s="75">
        <v>18</v>
      </c>
      <c r="C103" s="816"/>
      <c r="D103" s="792"/>
      <c r="E103" s="76" t="s">
        <v>10</v>
      </c>
      <c r="F103" s="77" t="str">
        <f t="shared" si="4"/>
        <v>IB11012</v>
      </c>
      <c r="G103" s="83"/>
      <c r="H103" s="84"/>
      <c r="I103" s="84"/>
      <c r="J103" s="85"/>
      <c r="K103" s="590"/>
      <c r="L103" s="81"/>
      <c r="M103" s="590"/>
      <c r="N103" s="76" t="s">
        <v>11</v>
      </c>
      <c r="O103" s="82" t="str">
        <f t="shared" si="5"/>
        <v>OB11012</v>
      </c>
      <c r="P103" s="78"/>
      <c r="Q103" s="79"/>
      <c r="R103" s="79"/>
      <c r="S103" s="80"/>
      <c r="T103" s="590"/>
      <c r="U103" s="86"/>
      <c r="V103" s="876"/>
      <c r="W103" s="770"/>
      <c r="X103" s="40"/>
      <c r="Y103" s="41"/>
      <c r="Z103" s="41"/>
      <c r="AA103" s="41"/>
      <c r="AB103" s="41"/>
      <c r="AC103" s="88"/>
      <c r="AD103" s="41"/>
      <c r="AE103" s="41"/>
      <c r="AF103" s="88"/>
    </row>
    <row r="104" spans="2:45" ht="17.25" customHeight="1">
      <c r="B104" s="75">
        <v>19</v>
      </c>
      <c r="C104" s="816"/>
      <c r="D104" s="792"/>
      <c r="E104" s="41" t="s">
        <v>10</v>
      </c>
      <c r="F104" s="77" t="str">
        <f t="shared" si="4"/>
        <v>IB11013</v>
      </c>
      <c r="G104" s="83"/>
      <c r="H104" s="84"/>
      <c r="I104" s="84"/>
      <c r="J104" s="85"/>
      <c r="K104" s="590"/>
      <c r="L104" s="81"/>
      <c r="M104" s="590"/>
      <c r="N104" s="76" t="s">
        <v>11</v>
      </c>
      <c r="O104" s="82" t="str">
        <f t="shared" si="5"/>
        <v>OB11013</v>
      </c>
      <c r="P104" s="78" t="s">
        <v>1433</v>
      </c>
      <c r="Q104" s="79"/>
      <c r="R104" s="79"/>
      <c r="S104" s="80"/>
      <c r="T104" s="590" t="s">
        <v>1513</v>
      </c>
      <c r="U104" s="86"/>
      <c r="V104" s="876"/>
      <c r="W104" s="770"/>
      <c r="X104" s="40"/>
      <c r="Y104" s="41"/>
      <c r="Z104" s="41"/>
      <c r="AA104" s="41"/>
      <c r="AB104" s="41"/>
      <c r="AC104" s="88"/>
      <c r="AD104" s="41"/>
      <c r="AE104" s="41"/>
      <c r="AF104" s="88"/>
    </row>
    <row r="105" spans="2:45" ht="17.25" customHeight="1">
      <c r="B105" s="75">
        <v>20</v>
      </c>
      <c r="C105" s="816"/>
      <c r="D105" s="792"/>
      <c r="E105" s="76" t="s">
        <v>10</v>
      </c>
      <c r="F105" s="77" t="str">
        <f t="shared" si="4"/>
        <v>IB11014</v>
      </c>
      <c r="G105" s="83"/>
      <c r="H105" s="84"/>
      <c r="I105" s="84"/>
      <c r="J105" s="85"/>
      <c r="K105" s="590"/>
      <c r="L105" s="81"/>
      <c r="M105" s="590"/>
      <c r="N105" s="76" t="s">
        <v>11</v>
      </c>
      <c r="O105" s="82" t="str">
        <f t="shared" si="5"/>
        <v>OB11014</v>
      </c>
      <c r="P105" s="78" t="s">
        <v>1434</v>
      </c>
      <c r="Q105" s="79"/>
      <c r="R105" s="79"/>
      <c r="S105" s="80"/>
      <c r="T105" s="590" t="s">
        <v>1513</v>
      </c>
      <c r="U105" s="86"/>
      <c r="V105" s="876"/>
      <c r="W105" s="770"/>
      <c r="X105" s="40"/>
      <c r="Y105" s="41"/>
      <c r="Z105" s="41"/>
      <c r="AA105" s="41"/>
      <c r="AB105" s="41"/>
      <c r="AC105" s="88"/>
      <c r="AD105" s="41"/>
      <c r="AE105" s="41"/>
      <c r="AF105" s="88"/>
    </row>
    <row r="106" spans="2:45" ht="17.25" customHeight="1">
      <c r="B106" s="75">
        <v>21</v>
      </c>
      <c r="C106" s="816"/>
      <c r="D106" s="792"/>
      <c r="E106" s="76" t="s">
        <v>10</v>
      </c>
      <c r="F106" s="77" t="str">
        <f t="shared" si="4"/>
        <v>IB11015</v>
      </c>
      <c r="G106" s="83"/>
      <c r="H106" s="84"/>
      <c r="I106" s="84"/>
      <c r="J106" s="85"/>
      <c r="K106" s="590"/>
      <c r="L106" s="81"/>
      <c r="M106" s="590"/>
      <c r="N106" s="76" t="s">
        <v>11</v>
      </c>
      <c r="O106" s="82" t="str">
        <f t="shared" si="5"/>
        <v>OB11015</v>
      </c>
      <c r="P106" s="89"/>
      <c r="Q106" s="90"/>
      <c r="R106" s="90"/>
      <c r="S106" s="91"/>
      <c r="T106" s="590"/>
      <c r="U106" s="86"/>
      <c r="V106" s="876"/>
      <c r="W106" s="770"/>
      <c r="X106" s="40"/>
      <c r="Y106" s="41"/>
      <c r="Z106" s="41"/>
      <c r="AA106" s="41"/>
      <c r="AB106" s="41"/>
      <c r="AC106" s="88"/>
      <c r="AD106" s="41"/>
      <c r="AE106" s="41"/>
      <c r="AF106" s="88"/>
    </row>
    <row r="107" spans="2:45" ht="17.25" customHeight="1">
      <c r="B107" s="75">
        <v>22</v>
      </c>
      <c r="C107" s="816"/>
      <c r="D107" s="792"/>
      <c r="E107" s="76" t="s">
        <v>10</v>
      </c>
      <c r="F107" s="77" t="str">
        <f t="shared" si="4"/>
        <v>IB11016</v>
      </c>
      <c r="G107" s="83"/>
      <c r="H107" s="84"/>
      <c r="I107" s="84"/>
      <c r="J107" s="85"/>
      <c r="K107" s="590"/>
      <c r="L107" s="81"/>
      <c r="M107" s="590"/>
      <c r="N107" s="76" t="s">
        <v>11</v>
      </c>
      <c r="O107" s="82" t="str">
        <f t="shared" si="5"/>
        <v>OB11016</v>
      </c>
      <c r="P107" s="89"/>
      <c r="Q107" s="90"/>
      <c r="R107" s="90"/>
      <c r="S107" s="91"/>
      <c r="T107" s="590"/>
      <c r="U107" s="86"/>
      <c r="V107" s="876"/>
      <c r="W107" s="770"/>
      <c r="X107" s="40"/>
      <c r="Y107" s="41"/>
      <c r="Z107" s="41"/>
      <c r="AA107" s="41"/>
      <c r="AB107" s="41"/>
      <c r="AC107" s="88"/>
      <c r="AD107" s="41"/>
      <c r="AE107" s="41"/>
      <c r="AF107" s="88"/>
    </row>
    <row r="108" spans="2:45" ht="17.25" customHeight="1">
      <c r="B108" s="75">
        <v>23</v>
      </c>
      <c r="C108" s="816"/>
      <c r="D108" s="792"/>
      <c r="E108" s="76" t="s">
        <v>10</v>
      </c>
      <c r="F108" s="77" t="str">
        <f t="shared" si="4"/>
        <v>IB11017</v>
      </c>
      <c r="G108" s="83"/>
      <c r="H108" s="84"/>
      <c r="I108" s="84"/>
      <c r="J108" s="85"/>
      <c r="K108" s="590"/>
      <c r="L108" s="81"/>
      <c r="M108" s="590"/>
      <c r="N108" s="76" t="s">
        <v>11</v>
      </c>
      <c r="O108" s="82" t="str">
        <f t="shared" si="5"/>
        <v>OB11017</v>
      </c>
      <c r="P108" s="89"/>
      <c r="Q108" s="90"/>
      <c r="R108" s="90"/>
      <c r="S108" s="91"/>
      <c r="T108" s="590"/>
      <c r="U108" s="86"/>
      <c r="V108" s="876"/>
      <c r="W108" s="770"/>
      <c r="X108" s="41"/>
      <c r="Y108" s="41"/>
      <c r="Z108" s="41"/>
      <c r="AA108" s="41"/>
      <c r="AB108" s="41"/>
      <c r="AC108" s="88"/>
      <c r="AD108" s="41"/>
      <c r="AE108" s="41"/>
      <c r="AF108" s="88"/>
    </row>
    <row r="109" spans="2:45" ht="17.25" customHeight="1">
      <c r="B109" s="75">
        <v>24</v>
      </c>
      <c r="C109" s="816"/>
      <c r="D109" s="792"/>
      <c r="E109" s="76" t="s">
        <v>10</v>
      </c>
      <c r="F109" s="77" t="str">
        <f t="shared" si="4"/>
        <v>IB11018</v>
      </c>
      <c r="G109" s="83"/>
      <c r="H109" s="84"/>
      <c r="I109" s="84"/>
      <c r="J109" s="85"/>
      <c r="K109" s="590"/>
      <c r="L109" s="81"/>
      <c r="M109" s="590"/>
      <c r="N109" s="76" t="s">
        <v>11</v>
      </c>
      <c r="O109" s="82" t="str">
        <f t="shared" si="5"/>
        <v>OB11018</v>
      </c>
      <c r="P109" s="89" t="s">
        <v>1435</v>
      </c>
      <c r="Q109" s="90"/>
      <c r="R109" s="90"/>
      <c r="S109" s="91"/>
      <c r="T109" s="590" t="s">
        <v>1513</v>
      </c>
      <c r="U109" s="86"/>
      <c r="V109" s="876"/>
      <c r="W109" s="770"/>
      <c r="X109" s="40"/>
      <c r="Y109" s="41"/>
      <c r="Z109" s="41"/>
      <c r="AA109" s="41"/>
      <c r="AB109" s="41"/>
      <c r="AC109" s="88"/>
      <c r="AD109" s="41"/>
      <c r="AE109" s="41"/>
      <c r="AF109" s="88"/>
    </row>
    <row r="110" spans="2:45" ht="17.25" customHeight="1">
      <c r="B110" s="75">
        <v>25</v>
      </c>
      <c r="C110" s="816"/>
      <c r="D110" s="792"/>
      <c r="E110" s="76" t="s">
        <v>10</v>
      </c>
      <c r="F110" s="77" t="str">
        <f t="shared" si="4"/>
        <v>IB11019</v>
      </c>
      <c r="G110" s="83"/>
      <c r="H110" s="84"/>
      <c r="I110" s="84"/>
      <c r="J110" s="85"/>
      <c r="K110" s="42"/>
      <c r="L110" s="93"/>
      <c r="M110" s="619"/>
      <c r="N110" s="76" t="s">
        <v>11</v>
      </c>
      <c r="O110" s="82" t="str">
        <f t="shared" si="5"/>
        <v>OB11019</v>
      </c>
      <c r="P110" s="89" t="s">
        <v>1436</v>
      </c>
      <c r="Q110" s="90"/>
      <c r="R110" s="90"/>
      <c r="S110" s="91"/>
      <c r="T110" s="590" t="s">
        <v>1513</v>
      </c>
      <c r="U110" s="86"/>
      <c r="V110" s="876"/>
      <c r="W110" s="770"/>
      <c r="X110" s="40"/>
      <c r="Y110" s="41"/>
      <c r="Z110" s="41"/>
      <c r="AA110" s="41"/>
      <c r="AB110" s="41"/>
      <c r="AC110" s="88"/>
      <c r="AD110" s="41"/>
      <c r="AE110" s="41"/>
      <c r="AF110" s="88"/>
    </row>
    <row r="111" spans="2:45" ht="17.25" customHeight="1">
      <c r="B111" s="75">
        <v>26</v>
      </c>
      <c r="C111" s="816"/>
      <c r="D111" s="792"/>
      <c r="E111" s="76" t="s">
        <v>10</v>
      </c>
      <c r="F111" s="77" t="str">
        <f t="shared" si="4"/>
        <v>IB1101A</v>
      </c>
      <c r="G111" s="83"/>
      <c r="H111" s="84"/>
      <c r="I111" s="84"/>
      <c r="J111" s="85"/>
      <c r="K111" s="42"/>
      <c r="L111" s="93"/>
      <c r="M111" s="619"/>
      <c r="N111" s="76" t="s">
        <v>11</v>
      </c>
      <c r="O111" s="82" t="str">
        <f t="shared" si="5"/>
        <v>OB1101A</v>
      </c>
      <c r="P111" s="89"/>
      <c r="Q111" s="90"/>
      <c r="R111" s="90"/>
      <c r="S111" s="91"/>
      <c r="T111" s="590"/>
      <c r="U111" s="86"/>
      <c r="V111" s="876"/>
      <c r="W111" s="770"/>
      <c r="X111" s="41"/>
      <c r="Y111" s="41"/>
      <c r="Z111" s="41"/>
      <c r="AA111" s="41"/>
      <c r="AB111" s="41"/>
      <c r="AC111" s="88"/>
      <c r="AD111" s="41"/>
      <c r="AE111" s="41"/>
      <c r="AF111" s="88"/>
    </row>
    <row r="112" spans="2:45" ht="17.25" customHeight="1">
      <c r="B112" s="75">
        <v>27</v>
      </c>
      <c r="C112" s="816"/>
      <c r="D112" s="792"/>
      <c r="E112" s="76" t="s">
        <v>10</v>
      </c>
      <c r="F112" s="77" t="str">
        <f t="shared" si="4"/>
        <v>IB1101B</v>
      </c>
      <c r="G112" s="83"/>
      <c r="H112" s="84"/>
      <c r="I112" s="84"/>
      <c r="J112" s="85"/>
      <c r="K112" s="42"/>
      <c r="L112" s="93"/>
      <c r="M112" s="619"/>
      <c r="N112" s="76" t="s">
        <v>11</v>
      </c>
      <c r="O112" s="82" t="str">
        <f t="shared" si="5"/>
        <v>OB1101B</v>
      </c>
      <c r="P112" s="89"/>
      <c r="Q112" s="90"/>
      <c r="R112" s="90"/>
      <c r="S112" s="91"/>
      <c r="T112" s="590"/>
      <c r="U112" s="86"/>
      <c r="V112" s="876"/>
      <c r="W112" s="770"/>
      <c r="X112" s="41"/>
      <c r="Y112" s="41"/>
      <c r="Z112" s="41"/>
      <c r="AA112" s="41"/>
      <c r="AB112" s="41"/>
      <c r="AC112" s="88"/>
      <c r="AD112" s="41"/>
      <c r="AE112" s="41"/>
      <c r="AF112" s="88"/>
    </row>
    <row r="113" spans="2:32" ht="17.25" customHeight="1">
      <c r="B113" s="75">
        <v>28</v>
      </c>
      <c r="C113" s="816"/>
      <c r="D113" s="792"/>
      <c r="E113" s="76" t="s">
        <v>10</v>
      </c>
      <c r="F113" s="77" t="str">
        <f t="shared" si="4"/>
        <v>IB1101C</v>
      </c>
      <c r="G113" s="83"/>
      <c r="H113" s="84"/>
      <c r="I113" s="84"/>
      <c r="J113" s="85"/>
      <c r="K113" s="42"/>
      <c r="L113" s="93"/>
      <c r="M113" s="619"/>
      <c r="N113" s="76" t="s">
        <v>11</v>
      </c>
      <c r="O113" s="82" t="str">
        <f t="shared" si="5"/>
        <v>OB1101C</v>
      </c>
      <c r="P113" s="89"/>
      <c r="Q113" s="90"/>
      <c r="R113" s="90"/>
      <c r="S113" s="91"/>
      <c r="T113" s="590"/>
      <c r="U113" s="86"/>
      <c r="V113" s="876"/>
      <c r="W113" s="770"/>
      <c r="X113" s="40"/>
      <c r="Y113" s="41"/>
      <c r="Z113" s="41"/>
      <c r="AA113" s="41"/>
      <c r="AB113" s="41"/>
      <c r="AC113" s="88"/>
      <c r="AD113" s="41"/>
      <c r="AE113" s="41"/>
      <c r="AF113" s="88"/>
    </row>
    <row r="114" spans="2:32" ht="17.25" customHeight="1">
      <c r="B114" s="75">
        <v>29</v>
      </c>
      <c r="C114" s="816"/>
      <c r="D114" s="792"/>
      <c r="E114" s="76" t="s">
        <v>10</v>
      </c>
      <c r="F114" s="77" t="str">
        <f t="shared" si="4"/>
        <v>IB1101D</v>
      </c>
      <c r="G114" s="83"/>
      <c r="H114" s="84"/>
      <c r="I114" s="84"/>
      <c r="J114" s="85"/>
      <c r="K114" s="42"/>
      <c r="L114" s="93"/>
      <c r="M114" s="619"/>
      <c r="N114" s="76" t="s">
        <v>11</v>
      </c>
      <c r="O114" s="82" t="str">
        <f t="shared" si="5"/>
        <v>OB1101D</v>
      </c>
      <c r="P114" s="89"/>
      <c r="Q114" s="90"/>
      <c r="R114" s="90"/>
      <c r="S114" s="91"/>
      <c r="T114" s="590"/>
      <c r="U114" s="86"/>
      <c r="V114" s="87"/>
      <c r="W114" s="39"/>
      <c r="X114" s="40"/>
      <c r="Y114" s="41"/>
      <c r="Z114" s="41"/>
      <c r="AA114" s="41"/>
      <c r="AB114" s="41"/>
      <c r="AC114" s="88"/>
      <c r="AD114" s="41"/>
      <c r="AE114" s="41"/>
      <c r="AF114" s="88"/>
    </row>
    <row r="115" spans="2:32" ht="17.25" customHeight="1">
      <c r="B115" s="75">
        <v>30</v>
      </c>
      <c r="C115" s="816"/>
      <c r="D115" s="792"/>
      <c r="E115" s="76" t="s">
        <v>10</v>
      </c>
      <c r="F115" s="77" t="str">
        <f t="shared" si="4"/>
        <v>IB1101E</v>
      </c>
      <c r="G115" s="83"/>
      <c r="H115" s="84"/>
      <c r="I115" s="84"/>
      <c r="J115" s="85"/>
      <c r="K115" s="42"/>
      <c r="L115" s="93"/>
      <c r="M115" s="619"/>
      <c r="N115" s="76" t="s">
        <v>11</v>
      </c>
      <c r="O115" s="82" t="str">
        <f t="shared" si="5"/>
        <v>OB1101E</v>
      </c>
      <c r="P115" s="654"/>
      <c r="Q115" s="90"/>
      <c r="R115" s="90"/>
      <c r="S115" s="91"/>
      <c r="T115" s="590"/>
      <c r="U115" s="86"/>
      <c r="V115" s="876"/>
      <c r="W115" s="770"/>
      <c r="X115" s="40"/>
      <c r="Y115" s="41"/>
      <c r="Z115" s="41"/>
      <c r="AA115" s="41"/>
      <c r="AB115" s="41"/>
      <c r="AC115" s="88"/>
      <c r="AD115" s="41"/>
      <c r="AE115" s="41"/>
      <c r="AF115" s="88"/>
    </row>
    <row r="116" spans="2:32" ht="17.25" customHeight="1">
      <c r="B116" s="75">
        <v>31</v>
      </c>
      <c r="C116" s="817"/>
      <c r="D116" s="814"/>
      <c r="E116" s="76" t="s">
        <v>10</v>
      </c>
      <c r="F116" s="77" t="str">
        <f t="shared" si="4"/>
        <v>IB1101F</v>
      </c>
      <c r="G116" s="654"/>
      <c r="H116" s="90"/>
      <c r="I116" s="90"/>
      <c r="J116" s="91"/>
      <c r="K116" s="42"/>
      <c r="L116" s="93"/>
      <c r="M116" s="619"/>
      <c r="N116" s="76" t="s">
        <v>11</v>
      </c>
      <c r="O116" s="82" t="str">
        <f t="shared" si="5"/>
        <v>OB1101F</v>
      </c>
      <c r="P116" s="654"/>
      <c r="Q116" s="90"/>
      <c r="R116" s="90"/>
      <c r="S116" s="91"/>
      <c r="T116" s="590"/>
      <c r="U116" s="86"/>
      <c r="V116" s="876"/>
      <c r="W116" s="770"/>
      <c r="X116" s="40"/>
      <c r="Y116" s="41"/>
      <c r="Z116" s="41"/>
      <c r="AA116" s="41"/>
      <c r="AB116" s="41"/>
      <c r="AC116" s="88"/>
      <c r="AD116" s="41"/>
      <c r="AE116" s="41"/>
      <c r="AF116" s="88"/>
    </row>
    <row r="117" spans="2:32" ht="17.25" customHeight="1">
      <c r="B117" s="75">
        <v>32</v>
      </c>
      <c r="C117" s="818" t="s">
        <v>1604</v>
      </c>
      <c r="D117" s="821"/>
      <c r="E117" s="76" t="s">
        <v>10</v>
      </c>
      <c r="F117" s="77" t="str">
        <f t="shared" si="4"/>
        <v>IB11020</v>
      </c>
      <c r="G117" s="832" t="s">
        <v>1603</v>
      </c>
      <c r="H117" s="832"/>
      <c r="I117" s="832"/>
      <c r="J117" s="832"/>
      <c r="K117" s="590"/>
      <c r="L117" s="81"/>
      <c r="M117" s="590"/>
      <c r="N117" s="76" t="s">
        <v>11</v>
      </c>
      <c r="O117" s="82" t="str">
        <f t="shared" si="5"/>
        <v>OB11020</v>
      </c>
      <c r="P117" s="83"/>
      <c r="Q117" s="84"/>
      <c r="R117" s="84"/>
      <c r="S117" s="85"/>
      <c r="T117" s="590"/>
      <c r="U117" s="86"/>
      <c r="V117" s="876"/>
      <c r="W117" s="770"/>
      <c r="X117" s="40"/>
      <c r="Y117" s="41"/>
      <c r="Z117" s="41"/>
      <c r="AA117" s="41"/>
      <c r="AB117" s="41"/>
      <c r="AC117" s="88"/>
      <c r="AD117" s="41"/>
      <c r="AE117" s="41"/>
      <c r="AF117" s="88"/>
    </row>
    <row r="118" spans="2:32" ht="17.25" customHeight="1">
      <c r="B118" s="75">
        <v>33</v>
      </c>
      <c r="C118" s="819"/>
      <c r="D118" s="792"/>
      <c r="E118" s="76" t="s">
        <v>10</v>
      </c>
      <c r="F118" s="77" t="str">
        <f t="shared" si="4"/>
        <v>IB11021</v>
      </c>
      <c r="G118" s="832" t="s">
        <v>1599</v>
      </c>
      <c r="H118" s="832"/>
      <c r="I118" s="832"/>
      <c r="J118" s="832"/>
      <c r="K118" s="590"/>
      <c r="L118" s="81"/>
      <c r="M118" s="590"/>
      <c r="N118" s="76" t="s">
        <v>11</v>
      </c>
      <c r="O118" s="82" t="str">
        <f t="shared" si="5"/>
        <v>OB11021</v>
      </c>
      <c r="P118" s="83"/>
      <c r="Q118" s="84"/>
      <c r="R118" s="84"/>
      <c r="S118" s="85"/>
      <c r="T118" s="590"/>
      <c r="U118" s="86"/>
      <c r="V118" s="876"/>
      <c r="W118" s="770"/>
      <c r="X118" s="40"/>
      <c r="Y118" s="41"/>
      <c r="Z118" s="41"/>
      <c r="AA118" s="41"/>
      <c r="AB118" s="41"/>
      <c r="AC118" s="88"/>
      <c r="AD118" s="41"/>
      <c r="AE118" s="41"/>
      <c r="AF118" s="88"/>
    </row>
    <row r="119" spans="2:32" ht="17.25" customHeight="1">
      <c r="B119" s="75">
        <v>34</v>
      </c>
      <c r="C119" s="819"/>
      <c r="D119" s="792"/>
      <c r="E119" s="76" t="s">
        <v>10</v>
      </c>
      <c r="F119" s="77" t="str">
        <f t="shared" si="4"/>
        <v>IB11022</v>
      </c>
      <c r="G119" s="832" t="s">
        <v>1600</v>
      </c>
      <c r="H119" s="832"/>
      <c r="I119" s="832"/>
      <c r="J119" s="832"/>
      <c r="K119" s="590"/>
      <c r="L119" s="81"/>
      <c r="M119" s="590"/>
      <c r="N119" s="76" t="s">
        <v>11</v>
      </c>
      <c r="O119" s="82" t="str">
        <f t="shared" si="5"/>
        <v>OB11022</v>
      </c>
      <c r="P119" s="83"/>
      <c r="Q119" s="84"/>
      <c r="R119" s="84"/>
      <c r="S119" s="85"/>
      <c r="T119" s="590"/>
      <c r="U119" s="86"/>
      <c r="V119" s="876"/>
      <c r="W119" s="770"/>
      <c r="X119" s="40"/>
      <c r="Y119" s="41"/>
      <c r="Z119" s="41"/>
      <c r="AA119" s="41"/>
      <c r="AB119" s="41"/>
      <c r="AC119" s="88"/>
      <c r="AD119" s="41"/>
      <c r="AE119" s="41"/>
      <c r="AF119" s="88"/>
    </row>
    <row r="120" spans="2:32" ht="17.25" customHeight="1">
      <c r="B120" s="75">
        <v>35</v>
      </c>
      <c r="C120" s="819"/>
      <c r="D120" s="792"/>
      <c r="E120" s="76" t="s">
        <v>10</v>
      </c>
      <c r="F120" s="77" t="str">
        <f t="shared" si="4"/>
        <v>IB11023</v>
      </c>
      <c r="G120" s="832" t="s">
        <v>1601</v>
      </c>
      <c r="H120" s="832"/>
      <c r="I120" s="832"/>
      <c r="J120" s="832"/>
      <c r="K120" s="590"/>
      <c r="L120" s="81"/>
      <c r="M120" s="590"/>
      <c r="N120" s="76" t="s">
        <v>11</v>
      </c>
      <c r="O120" s="82" t="str">
        <f t="shared" si="5"/>
        <v>OB11023</v>
      </c>
      <c r="P120" s="83"/>
      <c r="Q120" s="84"/>
      <c r="R120" s="84"/>
      <c r="S120" s="85"/>
      <c r="T120" s="590"/>
      <c r="U120" s="86"/>
      <c r="V120" s="876"/>
      <c r="W120" s="770"/>
      <c r="X120" s="41"/>
      <c r="Y120" s="41"/>
      <c r="Z120" s="41"/>
      <c r="AA120" s="41"/>
      <c r="AB120" s="41"/>
      <c r="AC120" s="88"/>
      <c r="AD120" s="41"/>
      <c r="AE120" s="41"/>
      <c r="AF120" s="88"/>
    </row>
    <row r="121" spans="2:32" ht="17.25" customHeight="1">
      <c r="B121" s="75">
        <v>36</v>
      </c>
      <c r="C121" s="819"/>
      <c r="D121" s="792"/>
      <c r="E121" s="76" t="s">
        <v>10</v>
      </c>
      <c r="F121" s="77" t="str">
        <f t="shared" si="4"/>
        <v>IB11024</v>
      </c>
      <c r="G121" s="832" t="s">
        <v>1596</v>
      </c>
      <c r="H121" s="832"/>
      <c r="I121" s="832"/>
      <c r="J121" s="832"/>
      <c r="K121" s="590"/>
      <c r="L121" s="81"/>
      <c r="M121" s="590"/>
      <c r="N121" s="76" t="s">
        <v>11</v>
      </c>
      <c r="O121" s="82" t="str">
        <f t="shared" si="5"/>
        <v>OB11024</v>
      </c>
      <c r="P121" s="83"/>
      <c r="Q121" s="84"/>
      <c r="R121" s="84"/>
      <c r="S121" s="85"/>
      <c r="T121" s="590"/>
      <c r="U121" s="86"/>
      <c r="V121" s="876"/>
      <c r="W121" s="770"/>
      <c r="X121" s="40"/>
      <c r="Y121" s="41"/>
      <c r="Z121" s="41"/>
      <c r="AA121" s="41"/>
      <c r="AB121" s="41"/>
      <c r="AC121" s="88"/>
      <c r="AD121" s="41"/>
      <c r="AE121" s="41"/>
      <c r="AF121" s="88"/>
    </row>
    <row r="122" spans="2:32" ht="17.25" customHeight="1">
      <c r="B122" s="75">
        <v>37</v>
      </c>
      <c r="C122" s="819"/>
      <c r="D122" s="792"/>
      <c r="E122" s="76" t="s">
        <v>10</v>
      </c>
      <c r="F122" s="77" t="str">
        <f t="shared" si="4"/>
        <v>IB11025</v>
      </c>
      <c r="G122" s="832" t="s">
        <v>1597</v>
      </c>
      <c r="H122" s="832"/>
      <c r="I122" s="832"/>
      <c r="J122" s="832"/>
      <c r="K122" s="590"/>
      <c r="L122" s="81"/>
      <c r="M122" s="590"/>
      <c r="N122" s="76" t="s">
        <v>11</v>
      </c>
      <c r="O122" s="82" t="str">
        <f t="shared" si="5"/>
        <v>OB11025</v>
      </c>
      <c r="P122" s="83"/>
      <c r="Q122" s="84"/>
      <c r="R122" s="84"/>
      <c r="S122" s="85"/>
      <c r="T122" s="590"/>
      <c r="U122" s="86"/>
      <c r="V122" s="876"/>
      <c r="W122" s="770"/>
      <c r="X122" s="40"/>
      <c r="Y122" s="41"/>
      <c r="Z122" s="41"/>
      <c r="AA122" s="41"/>
      <c r="AB122" s="41"/>
      <c r="AC122" s="88"/>
      <c r="AD122" s="41"/>
      <c r="AE122" s="41"/>
      <c r="AF122" s="88"/>
    </row>
    <row r="123" spans="2:32" ht="17.25" customHeight="1">
      <c r="B123" s="75">
        <v>38</v>
      </c>
      <c r="C123" s="819"/>
      <c r="D123" s="792"/>
      <c r="E123" s="76" t="s">
        <v>10</v>
      </c>
      <c r="F123" s="77" t="str">
        <f t="shared" si="4"/>
        <v>IB11026</v>
      </c>
      <c r="G123" s="832" t="s">
        <v>1602</v>
      </c>
      <c r="H123" s="832"/>
      <c r="I123" s="832"/>
      <c r="J123" s="832"/>
      <c r="K123" s="590"/>
      <c r="L123" s="81"/>
      <c r="M123" s="590"/>
      <c r="N123" s="76" t="s">
        <v>11</v>
      </c>
      <c r="O123" s="82" t="str">
        <f t="shared" si="5"/>
        <v>OB11026</v>
      </c>
      <c r="P123" s="83"/>
      <c r="Q123" s="84"/>
      <c r="R123" s="84"/>
      <c r="S123" s="85"/>
      <c r="T123" s="590"/>
      <c r="U123" s="86"/>
      <c r="V123" s="876"/>
      <c r="W123" s="770"/>
      <c r="X123" s="40"/>
      <c r="Y123" s="41"/>
      <c r="Z123" s="41"/>
      <c r="AA123" s="41"/>
      <c r="AB123" s="41"/>
      <c r="AC123" s="88"/>
      <c r="AD123" s="41"/>
      <c r="AE123" s="41"/>
      <c r="AF123" s="88"/>
    </row>
    <row r="124" spans="2:32" ht="17.25" customHeight="1">
      <c r="B124" s="75">
        <v>39</v>
      </c>
      <c r="C124" s="819"/>
      <c r="D124" s="792"/>
      <c r="E124" s="76" t="s">
        <v>10</v>
      </c>
      <c r="F124" s="77" t="str">
        <f t="shared" si="4"/>
        <v>IB11027</v>
      </c>
      <c r="G124" s="832" t="s">
        <v>1598</v>
      </c>
      <c r="H124" s="832"/>
      <c r="I124" s="832"/>
      <c r="J124" s="832"/>
      <c r="K124" s="590"/>
      <c r="L124" s="81"/>
      <c r="M124" s="590"/>
      <c r="N124" s="76" t="s">
        <v>11</v>
      </c>
      <c r="O124" s="82" t="str">
        <f t="shared" si="5"/>
        <v>OB11027</v>
      </c>
      <c r="P124" s="83"/>
      <c r="Q124" s="84"/>
      <c r="R124" s="84"/>
      <c r="S124" s="85"/>
      <c r="T124" s="590"/>
      <c r="U124" s="86"/>
      <c r="V124" s="876"/>
      <c r="W124" s="770"/>
      <c r="X124" s="40"/>
      <c r="Y124" s="41"/>
      <c r="Z124" s="41"/>
      <c r="AA124" s="41"/>
      <c r="AB124" s="41"/>
      <c r="AC124" s="88"/>
      <c r="AD124" s="41"/>
      <c r="AE124" s="41"/>
      <c r="AF124" s="88"/>
    </row>
    <row r="125" spans="2:32" ht="17.25" customHeight="1">
      <c r="B125" s="75">
        <v>40</v>
      </c>
      <c r="C125" s="819"/>
      <c r="D125" s="792"/>
      <c r="E125" s="76" t="s">
        <v>10</v>
      </c>
      <c r="F125" s="77" t="str">
        <f t="shared" si="4"/>
        <v>IB11028</v>
      </c>
      <c r="G125" s="83"/>
      <c r="H125" s="84"/>
      <c r="I125" s="84"/>
      <c r="J125" s="85"/>
      <c r="K125" s="590"/>
      <c r="L125" s="81"/>
      <c r="M125" s="590"/>
      <c r="N125" s="76" t="s">
        <v>11</v>
      </c>
      <c r="O125" s="82" t="str">
        <f t="shared" si="5"/>
        <v>OB11028</v>
      </c>
      <c r="P125" s="832" t="s">
        <v>1603</v>
      </c>
      <c r="Q125" s="832"/>
      <c r="R125" s="832"/>
      <c r="S125" s="832"/>
      <c r="T125" s="590"/>
      <c r="U125" s="86"/>
      <c r="V125" s="876"/>
      <c r="W125" s="770"/>
      <c r="X125" s="40"/>
      <c r="Y125" s="41"/>
      <c r="Z125" s="41"/>
      <c r="AA125" s="41"/>
      <c r="AB125" s="41"/>
      <c r="AC125" s="88"/>
      <c r="AD125" s="41"/>
      <c r="AE125" s="41"/>
      <c r="AF125" s="88"/>
    </row>
    <row r="126" spans="2:32" ht="17.25" customHeight="1">
      <c r="B126" s="75">
        <v>41</v>
      </c>
      <c r="C126" s="819"/>
      <c r="D126" s="792"/>
      <c r="E126" s="76" t="s">
        <v>10</v>
      </c>
      <c r="F126" s="77" t="str">
        <f t="shared" si="4"/>
        <v>IB11029</v>
      </c>
      <c r="G126" s="83"/>
      <c r="H126" s="84"/>
      <c r="I126" s="84"/>
      <c r="J126" s="85"/>
      <c r="K126" s="590"/>
      <c r="L126" s="81"/>
      <c r="M126" s="590"/>
      <c r="N126" s="76" t="s">
        <v>11</v>
      </c>
      <c r="O126" s="82" t="str">
        <f t="shared" si="5"/>
        <v>OB11029</v>
      </c>
      <c r="P126" s="832" t="s">
        <v>1599</v>
      </c>
      <c r="Q126" s="832"/>
      <c r="R126" s="832"/>
      <c r="S126" s="832"/>
      <c r="T126" s="590"/>
      <c r="U126" s="86"/>
      <c r="V126" s="876"/>
      <c r="W126" s="770"/>
      <c r="X126" s="40"/>
      <c r="Y126" s="41"/>
      <c r="Z126" s="41"/>
      <c r="AA126" s="41"/>
      <c r="AB126" s="41"/>
      <c r="AC126" s="88"/>
      <c r="AD126" s="41"/>
      <c r="AE126" s="41"/>
      <c r="AF126" s="88"/>
    </row>
    <row r="127" spans="2:32" ht="17.25" customHeight="1">
      <c r="B127" s="75">
        <v>42</v>
      </c>
      <c r="C127" s="819"/>
      <c r="D127" s="792"/>
      <c r="E127" s="76" t="s">
        <v>10</v>
      </c>
      <c r="F127" s="77" t="str">
        <f t="shared" si="4"/>
        <v>IB1102A</v>
      </c>
      <c r="G127" s="83"/>
      <c r="H127" s="84"/>
      <c r="I127" s="84"/>
      <c r="J127" s="85"/>
      <c r="K127" s="590"/>
      <c r="L127" s="81"/>
      <c r="M127" s="590"/>
      <c r="N127" s="76" t="s">
        <v>11</v>
      </c>
      <c r="O127" s="82" t="str">
        <f t="shared" si="5"/>
        <v>OB1102A</v>
      </c>
      <c r="P127" s="832" t="s">
        <v>1600</v>
      </c>
      <c r="Q127" s="832"/>
      <c r="R127" s="832"/>
      <c r="S127" s="832"/>
      <c r="T127" s="590"/>
      <c r="U127" s="86"/>
      <c r="V127" s="876"/>
      <c r="W127" s="770"/>
      <c r="X127" s="40"/>
      <c r="Y127" s="41"/>
      <c r="Z127" s="41"/>
      <c r="AA127" s="41"/>
      <c r="AB127" s="41"/>
      <c r="AC127" s="88"/>
      <c r="AD127" s="41"/>
      <c r="AE127" s="41"/>
      <c r="AF127" s="88"/>
    </row>
    <row r="128" spans="2:32" ht="17.25" customHeight="1">
      <c r="B128" s="75">
        <v>43</v>
      </c>
      <c r="C128" s="819"/>
      <c r="D128" s="792"/>
      <c r="E128" s="76" t="s">
        <v>10</v>
      </c>
      <c r="F128" s="77" t="str">
        <f t="shared" si="4"/>
        <v>IB1102B</v>
      </c>
      <c r="G128" s="83"/>
      <c r="H128" s="84"/>
      <c r="I128" s="84"/>
      <c r="J128" s="85"/>
      <c r="K128" s="590"/>
      <c r="L128" s="81"/>
      <c r="M128" s="590"/>
      <c r="N128" s="76" t="s">
        <v>11</v>
      </c>
      <c r="O128" s="82" t="str">
        <f t="shared" si="5"/>
        <v>OB1102B</v>
      </c>
      <c r="P128" s="832" t="s">
        <v>1601</v>
      </c>
      <c r="Q128" s="832"/>
      <c r="R128" s="832"/>
      <c r="S128" s="832"/>
      <c r="T128" s="590"/>
      <c r="U128" s="86"/>
      <c r="V128" s="876"/>
      <c r="W128" s="770"/>
      <c r="X128" s="40"/>
      <c r="Y128" s="41"/>
      <c r="Z128" s="41"/>
      <c r="AA128" s="41"/>
      <c r="AB128" s="41"/>
      <c r="AC128" s="88"/>
      <c r="AD128" s="41"/>
      <c r="AE128" s="41"/>
      <c r="AF128" s="88"/>
    </row>
    <row r="129" spans="2:32" ht="17.25" customHeight="1">
      <c r="B129" s="75">
        <v>44</v>
      </c>
      <c r="C129" s="819"/>
      <c r="D129" s="792"/>
      <c r="E129" s="76" t="s">
        <v>10</v>
      </c>
      <c r="F129" s="77" t="str">
        <f t="shared" si="4"/>
        <v>IB1102C</v>
      </c>
      <c r="G129" s="83"/>
      <c r="H129" s="84"/>
      <c r="I129" s="84"/>
      <c r="J129" s="85"/>
      <c r="K129" s="590"/>
      <c r="L129" s="81"/>
      <c r="M129" s="590"/>
      <c r="N129" s="76" t="s">
        <v>11</v>
      </c>
      <c r="O129" s="82" t="str">
        <f t="shared" si="5"/>
        <v>OB1102C</v>
      </c>
      <c r="P129" s="832" t="s">
        <v>1596</v>
      </c>
      <c r="Q129" s="832"/>
      <c r="R129" s="832"/>
      <c r="S129" s="832"/>
      <c r="T129" s="590"/>
      <c r="U129" s="86"/>
      <c r="V129" s="876"/>
      <c r="W129" s="770"/>
      <c r="X129" s="40"/>
      <c r="Y129" s="41"/>
      <c r="Z129" s="41"/>
      <c r="AA129" s="41"/>
      <c r="AB129" s="41"/>
      <c r="AC129" s="88"/>
      <c r="AD129" s="41"/>
      <c r="AE129" s="41"/>
      <c r="AF129" s="88"/>
    </row>
    <row r="130" spans="2:32" ht="17.25" customHeight="1">
      <c r="B130" s="75">
        <v>45</v>
      </c>
      <c r="C130" s="819"/>
      <c r="D130" s="792"/>
      <c r="E130" s="76" t="s">
        <v>10</v>
      </c>
      <c r="F130" s="77" t="str">
        <f t="shared" si="4"/>
        <v>IB1102D</v>
      </c>
      <c r="G130" s="83"/>
      <c r="H130" s="84"/>
      <c r="I130" s="84"/>
      <c r="J130" s="85"/>
      <c r="K130" s="42"/>
      <c r="L130" s="93"/>
      <c r="M130" s="619"/>
      <c r="N130" s="76" t="s">
        <v>11</v>
      </c>
      <c r="O130" s="82" t="str">
        <f t="shared" si="5"/>
        <v>OB1102D</v>
      </c>
      <c r="P130" s="832" t="s">
        <v>1597</v>
      </c>
      <c r="Q130" s="832"/>
      <c r="R130" s="832"/>
      <c r="S130" s="832"/>
      <c r="T130" s="590"/>
      <c r="U130" s="86"/>
      <c r="V130" s="876"/>
      <c r="W130" s="770"/>
      <c r="X130" s="40"/>
      <c r="Y130" s="41"/>
      <c r="Z130" s="41"/>
      <c r="AA130" s="41"/>
      <c r="AB130" s="41"/>
      <c r="AC130" s="88"/>
      <c r="AD130" s="41"/>
      <c r="AE130" s="41"/>
      <c r="AF130" s="88"/>
    </row>
    <row r="131" spans="2:32" ht="17.25" customHeight="1">
      <c r="B131" s="75">
        <v>46</v>
      </c>
      <c r="C131" s="819"/>
      <c r="D131" s="792"/>
      <c r="E131" s="76" t="s">
        <v>10</v>
      </c>
      <c r="F131" s="77" t="str">
        <f t="shared" si="4"/>
        <v>IB1102E</v>
      </c>
      <c r="G131" s="83"/>
      <c r="H131" s="84"/>
      <c r="I131" s="84"/>
      <c r="J131" s="85"/>
      <c r="K131" s="590"/>
      <c r="L131" s="81"/>
      <c r="M131" s="590"/>
      <c r="N131" s="76" t="s">
        <v>11</v>
      </c>
      <c r="O131" s="82" t="str">
        <f t="shared" si="5"/>
        <v>OB1102E</v>
      </c>
      <c r="P131" s="832" t="s">
        <v>1602</v>
      </c>
      <c r="Q131" s="832"/>
      <c r="R131" s="832"/>
      <c r="S131" s="832"/>
      <c r="T131" s="590"/>
      <c r="U131" s="86"/>
      <c r="V131" s="876"/>
      <c r="W131" s="770"/>
      <c r="X131" s="40"/>
      <c r="Y131" s="41"/>
      <c r="Z131" s="41"/>
      <c r="AA131" s="41"/>
      <c r="AB131" s="41"/>
      <c r="AC131" s="88"/>
      <c r="AD131" s="41"/>
      <c r="AE131" s="41"/>
      <c r="AF131" s="88"/>
    </row>
    <row r="132" spans="2:32" ht="17.25" customHeight="1">
      <c r="B132" s="75">
        <v>47</v>
      </c>
      <c r="C132" s="820"/>
      <c r="D132" s="814"/>
      <c r="E132" s="76" t="s">
        <v>10</v>
      </c>
      <c r="F132" s="77" t="str">
        <f t="shared" si="4"/>
        <v>IB1102F</v>
      </c>
      <c r="G132" s="83"/>
      <c r="H132" s="84"/>
      <c r="I132" s="84"/>
      <c r="J132" s="85"/>
      <c r="K132" s="590"/>
      <c r="L132" s="81"/>
      <c r="M132" s="590"/>
      <c r="N132" s="76" t="s">
        <v>11</v>
      </c>
      <c r="O132" s="82" t="str">
        <f t="shared" si="5"/>
        <v>OB1102F</v>
      </c>
      <c r="P132" s="832" t="s">
        <v>1598</v>
      </c>
      <c r="Q132" s="832"/>
      <c r="R132" s="832"/>
      <c r="S132" s="832"/>
      <c r="T132" s="590"/>
      <c r="U132" s="86"/>
      <c r="V132" s="876"/>
      <c r="W132" s="770"/>
      <c r="X132" s="40"/>
      <c r="Y132" s="41"/>
      <c r="Z132" s="41"/>
      <c r="AA132" s="41"/>
      <c r="AB132" s="41"/>
      <c r="AC132" s="88"/>
      <c r="AD132" s="41"/>
      <c r="AE132" s="41"/>
      <c r="AF132" s="88"/>
    </row>
    <row r="133" spans="2:32" ht="17.25" customHeight="1">
      <c r="B133" s="75">
        <v>48</v>
      </c>
      <c r="C133" s="815" t="s">
        <v>1576</v>
      </c>
      <c r="D133" s="821"/>
      <c r="E133" s="76" t="s">
        <v>10</v>
      </c>
      <c r="F133" s="77" t="str">
        <f t="shared" si="4"/>
        <v>IB11030</v>
      </c>
      <c r="G133" s="83"/>
      <c r="H133" s="84"/>
      <c r="I133" s="84"/>
      <c r="J133" s="85"/>
      <c r="K133" s="590"/>
      <c r="L133" s="81"/>
      <c r="M133" s="590"/>
      <c r="N133" s="76" t="s">
        <v>11</v>
      </c>
      <c r="O133" s="82" t="str">
        <f t="shared" si="5"/>
        <v>OB11030</v>
      </c>
      <c r="P133" s="83"/>
      <c r="Q133" s="84"/>
      <c r="R133" s="84"/>
      <c r="S133" s="85"/>
      <c r="T133" s="590"/>
      <c r="U133" s="86"/>
      <c r="V133" s="877"/>
      <c r="W133" s="878"/>
      <c r="X133" s="40"/>
      <c r="Y133" s="41"/>
      <c r="Z133" s="41"/>
      <c r="AA133" s="41"/>
      <c r="AB133" s="41"/>
      <c r="AC133" s="88"/>
      <c r="AD133" s="41"/>
      <c r="AE133" s="41"/>
      <c r="AF133" s="88"/>
    </row>
    <row r="134" spans="2:32" ht="17.25" customHeight="1">
      <c r="B134" s="75">
        <v>49</v>
      </c>
      <c r="C134" s="816"/>
      <c r="D134" s="792"/>
      <c r="E134" s="76" t="s">
        <v>10</v>
      </c>
      <c r="F134" s="77" t="str">
        <f t="shared" si="4"/>
        <v>IB11031</v>
      </c>
      <c r="G134" s="83"/>
      <c r="H134" s="84"/>
      <c r="I134" s="84"/>
      <c r="J134" s="85"/>
      <c r="K134" s="590"/>
      <c r="L134" s="81"/>
      <c r="M134" s="590"/>
      <c r="N134" s="76" t="s">
        <v>11</v>
      </c>
      <c r="O134" s="82" t="str">
        <f t="shared" si="5"/>
        <v>OB11031</v>
      </c>
      <c r="P134" s="83"/>
      <c r="Q134" s="84"/>
      <c r="R134" s="84"/>
      <c r="S134" s="85"/>
      <c r="T134" s="590"/>
      <c r="U134" s="86"/>
      <c r="V134" s="876"/>
      <c r="W134" s="770"/>
      <c r="X134" s="40"/>
      <c r="Y134" s="41"/>
      <c r="Z134" s="41"/>
      <c r="AA134" s="41"/>
      <c r="AB134" s="41"/>
      <c r="AC134" s="88"/>
      <c r="AD134" s="41"/>
      <c r="AE134" s="41"/>
      <c r="AF134" s="88"/>
    </row>
    <row r="135" spans="2:32" ht="17.25" customHeight="1">
      <c r="B135" s="75">
        <v>50</v>
      </c>
      <c r="C135" s="816"/>
      <c r="D135" s="792"/>
      <c r="E135" s="76" t="s">
        <v>10</v>
      </c>
      <c r="F135" s="77" t="str">
        <f t="shared" si="4"/>
        <v>IB11032</v>
      </c>
      <c r="G135" s="83"/>
      <c r="H135" s="84"/>
      <c r="I135" s="84"/>
      <c r="J135" s="85"/>
      <c r="K135" s="590"/>
      <c r="L135" s="81"/>
      <c r="M135" s="590"/>
      <c r="N135" s="76" t="s">
        <v>11</v>
      </c>
      <c r="O135" s="82" t="str">
        <f t="shared" si="5"/>
        <v>OB11032</v>
      </c>
      <c r="P135" s="83"/>
      <c r="Q135" s="84"/>
      <c r="R135" s="84"/>
      <c r="S135" s="85"/>
      <c r="T135" s="590"/>
      <c r="U135" s="86"/>
      <c r="V135" s="876"/>
      <c r="W135" s="770"/>
      <c r="X135" s="40"/>
      <c r="Y135" s="41"/>
      <c r="Z135" s="41"/>
      <c r="AA135" s="41"/>
      <c r="AB135" s="41"/>
      <c r="AC135" s="88"/>
      <c r="AD135" s="41"/>
      <c r="AE135" s="41"/>
      <c r="AF135" s="88"/>
    </row>
    <row r="136" spans="2:32" ht="17.25" customHeight="1">
      <c r="B136" s="75">
        <v>51</v>
      </c>
      <c r="C136" s="816"/>
      <c r="D136" s="792"/>
      <c r="E136" s="76" t="s">
        <v>10</v>
      </c>
      <c r="F136" s="77" t="str">
        <f t="shared" si="4"/>
        <v>IB11033</v>
      </c>
      <c r="G136" s="83"/>
      <c r="H136" s="84"/>
      <c r="I136" s="84"/>
      <c r="J136" s="85"/>
      <c r="K136" s="590"/>
      <c r="L136" s="81"/>
      <c r="M136" s="590"/>
      <c r="N136" s="76" t="s">
        <v>11</v>
      </c>
      <c r="O136" s="82" t="str">
        <f t="shared" si="5"/>
        <v>OB11033</v>
      </c>
      <c r="P136" s="83"/>
      <c r="Q136" s="84"/>
      <c r="R136" s="84"/>
      <c r="S136" s="85"/>
      <c r="T136" s="590"/>
      <c r="U136" s="86"/>
      <c r="V136" s="876"/>
      <c r="W136" s="770"/>
      <c r="X136" s="40"/>
      <c r="Y136" s="41"/>
      <c r="Z136" s="41"/>
      <c r="AA136" s="41"/>
      <c r="AB136" s="41"/>
      <c r="AC136" s="88"/>
      <c r="AD136" s="41"/>
      <c r="AE136" s="41"/>
      <c r="AF136" s="88"/>
    </row>
    <row r="137" spans="2:32" ht="17.25" customHeight="1">
      <c r="B137" s="75">
        <v>52</v>
      </c>
      <c r="C137" s="816"/>
      <c r="D137" s="792"/>
      <c r="E137" s="76" t="s">
        <v>10</v>
      </c>
      <c r="F137" s="77" t="str">
        <f t="shared" si="4"/>
        <v>IB11034</v>
      </c>
      <c r="G137" s="83"/>
      <c r="H137" s="84"/>
      <c r="I137" s="84"/>
      <c r="J137" s="85"/>
      <c r="K137" s="590"/>
      <c r="L137" s="81"/>
      <c r="M137" s="590"/>
      <c r="N137" s="76" t="s">
        <v>11</v>
      </c>
      <c r="O137" s="82" t="str">
        <f t="shared" si="5"/>
        <v>OB11034</v>
      </c>
      <c r="P137" s="83"/>
      <c r="Q137" s="84"/>
      <c r="R137" s="84"/>
      <c r="S137" s="85"/>
      <c r="T137" s="590"/>
      <c r="U137" s="86"/>
      <c r="V137" s="876"/>
      <c r="W137" s="770"/>
      <c r="X137" s="41"/>
      <c r="Y137" s="41"/>
      <c r="Z137" s="41"/>
      <c r="AA137" s="41"/>
      <c r="AB137" s="41"/>
      <c r="AC137" s="88"/>
      <c r="AD137" s="41"/>
      <c r="AE137" s="41"/>
      <c r="AF137" s="88"/>
    </row>
    <row r="138" spans="2:32" ht="17.25" customHeight="1">
      <c r="B138" s="75">
        <v>53</v>
      </c>
      <c r="C138" s="816"/>
      <c r="D138" s="792"/>
      <c r="E138" s="76" t="s">
        <v>10</v>
      </c>
      <c r="F138" s="77" t="str">
        <f t="shared" si="4"/>
        <v>IB11035</v>
      </c>
      <c r="G138" s="83"/>
      <c r="H138" s="84"/>
      <c r="I138" s="84"/>
      <c r="J138" s="85"/>
      <c r="K138" s="590"/>
      <c r="L138" s="81"/>
      <c r="M138" s="590"/>
      <c r="N138" s="76" t="s">
        <v>11</v>
      </c>
      <c r="O138" s="82" t="str">
        <f t="shared" si="5"/>
        <v>OB11035</v>
      </c>
      <c r="P138" s="83"/>
      <c r="Q138" s="84"/>
      <c r="R138" s="84"/>
      <c r="S138" s="85"/>
      <c r="T138" s="590"/>
      <c r="U138" s="86"/>
      <c r="V138" s="876"/>
      <c r="W138" s="770"/>
      <c r="X138" s="41"/>
      <c r="Y138" s="41"/>
      <c r="Z138" s="41"/>
      <c r="AA138" s="41"/>
      <c r="AB138" s="41"/>
      <c r="AC138" s="88"/>
      <c r="AD138" s="41"/>
      <c r="AE138" s="41"/>
      <c r="AF138" s="88"/>
    </row>
    <row r="139" spans="2:32" ht="17.25" customHeight="1">
      <c r="B139" s="75">
        <v>54</v>
      </c>
      <c r="C139" s="816"/>
      <c r="D139" s="792"/>
      <c r="E139" s="76" t="s">
        <v>10</v>
      </c>
      <c r="F139" s="77" t="str">
        <f t="shared" si="4"/>
        <v>IB11036</v>
      </c>
      <c r="G139" s="83"/>
      <c r="H139" s="84"/>
      <c r="I139" s="84"/>
      <c r="J139" s="85"/>
      <c r="K139" s="590"/>
      <c r="L139" s="81"/>
      <c r="M139" s="590"/>
      <c r="N139" s="76" t="s">
        <v>11</v>
      </c>
      <c r="O139" s="82" t="str">
        <f t="shared" si="5"/>
        <v>OB11036</v>
      </c>
      <c r="P139" s="83"/>
      <c r="Q139" s="84"/>
      <c r="R139" s="84"/>
      <c r="S139" s="85"/>
      <c r="T139" s="590"/>
      <c r="U139" s="86"/>
      <c r="V139" s="876"/>
      <c r="W139" s="770"/>
      <c r="X139" s="40"/>
      <c r="Y139" s="41"/>
      <c r="Z139" s="41"/>
      <c r="AA139" s="41"/>
      <c r="AB139" s="41"/>
      <c r="AC139" s="88"/>
      <c r="AD139" s="41"/>
      <c r="AE139" s="41"/>
      <c r="AF139" s="88"/>
    </row>
    <row r="140" spans="2:32" ht="17.25" customHeight="1">
      <c r="B140" s="75">
        <v>55</v>
      </c>
      <c r="C140" s="816"/>
      <c r="D140" s="792"/>
      <c r="E140" s="76" t="s">
        <v>10</v>
      </c>
      <c r="F140" s="77" t="str">
        <f t="shared" si="4"/>
        <v>IB11037</v>
      </c>
      <c r="G140" s="83"/>
      <c r="H140" s="84"/>
      <c r="I140" s="84"/>
      <c r="J140" s="85"/>
      <c r="K140" s="590"/>
      <c r="L140" s="81"/>
      <c r="M140" s="590"/>
      <c r="N140" s="76" t="s">
        <v>11</v>
      </c>
      <c r="O140" s="82" t="str">
        <f t="shared" si="5"/>
        <v>OB11037</v>
      </c>
      <c r="P140" s="83"/>
      <c r="Q140" s="84"/>
      <c r="R140" s="84"/>
      <c r="S140" s="85"/>
      <c r="T140" s="590"/>
      <c r="U140" s="86"/>
      <c r="V140" s="876"/>
      <c r="W140" s="770"/>
      <c r="X140" s="40"/>
      <c r="Y140" s="41"/>
      <c r="Z140" s="41"/>
      <c r="AA140" s="41"/>
      <c r="AB140" s="41"/>
      <c r="AC140" s="88"/>
      <c r="AD140" s="41"/>
      <c r="AE140" s="41"/>
      <c r="AF140" s="88"/>
    </row>
    <row r="141" spans="2:32" ht="17.25" customHeight="1">
      <c r="B141" s="75">
        <v>56</v>
      </c>
      <c r="C141" s="816"/>
      <c r="D141" s="792"/>
      <c r="E141" s="76" t="s">
        <v>10</v>
      </c>
      <c r="F141" s="77" t="str">
        <f t="shared" si="4"/>
        <v>IB11038</v>
      </c>
      <c r="G141" s="83"/>
      <c r="H141" s="84"/>
      <c r="I141" s="84"/>
      <c r="J141" s="85"/>
      <c r="K141" s="42"/>
      <c r="L141" s="93"/>
      <c r="M141" s="619"/>
      <c r="N141" s="76" t="s">
        <v>11</v>
      </c>
      <c r="O141" s="82" t="str">
        <f t="shared" si="5"/>
        <v>OB11038</v>
      </c>
      <c r="P141" s="83"/>
      <c r="Q141" s="84"/>
      <c r="R141" s="84"/>
      <c r="S141" s="85"/>
      <c r="T141" s="590"/>
      <c r="U141" s="86"/>
      <c r="V141" s="876"/>
      <c r="W141" s="770"/>
      <c r="X141" s="40"/>
      <c r="Y141" s="41"/>
      <c r="Z141" s="41"/>
      <c r="AA141" s="41"/>
      <c r="AB141" s="41"/>
      <c r="AC141" s="88"/>
      <c r="AD141" s="41"/>
      <c r="AE141" s="41"/>
      <c r="AF141" s="88"/>
    </row>
    <row r="142" spans="2:32" ht="17.25" customHeight="1">
      <c r="B142" s="75">
        <v>57</v>
      </c>
      <c r="C142" s="816"/>
      <c r="D142" s="792"/>
      <c r="E142" s="76" t="s">
        <v>10</v>
      </c>
      <c r="F142" s="77" t="str">
        <f t="shared" si="4"/>
        <v>IB11039</v>
      </c>
      <c r="G142" s="83"/>
      <c r="H142" s="84"/>
      <c r="I142" s="84"/>
      <c r="J142" s="85"/>
      <c r="K142" s="42"/>
      <c r="L142" s="93"/>
      <c r="M142" s="619"/>
      <c r="N142" s="76" t="s">
        <v>11</v>
      </c>
      <c r="O142" s="82" t="str">
        <f t="shared" si="5"/>
        <v>OB11039</v>
      </c>
      <c r="P142" s="83"/>
      <c r="Q142" s="84"/>
      <c r="R142" s="84"/>
      <c r="S142" s="85"/>
      <c r="T142" s="590"/>
      <c r="U142" s="86"/>
      <c r="V142" s="876"/>
      <c r="W142" s="770"/>
      <c r="X142" s="40"/>
      <c r="Y142" s="41"/>
      <c r="Z142" s="41"/>
      <c r="AA142" s="41"/>
      <c r="AB142" s="41"/>
      <c r="AC142" s="88"/>
      <c r="AD142" s="41"/>
      <c r="AE142" s="41"/>
      <c r="AF142" s="88"/>
    </row>
    <row r="143" spans="2:32" ht="17.25" customHeight="1">
      <c r="B143" s="75">
        <v>58</v>
      </c>
      <c r="C143" s="816"/>
      <c r="D143" s="792"/>
      <c r="E143" s="76" t="s">
        <v>10</v>
      </c>
      <c r="F143" s="77" t="str">
        <f t="shared" si="4"/>
        <v>IB1103A</v>
      </c>
      <c r="G143" s="83"/>
      <c r="H143" s="84"/>
      <c r="I143" s="84"/>
      <c r="J143" s="85"/>
      <c r="K143" s="591"/>
      <c r="L143" s="95"/>
      <c r="M143" s="94"/>
      <c r="N143" s="76" t="s">
        <v>11</v>
      </c>
      <c r="O143" s="82" t="str">
        <f t="shared" si="5"/>
        <v>OB1103A</v>
      </c>
      <c r="P143" s="83"/>
      <c r="Q143" s="84"/>
      <c r="R143" s="84"/>
      <c r="S143" s="85"/>
      <c r="T143" s="590"/>
      <c r="U143" s="86"/>
      <c r="V143" s="876"/>
      <c r="W143" s="770"/>
      <c r="X143" s="40"/>
      <c r="Y143" s="41"/>
      <c r="Z143" s="41"/>
      <c r="AA143" s="41"/>
      <c r="AB143" s="41"/>
      <c r="AC143" s="88"/>
      <c r="AD143" s="41"/>
      <c r="AE143" s="41"/>
      <c r="AF143" s="88"/>
    </row>
    <row r="144" spans="2:32" ht="17.25" customHeight="1">
      <c r="B144" s="75">
        <v>59</v>
      </c>
      <c r="C144" s="816"/>
      <c r="D144" s="792"/>
      <c r="E144" s="76" t="s">
        <v>10</v>
      </c>
      <c r="F144" s="77" t="str">
        <f t="shared" si="4"/>
        <v>IB1103B</v>
      </c>
      <c r="G144" s="83"/>
      <c r="H144" s="84"/>
      <c r="I144" s="84"/>
      <c r="J144" s="85"/>
      <c r="K144" s="591"/>
      <c r="L144" s="95"/>
      <c r="M144" s="94"/>
      <c r="N144" s="76" t="s">
        <v>11</v>
      </c>
      <c r="O144" s="82" t="str">
        <f t="shared" si="5"/>
        <v>OB1103B</v>
      </c>
      <c r="P144" s="83"/>
      <c r="Q144" s="84"/>
      <c r="R144" s="84"/>
      <c r="S144" s="85"/>
      <c r="T144" s="590"/>
      <c r="U144" s="86"/>
      <c r="V144" s="876"/>
      <c r="W144" s="770"/>
      <c r="X144" s="41"/>
      <c r="Y144" s="41"/>
      <c r="Z144" s="41"/>
      <c r="AA144" s="41"/>
      <c r="AB144" s="41"/>
      <c r="AC144" s="88"/>
      <c r="AD144" s="41"/>
      <c r="AE144" s="41"/>
      <c r="AF144" s="88"/>
    </row>
    <row r="145" spans="2:32" ht="17.25" customHeight="1">
      <c r="B145" s="75">
        <v>60</v>
      </c>
      <c r="C145" s="816"/>
      <c r="D145" s="792"/>
      <c r="E145" s="76" t="s">
        <v>10</v>
      </c>
      <c r="F145" s="77" t="str">
        <f t="shared" si="4"/>
        <v>IB1103C</v>
      </c>
      <c r="G145" s="83"/>
      <c r="H145" s="84"/>
      <c r="I145" s="84"/>
      <c r="J145" s="85"/>
      <c r="K145" s="591"/>
      <c r="L145" s="95"/>
      <c r="M145" s="94"/>
      <c r="N145" s="76" t="s">
        <v>11</v>
      </c>
      <c r="O145" s="82" t="str">
        <f t="shared" si="5"/>
        <v>OB1103C</v>
      </c>
      <c r="P145" s="83"/>
      <c r="Q145" s="84"/>
      <c r="R145" s="84"/>
      <c r="S145" s="85"/>
      <c r="T145" s="590"/>
      <c r="U145" s="86"/>
      <c r="V145" s="876"/>
      <c r="W145" s="770"/>
      <c r="X145" s="41"/>
      <c r="Y145" s="41"/>
      <c r="Z145" s="41"/>
      <c r="AA145" s="41"/>
      <c r="AB145" s="41"/>
      <c r="AC145" s="88"/>
      <c r="AD145" s="41"/>
      <c r="AE145" s="41"/>
      <c r="AF145" s="88"/>
    </row>
    <row r="146" spans="2:32" ht="17.25" customHeight="1">
      <c r="B146" s="75">
        <v>61</v>
      </c>
      <c r="C146" s="816"/>
      <c r="D146" s="792"/>
      <c r="E146" s="76" t="s">
        <v>10</v>
      </c>
      <c r="F146" s="77" t="str">
        <f t="shared" si="4"/>
        <v>IB1103D</v>
      </c>
      <c r="G146" s="83"/>
      <c r="H146" s="84"/>
      <c r="I146" s="84"/>
      <c r="J146" s="85"/>
      <c r="K146" s="591"/>
      <c r="L146" s="95"/>
      <c r="M146" s="94"/>
      <c r="N146" s="76" t="s">
        <v>11</v>
      </c>
      <c r="O146" s="82" t="str">
        <f t="shared" si="5"/>
        <v>OB1103D</v>
      </c>
      <c r="P146" s="83"/>
      <c r="Q146" s="84"/>
      <c r="R146" s="84"/>
      <c r="S146" s="85"/>
      <c r="T146" s="590"/>
      <c r="U146" s="86"/>
      <c r="V146" s="876"/>
      <c r="W146" s="770"/>
      <c r="X146" s="41"/>
      <c r="Y146" s="41"/>
      <c r="Z146" s="41"/>
      <c r="AA146" s="41"/>
      <c r="AB146" s="41"/>
      <c r="AC146" s="88"/>
      <c r="AD146" s="41"/>
      <c r="AE146" s="41"/>
      <c r="AF146" s="88"/>
    </row>
    <row r="147" spans="2:32" ht="17.25" customHeight="1">
      <c r="B147" s="75">
        <v>62</v>
      </c>
      <c r="C147" s="816"/>
      <c r="D147" s="792"/>
      <c r="E147" s="76" t="s">
        <v>10</v>
      </c>
      <c r="F147" s="77" t="str">
        <f t="shared" si="4"/>
        <v>IB1103E</v>
      </c>
      <c r="G147" s="83"/>
      <c r="H147" s="84"/>
      <c r="I147" s="84"/>
      <c r="J147" s="85"/>
      <c r="K147" s="42"/>
      <c r="L147" s="93"/>
      <c r="M147" s="619"/>
      <c r="N147" s="76" t="s">
        <v>11</v>
      </c>
      <c r="O147" s="82" t="str">
        <f t="shared" si="5"/>
        <v>OB1103E</v>
      </c>
      <c r="P147" s="83"/>
      <c r="Q147" s="84"/>
      <c r="R147" s="84"/>
      <c r="S147" s="85"/>
      <c r="T147" s="590"/>
      <c r="U147" s="86"/>
      <c r="V147" s="876"/>
      <c r="W147" s="770"/>
      <c r="X147" s="41"/>
      <c r="Y147" s="41"/>
      <c r="Z147" s="41"/>
      <c r="AA147" s="41"/>
      <c r="AB147" s="41"/>
      <c r="AC147" s="88"/>
      <c r="AD147" s="41"/>
      <c r="AE147" s="41"/>
      <c r="AF147" s="88"/>
    </row>
    <row r="148" spans="2:32" ht="17.25" customHeight="1">
      <c r="B148" s="75">
        <v>63</v>
      </c>
      <c r="C148" s="817"/>
      <c r="D148" s="814"/>
      <c r="E148" s="76" t="s">
        <v>10</v>
      </c>
      <c r="F148" s="77" t="str">
        <f t="shared" si="4"/>
        <v>IB1103F</v>
      </c>
      <c r="G148" s="311"/>
      <c r="H148" s="312"/>
      <c r="I148" s="312"/>
      <c r="J148" s="313"/>
      <c r="K148" s="42"/>
      <c r="L148" s="93"/>
      <c r="M148" s="619"/>
      <c r="N148" s="76" t="s">
        <v>11</v>
      </c>
      <c r="O148" s="82" t="str">
        <f t="shared" si="5"/>
        <v>OB1103F</v>
      </c>
      <c r="P148" s="311"/>
      <c r="Q148" s="312"/>
      <c r="R148" s="312"/>
      <c r="S148" s="313"/>
      <c r="T148" s="590"/>
      <c r="U148" s="86"/>
      <c r="V148" s="876"/>
      <c r="W148" s="770"/>
      <c r="X148" s="41"/>
      <c r="Y148" s="41"/>
      <c r="Z148" s="41"/>
      <c r="AA148" s="41"/>
      <c r="AB148" s="41"/>
      <c r="AC148" s="88"/>
      <c r="AD148" s="41"/>
      <c r="AE148" s="41"/>
      <c r="AF148" s="88"/>
    </row>
    <row r="149" spans="2:32" ht="17.25" customHeight="1">
      <c r="B149" s="75">
        <v>64</v>
      </c>
      <c r="C149" s="810" t="s">
        <v>1577</v>
      </c>
      <c r="D149" s="813" t="s">
        <v>69</v>
      </c>
      <c r="E149" s="76" t="s">
        <v>10</v>
      </c>
      <c r="F149" s="77" t="str">
        <f t="shared" si="4"/>
        <v>IB11040</v>
      </c>
      <c r="G149" s="89" t="s">
        <v>143</v>
      </c>
      <c r="H149" s="90"/>
      <c r="I149" s="90"/>
      <c r="J149" s="91"/>
      <c r="K149" s="590" t="s">
        <v>1513</v>
      </c>
      <c r="L149" s="81"/>
      <c r="M149" s="590"/>
      <c r="N149" s="76" t="s">
        <v>11</v>
      </c>
      <c r="O149" s="82" t="str">
        <f t="shared" si="5"/>
        <v>OB11040</v>
      </c>
      <c r="P149" s="83"/>
      <c r="Q149" s="84"/>
      <c r="R149" s="84"/>
      <c r="S149" s="85"/>
      <c r="T149" s="590"/>
      <c r="U149" s="86"/>
      <c r="V149" s="876"/>
      <c r="W149" s="770"/>
      <c r="X149" s="40"/>
      <c r="Y149" s="41"/>
      <c r="Z149" s="41"/>
      <c r="AA149" s="41"/>
      <c r="AB149" s="41"/>
      <c r="AC149" s="88"/>
      <c r="AD149" s="41"/>
      <c r="AE149" s="41"/>
      <c r="AF149" s="88"/>
    </row>
    <row r="150" spans="2:32" ht="17.25" customHeight="1">
      <c r="B150" s="75">
        <v>65</v>
      </c>
      <c r="C150" s="811"/>
      <c r="D150" s="792"/>
      <c r="E150" s="76" t="s">
        <v>10</v>
      </c>
      <c r="F150" s="77" t="str">
        <f t="shared" si="4"/>
        <v>IB11041</v>
      </c>
      <c r="G150" s="89" t="s">
        <v>144</v>
      </c>
      <c r="H150" s="90"/>
      <c r="I150" s="90"/>
      <c r="J150" s="91"/>
      <c r="K150" s="590" t="s">
        <v>1513</v>
      </c>
      <c r="L150" s="81"/>
      <c r="M150" s="590"/>
      <c r="N150" s="76" t="s">
        <v>11</v>
      </c>
      <c r="O150" s="82" t="str">
        <f t="shared" si="5"/>
        <v>OB11041</v>
      </c>
      <c r="P150" s="83"/>
      <c r="Q150" s="84"/>
      <c r="R150" s="84"/>
      <c r="S150" s="85"/>
      <c r="T150" s="590"/>
      <c r="U150" s="86"/>
      <c r="V150" s="876"/>
      <c r="W150" s="770"/>
      <c r="X150" s="40"/>
      <c r="Y150" s="41"/>
      <c r="Z150" s="41"/>
      <c r="AA150" s="41"/>
      <c r="AB150" s="41"/>
      <c r="AC150" s="88"/>
      <c r="AD150" s="41"/>
      <c r="AE150" s="41"/>
      <c r="AF150" s="88"/>
    </row>
    <row r="151" spans="2:32" ht="17.25" customHeight="1">
      <c r="B151" s="75">
        <v>66</v>
      </c>
      <c r="C151" s="811"/>
      <c r="D151" s="792"/>
      <c r="E151" s="76" t="s">
        <v>10</v>
      </c>
      <c r="F151" s="77" t="str">
        <f t="shared" ref="F151:F214" si="6">LEFT(F150,1)&amp;DEC2HEX(HEX2DEC(MID(F150,2,LENB(F150)-1))+1,LENB(F150)-1)</f>
        <v>IB11042</v>
      </c>
      <c r="G151" s="89" t="s">
        <v>145</v>
      </c>
      <c r="H151" s="90"/>
      <c r="I151" s="90"/>
      <c r="J151" s="91"/>
      <c r="K151" s="590" t="s">
        <v>1513</v>
      </c>
      <c r="L151" s="81"/>
      <c r="M151" s="590"/>
      <c r="N151" s="76" t="s">
        <v>11</v>
      </c>
      <c r="O151" s="82" t="str">
        <f t="shared" ref="O151:O214" si="7">LEFT(O150,1)&amp;DEC2HEX(HEX2DEC(MID(O150,2,LENB(O150)-1))+1,LENB(O150)-1)</f>
        <v>OB11042</v>
      </c>
      <c r="P151" s="83"/>
      <c r="Q151" s="84"/>
      <c r="R151" s="84"/>
      <c r="S151" s="85"/>
      <c r="T151" s="590"/>
      <c r="U151" s="86"/>
      <c r="V151" s="876"/>
      <c r="W151" s="770"/>
      <c r="X151" s="40"/>
      <c r="Y151" s="41"/>
      <c r="Z151" s="41"/>
      <c r="AA151" s="41"/>
      <c r="AB151" s="41"/>
      <c r="AC151" s="88"/>
      <c r="AD151" s="41"/>
      <c r="AE151" s="41"/>
      <c r="AF151" s="88"/>
    </row>
    <row r="152" spans="2:32" ht="17.25" customHeight="1">
      <c r="B152" s="75">
        <v>67</v>
      </c>
      <c r="C152" s="811"/>
      <c r="D152" s="792"/>
      <c r="E152" s="76" t="s">
        <v>10</v>
      </c>
      <c r="F152" s="77" t="str">
        <f t="shared" si="6"/>
        <v>IB11043</v>
      </c>
      <c r="G152" s="89" t="s">
        <v>146</v>
      </c>
      <c r="H152" s="90"/>
      <c r="I152" s="90"/>
      <c r="J152" s="91"/>
      <c r="K152" s="590" t="s">
        <v>1513</v>
      </c>
      <c r="L152" s="81"/>
      <c r="M152" s="590"/>
      <c r="N152" s="76" t="s">
        <v>11</v>
      </c>
      <c r="O152" s="82" t="str">
        <f t="shared" si="7"/>
        <v>OB11043</v>
      </c>
      <c r="P152" s="83"/>
      <c r="Q152" s="84"/>
      <c r="R152" s="84"/>
      <c r="S152" s="85"/>
      <c r="T152" s="590"/>
      <c r="U152" s="86"/>
      <c r="V152" s="876"/>
      <c r="W152" s="770"/>
      <c r="X152" s="40"/>
      <c r="Y152" s="41"/>
      <c r="Z152" s="41"/>
      <c r="AA152" s="41"/>
      <c r="AB152" s="41"/>
      <c r="AC152" s="88"/>
      <c r="AD152" s="41"/>
      <c r="AE152" s="41"/>
      <c r="AF152" s="88"/>
    </row>
    <row r="153" spans="2:32" ht="17.25" customHeight="1">
      <c r="B153" s="75">
        <v>68</v>
      </c>
      <c r="C153" s="811"/>
      <c r="D153" s="792"/>
      <c r="E153" s="76" t="s">
        <v>10</v>
      </c>
      <c r="F153" s="77" t="str">
        <f t="shared" si="6"/>
        <v>IB11044</v>
      </c>
      <c r="G153" s="89" t="s">
        <v>147</v>
      </c>
      <c r="H153" s="90"/>
      <c r="I153" s="90"/>
      <c r="J153" s="91"/>
      <c r="K153" s="590" t="s">
        <v>1513</v>
      </c>
      <c r="L153" s="81"/>
      <c r="M153" s="590"/>
      <c r="N153" s="76" t="s">
        <v>11</v>
      </c>
      <c r="O153" s="82" t="str">
        <f t="shared" si="7"/>
        <v>OB11044</v>
      </c>
      <c r="P153" s="83"/>
      <c r="Q153" s="84"/>
      <c r="R153" s="84"/>
      <c r="S153" s="85"/>
      <c r="T153" s="590"/>
      <c r="U153" s="86"/>
      <c r="V153" s="876"/>
      <c r="W153" s="770"/>
      <c r="X153" s="40"/>
      <c r="Y153" s="41"/>
      <c r="Z153" s="41"/>
      <c r="AA153" s="41"/>
      <c r="AB153" s="41"/>
      <c r="AC153" s="88"/>
      <c r="AD153" s="41"/>
      <c r="AE153" s="41"/>
      <c r="AF153" s="88"/>
    </row>
    <row r="154" spans="2:32" ht="17.25" customHeight="1">
      <c r="B154" s="75">
        <v>69</v>
      </c>
      <c r="C154" s="811"/>
      <c r="D154" s="792"/>
      <c r="E154" s="76" t="s">
        <v>10</v>
      </c>
      <c r="F154" s="77" t="str">
        <f t="shared" si="6"/>
        <v>IB11045</v>
      </c>
      <c r="G154" s="89" t="s">
        <v>148</v>
      </c>
      <c r="H154" s="90"/>
      <c r="I154" s="90"/>
      <c r="J154" s="91"/>
      <c r="K154" s="590" t="s">
        <v>1513</v>
      </c>
      <c r="L154" s="81"/>
      <c r="M154" s="590"/>
      <c r="N154" s="76" t="s">
        <v>11</v>
      </c>
      <c r="O154" s="82" t="str">
        <f t="shared" si="7"/>
        <v>OB11045</v>
      </c>
      <c r="P154" s="83"/>
      <c r="Q154" s="84"/>
      <c r="R154" s="84"/>
      <c r="S154" s="85"/>
      <c r="T154" s="590"/>
      <c r="U154" s="86"/>
      <c r="V154" s="876"/>
      <c r="W154" s="770"/>
      <c r="X154" s="40"/>
      <c r="Y154" s="41"/>
      <c r="Z154" s="41"/>
      <c r="AA154" s="41"/>
      <c r="AB154" s="41"/>
      <c r="AC154" s="88"/>
      <c r="AD154" s="41"/>
      <c r="AE154" s="41"/>
      <c r="AF154" s="88"/>
    </row>
    <row r="155" spans="2:32" ht="17.25" customHeight="1">
      <c r="B155" s="75">
        <v>70</v>
      </c>
      <c r="C155" s="811"/>
      <c r="D155" s="792"/>
      <c r="E155" s="76" t="s">
        <v>10</v>
      </c>
      <c r="F155" s="77" t="str">
        <f t="shared" si="6"/>
        <v>IB11046</v>
      </c>
      <c r="G155" s="89" t="s">
        <v>149</v>
      </c>
      <c r="H155" s="90"/>
      <c r="I155" s="90"/>
      <c r="J155" s="91"/>
      <c r="K155" s="590" t="s">
        <v>1513</v>
      </c>
      <c r="L155" s="81"/>
      <c r="M155" s="590"/>
      <c r="N155" s="76" t="s">
        <v>11</v>
      </c>
      <c r="O155" s="82" t="str">
        <f t="shared" si="7"/>
        <v>OB11046</v>
      </c>
      <c r="P155" s="83"/>
      <c r="Q155" s="84"/>
      <c r="R155" s="84"/>
      <c r="S155" s="85"/>
      <c r="T155" s="590"/>
      <c r="U155" s="86"/>
      <c r="V155" s="876"/>
      <c r="W155" s="770"/>
      <c r="X155" s="41"/>
      <c r="Y155" s="41"/>
      <c r="Z155" s="41"/>
      <c r="AA155" s="41"/>
      <c r="AB155" s="41"/>
      <c r="AC155" s="88"/>
      <c r="AD155" s="41"/>
      <c r="AE155" s="41"/>
      <c r="AF155" s="88"/>
    </row>
    <row r="156" spans="2:32" ht="17.25" customHeight="1">
      <c r="B156" s="75">
        <v>71</v>
      </c>
      <c r="C156" s="811"/>
      <c r="D156" s="792"/>
      <c r="E156" s="76" t="s">
        <v>10</v>
      </c>
      <c r="F156" s="77" t="str">
        <f t="shared" si="6"/>
        <v>IB11047</v>
      </c>
      <c r="G156" s="89" t="s">
        <v>150</v>
      </c>
      <c r="H156" s="90"/>
      <c r="I156" s="90"/>
      <c r="J156" s="91"/>
      <c r="K156" s="590" t="s">
        <v>1513</v>
      </c>
      <c r="L156" s="81"/>
      <c r="M156" s="590"/>
      <c r="N156" s="76" t="s">
        <v>11</v>
      </c>
      <c r="O156" s="82" t="str">
        <f t="shared" si="7"/>
        <v>OB11047</v>
      </c>
      <c r="P156" s="83"/>
      <c r="Q156" s="84"/>
      <c r="R156" s="84"/>
      <c r="S156" s="85"/>
      <c r="T156" s="590"/>
      <c r="U156" s="86"/>
      <c r="V156" s="876"/>
      <c r="W156" s="770"/>
      <c r="X156" s="41"/>
      <c r="Y156" s="41"/>
      <c r="Z156" s="41"/>
      <c r="AA156" s="41"/>
      <c r="AB156" s="41"/>
      <c r="AC156" s="88"/>
      <c r="AD156" s="41"/>
      <c r="AE156" s="41"/>
      <c r="AF156" s="88"/>
    </row>
    <row r="157" spans="2:32" ht="17.25" customHeight="1">
      <c r="B157" s="75">
        <v>72</v>
      </c>
      <c r="C157" s="811"/>
      <c r="D157" s="792"/>
      <c r="E157" s="76" t="s">
        <v>10</v>
      </c>
      <c r="F157" s="77" t="str">
        <f t="shared" si="6"/>
        <v>IB11048</v>
      </c>
      <c r="G157" s="89" t="s">
        <v>151</v>
      </c>
      <c r="H157" s="90"/>
      <c r="I157" s="90"/>
      <c r="J157" s="91"/>
      <c r="K157" s="590" t="s">
        <v>1513</v>
      </c>
      <c r="L157" s="81"/>
      <c r="M157" s="590"/>
      <c r="N157" s="76" t="s">
        <v>11</v>
      </c>
      <c r="O157" s="82" t="str">
        <f t="shared" si="7"/>
        <v>OB11048</v>
      </c>
      <c r="P157" s="83"/>
      <c r="Q157" s="84"/>
      <c r="R157" s="84"/>
      <c r="S157" s="85"/>
      <c r="T157" s="590"/>
      <c r="U157" s="86"/>
      <c r="V157" s="876"/>
      <c r="W157" s="770"/>
      <c r="X157" s="40"/>
      <c r="Y157" s="41"/>
      <c r="Z157" s="41"/>
      <c r="AA157" s="41"/>
      <c r="AB157" s="41"/>
      <c r="AC157" s="88"/>
      <c r="AD157" s="41"/>
      <c r="AE157" s="41"/>
      <c r="AF157" s="88"/>
    </row>
    <row r="158" spans="2:32" ht="17.25" customHeight="1">
      <c r="B158" s="75">
        <v>73</v>
      </c>
      <c r="C158" s="811"/>
      <c r="D158" s="792"/>
      <c r="E158" s="76" t="s">
        <v>10</v>
      </c>
      <c r="F158" s="77" t="str">
        <f t="shared" si="6"/>
        <v>IB11049</v>
      </c>
      <c r="G158" s="89" t="s">
        <v>152</v>
      </c>
      <c r="H158" s="90"/>
      <c r="I158" s="90"/>
      <c r="J158" s="91"/>
      <c r="K158" s="590" t="s">
        <v>1513</v>
      </c>
      <c r="L158" s="81"/>
      <c r="M158" s="590"/>
      <c r="N158" s="76" t="s">
        <v>11</v>
      </c>
      <c r="O158" s="82" t="str">
        <f t="shared" si="7"/>
        <v>OB11049</v>
      </c>
      <c r="P158" s="83"/>
      <c r="Q158" s="84"/>
      <c r="R158" s="84"/>
      <c r="S158" s="85"/>
      <c r="T158" s="590"/>
      <c r="U158" s="86"/>
      <c r="V158" s="876"/>
      <c r="W158" s="770"/>
      <c r="X158" s="40"/>
      <c r="Y158" s="41"/>
      <c r="Z158" s="41"/>
      <c r="AA158" s="41"/>
      <c r="AB158" s="41"/>
      <c r="AC158" s="88"/>
      <c r="AD158" s="41"/>
      <c r="AE158" s="41"/>
      <c r="AF158" s="88"/>
    </row>
    <row r="159" spans="2:32" ht="17.25" customHeight="1">
      <c r="B159" s="75">
        <v>74</v>
      </c>
      <c r="C159" s="811"/>
      <c r="D159" s="792"/>
      <c r="E159" s="76" t="s">
        <v>10</v>
      </c>
      <c r="F159" s="77" t="str">
        <f t="shared" si="6"/>
        <v>IB1104A</v>
      </c>
      <c r="G159" s="89"/>
      <c r="H159" s="90"/>
      <c r="I159" s="90"/>
      <c r="J159" s="91"/>
      <c r="K159" s="590"/>
      <c r="L159" s="81"/>
      <c r="M159" s="590"/>
      <c r="N159" s="76" t="s">
        <v>11</v>
      </c>
      <c r="O159" s="82" t="str">
        <f t="shared" si="7"/>
        <v>OB1104A</v>
      </c>
      <c r="P159" s="83"/>
      <c r="Q159" s="84"/>
      <c r="R159" s="84"/>
      <c r="S159" s="85"/>
      <c r="T159" s="590"/>
      <c r="U159" s="86"/>
      <c r="V159" s="876"/>
      <c r="W159" s="770"/>
      <c r="X159" s="40"/>
      <c r="Y159" s="41"/>
      <c r="Z159" s="41"/>
      <c r="AA159" s="41"/>
      <c r="AB159" s="41"/>
      <c r="AC159" s="88"/>
      <c r="AD159" s="41"/>
      <c r="AE159" s="41"/>
      <c r="AF159" s="88"/>
    </row>
    <row r="160" spans="2:32" ht="17.25" customHeight="1">
      <c r="B160" s="75">
        <v>75</v>
      </c>
      <c r="C160" s="811"/>
      <c r="D160" s="792"/>
      <c r="E160" s="76" t="s">
        <v>10</v>
      </c>
      <c r="F160" s="77" t="str">
        <f t="shared" si="6"/>
        <v>IB1104B</v>
      </c>
      <c r="H160" s="90"/>
      <c r="I160" s="90"/>
      <c r="J160" s="91"/>
      <c r="K160" s="590"/>
      <c r="L160" s="81"/>
      <c r="M160" s="590"/>
      <c r="N160" s="76" t="s">
        <v>11</v>
      </c>
      <c r="O160" s="82" t="str">
        <f t="shared" si="7"/>
        <v>OB1104B</v>
      </c>
      <c r="P160" s="83"/>
      <c r="Q160" s="84"/>
      <c r="R160" s="84"/>
      <c r="S160" s="85"/>
      <c r="T160" s="590"/>
      <c r="U160" s="86"/>
      <c r="V160" s="876"/>
      <c r="W160" s="770"/>
      <c r="X160" s="40"/>
      <c r="Y160" s="41"/>
      <c r="Z160" s="41"/>
      <c r="AA160" s="41"/>
      <c r="AB160" s="41"/>
      <c r="AC160" s="88"/>
      <c r="AD160" s="41"/>
      <c r="AE160" s="41"/>
      <c r="AF160" s="88"/>
    </row>
    <row r="161" spans="2:32" ht="17.25" customHeight="1">
      <c r="B161" s="75">
        <v>76</v>
      </c>
      <c r="C161" s="811"/>
      <c r="D161" s="792"/>
      <c r="E161" s="76" t="s">
        <v>10</v>
      </c>
      <c r="F161" s="77" t="str">
        <f t="shared" si="6"/>
        <v>IB1104C</v>
      </c>
      <c r="G161" s="89"/>
      <c r="H161" s="90"/>
      <c r="I161" s="90"/>
      <c r="J161" s="91"/>
      <c r="K161" s="590"/>
      <c r="L161" s="81"/>
      <c r="M161" s="590"/>
      <c r="N161" s="76" t="s">
        <v>11</v>
      </c>
      <c r="O161" s="82" t="str">
        <f t="shared" si="7"/>
        <v>OB1104C</v>
      </c>
      <c r="P161" s="83"/>
      <c r="Q161" s="84"/>
      <c r="R161" s="84"/>
      <c r="S161" s="85"/>
      <c r="T161" s="590"/>
      <c r="U161" s="86"/>
      <c r="V161" s="876"/>
      <c r="W161" s="770"/>
      <c r="X161" s="40"/>
      <c r="Y161" s="41"/>
      <c r="Z161" s="41"/>
      <c r="AA161" s="40"/>
      <c r="AB161" s="41"/>
      <c r="AC161" s="88"/>
      <c r="AD161" s="40"/>
      <c r="AE161" s="41"/>
      <c r="AF161" s="88"/>
    </row>
    <row r="162" spans="2:32" ht="17.25" customHeight="1">
      <c r="B162" s="75">
        <v>77</v>
      </c>
      <c r="C162" s="811"/>
      <c r="D162" s="792"/>
      <c r="E162" s="76" t="s">
        <v>10</v>
      </c>
      <c r="F162" s="77" t="str">
        <f t="shared" si="6"/>
        <v>IB1104D</v>
      </c>
      <c r="G162" s="89"/>
      <c r="H162" s="90"/>
      <c r="I162" s="90"/>
      <c r="J162" s="91"/>
      <c r="K162" s="590"/>
      <c r="L162" s="81"/>
      <c r="M162" s="590"/>
      <c r="N162" s="76" t="s">
        <v>11</v>
      </c>
      <c r="O162" s="82" t="str">
        <f t="shared" si="7"/>
        <v>OB1104D</v>
      </c>
      <c r="P162" s="83"/>
      <c r="Q162" s="84"/>
      <c r="R162" s="84"/>
      <c r="S162" s="85"/>
      <c r="T162" s="590"/>
      <c r="U162" s="86"/>
      <c r="V162" s="876"/>
      <c r="W162" s="770"/>
      <c r="X162" s="40"/>
      <c r="Y162" s="41"/>
      <c r="Z162" s="41"/>
      <c r="AA162" s="40"/>
      <c r="AB162" s="41"/>
      <c r="AC162" s="88"/>
      <c r="AD162" s="40"/>
      <c r="AE162" s="41"/>
      <c r="AF162" s="88"/>
    </row>
    <row r="163" spans="2:32" ht="17.25" customHeight="1">
      <c r="B163" s="75">
        <v>78</v>
      </c>
      <c r="C163" s="811"/>
      <c r="D163" s="792"/>
      <c r="E163" s="76" t="s">
        <v>10</v>
      </c>
      <c r="F163" s="77" t="str">
        <f t="shared" si="6"/>
        <v>IB1104E</v>
      </c>
      <c r="G163" s="89"/>
      <c r="H163" s="90"/>
      <c r="I163" s="90"/>
      <c r="J163" s="91"/>
      <c r="K163" s="42"/>
      <c r="L163" s="93"/>
      <c r="M163" s="619"/>
      <c r="N163" s="76" t="s">
        <v>11</v>
      </c>
      <c r="O163" s="82" t="str">
        <f t="shared" si="7"/>
        <v>OB1104E</v>
      </c>
      <c r="P163" s="83"/>
      <c r="Q163" s="84"/>
      <c r="R163" s="84"/>
      <c r="S163" s="85"/>
      <c r="T163" s="590"/>
      <c r="U163" s="86"/>
      <c r="V163" s="876"/>
      <c r="W163" s="770"/>
      <c r="X163" s="40"/>
      <c r="Y163" s="41"/>
      <c r="Z163" s="41"/>
      <c r="AA163" s="40"/>
      <c r="AB163" s="41"/>
      <c r="AC163" s="88"/>
      <c r="AD163" s="40"/>
      <c r="AE163" s="41"/>
      <c r="AF163" s="88"/>
    </row>
    <row r="164" spans="2:32" ht="17.25" customHeight="1">
      <c r="B164" s="75">
        <v>79</v>
      </c>
      <c r="C164" s="812"/>
      <c r="D164" s="814"/>
      <c r="E164" s="76" t="s">
        <v>10</v>
      </c>
      <c r="F164" s="77" t="str">
        <f t="shared" si="6"/>
        <v>IB1104F</v>
      </c>
      <c r="G164" s="89"/>
      <c r="H164" s="90"/>
      <c r="I164" s="90"/>
      <c r="J164" s="91"/>
      <c r="K164" s="590"/>
      <c r="L164" s="81"/>
      <c r="M164" s="590"/>
      <c r="N164" s="76" t="s">
        <v>11</v>
      </c>
      <c r="O164" s="82" t="str">
        <f t="shared" si="7"/>
        <v>OB1104F</v>
      </c>
      <c r="P164" s="311"/>
      <c r="Q164" s="312"/>
      <c r="R164" s="312"/>
      <c r="S164" s="313"/>
      <c r="T164" s="590"/>
      <c r="U164" s="86"/>
      <c r="V164" s="876"/>
      <c r="W164" s="770"/>
      <c r="X164" s="40"/>
      <c r="Y164" s="41"/>
      <c r="Z164" s="41"/>
      <c r="AA164" s="40"/>
      <c r="AB164" s="41"/>
      <c r="AC164" s="88"/>
      <c r="AD164" s="40"/>
      <c r="AE164" s="41"/>
      <c r="AF164" s="88"/>
    </row>
    <row r="165" spans="2:32" ht="17.25" customHeight="1">
      <c r="B165" s="75">
        <v>80</v>
      </c>
      <c r="C165" s="810" t="s">
        <v>1578</v>
      </c>
      <c r="D165" s="821"/>
      <c r="E165" s="76" t="s">
        <v>10</v>
      </c>
      <c r="F165" s="77" t="str">
        <f t="shared" si="6"/>
        <v>IB11050</v>
      </c>
      <c r="G165" s="83"/>
      <c r="H165" s="84"/>
      <c r="I165" s="84"/>
      <c r="J165" s="85"/>
      <c r="K165" s="590"/>
      <c r="L165" s="81"/>
      <c r="M165" s="590"/>
      <c r="N165" s="76" t="s">
        <v>11</v>
      </c>
      <c r="O165" s="82" t="str">
        <f t="shared" si="7"/>
        <v>OB11050</v>
      </c>
      <c r="P165" s="83"/>
      <c r="Q165" s="84"/>
      <c r="R165" s="84"/>
      <c r="S165" s="85"/>
      <c r="T165" s="590"/>
      <c r="U165" s="86"/>
      <c r="V165" s="876"/>
      <c r="W165" s="770"/>
      <c r="X165" s="40"/>
      <c r="Y165" s="41"/>
      <c r="Z165" s="41"/>
      <c r="AA165" s="40"/>
      <c r="AB165" s="41"/>
      <c r="AC165" s="88"/>
      <c r="AD165" s="40"/>
      <c r="AE165" s="41"/>
      <c r="AF165" s="88"/>
    </row>
    <row r="166" spans="2:32" ht="17.25" customHeight="1">
      <c r="B166" s="75">
        <v>81</v>
      </c>
      <c r="C166" s="811"/>
      <c r="D166" s="792"/>
      <c r="E166" s="76" t="s">
        <v>10</v>
      </c>
      <c r="F166" s="77" t="str">
        <f t="shared" si="6"/>
        <v>IB11051</v>
      </c>
      <c r="G166" s="83"/>
      <c r="H166" s="84"/>
      <c r="I166" s="84"/>
      <c r="J166" s="85"/>
      <c r="K166" s="590"/>
      <c r="L166" s="81"/>
      <c r="M166" s="590"/>
      <c r="N166" s="76" t="s">
        <v>11</v>
      </c>
      <c r="O166" s="82" t="str">
        <f t="shared" si="7"/>
        <v>OB11051</v>
      </c>
      <c r="P166" s="83"/>
      <c r="Q166" s="84"/>
      <c r="R166" s="84"/>
      <c r="S166" s="85"/>
      <c r="T166" s="590"/>
      <c r="U166" s="86"/>
      <c r="V166" s="876"/>
      <c r="W166" s="770"/>
      <c r="X166" s="40"/>
      <c r="Y166" s="41"/>
      <c r="Z166" s="41"/>
      <c r="AA166" s="40"/>
      <c r="AB166" s="41"/>
      <c r="AC166" s="88"/>
      <c r="AD166" s="40"/>
      <c r="AE166" s="41"/>
      <c r="AF166" s="88"/>
    </row>
    <row r="167" spans="2:32" ht="17.25" customHeight="1">
      <c r="B167" s="75">
        <v>82</v>
      </c>
      <c r="C167" s="811"/>
      <c r="D167" s="792"/>
      <c r="E167" s="76" t="s">
        <v>10</v>
      </c>
      <c r="F167" s="77" t="str">
        <f t="shared" si="6"/>
        <v>IB11052</v>
      </c>
      <c r="G167" s="83"/>
      <c r="H167" s="84"/>
      <c r="I167" s="84"/>
      <c r="J167" s="85"/>
      <c r="K167" s="590"/>
      <c r="L167" s="81"/>
      <c r="M167" s="590"/>
      <c r="N167" s="76" t="s">
        <v>11</v>
      </c>
      <c r="O167" s="82" t="str">
        <f t="shared" si="7"/>
        <v>OB11052</v>
      </c>
      <c r="P167" s="83"/>
      <c r="Q167" s="84"/>
      <c r="R167" s="84"/>
      <c r="S167" s="85"/>
      <c r="T167" s="590"/>
      <c r="U167" s="86"/>
      <c r="V167" s="876"/>
      <c r="W167" s="770"/>
      <c r="X167" s="40"/>
      <c r="Y167" s="41"/>
      <c r="Z167" s="41"/>
      <c r="AA167" s="40"/>
      <c r="AB167" s="41"/>
      <c r="AC167" s="88"/>
      <c r="AD167" s="40"/>
      <c r="AE167" s="41"/>
      <c r="AF167" s="88"/>
    </row>
    <row r="168" spans="2:32" ht="17.25" customHeight="1">
      <c r="B168" s="75">
        <v>83</v>
      </c>
      <c r="C168" s="811"/>
      <c r="D168" s="792"/>
      <c r="E168" s="76" t="s">
        <v>10</v>
      </c>
      <c r="F168" s="77" t="str">
        <f t="shared" si="6"/>
        <v>IB11053</v>
      </c>
      <c r="G168" s="83"/>
      <c r="H168" s="84"/>
      <c r="I168" s="84"/>
      <c r="J168" s="85"/>
      <c r="K168" s="590"/>
      <c r="L168" s="81"/>
      <c r="M168" s="590"/>
      <c r="N168" s="76" t="s">
        <v>11</v>
      </c>
      <c r="O168" s="82" t="str">
        <f t="shared" si="7"/>
        <v>OB11053</v>
      </c>
      <c r="P168" s="83"/>
      <c r="Q168" s="84"/>
      <c r="R168" s="84"/>
      <c r="S168" s="85"/>
      <c r="T168" s="590"/>
      <c r="U168" s="86"/>
      <c r="V168" s="876"/>
      <c r="W168" s="770"/>
      <c r="X168" s="40"/>
      <c r="Y168" s="41"/>
      <c r="Z168" s="41"/>
      <c r="AA168" s="40"/>
      <c r="AB168" s="41"/>
      <c r="AC168" s="88"/>
      <c r="AD168" s="40"/>
      <c r="AE168" s="41"/>
      <c r="AF168" s="88"/>
    </row>
    <row r="169" spans="2:32" ht="17.25" customHeight="1">
      <c r="B169" s="75">
        <v>84</v>
      </c>
      <c r="C169" s="811"/>
      <c r="D169" s="792"/>
      <c r="E169" s="76" t="s">
        <v>10</v>
      </c>
      <c r="F169" s="77" t="str">
        <f t="shared" si="6"/>
        <v>IB11054</v>
      </c>
      <c r="G169" s="83"/>
      <c r="H169" s="84"/>
      <c r="I169" s="84"/>
      <c r="J169" s="85"/>
      <c r="K169" s="590"/>
      <c r="L169" s="81"/>
      <c r="M169" s="590"/>
      <c r="N169" s="76" t="s">
        <v>11</v>
      </c>
      <c r="O169" s="82" t="str">
        <f t="shared" si="7"/>
        <v>OB11054</v>
      </c>
      <c r="P169" s="83"/>
      <c r="Q169" s="84"/>
      <c r="R169" s="84"/>
      <c r="S169" s="85"/>
      <c r="T169" s="590"/>
      <c r="U169" s="86"/>
      <c r="V169" s="876"/>
      <c r="W169" s="770"/>
      <c r="X169" s="40"/>
      <c r="Y169" s="41"/>
      <c r="Z169" s="41"/>
      <c r="AA169" s="40"/>
      <c r="AB169" s="41"/>
      <c r="AC169" s="88"/>
      <c r="AD169" s="40"/>
      <c r="AE169" s="41"/>
      <c r="AF169" s="88"/>
    </row>
    <row r="170" spans="2:32" ht="17.25" customHeight="1">
      <c r="B170" s="75">
        <v>85</v>
      </c>
      <c r="C170" s="811"/>
      <c r="D170" s="792"/>
      <c r="E170" s="76" t="s">
        <v>10</v>
      </c>
      <c r="F170" s="77" t="str">
        <f t="shared" si="6"/>
        <v>IB11055</v>
      </c>
      <c r="G170" s="83"/>
      <c r="H170" s="84"/>
      <c r="I170" s="84"/>
      <c r="J170" s="85"/>
      <c r="K170" s="590"/>
      <c r="L170" s="81"/>
      <c r="M170" s="590"/>
      <c r="N170" s="76" t="s">
        <v>11</v>
      </c>
      <c r="O170" s="82" t="str">
        <f t="shared" si="7"/>
        <v>OB11055</v>
      </c>
      <c r="P170" s="83"/>
      <c r="Q170" s="84"/>
      <c r="R170" s="84"/>
      <c r="S170" s="85"/>
      <c r="T170" s="590"/>
      <c r="U170" s="86"/>
      <c r="V170" s="876"/>
      <c r="W170" s="770"/>
      <c r="X170" s="40"/>
      <c r="Y170" s="41"/>
      <c r="Z170" s="41"/>
      <c r="AA170" s="40"/>
      <c r="AB170" s="41"/>
      <c r="AC170" s="88"/>
      <c r="AD170" s="40"/>
      <c r="AE170" s="41"/>
      <c r="AF170" s="88"/>
    </row>
    <row r="171" spans="2:32" ht="17.25" customHeight="1">
      <c r="B171" s="75">
        <v>86</v>
      </c>
      <c r="C171" s="811"/>
      <c r="D171" s="792"/>
      <c r="E171" s="76" t="s">
        <v>10</v>
      </c>
      <c r="F171" s="77" t="str">
        <f t="shared" si="6"/>
        <v>IB11056</v>
      </c>
      <c r="G171" s="83"/>
      <c r="H171" s="84"/>
      <c r="I171" s="84"/>
      <c r="J171" s="85"/>
      <c r="K171" s="590"/>
      <c r="L171" s="81"/>
      <c r="M171" s="590"/>
      <c r="N171" s="76" t="s">
        <v>11</v>
      </c>
      <c r="O171" s="82" t="str">
        <f t="shared" si="7"/>
        <v>OB11056</v>
      </c>
      <c r="P171" s="83"/>
      <c r="Q171" s="84"/>
      <c r="R171" s="84"/>
      <c r="S171" s="85"/>
      <c r="T171" s="590"/>
      <c r="U171" s="86"/>
      <c r="V171" s="876"/>
      <c r="W171" s="770"/>
      <c r="X171" s="40"/>
      <c r="Y171" s="41"/>
      <c r="Z171" s="41"/>
      <c r="AA171" s="40"/>
      <c r="AB171" s="41"/>
      <c r="AC171" s="88"/>
      <c r="AD171" s="40"/>
      <c r="AE171" s="41"/>
      <c r="AF171" s="88"/>
    </row>
    <row r="172" spans="2:32" ht="17.25" customHeight="1">
      <c r="B172" s="75">
        <v>87</v>
      </c>
      <c r="C172" s="811"/>
      <c r="D172" s="792"/>
      <c r="E172" s="76" t="s">
        <v>10</v>
      </c>
      <c r="F172" s="77" t="str">
        <f t="shared" si="6"/>
        <v>IB11057</v>
      </c>
      <c r="G172" s="83"/>
      <c r="H172" s="84"/>
      <c r="I172" s="84"/>
      <c r="J172" s="85"/>
      <c r="K172" s="590"/>
      <c r="L172" s="81"/>
      <c r="M172" s="590"/>
      <c r="N172" s="76" t="s">
        <v>11</v>
      </c>
      <c r="O172" s="82" t="str">
        <f t="shared" si="7"/>
        <v>OB11057</v>
      </c>
      <c r="P172" s="83"/>
      <c r="Q172" s="84"/>
      <c r="R172" s="84"/>
      <c r="S172" s="85"/>
      <c r="T172" s="590"/>
      <c r="U172" s="86"/>
      <c r="V172" s="876"/>
      <c r="W172" s="770"/>
      <c r="X172" s="40"/>
      <c r="Y172" s="41"/>
      <c r="Z172" s="41"/>
      <c r="AA172" s="40"/>
      <c r="AB172" s="41"/>
      <c r="AC172" s="88"/>
      <c r="AD172" s="40"/>
      <c r="AE172" s="41"/>
      <c r="AF172" s="88"/>
    </row>
    <row r="173" spans="2:32" ht="17.25" customHeight="1">
      <c r="B173" s="75">
        <v>88</v>
      </c>
      <c r="C173" s="811"/>
      <c r="D173" s="792"/>
      <c r="E173" s="76" t="s">
        <v>10</v>
      </c>
      <c r="F173" s="77" t="str">
        <f t="shared" si="6"/>
        <v>IB11058</v>
      </c>
      <c r="G173" s="83"/>
      <c r="H173" s="84"/>
      <c r="I173" s="84"/>
      <c r="J173" s="85"/>
      <c r="K173" s="590"/>
      <c r="L173" s="81"/>
      <c r="M173" s="590"/>
      <c r="N173" s="76" t="s">
        <v>11</v>
      </c>
      <c r="O173" s="82" t="str">
        <f t="shared" si="7"/>
        <v>OB11058</v>
      </c>
      <c r="P173" s="83"/>
      <c r="Q173" s="84"/>
      <c r="R173" s="84"/>
      <c r="S173" s="85"/>
      <c r="T173" s="590"/>
      <c r="U173" s="86"/>
      <c r="V173" s="876"/>
      <c r="W173" s="770"/>
      <c r="X173" s="40"/>
      <c r="Y173" s="41"/>
      <c r="Z173" s="41"/>
      <c r="AA173" s="41"/>
      <c r="AB173" s="41"/>
      <c r="AC173" s="88"/>
      <c r="AD173" s="41"/>
      <c r="AE173" s="41"/>
      <c r="AF173" s="88"/>
    </row>
    <row r="174" spans="2:32" ht="17.25" customHeight="1">
      <c r="B174" s="75">
        <v>89</v>
      </c>
      <c r="C174" s="811"/>
      <c r="D174" s="792"/>
      <c r="E174" s="76" t="s">
        <v>10</v>
      </c>
      <c r="F174" s="77" t="str">
        <f t="shared" si="6"/>
        <v>IB11059</v>
      </c>
      <c r="G174" s="83"/>
      <c r="H174" s="84"/>
      <c r="I174" s="84"/>
      <c r="J174" s="85"/>
      <c r="K174" s="590"/>
      <c r="L174" s="81"/>
      <c r="M174" s="590"/>
      <c r="N174" s="76" t="s">
        <v>11</v>
      </c>
      <c r="O174" s="82" t="str">
        <f t="shared" si="7"/>
        <v>OB11059</v>
      </c>
      <c r="P174" s="83"/>
      <c r="Q174" s="84"/>
      <c r="R174" s="84"/>
      <c r="S174" s="85"/>
      <c r="T174" s="590"/>
      <c r="U174" s="86"/>
      <c r="V174" s="876"/>
      <c r="W174" s="770"/>
      <c r="X174" s="40"/>
      <c r="Y174" s="41"/>
      <c r="Z174" s="41"/>
      <c r="AA174" s="41"/>
      <c r="AB174" s="41"/>
      <c r="AC174" s="88"/>
      <c r="AD174" s="41"/>
      <c r="AE174" s="41"/>
      <c r="AF174" s="88"/>
    </row>
    <row r="175" spans="2:32" ht="17.25" customHeight="1">
      <c r="B175" s="75">
        <v>90</v>
      </c>
      <c r="C175" s="811"/>
      <c r="D175" s="792"/>
      <c r="E175" s="76" t="s">
        <v>10</v>
      </c>
      <c r="F175" s="77" t="str">
        <f t="shared" si="6"/>
        <v>IB1105A</v>
      </c>
      <c r="G175" s="83"/>
      <c r="H175" s="84"/>
      <c r="I175" s="84"/>
      <c r="J175" s="85"/>
      <c r="K175" s="590"/>
      <c r="L175" s="95"/>
      <c r="M175" s="94"/>
      <c r="N175" s="76" t="s">
        <v>11</v>
      </c>
      <c r="O175" s="82" t="str">
        <f t="shared" si="7"/>
        <v>OB1105A</v>
      </c>
      <c r="P175" s="83"/>
      <c r="Q175" s="84"/>
      <c r="R175" s="84"/>
      <c r="S175" s="85"/>
      <c r="T175" s="590"/>
      <c r="U175" s="86"/>
      <c r="V175" s="876"/>
      <c r="W175" s="770"/>
      <c r="X175" s="41"/>
      <c r="Y175" s="41"/>
      <c r="Z175" s="41"/>
      <c r="AA175" s="41"/>
      <c r="AB175" s="41"/>
      <c r="AC175" s="88"/>
      <c r="AD175" s="41"/>
      <c r="AE175" s="41"/>
      <c r="AF175" s="88"/>
    </row>
    <row r="176" spans="2:32" ht="17.25" customHeight="1">
      <c r="B176" s="75">
        <v>91</v>
      </c>
      <c r="C176" s="811"/>
      <c r="D176" s="792"/>
      <c r="E176" s="76" t="s">
        <v>10</v>
      </c>
      <c r="F176" s="77" t="str">
        <f t="shared" si="6"/>
        <v>IB1105B</v>
      </c>
      <c r="G176" s="83"/>
      <c r="H176" s="84"/>
      <c r="I176" s="84"/>
      <c r="J176" s="85"/>
      <c r="K176" s="590"/>
      <c r="L176" s="95"/>
      <c r="M176" s="94"/>
      <c r="N176" s="76" t="s">
        <v>11</v>
      </c>
      <c r="O176" s="82" t="str">
        <f t="shared" si="7"/>
        <v>OB1105B</v>
      </c>
      <c r="P176" s="83"/>
      <c r="Q176" s="84"/>
      <c r="R176" s="84"/>
      <c r="S176" s="85"/>
      <c r="T176" s="590"/>
      <c r="U176" s="86"/>
      <c r="V176" s="876"/>
      <c r="W176" s="770"/>
      <c r="X176" s="41"/>
      <c r="Y176" s="41"/>
      <c r="Z176" s="41"/>
      <c r="AA176" s="41"/>
      <c r="AB176" s="41"/>
      <c r="AC176" s="88"/>
      <c r="AD176" s="41"/>
      <c r="AE176" s="41"/>
      <c r="AF176" s="88"/>
    </row>
    <row r="177" spans="2:32" ht="17.25" customHeight="1">
      <c r="B177" s="75">
        <v>92</v>
      </c>
      <c r="C177" s="811"/>
      <c r="D177" s="792"/>
      <c r="E177" s="76" t="s">
        <v>10</v>
      </c>
      <c r="F177" s="77" t="str">
        <f t="shared" si="6"/>
        <v>IB1105C</v>
      </c>
      <c r="G177" s="83"/>
      <c r="H177" s="84"/>
      <c r="I177" s="84"/>
      <c r="J177" s="85"/>
      <c r="K177" s="590"/>
      <c r="L177" s="81"/>
      <c r="M177" s="590"/>
      <c r="N177" s="76" t="s">
        <v>11</v>
      </c>
      <c r="O177" s="82" t="str">
        <f t="shared" si="7"/>
        <v>OB1105C</v>
      </c>
      <c r="P177" s="83"/>
      <c r="Q177" s="84"/>
      <c r="R177" s="84"/>
      <c r="S177" s="85"/>
      <c r="T177" s="590"/>
      <c r="U177" s="86"/>
      <c r="V177" s="876"/>
      <c r="W177" s="770"/>
      <c r="X177" s="41"/>
      <c r="Y177" s="41"/>
      <c r="Z177" s="41"/>
      <c r="AA177" s="41"/>
      <c r="AB177" s="41"/>
      <c r="AC177" s="88"/>
      <c r="AD177" s="41"/>
      <c r="AE177" s="41"/>
      <c r="AF177" s="88"/>
    </row>
    <row r="178" spans="2:32" ht="17.25" customHeight="1">
      <c r="B178" s="75">
        <v>93</v>
      </c>
      <c r="C178" s="811"/>
      <c r="D178" s="792"/>
      <c r="E178" s="76" t="s">
        <v>10</v>
      </c>
      <c r="F178" s="77" t="str">
        <f t="shared" si="6"/>
        <v>IB1105D</v>
      </c>
      <c r="G178" s="83"/>
      <c r="H178" s="84"/>
      <c r="I178" s="84"/>
      <c r="J178" s="85"/>
      <c r="K178" s="590"/>
      <c r="L178" s="81"/>
      <c r="M178" s="590"/>
      <c r="N178" s="76" t="s">
        <v>11</v>
      </c>
      <c r="O178" s="82" t="str">
        <f t="shared" si="7"/>
        <v>OB1105D</v>
      </c>
      <c r="P178" s="83"/>
      <c r="Q178" s="84"/>
      <c r="R178" s="84"/>
      <c r="S178" s="85"/>
      <c r="T178" s="590"/>
      <c r="U178" s="86"/>
      <c r="V178" s="876"/>
      <c r="W178" s="770"/>
      <c r="X178" s="40"/>
      <c r="Y178" s="41"/>
      <c r="Z178" s="41"/>
      <c r="AA178" s="41"/>
      <c r="AB178" s="41"/>
      <c r="AC178" s="88"/>
      <c r="AD178" s="41"/>
      <c r="AE178" s="41"/>
      <c r="AF178" s="88"/>
    </row>
    <row r="179" spans="2:32" ht="17.25" customHeight="1">
      <c r="B179" s="75">
        <v>94</v>
      </c>
      <c r="C179" s="811"/>
      <c r="D179" s="792"/>
      <c r="E179" s="76" t="s">
        <v>10</v>
      </c>
      <c r="F179" s="77" t="str">
        <f t="shared" si="6"/>
        <v>IB1105E</v>
      </c>
      <c r="G179" s="83"/>
      <c r="H179" s="84"/>
      <c r="I179" s="84"/>
      <c r="J179" s="85"/>
      <c r="K179" s="590"/>
      <c r="L179" s="81"/>
      <c r="M179" s="590"/>
      <c r="N179" s="76" t="s">
        <v>11</v>
      </c>
      <c r="O179" s="82" t="str">
        <f t="shared" si="7"/>
        <v>OB1105E</v>
      </c>
      <c r="P179" s="83"/>
      <c r="Q179" s="84"/>
      <c r="R179" s="84"/>
      <c r="S179" s="85"/>
      <c r="T179" s="590"/>
      <c r="U179" s="86"/>
      <c r="V179" s="876"/>
      <c r="W179" s="770"/>
      <c r="X179" s="40"/>
      <c r="Y179" s="41"/>
      <c r="Z179" s="41"/>
      <c r="AA179" s="41"/>
      <c r="AB179" s="41"/>
      <c r="AC179" s="88"/>
      <c r="AD179" s="41"/>
      <c r="AE179" s="41"/>
      <c r="AF179" s="88"/>
    </row>
    <row r="180" spans="2:32" ht="17.25" customHeight="1">
      <c r="B180" s="75">
        <v>95</v>
      </c>
      <c r="C180" s="812"/>
      <c r="D180" s="814"/>
      <c r="E180" s="76" t="s">
        <v>10</v>
      </c>
      <c r="F180" s="77" t="str">
        <f t="shared" si="6"/>
        <v>IB1105F</v>
      </c>
      <c r="G180" s="311"/>
      <c r="H180" s="312"/>
      <c r="I180" s="312"/>
      <c r="J180" s="313"/>
      <c r="K180" s="590"/>
      <c r="L180" s="81"/>
      <c r="M180" s="590"/>
      <c r="N180" s="76" t="s">
        <v>11</v>
      </c>
      <c r="O180" s="82" t="str">
        <f t="shared" si="7"/>
        <v>OB1105F</v>
      </c>
      <c r="P180" s="311"/>
      <c r="Q180" s="312"/>
      <c r="R180" s="312"/>
      <c r="S180" s="313"/>
      <c r="T180" s="590"/>
      <c r="U180" s="86"/>
      <c r="V180" s="876"/>
      <c r="W180" s="770"/>
      <c r="X180" s="40"/>
      <c r="Y180" s="41"/>
      <c r="Z180" s="41"/>
      <c r="AA180" s="41"/>
      <c r="AB180" s="41"/>
      <c r="AC180" s="88"/>
      <c r="AD180" s="41"/>
      <c r="AE180" s="41"/>
      <c r="AF180" s="88"/>
    </row>
    <row r="181" spans="2:32" ht="17.25" customHeight="1">
      <c r="B181" s="75">
        <v>96</v>
      </c>
      <c r="C181" s="822" t="s">
        <v>1579</v>
      </c>
      <c r="D181" s="825" t="s">
        <v>1404</v>
      </c>
      <c r="E181" s="76" t="s">
        <v>10</v>
      </c>
      <c r="F181" s="77" t="str">
        <f t="shared" si="6"/>
        <v>IB11060</v>
      </c>
      <c r="G181" s="89" t="s">
        <v>307</v>
      </c>
      <c r="H181" s="90"/>
      <c r="I181" s="90"/>
      <c r="J181" s="91"/>
      <c r="K181" s="590" t="s">
        <v>1513</v>
      </c>
      <c r="L181" s="81"/>
      <c r="M181" s="590"/>
      <c r="N181" s="76" t="s">
        <v>11</v>
      </c>
      <c r="O181" s="82" t="str">
        <f t="shared" si="7"/>
        <v>OB11060</v>
      </c>
      <c r="P181" s="83"/>
      <c r="Q181" s="84"/>
      <c r="R181" s="84"/>
      <c r="S181" s="85"/>
      <c r="T181" s="590"/>
      <c r="U181" s="86"/>
      <c r="V181" s="876"/>
      <c r="W181" s="770"/>
      <c r="X181" s="40"/>
      <c r="Y181" s="41"/>
      <c r="Z181" s="41"/>
      <c r="AA181" s="41"/>
      <c r="AB181" s="41"/>
      <c r="AC181" s="88"/>
      <c r="AD181" s="41"/>
      <c r="AE181" s="41"/>
      <c r="AF181" s="88"/>
    </row>
    <row r="182" spans="2:32" ht="17.25" customHeight="1">
      <c r="B182" s="75">
        <v>97</v>
      </c>
      <c r="C182" s="823"/>
      <c r="D182" s="792"/>
      <c r="E182" s="76" t="s">
        <v>10</v>
      </c>
      <c r="F182" s="77" t="str">
        <f t="shared" si="6"/>
        <v>IB11061</v>
      </c>
      <c r="G182" s="826" t="s">
        <v>339</v>
      </c>
      <c r="H182" s="827"/>
      <c r="I182" s="827"/>
      <c r="J182" s="828"/>
      <c r="K182" s="590" t="s">
        <v>1513</v>
      </c>
      <c r="L182" s="81"/>
      <c r="M182" s="590"/>
      <c r="N182" s="76" t="s">
        <v>11</v>
      </c>
      <c r="O182" s="82" t="str">
        <f t="shared" si="7"/>
        <v>OB11061</v>
      </c>
      <c r="P182" s="83"/>
      <c r="Q182" s="84"/>
      <c r="R182" s="84"/>
      <c r="S182" s="85"/>
      <c r="T182" s="590"/>
      <c r="U182" s="86"/>
      <c r="V182" s="876"/>
      <c r="W182" s="770"/>
      <c r="X182" s="40"/>
      <c r="Y182" s="41"/>
      <c r="Z182" s="41"/>
      <c r="AA182" s="41"/>
      <c r="AB182" s="41"/>
      <c r="AC182" s="88"/>
      <c r="AD182" s="41"/>
      <c r="AE182" s="41"/>
      <c r="AF182" s="88"/>
    </row>
    <row r="183" spans="2:32" ht="17.25" customHeight="1">
      <c r="B183" s="75">
        <v>98</v>
      </c>
      <c r="C183" s="823"/>
      <c r="D183" s="792"/>
      <c r="E183" s="76" t="s">
        <v>10</v>
      </c>
      <c r="F183" s="77" t="str">
        <f t="shared" si="6"/>
        <v>IB11062</v>
      </c>
      <c r="G183" s="89" t="s">
        <v>340</v>
      </c>
      <c r="H183" s="90"/>
      <c r="I183" s="90"/>
      <c r="J183" s="91"/>
      <c r="K183" s="590" t="s">
        <v>1513</v>
      </c>
      <c r="L183" s="81"/>
      <c r="M183" s="590"/>
      <c r="N183" s="76" t="s">
        <v>11</v>
      </c>
      <c r="O183" s="82" t="str">
        <f t="shared" si="7"/>
        <v>OB11062</v>
      </c>
      <c r="P183" s="83"/>
      <c r="Q183" s="84"/>
      <c r="R183" s="84"/>
      <c r="S183" s="85"/>
      <c r="T183" s="590"/>
      <c r="U183" s="86"/>
      <c r="V183" s="876"/>
      <c r="W183" s="770"/>
      <c r="X183" s="40"/>
      <c r="Y183" s="41"/>
      <c r="Z183" s="41"/>
      <c r="AA183" s="41"/>
      <c r="AB183" s="41"/>
      <c r="AC183" s="88"/>
      <c r="AD183" s="41"/>
      <c r="AE183" s="41"/>
      <c r="AF183" s="88"/>
    </row>
    <row r="184" spans="2:32" ht="17.25" customHeight="1">
      <c r="B184" s="75">
        <v>99</v>
      </c>
      <c r="C184" s="823"/>
      <c r="D184" s="792"/>
      <c r="E184" s="76" t="s">
        <v>10</v>
      </c>
      <c r="F184" s="77" t="str">
        <f t="shared" si="6"/>
        <v>IB11063</v>
      </c>
      <c r="G184" s="89" t="s">
        <v>341</v>
      </c>
      <c r="H184" s="90"/>
      <c r="I184" s="90"/>
      <c r="J184" s="91"/>
      <c r="K184" s="590" t="s">
        <v>1513</v>
      </c>
      <c r="L184" s="95"/>
      <c r="M184" s="94"/>
      <c r="N184" s="76" t="s">
        <v>11</v>
      </c>
      <c r="O184" s="82" t="str">
        <f t="shared" si="7"/>
        <v>OB11063</v>
      </c>
      <c r="P184" s="83"/>
      <c r="Q184" s="84"/>
      <c r="R184" s="84"/>
      <c r="S184" s="85"/>
      <c r="T184" s="590"/>
      <c r="U184" s="86"/>
      <c r="V184" s="876"/>
      <c r="W184" s="770"/>
      <c r="X184" s="40"/>
      <c r="Y184" s="41"/>
      <c r="Z184" s="41"/>
      <c r="AA184" s="41"/>
      <c r="AB184" s="41"/>
      <c r="AC184" s="88"/>
      <c r="AD184" s="41"/>
      <c r="AE184" s="41"/>
      <c r="AF184" s="88"/>
    </row>
    <row r="185" spans="2:32" ht="17.25" customHeight="1">
      <c r="B185" s="75">
        <v>100</v>
      </c>
      <c r="C185" s="823"/>
      <c r="D185" s="792"/>
      <c r="E185" s="76" t="s">
        <v>10</v>
      </c>
      <c r="F185" s="77" t="str">
        <f t="shared" si="6"/>
        <v>IB11064</v>
      </c>
      <c r="G185" s="89" t="s">
        <v>342</v>
      </c>
      <c r="H185" s="90"/>
      <c r="I185" s="90"/>
      <c r="J185" s="91"/>
      <c r="K185" s="590" t="s">
        <v>1513</v>
      </c>
      <c r="L185" s="95"/>
      <c r="M185" s="94"/>
      <c r="N185" s="76" t="s">
        <v>11</v>
      </c>
      <c r="O185" s="82" t="str">
        <f t="shared" si="7"/>
        <v>OB11064</v>
      </c>
      <c r="P185" s="83"/>
      <c r="Q185" s="84"/>
      <c r="R185" s="84"/>
      <c r="S185" s="85"/>
      <c r="T185" s="590"/>
      <c r="U185" s="86"/>
      <c r="V185" s="876"/>
      <c r="W185" s="770"/>
      <c r="X185" s="40"/>
      <c r="Y185" s="41"/>
      <c r="Z185" s="41"/>
      <c r="AA185" s="41"/>
      <c r="AB185" s="41"/>
      <c r="AC185" s="88"/>
      <c r="AD185" s="41"/>
      <c r="AE185" s="41"/>
      <c r="AF185" s="88"/>
    </row>
    <row r="186" spans="2:32" ht="17.25" customHeight="1">
      <c r="B186" s="75">
        <v>101</v>
      </c>
      <c r="C186" s="823"/>
      <c r="D186" s="792"/>
      <c r="E186" s="76" t="s">
        <v>10</v>
      </c>
      <c r="F186" s="77" t="str">
        <f t="shared" si="6"/>
        <v>IB11065</v>
      </c>
      <c r="G186" s="89" t="s">
        <v>343</v>
      </c>
      <c r="H186" s="90"/>
      <c r="I186" s="90"/>
      <c r="J186" s="91"/>
      <c r="K186" s="590" t="s">
        <v>1513</v>
      </c>
      <c r="L186" s="95"/>
      <c r="M186" s="94"/>
      <c r="N186" s="76" t="s">
        <v>11</v>
      </c>
      <c r="O186" s="82" t="str">
        <f t="shared" si="7"/>
        <v>OB11065</v>
      </c>
      <c r="P186" s="83"/>
      <c r="Q186" s="84"/>
      <c r="R186" s="84"/>
      <c r="S186" s="85"/>
      <c r="T186" s="590"/>
      <c r="U186" s="86"/>
      <c r="V186" s="876"/>
      <c r="W186" s="770"/>
      <c r="X186" s="40"/>
      <c r="Y186" s="41"/>
      <c r="Z186" s="41"/>
      <c r="AA186" s="41"/>
      <c r="AB186" s="41"/>
      <c r="AC186" s="88"/>
      <c r="AD186" s="41"/>
      <c r="AE186" s="41"/>
      <c r="AF186" s="88"/>
    </row>
    <row r="187" spans="2:32" ht="17.25" customHeight="1">
      <c r="B187" s="75">
        <v>102</v>
      </c>
      <c r="C187" s="823"/>
      <c r="D187" s="792"/>
      <c r="E187" s="76" t="s">
        <v>10</v>
      </c>
      <c r="F187" s="77" t="str">
        <f t="shared" si="6"/>
        <v>IB11066</v>
      </c>
      <c r="G187" s="89" t="s">
        <v>344</v>
      </c>
      <c r="H187" s="90"/>
      <c r="I187" s="90"/>
      <c r="J187" s="91"/>
      <c r="K187" s="590" t="s">
        <v>1513</v>
      </c>
      <c r="L187" s="95"/>
      <c r="M187" s="94"/>
      <c r="N187" s="76" t="s">
        <v>11</v>
      </c>
      <c r="O187" s="82" t="str">
        <f t="shared" si="7"/>
        <v>OB11066</v>
      </c>
      <c r="P187" s="83"/>
      <c r="Q187" s="84"/>
      <c r="R187" s="84"/>
      <c r="S187" s="85"/>
      <c r="T187" s="590"/>
      <c r="U187" s="86"/>
      <c r="V187" s="876"/>
      <c r="W187" s="770"/>
      <c r="X187" s="40"/>
      <c r="Y187" s="41"/>
      <c r="Z187" s="41"/>
      <c r="AA187" s="41"/>
      <c r="AB187" s="41"/>
      <c r="AC187" s="88"/>
      <c r="AD187" s="41"/>
      <c r="AE187" s="41"/>
      <c r="AF187" s="88"/>
    </row>
    <row r="188" spans="2:32" ht="17.25" customHeight="1">
      <c r="B188" s="75">
        <v>103</v>
      </c>
      <c r="C188" s="823"/>
      <c r="D188" s="792"/>
      <c r="E188" s="76" t="s">
        <v>10</v>
      </c>
      <c r="F188" s="77" t="str">
        <f t="shared" si="6"/>
        <v>IB11067</v>
      </c>
      <c r="G188" s="89" t="s">
        <v>345</v>
      </c>
      <c r="H188" s="90"/>
      <c r="I188" s="90"/>
      <c r="J188" s="91"/>
      <c r="K188" s="590" t="s">
        <v>1513</v>
      </c>
      <c r="L188" s="95"/>
      <c r="M188" s="94"/>
      <c r="N188" s="76" t="s">
        <v>11</v>
      </c>
      <c r="O188" s="82" t="str">
        <f t="shared" si="7"/>
        <v>OB11067</v>
      </c>
      <c r="P188" s="83"/>
      <c r="Q188" s="84"/>
      <c r="R188" s="84"/>
      <c r="S188" s="85"/>
      <c r="T188" s="590"/>
      <c r="U188" s="86"/>
      <c r="V188" s="876"/>
      <c r="W188" s="770"/>
      <c r="X188" s="41"/>
      <c r="Y188" s="41"/>
      <c r="Z188" s="41"/>
      <c r="AA188" s="41"/>
      <c r="AB188" s="41"/>
      <c r="AC188" s="88"/>
      <c r="AD188" s="41"/>
      <c r="AE188" s="41"/>
      <c r="AF188" s="88"/>
    </row>
    <row r="189" spans="2:32" ht="17.25" customHeight="1">
      <c r="B189" s="75">
        <v>104</v>
      </c>
      <c r="C189" s="823"/>
      <c r="D189" s="792"/>
      <c r="E189" s="76" t="s">
        <v>10</v>
      </c>
      <c r="F189" s="77" t="str">
        <f t="shared" si="6"/>
        <v>IB11068</v>
      </c>
      <c r="G189" s="355" t="s">
        <v>575</v>
      </c>
      <c r="H189" s="356"/>
      <c r="I189" s="356"/>
      <c r="J189" s="357"/>
      <c r="K189" s="590" t="s">
        <v>1513</v>
      </c>
      <c r="L189" s="95"/>
      <c r="M189" s="94"/>
      <c r="N189" s="76" t="s">
        <v>11</v>
      </c>
      <c r="O189" s="82" t="str">
        <f t="shared" si="7"/>
        <v>OB11068</v>
      </c>
      <c r="P189" s="83"/>
      <c r="Q189" s="84"/>
      <c r="R189" s="84"/>
      <c r="S189" s="85"/>
      <c r="T189" s="590"/>
      <c r="U189" s="86"/>
      <c r="V189" s="876"/>
      <c r="W189" s="770"/>
      <c r="X189" s="41"/>
      <c r="Y189" s="41"/>
      <c r="Z189" s="41"/>
      <c r="AA189" s="41"/>
      <c r="AB189" s="41"/>
      <c r="AC189" s="88"/>
      <c r="AD189" s="41"/>
      <c r="AE189" s="41"/>
      <c r="AF189" s="88"/>
    </row>
    <row r="190" spans="2:32" ht="17.25" customHeight="1">
      <c r="B190" s="75">
        <v>105</v>
      </c>
      <c r="C190" s="823"/>
      <c r="D190" s="792"/>
      <c r="E190" s="76" t="s">
        <v>10</v>
      </c>
      <c r="F190" s="77" t="str">
        <f t="shared" si="6"/>
        <v>IB11069</v>
      </c>
      <c r="G190" s="550"/>
      <c r="H190" s="551"/>
      <c r="I190" s="551"/>
      <c r="J190" s="552"/>
      <c r="K190" s="590"/>
      <c r="L190" s="81"/>
      <c r="M190" s="590"/>
      <c r="N190" s="76" t="s">
        <v>11</v>
      </c>
      <c r="O190" s="82" t="str">
        <f t="shared" si="7"/>
        <v>OB11069</v>
      </c>
      <c r="P190" s="83"/>
      <c r="Q190" s="84"/>
      <c r="R190" s="84"/>
      <c r="S190" s="85"/>
      <c r="T190" s="590"/>
      <c r="U190" s="86"/>
      <c r="V190" s="876"/>
      <c r="W190" s="770"/>
      <c r="X190" s="41"/>
      <c r="Y190" s="41"/>
      <c r="Z190" s="41"/>
      <c r="AA190" s="41"/>
      <c r="AB190" s="41"/>
      <c r="AC190" s="88"/>
      <c r="AD190" s="41"/>
      <c r="AE190" s="41"/>
      <c r="AF190" s="88"/>
    </row>
    <row r="191" spans="2:32" ht="17.25" customHeight="1">
      <c r="B191" s="75">
        <v>106</v>
      </c>
      <c r="C191" s="823"/>
      <c r="D191" s="792"/>
      <c r="E191" s="76" t="s">
        <v>10</v>
      </c>
      <c r="F191" s="77" t="str">
        <f t="shared" si="6"/>
        <v>IB1106A</v>
      </c>
      <c r="G191" s="89"/>
      <c r="H191" s="90"/>
      <c r="I191" s="90"/>
      <c r="J191" s="91"/>
      <c r="K191" s="590"/>
      <c r="L191" s="81"/>
      <c r="M191" s="590"/>
      <c r="N191" s="76" t="s">
        <v>11</v>
      </c>
      <c r="O191" s="82" t="str">
        <f t="shared" si="7"/>
        <v>OB1106A</v>
      </c>
      <c r="P191" s="83"/>
      <c r="Q191" s="84"/>
      <c r="R191" s="84"/>
      <c r="S191" s="85"/>
      <c r="T191" s="590"/>
      <c r="U191" s="86"/>
      <c r="V191" s="876"/>
      <c r="W191" s="770"/>
      <c r="X191" s="41"/>
      <c r="Y191" s="41"/>
      <c r="Z191" s="41"/>
      <c r="AA191" s="41"/>
      <c r="AB191" s="41"/>
      <c r="AC191" s="88"/>
      <c r="AD191" s="41"/>
      <c r="AE191" s="41"/>
      <c r="AF191" s="88"/>
    </row>
    <row r="192" spans="2:32" ht="17.25" customHeight="1">
      <c r="B192" s="75">
        <v>107</v>
      </c>
      <c r="C192" s="823"/>
      <c r="D192" s="792"/>
      <c r="E192" s="76" t="s">
        <v>10</v>
      </c>
      <c r="F192" s="77" t="str">
        <f t="shared" si="6"/>
        <v>IB1106B</v>
      </c>
      <c r="G192" s="89" t="s">
        <v>298</v>
      </c>
      <c r="H192" s="90"/>
      <c r="I192" s="90"/>
      <c r="J192" s="91"/>
      <c r="K192" s="590" t="s">
        <v>1513</v>
      </c>
      <c r="L192" s="81"/>
      <c r="M192" s="590"/>
      <c r="N192" s="76" t="s">
        <v>11</v>
      </c>
      <c r="O192" s="82" t="str">
        <f t="shared" si="7"/>
        <v>OB1106B</v>
      </c>
      <c r="P192" s="83"/>
      <c r="Q192" s="84"/>
      <c r="R192" s="84"/>
      <c r="S192" s="85"/>
      <c r="T192" s="590"/>
      <c r="U192" s="86"/>
      <c r="V192" s="876"/>
      <c r="W192" s="770"/>
      <c r="X192" s="41"/>
      <c r="Y192" s="41"/>
      <c r="Z192" s="41"/>
      <c r="AA192" s="41"/>
      <c r="AB192" s="41"/>
      <c r="AC192" s="88"/>
      <c r="AD192" s="41"/>
      <c r="AE192" s="41"/>
      <c r="AF192" s="88"/>
    </row>
    <row r="193" spans="2:32" ht="17.25" customHeight="1">
      <c r="B193" s="75">
        <v>108</v>
      </c>
      <c r="C193" s="823"/>
      <c r="D193" s="792"/>
      <c r="E193" s="76" t="s">
        <v>10</v>
      </c>
      <c r="F193" s="77" t="str">
        <f t="shared" si="6"/>
        <v>IB1106C</v>
      </c>
      <c r="G193" s="89" t="s">
        <v>299</v>
      </c>
      <c r="H193" s="90"/>
      <c r="I193" s="90"/>
      <c r="J193" s="91"/>
      <c r="K193" s="590" t="s">
        <v>1513</v>
      </c>
      <c r="L193" s="81"/>
      <c r="M193" s="590"/>
      <c r="N193" s="76" t="s">
        <v>11</v>
      </c>
      <c r="O193" s="82" t="str">
        <f t="shared" si="7"/>
        <v>OB1106C</v>
      </c>
      <c r="P193" s="83"/>
      <c r="Q193" s="84"/>
      <c r="R193" s="84"/>
      <c r="S193" s="85"/>
      <c r="T193" s="590"/>
      <c r="U193" s="86"/>
      <c r="V193" s="876"/>
      <c r="W193" s="770"/>
      <c r="X193" s="41"/>
      <c r="Y193" s="41"/>
      <c r="Z193" s="41"/>
      <c r="AA193" s="41"/>
      <c r="AB193" s="41"/>
      <c r="AC193" s="88"/>
      <c r="AD193" s="41"/>
      <c r="AE193" s="41"/>
      <c r="AF193" s="88"/>
    </row>
    <row r="194" spans="2:32" ht="17.25" customHeight="1">
      <c r="B194" s="75">
        <v>109</v>
      </c>
      <c r="C194" s="823"/>
      <c r="D194" s="792"/>
      <c r="E194" s="76" t="s">
        <v>10</v>
      </c>
      <c r="F194" s="77" t="str">
        <f t="shared" si="6"/>
        <v>IB1106D</v>
      </c>
      <c r="G194" s="89"/>
      <c r="H194" s="90"/>
      <c r="I194" s="90"/>
      <c r="J194" s="91"/>
      <c r="K194" s="590"/>
      <c r="L194" s="81"/>
      <c r="M194" s="590"/>
      <c r="N194" s="76" t="s">
        <v>11</v>
      </c>
      <c r="O194" s="82" t="str">
        <f t="shared" si="7"/>
        <v>OB1106D</v>
      </c>
      <c r="P194" s="83"/>
      <c r="Q194" s="84"/>
      <c r="R194" s="84"/>
      <c r="S194" s="85"/>
      <c r="T194" s="590"/>
      <c r="U194" s="86"/>
      <c r="V194" s="876"/>
      <c r="W194" s="770"/>
      <c r="X194" s="41"/>
      <c r="Y194" s="41"/>
      <c r="Z194" s="41"/>
      <c r="AA194" s="41"/>
      <c r="AB194" s="41"/>
      <c r="AC194" s="88"/>
      <c r="AD194" s="41"/>
      <c r="AE194" s="41"/>
      <c r="AF194" s="88"/>
    </row>
    <row r="195" spans="2:32" ht="17.25" customHeight="1">
      <c r="B195" s="75">
        <v>110</v>
      </c>
      <c r="C195" s="823"/>
      <c r="D195" s="792"/>
      <c r="E195" s="76" t="s">
        <v>10</v>
      </c>
      <c r="F195" s="77" t="str">
        <f t="shared" si="6"/>
        <v>IB1106E</v>
      </c>
      <c r="G195" s="89"/>
      <c r="H195" s="90"/>
      <c r="I195" s="90"/>
      <c r="J195" s="91"/>
      <c r="K195" s="590"/>
      <c r="L195" s="81"/>
      <c r="M195" s="590"/>
      <c r="N195" s="76" t="s">
        <v>11</v>
      </c>
      <c r="O195" s="82" t="str">
        <f t="shared" si="7"/>
        <v>OB1106E</v>
      </c>
      <c r="P195" s="83"/>
      <c r="Q195" s="84"/>
      <c r="R195" s="84"/>
      <c r="S195" s="85"/>
      <c r="T195" s="590"/>
      <c r="U195" s="86"/>
      <c r="V195" s="876"/>
      <c r="W195" s="770"/>
      <c r="X195" s="41"/>
      <c r="Y195" s="41"/>
      <c r="Z195" s="41"/>
      <c r="AA195" s="41"/>
      <c r="AB195" s="41"/>
      <c r="AC195" s="88"/>
      <c r="AD195" s="41"/>
      <c r="AE195" s="41"/>
      <c r="AF195" s="88"/>
    </row>
    <row r="196" spans="2:32" ht="17.25" customHeight="1">
      <c r="B196" s="75">
        <v>111</v>
      </c>
      <c r="C196" s="824"/>
      <c r="D196" s="814"/>
      <c r="E196" s="76" t="s">
        <v>10</v>
      </c>
      <c r="F196" s="77" t="str">
        <f t="shared" si="6"/>
        <v>IB1106F</v>
      </c>
      <c r="G196" s="100"/>
      <c r="H196" s="101"/>
      <c r="I196" s="101"/>
      <c r="J196" s="92"/>
      <c r="K196" s="592"/>
      <c r="L196" s="96"/>
      <c r="M196" s="620"/>
      <c r="N196" s="76" t="s">
        <v>11</v>
      </c>
      <c r="O196" s="82" t="str">
        <f t="shared" si="7"/>
        <v>OB1106F</v>
      </c>
      <c r="P196" s="311"/>
      <c r="Q196" s="312"/>
      <c r="R196" s="312"/>
      <c r="S196" s="313"/>
      <c r="T196" s="590" t="s">
        <v>1513</v>
      </c>
      <c r="U196" s="86"/>
      <c r="V196" s="876"/>
      <c r="W196" s="770"/>
      <c r="X196" s="41"/>
      <c r="Y196" s="41"/>
      <c r="Z196" s="41"/>
      <c r="AA196" s="41"/>
      <c r="AB196" s="41"/>
      <c r="AC196" s="88"/>
      <c r="AD196" s="41"/>
      <c r="AE196" s="41"/>
      <c r="AF196" s="88"/>
    </row>
    <row r="197" spans="2:32" ht="17.25" customHeight="1">
      <c r="B197" s="75">
        <v>112</v>
      </c>
      <c r="C197" s="818" t="s">
        <v>1580</v>
      </c>
      <c r="D197" s="825" t="s">
        <v>1404</v>
      </c>
      <c r="E197" s="76" t="s">
        <v>10</v>
      </c>
      <c r="F197" s="77" t="str">
        <f t="shared" si="6"/>
        <v>IB11070</v>
      </c>
      <c r="G197" s="83"/>
      <c r="H197" s="84"/>
      <c r="I197" s="84"/>
      <c r="J197" s="85"/>
      <c r="K197" s="590"/>
      <c r="L197" s="81"/>
      <c r="M197" s="590"/>
      <c r="N197" s="76" t="s">
        <v>11</v>
      </c>
      <c r="O197" s="82" t="str">
        <f t="shared" si="7"/>
        <v>OB11070</v>
      </c>
      <c r="P197" s="826" t="s">
        <v>560</v>
      </c>
      <c r="Q197" s="827"/>
      <c r="R197" s="827"/>
      <c r="S197" s="828"/>
      <c r="T197" s="590"/>
      <c r="U197" s="86"/>
      <c r="V197" s="876"/>
      <c r="W197" s="770"/>
      <c r="X197" s="40"/>
      <c r="Y197" s="41"/>
      <c r="Z197" s="41"/>
      <c r="AA197" s="41"/>
      <c r="AB197" s="41"/>
      <c r="AC197" s="88"/>
      <c r="AD197" s="41"/>
      <c r="AE197" s="41"/>
      <c r="AF197" s="88"/>
    </row>
    <row r="198" spans="2:32" ht="17.25" customHeight="1">
      <c r="B198" s="75">
        <v>113</v>
      </c>
      <c r="C198" s="819"/>
      <c r="D198" s="792"/>
      <c r="E198" s="76" t="s">
        <v>10</v>
      </c>
      <c r="F198" s="77" t="str">
        <f t="shared" si="6"/>
        <v>IB11071</v>
      </c>
      <c r="G198" s="83"/>
      <c r="H198" s="84"/>
      <c r="I198" s="84"/>
      <c r="J198" s="85"/>
      <c r="K198" s="590"/>
      <c r="L198" s="81"/>
      <c r="M198" s="590"/>
      <c r="N198" s="76" t="s">
        <v>11</v>
      </c>
      <c r="O198" s="82" t="str">
        <f t="shared" si="7"/>
        <v>OB11071</v>
      </c>
      <c r="P198" s="355"/>
      <c r="Q198" s="356"/>
      <c r="R198" s="356"/>
      <c r="S198" s="357"/>
      <c r="T198" s="590"/>
      <c r="U198" s="86"/>
      <c r="V198" s="876"/>
      <c r="W198" s="770"/>
      <c r="X198" s="40"/>
      <c r="Y198" s="41"/>
      <c r="Z198" s="41"/>
      <c r="AA198" s="41"/>
      <c r="AB198" s="41"/>
      <c r="AC198" s="88"/>
      <c r="AD198" s="41"/>
      <c r="AE198" s="41"/>
      <c r="AF198" s="88"/>
    </row>
    <row r="199" spans="2:32" ht="17.25" customHeight="1">
      <c r="B199" s="75">
        <v>114</v>
      </c>
      <c r="C199" s="819"/>
      <c r="D199" s="792"/>
      <c r="E199" s="76" t="s">
        <v>10</v>
      </c>
      <c r="F199" s="77" t="str">
        <f t="shared" si="6"/>
        <v>IB11072</v>
      </c>
      <c r="G199" s="83"/>
      <c r="H199" s="84"/>
      <c r="I199" s="84"/>
      <c r="J199" s="85"/>
      <c r="K199" s="590"/>
      <c r="L199" s="81"/>
      <c r="M199" s="590"/>
      <c r="N199" s="76" t="s">
        <v>11</v>
      </c>
      <c r="O199" s="82" t="str">
        <f t="shared" si="7"/>
        <v>OB11072</v>
      </c>
      <c r="P199" s="826" t="s">
        <v>561</v>
      </c>
      <c r="Q199" s="827"/>
      <c r="R199" s="827"/>
      <c r="S199" s="828"/>
      <c r="T199" s="590" t="s">
        <v>1513</v>
      </c>
      <c r="U199" s="86"/>
      <c r="V199" s="876"/>
      <c r="W199" s="770"/>
      <c r="X199" s="41"/>
      <c r="Y199" s="41"/>
      <c r="Z199" s="41"/>
      <c r="AA199" s="41"/>
      <c r="AB199" s="41"/>
      <c r="AC199" s="88"/>
      <c r="AD199" s="41"/>
      <c r="AE199" s="41"/>
      <c r="AF199" s="88"/>
    </row>
    <row r="200" spans="2:32" ht="17.25" customHeight="1">
      <c r="B200" s="75">
        <v>115</v>
      </c>
      <c r="C200" s="819"/>
      <c r="D200" s="792"/>
      <c r="E200" s="76" t="s">
        <v>10</v>
      </c>
      <c r="F200" s="77" t="str">
        <f t="shared" si="6"/>
        <v>IB11073</v>
      </c>
      <c r="G200" s="83"/>
      <c r="H200" s="84"/>
      <c r="I200" s="84"/>
      <c r="J200" s="85"/>
      <c r="K200" s="590"/>
      <c r="L200" s="81"/>
      <c r="M200" s="590"/>
      <c r="N200" s="76" t="s">
        <v>11</v>
      </c>
      <c r="O200" s="82" t="str">
        <f t="shared" si="7"/>
        <v>OB11073</v>
      </c>
      <c r="P200" s="826" t="s">
        <v>562</v>
      </c>
      <c r="Q200" s="827"/>
      <c r="R200" s="827"/>
      <c r="S200" s="828"/>
      <c r="T200" s="590" t="s">
        <v>1513</v>
      </c>
      <c r="U200" s="104"/>
      <c r="V200" s="876"/>
      <c r="W200" s="770"/>
      <c r="X200" s="41"/>
      <c r="Y200" s="41"/>
      <c r="Z200" s="41"/>
      <c r="AA200" s="41"/>
      <c r="AB200" s="41"/>
      <c r="AC200" s="88"/>
      <c r="AD200" s="41"/>
      <c r="AE200" s="41"/>
      <c r="AF200" s="88"/>
    </row>
    <row r="201" spans="2:32" ht="17.25" customHeight="1">
      <c r="B201" s="75">
        <v>116</v>
      </c>
      <c r="C201" s="819"/>
      <c r="D201" s="792"/>
      <c r="E201" s="76" t="s">
        <v>10</v>
      </c>
      <c r="F201" s="77" t="str">
        <f t="shared" si="6"/>
        <v>IB11074</v>
      </c>
      <c r="G201" s="83"/>
      <c r="H201" s="84"/>
      <c r="I201" s="84"/>
      <c r="J201" s="85"/>
      <c r="K201" s="590"/>
      <c r="L201" s="81"/>
      <c r="M201" s="590"/>
      <c r="N201" s="76" t="s">
        <v>11</v>
      </c>
      <c r="O201" s="82" t="str">
        <f t="shared" si="7"/>
        <v>OB11074</v>
      </c>
      <c r="P201" s="826" t="s">
        <v>563</v>
      </c>
      <c r="Q201" s="827"/>
      <c r="R201" s="827"/>
      <c r="S201" s="828"/>
      <c r="T201" s="590" t="s">
        <v>1513</v>
      </c>
      <c r="U201" s="86"/>
      <c r="V201" s="876"/>
      <c r="W201" s="770"/>
      <c r="X201" s="40"/>
      <c r="Y201" s="41"/>
      <c r="Z201" s="41"/>
      <c r="AA201" s="40"/>
      <c r="AB201" s="41"/>
      <c r="AC201" s="88"/>
      <c r="AD201" s="40"/>
      <c r="AE201" s="41"/>
      <c r="AF201" s="88"/>
    </row>
    <row r="202" spans="2:32" ht="17.25" customHeight="1">
      <c r="B202" s="75">
        <v>117</v>
      </c>
      <c r="C202" s="819"/>
      <c r="D202" s="792"/>
      <c r="E202" s="76" t="s">
        <v>10</v>
      </c>
      <c r="F202" s="77" t="str">
        <f t="shared" si="6"/>
        <v>IB11075</v>
      </c>
      <c r="G202" s="83"/>
      <c r="H202" s="84"/>
      <c r="I202" s="84"/>
      <c r="J202" s="85"/>
      <c r="K202" s="590"/>
      <c r="L202" s="81"/>
      <c r="M202" s="590"/>
      <c r="N202" s="76" t="s">
        <v>11</v>
      </c>
      <c r="O202" s="82" t="str">
        <f t="shared" si="7"/>
        <v>OB11075</v>
      </c>
      <c r="P202" s="826" t="s">
        <v>564</v>
      </c>
      <c r="Q202" s="827"/>
      <c r="R202" s="827"/>
      <c r="S202" s="828"/>
      <c r="T202" s="590" t="s">
        <v>1513</v>
      </c>
      <c r="U202" s="86"/>
      <c r="V202" s="876"/>
      <c r="W202" s="770"/>
      <c r="X202" s="40"/>
      <c r="Y202" s="41"/>
      <c r="Z202" s="41"/>
      <c r="AA202" s="40"/>
      <c r="AB202" s="41"/>
      <c r="AC202" s="88"/>
      <c r="AD202" s="40"/>
      <c r="AE202" s="41"/>
      <c r="AF202" s="88"/>
    </row>
    <row r="203" spans="2:32" ht="17.25" customHeight="1">
      <c r="B203" s="75">
        <v>118</v>
      </c>
      <c r="C203" s="819"/>
      <c r="D203" s="792"/>
      <c r="E203" s="76" t="s">
        <v>10</v>
      </c>
      <c r="F203" s="77" t="str">
        <f t="shared" si="6"/>
        <v>IB11076</v>
      </c>
      <c r="G203" s="83"/>
      <c r="H203" s="84"/>
      <c r="I203" s="84"/>
      <c r="J203" s="85"/>
      <c r="K203" s="590"/>
      <c r="L203" s="81"/>
      <c r="M203" s="590"/>
      <c r="N203" s="76" t="s">
        <v>11</v>
      </c>
      <c r="O203" s="82" t="str">
        <f t="shared" si="7"/>
        <v>OB11076</v>
      </c>
      <c r="P203" s="826" t="s">
        <v>565</v>
      </c>
      <c r="Q203" s="827"/>
      <c r="R203" s="827"/>
      <c r="S203" s="828"/>
      <c r="T203" s="590" t="s">
        <v>1513</v>
      </c>
      <c r="U203" s="86"/>
      <c r="V203" s="876"/>
      <c r="W203" s="770"/>
      <c r="X203" s="41"/>
      <c r="Y203" s="41"/>
      <c r="Z203" s="41"/>
      <c r="AA203" s="41"/>
      <c r="AB203" s="41"/>
      <c r="AC203" s="88"/>
      <c r="AD203" s="41"/>
      <c r="AE203" s="41"/>
      <c r="AF203" s="88"/>
    </row>
    <row r="204" spans="2:32" ht="17.25" customHeight="1">
      <c r="B204" s="75">
        <v>119</v>
      </c>
      <c r="C204" s="819"/>
      <c r="D204" s="792"/>
      <c r="E204" s="76" t="s">
        <v>10</v>
      </c>
      <c r="F204" s="77" t="str">
        <f t="shared" si="6"/>
        <v>IB11077</v>
      </c>
      <c r="G204" s="83"/>
      <c r="H204" s="84"/>
      <c r="I204" s="84"/>
      <c r="J204" s="85"/>
      <c r="K204" s="590"/>
      <c r="L204" s="81"/>
      <c r="M204" s="590"/>
      <c r="N204" s="76" t="s">
        <v>11</v>
      </c>
      <c r="O204" s="82" t="str">
        <f t="shared" si="7"/>
        <v>OB11077</v>
      </c>
      <c r="P204" s="826" t="s">
        <v>566</v>
      </c>
      <c r="Q204" s="827"/>
      <c r="R204" s="827"/>
      <c r="S204" s="828"/>
      <c r="T204" s="590" t="s">
        <v>1513</v>
      </c>
      <c r="U204" s="86"/>
      <c r="V204" s="876"/>
      <c r="W204" s="770"/>
      <c r="X204" s="41"/>
      <c r="Y204" s="41"/>
      <c r="Z204" s="41"/>
      <c r="AA204" s="41"/>
      <c r="AB204" s="41"/>
      <c r="AC204" s="88"/>
      <c r="AD204" s="41"/>
      <c r="AE204" s="41"/>
      <c r="AF204" s="88"/>
    </row>
    <row r="205" spans="2:32" ht="17.25" customHeight="1">
      <c r="B205" s="75">
        <v>120</v>
      </c>
      <c r="C205" s="819"/>
      <c r="D205" s="792"/>
      <c r="E205" s="76" t="s">
        <v>10</v>
      </c>
      <c r="F205" s="77" t="str">
        <f t="shared" si="6"/>
        <v>IB11078</v>
      </c>
      <c r="G205" s="83"/>
      <c r="H205" s="84"/>
      <c r="I205" s="84"/>
      <c r="J205" s="85"/>
      <c r="K205" s="591"/>
      <c r="L205" s="95"/>
      <c r="M205" s="94"/>
      <c r="N205" s="76" t="s">
        <v>11</v>
      </c>
      <c r="O205" s="82" t="str">
        <f t="shared" si="7"/>
        <v>OB11078</v>
      </c>
      <c r="P205" s="826" t="s">
        <v>567</v>
      </c>
      <c r="Q205" s="827"/>
      <c r="R205" s="827"/>
      <c r="S205" s="828"/>
      <c r="T205" s="590" t="s">
        <v>1513</v>
      </c>
      <c r="U205" s="86"/>
      <c r="V205" s="876"/>
      <c r="W205" s="770"/>
      <c r="X205" s="40"/>
      <c r="Y205" s="41"/>
      <c r="Z205" s="41"/>
      <c r="AA205" s="41"/>
      <c r="AB205" s="41"/>
      <c r="AC205" s="88"/>
      <c r="AD205" s="41"/>
      <c r="AE205" s="41"/>
      <c r="AF205" s="88"/>
    </row>
    <row r="206" spans="2:32" ht="17.25" customHeight="1">
      <c r="B206" s="75">
        <v>121</v>
      </c>
      <c r="C206" s="819"/>
      <c r="D206" s="792"/>
      <c r="E206" s="76" t="s">
        <v>10</v>
      </c>
      <c r="F206" s="77" t="str">
        <f t="shared" si="6"/>
        <v>IB11079</v>
      </c>
      <c r="G206" s="83"/>
      <c r="H206" s="84"/>
      <c r="I206" s="84"/>
      <c r="J206" s="85"/>
      <c r="K206" s="591"/>
      <c r="L206" s="95"/>
      <c r="M206" s="94"/>
      <c r="N206" s="76" t="s">
        <v>11</v>
      </c>
      <c r="O206" s="82" t="str">
        <f t="shared" si="7"/>
        <v>OB11079</v>
      </c>
      <c r="P206" s="826" t="s">
        <v>568</v>
      </c>
      <c r="Q206" s="827"/>
      <c r="R206" s="827"/>
      <c r="S206" s="828"/>
      <c r="T206" s="590" t="s">
        <v>1513</v>
      </c>
      <c r="U206" s="86"/>
      <c r="V206" s="876"/>
      <c r="W206" s="770"/>
      <c r="X206" s="40"/>
      <c r="Y206" s="41"/>
      <c r="Z206" s="41"/>
      <c r="AA206" s="41"/>
      <c r="AB206" s="41"/>
      <c r="AC206" s="88"/>
      <c r="AD206" s="41"/>
      <c r="AE206" s="41"/>
      <c r="AF206" s="88"/>
    </row>
    <row r="207" spans="2:32" ht="17.25" customHeight="1">
      <c r="B207" s="75">
        <v>122</v>
      </c>
      <c r="C207" s="819"/>
      <c r="D207" s="792"/>
      <c r="E207" s="76" t="s">
        <v>10</v>
      </c>
      <c r="F207" s="77" t="str">
        <f t="shared" si="6"/>
        <v>IB1107A</v>
      </c>
      <c r="G207" s="83"/>
      <c r="H207" s="84"/>
      <c r="I207" s="84"/>
      <c r="J207" s="85"/>
      <c r="K207" s="591"/>
      <c r="L207" s="95"/>
      <c r="M207" s="94"/>
      <c r="N207" s="76" t="s">
        <v>11</v>
      </c>
      <c r="O207" s="82" t="str">
        <f t="shared" si="7"/>
        <v>OB1107A</v>
      </c>
      <c r="P207" s="826" t="s">
        <v>569</v>
      </c>
      <c r="Q207" s="827"/>
      <c r="R207" s="827"/>
      <c r="S207" s="828"/>
      <c r="T207" s="590" t="s">
        <v>1513</v>
      </c>
      <c r="U207" s="86"/>
      <c r="V207" s="876"/>
      <c r="W207" s="770"/>
      <c r="X207" s="40"/>
      <c r="Y207" s="41"/>
      <c r="Z207" s="41"/>
      <c r="AA207" s="41"/>
      <c r="AB207" s="41"/>
      <c r="AC207" s="88"/>
      <c r="AD207" s="41"/>
      <c r="AE207" s="41"/>
      <c r="AF207" s="88"/>
    </row>
    <row r="208" spans="2:32" ht="17.25" customHeight="1">
      <c r="B208" s="75">
        <v>123</v>
      </c>
      <c r="C208" s="819"/>
      <c r="D208" s="792"/>
      <c r="E208" s="76" t="s">
        <v>10</v>
      </c>
      <c r="F208" s="77" t="str">
        <f t="shared" si="6"/>
        <v>IB1107B</v>
      </c>
      <c r="G208" s="83"/>
      <c r="H208" s="84"/>
      <c r="I208" s="84"/>
      <c r="J208" s="85"/>
      <c r="K208" s="591"/>
      <c r="L208" s="95"/>
      <c r="M208" s="94"/>
      <c r="N208" s="76" t="s">
        <v>11</v>
      </c>
      <c r="O208" s="82" t="str">
        <f t="shared" si="7"/>
        <v>OB1107B</v>
      </c>
      <c r="P208" s="826" t="s">
        <v>570</v>
      </c>
      <c r="Q208" s="827"/>
      <c r="R208" s="827"/>
      <c r="S208" s="828"/>
      <c r="T208" s="590" t="s">
        <v>1513</v>
      </c>
      <c r="U208" s="86"/>
      <c r="V208" s="876"/>
      <c r="W208" s="770"/>
      <c r="X208" s="105"/>
      <c r="Y208" s="41"/>
      <c r="Z208" s="41"/>
      <c r="AA208" s="41"/>
      <c r="AB208" s="41"/>
      <c r="AC208" s="88"/>
      <c r="AD208" s="41"/>
      <c r="AE208" s="41"/>
      <c r="AF208" s="88"/>
    </row>
    <row r="209" spans="2:32" ht="17.25" customHeight="1">
      <c r="B209" s="75">
        <v>124</v>
      </c>
      <c r="C209" s="819"/>
      <c r="D209" s="792"/>
      <c r="E209" s="76" t="s">
        <v>10</v>
      </c>
      <c r="F209" s="77" t="str">
        <f t="shared" si="6"/>
        <v>IB1107C</v>
      </c>
      <c r="G209" s="83"/>
      <c r="H209" s="84"/>
      <c r="I209" s="84"/>
      <c r="J209" s="85"/>
      <c r="K209" s="592"/>
      <c r="L209" s="106"/>
      <c r="M209" s="621"/>
      <c r="N209" s="76" t="s">
        <v>11</v>
      </c>
      <c r="O209" s="82" t="str">
        <f t="shared" si="7"/>
        <v>OB1107C</v>
      </c>
      <c r="P209" s="826" t="s">
        <v>571</v>
      </c>
      <c r="Q209" s="827"/>
      <c r="R209" s="827"/>
      <c r="S209" s="828"/>
      <c r="T209" s="590" t="s">
        <v>1513</v>
      </c>
      <c r="U209" s="86"/>
      <c r="V209" s="876"/>
      <c r="W209" s="770"/>
      <c r="X209" s="40"/>
      <c r="Y209" s="41"/>
      <c r="Z209" s="41"/>
      <c r="AA209" s="41"/>
      <c r="AB209" s="41"/>
      <c r="AC209" s="88"/>
      <c r="AD209" s="41"/>
      <c r="AE209" s="41"/>
      <c r="AF209" s="88"/>
    </row>
    <row r="210" spans="2:32" ht="17.25" customHeight="1">
      <c r="B210" s="75">
        <v>125</v>
      </c>
      <c r="C210" s="819"/>
      <c r="D210" s="792"/>
      <c r="E210" s="76" t="s">
        <v>10</v>
      </c>
      <c r="F210" s="77" t="str">
        <f t="shared" si="6"/>
        <v>IB1107D</v>
      </c>
      <c r="G210" s="83"/>
      <c r="H210" s="84"/>
      <c r="I210" s="84"/>
      <c r="J210" s="85"/>
      <c r="K210" s="42"/>
      <c r="L210" s="93"/>
      <c r="M210" s="619"/>
      <c r="N210" s="76" t="s">
        <v>11</v>
      </c>
      <c r="O210" s="82" t="str">
        <f t="shared" si="7"/>
        <v>OB1107D</v>
      </c>
      <c r="P210" s="826" t="s">
        <v>572</v>
      </c>
      <c r="Q210" s="827"/>
      <c r="R210" s="827"/>
      <c r="S210" s="828"/>
      <c r="T210" s="590" t="s">
        <v>1513</v>
      </c>
      <c r="U210" s="86"/>
      <c r="V210" s="876"/>
      <c r="W210" s="770"/>
      <c r="X210" s="105"/>
      <c r="Y210" s="41"/>
      <c r="Z210" s="41"/>
      <c r="AA210" s="41"/>
      <c r="AB210" s="41"/>
      <c r="AC210" s="88"/>
      <c r="AD210" s="41"/>
      <c r="AE210" s="41"/>
      <c r="AF210" s="88"/>
    </row>
    <row r="211" spans="2:32" ht="17.25" customHeight="1">
      <c r="B211" s="75">
        <v>126</v>
      </c>
      <c r="C211" s="819"/>
      <c r="D211" s="792"/>
      <c r="E211" s="76" t="s">
        <v>10</v>
      </c>
      <c r="F211" s="77" t="str">
        <f t="shared" si="6"/>
        <v>IB1107E</v>
      </c>
      <c r="G211" s="83"/>
      <c r="H211" s="84"/>
      <c r="I211" s="84"/>
      <c r="J211" s="85"/>
      <c r="K211" s="42"/>
      <c r="L211" s="93"/>
      <c r="M211" s="619"/>
      <c r="N211" s="76" t="s">
        <v>11</v>
      </c>
      <c r="O211" s="82" t="str">
        <f t="shared" si="7"/>
        <v>OB1107E</v>
      </c>
      <c r="P211" s="355" t="s">
        <v>573</v>
      </c>
      <c r="Q211" s="356"/>
      <c r="R211" s="356"/>
      <c r="S211" s="357"/>
      <c r="T211" s="590" t="s">
        <v>1513</v>
      </c>
      <c r="U211" s="107"/>
      <c r="V211" s="876"/>
      <c r="W211" s="770"/>
      <c r="X211" s="105"/>
      <c r="Y211" s="41"/>
      <c r="Z211" s="41"/>
      <c r="AA211" s="41"/>
      <c r="AB211" s="41"/>
      <c r="AC211" s="88"/>
      <c r="AD211" s="41"/>
      <c r="AE211" s="41"/>
      <c r="AF211" s="88"/>
    </row>
    <row r="212" spans="2:32" ht="17.25" customHeight="1">
      <c r="B212" s="75">
        <v>127</v>
      </c>
      <c r="C212" s="820"/>
      <c r="D212" s="814"/>
      <c r="E212" s="76" t="s">
        <v>10</v>
      </c>
      <c r="F212" s="77" t="str">
        <f t="shared" si="6"/>
        <v>IB1107F</v>
      </c>
      <c r="G212" s="311"/>
      <c r="H212" s="312"/>
      <c r="I212" s="312"/>
      <c r="J212" s="313"/>
      <c r="K212" s="42"/>
      <c r="L212" s="93"/>
      <c r="M212" s="619"/>
      <c r="N212" s="76" t="s">
        <v>11</v>
      </c>
      <c r="O212" s="82" t="str">
        <f t="shared" si="7"/>
        <v>OB1107F</v>
      </c>
      <c r="P212" s="550"/>
      <c r="Q212" s="551"/>
      <c r="R212" s="551"/>
      <c r="S212" s="552"/>
      <c r="T212" s="590"/>
      <c r="U212" s="107"/>
      <c r="V212" s="876"/>
      <c r="W212" s="770"/>
      <c r="X212" s="105"/>
      <c r="Y212" s="41"/>
      <c r="Z212" s="41"/>
      <c r="AA212" s="41"/>
      <c r="AB212" s="41"/>
      <c r="AC212" s="88"/>
      <c r="AD212" s="41"/>
      <c r="AE212" s="41"/>
      <c r="AF212" s="88"/>
    </row>
    <row r="213" spans="2:32" ht="17.25" customHeight="1">
      <c r="B213" s="75">
        <v>128</v>
      </c>
      <c r="C213" s="822" t="s">
        <v>1562</v>
      </c>
      <c r="D213" s="813" t="s">
        <v>69</v>
      </c>
      <c r="E213" s="76" t="s">
        <v>10</v>
      </c>
      <c r="F213" s="77" t="str">
        <f t="shared" si="6"/>
        <v>IB11080</v>
      </c>
      <c r="G213" s="89" t="s">
        <v>350</v>
      </c>
      <c r="H213" s="90"/>
      <c r="I213" s="90"/>
      <c r="J213" s="91"/>
      <c r="K213" s="590" t="s">
        <v>1513</v>
      </c>
      <c r="L213" s="81"/>
      <c r="M213" s="590"/>
      <c r="N213" s="76" t="s">
        <v>11</v>
      </c>
      <c r="O213" s="82" t="str">
        <f t="shared" si="7"/>
        <v>OB11080</v>
      </c>
      <c r="P213" s="83"/>
      <c r="Q213" s="84"/>
      <c r="R213" s="84"/>
      <c r="S213" s="85"/>
      <c r="T213" s="590" t="s">
        <v>1514</v>
      </c>
      <c r="U213" s="86"/>
      <c r="V213" s="876"/>
      <c r="W213" s="770"/>
      <c r="X213" s="40"/>
      <c r="Y213" s="41"/>
      <c r="Z213" s="41"/>
      <c r="AA213" s="41"/>
      <c r="AB213" s="41"/>
      <c r="AC213" s="88"/>
      <c r="AD213" s="41"/>
      <c r="AE213" s="41"/>
      <c r="AF213" s="88"/>
    </row>
    <row r="214" spans="2:32" ht="17.25" customHeight="1">
      <c r="B214" s="75">
        <v>129</v>
      </c>
      <c r="C214" s="823"/>
      <c r="D214" s="792"/>
      <c r="E214" s="76" t="s">
        <v>10</v>
      </c>
      <c r="F214" s="77" t="str">
        <f t="shared" si="6"/>
        <v>IB11081</v>
      </c>
      <c r="G214" s="89" t="s">
        <v>351</v>
      </c>
      <c r="H214" s="90"/>
      <c r="I214" s="90"/>
      <c r="J214" s="91"/>
      <c r="K214" s="590" t="s">
        <v>1513</v>
      </c>
      <c r="L214" s="81"/>
      <c r="M214" s="590"/>
      <c r="N214" s="76" t="s">
        <v>11</v>
      </c>
      <c r="O214" s="82" t="str">
        <f t="shared" si="7"/>
        <v>OB11081</v>
      </c>
      <c r="P214" s="83"/>
      <c r="Q214" s="84"/>
      <c r="R214" s="84"/>
      <c r="S214" s="85"/>
      <c r="T214" s="590" t="s">
        <v>1514</v>
      </c>
      <c r="U214" s="86"/>
      <c r="V214" s="876"/>
      <c r="W214" s="770"/>
      <c r="X214" s="40"/>
      <c r="Y214" s="41"/>
      <c r="Z214" s="41"/>
      <c r="AA214" s="41"/>
      <c r="AB214" s="41"/>
      <c r="AC214" s="88"/>
      <c r="AD214" s="41"/>
      <c r="AE214" s="41"/>
      <c r="AF214" s="88"/>
    </row>
    <row r="215" spans="2:32" ht="17.25" customHeight="1">
      <c r="B215" s="75">
        <v>130</v>
      </c>
      <c r="C215" s="823"/>
      <c r="D215" s="792"/>
      <c r="E215" s="76" t="s">
        <v>10</v>
      </c>
      <c r="F215" s="77" t="str">
        <f t="shared" ref="F215:F278" si="8">LEFT(F214,1)&amp;DEC2HEX(HEX2DEC(MID(F214,2,LENB(F214)-1))+1,LENB(F214)-1)</f>
        <v>IB11082</v>
      </c>
      <c r="G215" s="89" t="s">
        <v>352</v>
      </c>
      <c r="H215" s="90"/>
      <c r="I215" s="90"/>
      <c r="J215" s="91"/>
      <c r="K215" s="590" t="s">
        <v>1513</v>
      </c>
      <c r="L215" s="81"/>
      <c r="M215" s="590"/>
      <c r="N215" s="76" t="s">
        <v>11</v>
      </c>
      <c r="O215" s="82" t="str">
        <f t="shared" ref="O215:O278" si="9">LEFT(O214,1)&amp;DEC2HEX(HEX2DEC(MID(O214,2,LENB(O214)-1))+1,LENB(O214)-1)</f>
        <v>OB11082</v>
      </c>
      <c r="P215" s="83"/>
      <c r="Q215" s="84"/>
      <c r="R215" s="84"/>
      <c r="S215" s="85"/>
      <c r="T215" s="590" t="s">
        <v>1514</v>
      </c>
      <c r="U215" s="86"/>
      <c r="V215" s="876"/>
      <c r="W215" s="770"/>
      <c r="X215" s="40"/>
      <c r="Y215" s="41"/>
      <c r="Z215" s="41"/>
      <c r="AA215" s="41"/>
      <c r="AB215" s="41"/>
      <c r="AC215" s="88"/>
      <c r="AD215" s="41"/>
      <c r="AE215" s="41"/>
      <c r="AF215" s="88"/>
    </row>
    <row r="216" spans="2:32" ht="17.25" customHeight="1">
      <c r="B216" s="75">
        <v>131</v>
      </c>
      <c r="C216" s="823"/>
      <c r="D216" s="792"/>
      <c r="E216" s="76" t="s">
        <v>10</v>
      </c>
      <c r="F216" s="77" t="str">
        <f t="shared" si="8"/>
        <v>IB11083</v>
      </c>
      <c r="G216" s="89" t="s">
        <v>353</v>
      </c>
      <c r="H216" s="90"/>
      <c r="I216" s="90"/>
      <c r="J216" s="91"/>
      <c r="K216" s="590" t="s">
        <v>1513</v>
      </c>
      <c r="L216" s="81"/>
      <c r="M216" s="590"/>
      <c r="N216" s="76" t="s">
        <v>11</v>
      </c>
      <c r="O216" s="82" t="str">
        <f t="shared" si="9"/>
        <v>OB11083</v>
      </c>
      <c r="P216" s="83"/>
      <c r="Q216" s="84"/>
      <c r="R216" s="84"/>
      <c r="S216" s="85"/>
      <c r="T216" s="590" t="s">
        <v>1514</v>
      </c>
      <c r="U216" s="86"/>
      <c r="V216" s="876"/>
      <c r="W216" s="770"/>
      <c r="X216" s="40"/>
      <c r="Y216" s="41"/>
      <c r="Z216" s="41"/>
      <c r="AA216" s="41"/>
      <c r="AB216" s="41"/>
      <c r="AC216" s="88"/>
      <c r="AD216" s="41"/>
      <c r="AE216" s="41"/>
      <c r="AF216" s="88"/>
    </row>
    <row r="217" spans="2:32" ht="17.25" customHeight="1">
      <c r="B217" s="75">
        <v>132</v>
      </c>
      <c r="C217" s="823"/>
      <c r="D217" s="792"/>
      <c r="E217" s="76" t="s">
        <v>10</v>
      </c>
      <c r="F217" s="77" t="str">
        <f t="shared" si="8"/>
        <v>IB11084</v>
      </c>
      <c r="G217" s="89" t="s">
        <v>346</v>
      </c>
      <c r="H217" s="90"/>
      <c r="I217" s="90"/>
      <c r="J217" s="91"/>
      <c r="K217" s="590" t="s">
        <v>1513</v>
      </c>
      <c r="L217" s="81"/>
      <c r="M217" s="590"/>
      <c r="N217" s="76" t="s">
        <v>11</v>
      </c>
      <c r="O217" s="82" t="str">
        <f t="shared" si="9"/>
        <v>OB11084</v>
      </c>
      <c r="P217" s="83"/>
      <c r="Q217" s="84"/>
      <c r="R217" s="84"/>
      <c r="S217" s="85"/>
      <c r="T217" s="590" t="s">
        <v>1514</v>
      </c>
      <c r="U217" s="86"/>
      <c r="V217" s="876"/>
      <c r="W217" s="770"/>
      <c r="X217" s="40"/>
      <c r="Y217" s="41"/>
      <c r="Z217" s="41"/>
      <c r="AA217" s="41"/>
      <c r="AB217" s="41"/>
      <c r="AC217" s="88"/>
      <c r="AD217" s="41"/>
      <c r="AE217" s="41"/>
      <c r="AF217" s="88"/>
    </row>
    <row r="218" spans="2:32" ht="17.25" customHeight="1">
      <c r="B218" s="75">
        <v>133</v>
      </c>
      <c r="C218" s="823"/>
      <c r="D218" s="792"/>
      <c r="E218" s="76" t="s">
        <v>10</v>
      </c>
      <c r="F218" s="77" t="str">
        <f t="shared" si="8"/>
        <v>IB11085</v>
      </c>
      <c r="G218" s="89" t="s">
        <v>347</v>
      </c>
      <c r="H218" s="90"/>
      <c r="I218" s="90"/>
      <c r="J218" s="91"/>
      <c r="K218" s="590" t="s">
        <v>1513</v>
      </c>
      <c r="L218" s="81"/>
      <c r="M218" s="590"/>
      <c r="N218" s="76" t="s">
        <v>11</v>
      </c>
      <c r="O218" s="82" t="str">
        <f t="shared" si="9"/>
        <v>OB11085</v>
      </c>
      <c r="P218" s="83"/>
      <c r="Q218" s="84"/>
      <c r="R218" s="84"/>
      <c r="S218" s="85"/>
      <c r="T218" s="590"/>
      <c r="U218" s="86"/>
      <c r="V218" s="876"/>
      <c r="W218" s="770"/>
      <c r="X218" s="105"/>
      <c r="Y218" s="41"/>
      <c r="Z218" s="41"/>
      <c r="AA218" s="41"/>
      <c r="AB218" s="41"/>
      <c r="AC218" s="88"/>
      <c r="AD218" s="41"/>
      <c r="AE218" s="41"/>
      <c r="AF218" s="88"/>
    </row>
    <row r="219" spans="2:32" ht="17.25" customHeight="1">
      <c r="B219" s="75">
        <v>134</v>
      </c>
      <c r="C219" s="823"/>
      <c r="D219" s="792"/>
      <c r="E219" s="76" t="s">
        <v>10</v>
      </c>
      <c r="F219" s="77" t="str">
        <f t="shared" si="8"/>
        <v>IB11086</v>
      </c>
      <c r="G219" s="89" t="s">
        <v>348</v>
      </c>
      <c r="H219" s="90"/>
      <c r="I219" s="90"/>
      <c r="J219" s="91"/>
      <c r="K219" s="590" t="s">
        <v>1513</v>
      </c>
      <c r="L219" s="81"/>
      <c r="M219" s="590"/>
      <c r="N219" s="76" t="s">
        <v>11</v>
      </c>
      <c r="O219" s="82" t="str">
        <f t="shared" si="9"/>
        <v>OB11086</v>
      </c>
      <c r="P219" s="83"/>
      <c r="Q219" s="84"/>
      <c r="R219" s="84"/>
      <c r="S219" s="85"/>
      <c r="T219" s="590"/>
      <c r="U219" s="86"/>
      <c r="V219" s="876"/>
      <c r="W219" s="770"/>
      <c r="X219" s="40"/>
      <c r="Y219" s="41"/>
      <c r="Z219" s="41"/>
      <c r="AA219" s="41"/>
      <c r="AB219" s="41"/>
      <c r="AC219" s="88"/>
      <c r="AD219" s="41"/>
      <c r="AE219" s="41"/>
      <c r="AF219" s="88"/>
    </row>
    <row r="220" spans="2:32" ht="17.25" customHeight="1">
      <c r="B220" s="75">
        <v>135</v>
      </c>
      <c r="C220" s="823"/>
      <c r="D220" s="792"/>
      <c r="E220" s="76" t="s">
        <v>10</v>
      </c>
      <c r="F220" s="77" t="str">
        <f t="shared" si="8"/>
        <v>IB11087</v>
      </c>
      <c r="G220" s="89" t="s">
        <v>349</v>
      </c>
      <c r="H220" s="90"/>
      <c r="I220" s="90"/>
      <c r="J220" s="91"/>
      <c r="K220" s="590" t="s">
        <v>1513</v>
      </c>
      <c r="L220" s="81"/>
      <c r="M220" s="590"/>
      <c r="N220" s="76" t="s">
        <v>11</v>
      </c>
      <c r="O220" s="82" t="str">
        <f t="shared" si="9"/>
        <v>OB11087</v>
      </c>
      <c r="P220" s="83"/>
      <c r="Q220" s="84"/>
      <c r="R220" s="84"/>
      <c r="S220" s="85"/>
      <c r="T220" s="590"/>
      <c r="U220" s="86"/>
      <c r="V220" s="876"/>
      <c r="W220" s="770"/>
      <c r="X220" s="40"/>
      <c r="Y220" s="41"/>
      <c r="Z220" s="41"/>
      <c r="AA220" s="41"/>
      <c r="AB220" s="41"/>
      <c r="AC220" s="88"/>
      <c r="AD220" s="41"/>
      <c r="AE220" s="41"/>
      <c r="AF220" s="88"/>
    </row>
    <row r="221" spans="2:32" ht="17.25" customHeight="1">
      <c r="B221" s="75">
        <v>136</v>
      </c>
      <c r="C221" s="823"/>
      <c r="D221" s="792"/>
      <c r="E221" s="76" t="s">
        <v>10</v>
      </c>
      <c r="F221" s="77" t="str">
        <f t="shared" si="8"/>
        <v>IB11088</v>
      </c>
      <c r="G221" s="89" t="s">
        <v>308</v>
      </c>
      <c r="H221" s="90"/>
      <c r="I221" s="90"/>
      <c r="J221" s="91"/>
      <c r="K221" s="590" t="s">
        <v>1513</v>
      </c>
      <c r="L221" s="81"/>
      <c r="M221" s="590"/>
      <c r="N221" s="76" t="s">
        <v>11</v>
      </c>
      <c r="O221" s="82" t="str">
        <f t="shared" si="9"/>
        <v>OB11088</v>
      </c>
      <c r="P221" s="83"/>
      <c r="Q221" s="84"/>
      <c r="R221" s="84"/>
      <c r="S221" s="85"/>
      <c r="T221" s="590"/>
      <c r="U221" s="86"/>
      <c r="V221" s="876"/>
      <c r="W221" s="770"/>
      <c r="X221" s="40"/>
      <c r="Y221" s="41"/>
      <c r="Z221" s="41"/>
      <c r="AA221" s="41"/>
      <c r="AB221" s="41"/>
      <c r="AC221" s="88"/>
      <c r="AD221" s="41"/>
      <c r="AE221" s="41"/>
      <c r="AF221" s="88"/>
    </row>
    <row r="222" spans="2:32" ht="17.25" customHeight="1">
      <c r="B222" s="75">
        <v>137</v>
      </c>
      <c r="C222" s="823"/>
      <c r="D222" s="792"/>
      <c r="E222" s="76" t="s">
        <v>10</v>
      </c>
      <c r="F222" s="77" t="str">
        <f t="shared" si="8"/>
        <v>IB11089</v>
      </c>
      <c r="G222" s="89" t="s">
        <v>526</v>
      </c>
      <c r="H222" s="90"/>
      <c r="I222" s="90"/>
      <c r="J222" s="91"/>
      <c r="K222" s="590" t="s">
        <v>1513</v>
      </c>
      <c r="L222" s="81"/>
      <c r="M222" s="590"/>
      <c r="N222" s="76" t="s">
        <v>11</v>
      </c>
      <c r="O222" s="82" t="str">
        <f t="shared" si="9"/>
        <v>OB11089</v>
      </c>
      <c r="P222" s="83"/>
      <c r="Q222" s="84"/>
      <c r="R222" s="84"/>
      <c r="S222" s="85"/>
      <c r="T222" s="590"/>
      <c r="U222" s="86"/>
      <c r="V222" s="876"/>
      <c r="W222" s="770"/>
      <c r="X222" s="40"/>
      <c r="Y222" s="41"/>
      <c r="Z222" s="41"/>
      <c r="AA222" s="41"/>
      <c r="AB222" s="41"/>
      <c r="AC222" s="88"/>
      <c r="AD222" s="41"/>
      <c r="AE222" s="41"/>
      <c r="AF222" s="88"/>
    </row>
    <row r="223" spans="2:32" ht="17.25" customHeight="1">
      <c r="B223" s="75">
        <v>138</v>
      </c>
      <c r="C223" s="823"/>
      <c r="D223" s="792"/>
      <c r="E223" s="76" t="s">
        <v>10</v>
      </c>
      <c r="F223" s="77" t="str">
        <f t="shared" si="8"/>
        <v>IB1108A</v>
      </c>
      <c r="G223" s="543" t="s">
        <v>527</v>
      </c>
      <c r="H223" s="90"/>
      <c r="I223" s="90"/>
      <c r="J223" s="91"/>
      <c r="K223" s="590" t="s">
        <v>1513</v>
      </c>
      <c r="L223" s="81"/>
      <c r="M223" s="590"/>
      <c r="N223" s="76" t="s">
        <v>11</v>
      </c>
      <c r="O223" s="82" t="str">
        <f t="shared" si="9"/>
        <v>OB1108A</v>
      </c>
      <c r="P223" s="83"/>
      <c r="Q223" s="84"/>
      <c r="R223" s="84"/>
      <c r="S223" s="85"/>
      <c r="T223" s="590"/>
      <c r="U223" s="86"/>
      <c r="V223" s="876"/>
      <c r="W223" s="770"/>
      <c r="X223" s="40"/>
      <c r="Y223" s="41"/>
      <c r="Z223" s="41"/>
      <c r="AA223" s="41"/>
      <c r="AB223" s="41"/>
      <c r="AC223" s="88"/>
      <c r="AD223" s="41"/>
      <c r="AE223" s="41"/>
      <c r="AF223" s="88"/>
    </row>
    <row r="224" spans="2:32" ht="17.25" customHeight="1">
      <c r="B224" s="75">
        <v>139</v>
      </c>
      <c r="C224" s="823"/>
      <c r="D224" s="792"/>
      <c r="E224" s="76" t="s">
        <v>10</v>
      </c>
      <c r="F224" s="77" t="str">
        <f t="shared" si="8"/>
        <v>IB1108B</v>
      </c>
      <c r="G224" s="542"/>
      <c r="H224" s="538"/>
      <c r="I224" s="538"/>
      <c r="J224" s="539"/>
      <c r="K224" s="590"/>
      <c r="L224" s="81"/>
      <c r="M224" s="590"/>
      <c r="N224" s="76" t="s">
        <v>11</v>
      </c>
      <c r="O224" s="82" t="str">
        <f t="shared" si="9"/>
        <v>OB1108B</v>
      </c>
      <c r="P224" s="83"/>
      <c r="Q224" s="84"/>
      <c r="R224" s="84"/>
      <c r="S224" s="85"/>
      <c r="T224" s="590"/>
      <c r="U224" s="86"/>
      <c r="V224" s="876"/>
      <c r="W224" s="770"/>
      <c r="X224" s="40"/>
      <c r="Y224" s="41"/>
      <c r="Z224" s="41"/>
      <c r="AA224" s="41"/>
      <c r="AB224" s="41"/>
      <c r="AC224" s="88"/>
      <c r="AD224" s="41"/>
      <c r="AE224" s="41"/>
      <c r="AF224" s="88"/>
    </row>
    <row r="225" spans="2:32" ht="17.25" customHeight="1">
      <c r="B225" s="75">
        <v>140</v>
      </c>
      <c r="C225" s="823"/>
      <c r="D225" s="792"/>
      <c r="E225" s="76" t="s">
        <v>10</v>
      </c>
      <c r="F225" s="77" t="str">
        <f t="shared" si="8"/>
        <v>IB1108C</v>
      </c>
      <c r="G225" s="89" t="s">
        <v>306</v>
      </c>
      <c r="H225" s="540"/>
      <c r="I225" s="540"/>
      <c r="J225" s="541"/>
      <c r="K225" s="143" t="s">
        <v>1513</v>
      </c>
      <c r="L225" s="81"/>
      <c r="M225" s="590"/>
      <c r="N225" s="76" t="s">
        <v>11</v>
      </c>
      <c r="O225" s="82" t="str">
        <f t="shared" si="9"/>
        <v>OB1108C</v>
      </c>
      <c r="P225" s="83"/>
      <c r="Q225" s="84"/>
      <c r="R225" s="84"/>
      <c r="S225" s="85"/>
      <c r="T225" s="590"/>
      <c r="U225" s="86"/>
      <c r="V225" s="876"/>
      <c r="W225" s="770"/>
      <c r="X225" s="40"/>
      <c r="Y225" s="41"/>
      <c r="Z225" s="41"/>
      <c r="AA225" s="41"/>
      <c r="AB225" s="41"/>
      <c r="AC225" s="88"/>
      <c r="AD225" s="41"/>
      <c r="AE225" s="41"/>
      <c r="AF225" s="88"/>
    </row>
    <row r="226" spans="2:32" ht="17.25" customHeight="1">
      <c r="B226" s="75">
        <v>141</v>
      </c>
      <c r="C226" s="823"/>
      <c r="D226" s="792"/>
      <c r="E226" s="76" t="s">
        <v>10</v>
      </c>
      <c r="F226" s="77" t="str">
        <f t="shared" si="8"/>
        <v>IB1108D</v>
      </c>
      <c r="G226" s="89" t="s">
        <v>309</v>
      </c>
      <c r="H226" s="540"/>
      <c r="I226" s="540"/>
      <c r="J226" s="541"/>
      <c r="K226" s="143" t="s">
        <v>1513</v>
      </c>
      <c r="L226" s="81"/>
      <c r="M226" s="590"/>
      <c r="N226" s="76" t="s">
        <v>11</v>
      </c>
      <c r="O226" s="82" t="str">
        <f t="shared" si="9"/>
        <v>OB1108D</v>
      </c>
      <c r="P226" s="83"/>
      <c r="Q226" s="84"/>
      <c r="R226" s="84"/>
      <c r="S226" s="85"/>
      <c r="T226" s="590"/>
      <c r="U226" s="86"/>
      <c r="V226" s="876"/>
      <c r="W226" s="770"/>
      <c r="X226" s="40"/>
      <c r="Y226" s="41"/>
      <c r="Z226" s="41"/>
      <c r="AA226" s="41"/>
      <c r="AB226" s="41"/>
      <c r="AC226" s="88"/>
      <c r="AD226" s="41"/>
      <c r="AE226" s="41"/>
      <c r="AF226" s="88"/>
    </row>
    <row r="227" spans="2:32" ht="17.25" customHeight="1">
      <c r="B227" s="75">
        <v>142</v>
      </c>
      <c r="C227" s="823"/>
      <c r="D227" s="792"/>
      <c r="E227" s="76" t="s">
        <v>10</v>
      </c>
      <c r="F227" s="77" t="str">
        <f t="shared" si="8"/>
        <v>IB1108E</v>
      </c>
      <c r="G227" s="89" t="s">
        <v>313</v>
      </c>
      <c r="H227" s="540"/>
      <c r="I227" s="540"/>
      <c r="J227" s="541"/>
      <c r="K227" s="143" t="s">
        <v>1513</v>
      </c>
      <c r="L227" s="81"/>
      <c r="M227" s="590"/>
      <c r="N227" s="76" t="s">
        <v>11</v>
      </c>
      <c r="O227" s="82" t="str">
        <f t="shared" si="9"/>
        <v>OB1108E</v>
      </c>
      <c r="P227" s="83"/>
      <c r="Q227" s="84"/>
      <c r="R227" s="84"/>
      <c r="S227" s="85"/>
      <c r="T227" s="590"/>
      <c r="U227" s="86"/>
      <c r="V227" s="876"/>
      <c r="W227" s="770"/>
      <c r="X227" s="40"/>
      <c r="Y227" s="41"/>
      <c r="Z227" s="41"/>
      <c r="AA227" s="41"/>
      <c r="AB227" s="41"/>
      <c r="AC227" s="88"/>
      <c r="AD227" s="41"/>
      <c r="AE227" s="41"/>
      <c r="AF227" s="88"/>
    </row>
    <row r="228" spans="2:32" ht="17.25" customHeight="1">
      <c r="B228" s="75">
        <v>143</v>
      </c>
      <c r="C228" s="824"/>
      <c r="D228" s="814"/>
      <c r="E228" s="76" t="s">
        <v>10</v>
      </c>
      <c r="F228" s="77" t="str">
        <f t="shared" si="8"/>
        <v>IB1108F</v>
      </c>
      <c r="G228" s="89" t="s">
        <v>314</v>
      </c>
      <c r="H228" s="540"/>
      <c r="I228" s="540"/>
      <c r="J228" s="541"/>
      <c r="K228" s="143" t="s">
        <v>1513</v>
      </c>
      <c r="L228" s="81"/>
      <c r="M228" s="590"/>
      <c r="N228" s="76" t="s">
        <v>11</v>
      </c>
      <c r="O228" s="82" t="str">
        <f t="shared" si="9"/>
        <v>OB1108F</v>
      </c>
      <c r="P228" s="311"/>
      <c r="Q228" s="312"/>
      <c r="R228" s="312"/>
      <c r="S228" s="313"/>
      <c r="T228" s="590"/>
      <c r="U228" s="86"/>
      <c r="V228" s="876"/>
      <c r="W228" s="770"/>
      <c r="X228" s="40"/>
      <c r="Y228" s="41"/>
      <c r="Z228" s="41"/>
      <c r="AA228" s="41"/>
      <c r="AB228" s="41"/>
      <c r="AC228" s="88"/>
      <c r="AD228" s="41"/>
      <c r="AE228" s="41"/>
      <c r="AF228" s="88"/>
    </row>
    <row r="229" spans="2:32" ht="17.25" customHeight="1">
      <c r="B229" s="75">
        <v>144</v>
      </c>
      <c r="C229" s="818" t="s">
        <v>1581</v>
      </c>
      <c r="D229" s="813" t="s">
        <v>69</v>
      </c>
      <c r="E229" s="76" t="s">
        <v>10</v>
      </c>
      <c r="F229" s="77" t="str">
        <f t="shared" si="8"/>
        <v>IB11090</v>
      </c>
      <c r="G229" s="433"/>
      <c r="H229" s="84"/>
      <c r="I229" s="84"/>
      <c r="J229" s="85"/>
      <c r="K229" s="590"/>
      <c r="L229" s="81"/>
      <c r="M229" s="590"/>
      <c r="N229" s="76" t="s">
        <v>11</v>
      </c>
      <c r="O229" s="82" t="str">
        <f t="shared" si="9"/>
        <v>OB11090</v>
      </c>
      <c r="P229" s="89" t="s">
        <v>548</v>
      </c>
      <c r="Q229" s="90"/>
      <c r="R229" s="90"/>
      <c r="S229" s="91"/>
      <c r="T229" s="590" t="s">
        <v>1513</v>
      </c>
      <c r="U229" s="86"/>
      <c r="V229" s="876"/>
      <c r="W229" s="770"/>
      <c r="X229" s="40"/>
      <c r="Y229" s="41"/>
      <c r="Z229" s="41"/>
      <c r="AA229" s="41"/>
      <c r="AB229" s="41"/>
      <c r="AC229" s="88"/>
      <c r="AD229" s="41"/>
      <c r="AE229" s="41"/>
      <c r="AF229" s="88"/>
    </row>
    <row r="230" spans="2:32" ht="17.25" customHeight="1">
      <c r="B230" s="75">
        <v>145</v>
      </c>
      <c r="C230" s="819"/>
      <c r="D230" s="792"/>
      <c r="E230" s="76" t="s">
        <v>10</v>
      </c>
      <c r="F230" s="77" t="str">
        <f t="shared" si="8"/>
        <v>IB11091</v>
      </c>
      <c r="G230" s="83"/>
      <c r="H230" s="84"/>
      <c r="I230" s="84"/>
      <c r="J230" s="85"/>
      <c r="K230" s="590"/>
      <c r="L230" s="81"/>
      <c r="M230" s="590"/>
      <c r="N230" s="76" t="s">
        <v>11</v>
      </c>
      <c r="O230" s="82" t="str">
        <f t="shared" si="9"/>
        <v>OB11091</v>
      </c>
      <c r="P230" s="89" t="s">
        <v>549</v>
      </c>
      <c r="Q230" s="90"/>
      <c r="R230" s="90"/>
      <c r="S230" s="91"/>
      <c r="T230" s="590" t="s">
        <v>1513</v>
      </c>
      <c r="U230" s="86"/>
      <c r="V230" s="876"/>
      <c r="W230" s="770"/>
      <c r="X230" s="40"/>
      <c r="Y230" s="41"/>
      <c r="Z230" s="41"/>
      <c r="AA230" s="41"/>
      <c r="AB230" s="41"/>
      <c r="AC230" s="88"/>
      <c r="AD230" s="41"/>
      <c r="AE230" s="41"/>
      <c r="AF230" s="88"/>
    </row>
    <row r="231" spans="2:32" ht="17.25" customHeight="1">
      <c r="B231" s="75">
        <v>146</v>
      </c>
      <c r="C231" s="819"/>
      <c r="D231" s="792"/>
      <c r="E231" s="76" t="s">
        <v>10</v>
      </c>
      <c r="F231" s="77" t="str">
        <f t="shared" si="8"/>
        <v>IB11092</v>
      </c>
      <c r="G231" s="83"/>
      <c r="H231" s="84"/>
      <c r="I231" s="84"/>
      <c r="J231" s="85"/>
      <c r="K231" s="590"/>
      <c r="L231" s="81"/>
      <c r="M231" s="590"/>
      <c r="N231" s="76" t="s">
        <v>11</v>
      </c>
      <c r="O231" s="82" t="str">
        <f t="shared" si="9"/>
        <v>OB11092</v>
      </c>
      <c r="P231" s="89" t="s">
        <v>550</v>
      </c>
      <c r="Q231" s="90"/>
      <c r="R231" s="90"/>
      <c r="S231" s="91"/>
      <c r="T231" s="590" t="s">
        <v>1513</v>
      </c>
      <c r="U231" s="86"/>
      <c r="V231" s="876"/>
      <c r="W231" s="770"/>
      <c r="X231" s="40"/>
      <c r="Y231" s="41"/>
      <c r="Z231" s="41"/>
      <c r="AA231" s="41"/>
      <c r="AB231" s="41"/>
      <c r="AC231" s="88"/>
      <c r="AD231" s="41"/>
      <c r="AE231" s="41"/>
      <c r="AF231" s="88"/>
    </row>
    <row r="232" spans="2:32" ht="17.25" customHeight="1">
      <c r="B232" s="75">
        <v>147</v>
      </c>
      <c r="C232" s="819"/>
      <c r="D232" s="792"/>
      <c r="E232" s="76" t="s">
        <v>10</v>
      </c>
      <c r="F232" s="77" t="str">
        <f t="shared" si="8"/>
        <v>IB11093</v>
      </c>
      <c r="G232" s="83"/>
      <c r="H232" s="84"/>
      <c r="I232" s="84"/>
      <c r="J232" s="85"/>
      <c r="K232" s="590"/>
      <c r="L232" s="81"/>
      <c r="M232" s="590"/>
      <c r="N232" s="76" t="s">
        <v>11</v>
      </c>
      <c r="O232" s="82" t="str">
        <f t="shared" si="9"/>
        <v>OB11093</v>
      </c>
      <c r="P232" s="89" t="s">
        <v>551</v>
      </c>
      <c r="Q232" s="90"/>
      <c r="R232" s="90"/>
      <c r="S232" s="91"/>
      <c r="T232" s="590" t="s">
        <v>1513</v>
      </c>
      <c r="U232" s="86"/>
      <c r="V232" s="876"/>
      <c r="W232" s="770"/>
      <c r="X232" s="40"/>
      <c r="Y232" s="41"/>
      <c r="Z232" s="41"/>
      <c r="AA232" s="41"/>
      <c r="AB232" s="41"/>
      <c r="AC232" s="88"/>
      <c r="AD232" s="41"/>
      <c r="AE232" s="41"/>
      <c r="AF232" s="88"/>
    </row>
    <row r="233" spans="2:32" ht="17.25" customHeight="1">
      <c r="B233" s="75">
        <v>148</v>
      </c>
      <c r="C233" s="819"/>
      <c r="D233" s="792"/>
      <c r="E233" s="76" t="s">
        <v>10</v>
      </c>
      <c r="F233" s="77" t="str">
        <f t="shared" si="8"/>
        <v>IB11094</v>
      </c>
      <c r="G233" s="83"/>
      <c r="H233" s="84"/>
      <c r="I233" s="84"/>
      <c r="J233" s="85"/>
      <c r="K233" s="590"/>
      <c r="L233" s="81"/>
      <c r="M233" s="590"/>
      <c r="N233" s="76" t="s">
        <v>11</v>
      </c>
      <c r="O233" s="82" t="str">
        <f t="shared" si="9"/>
        <v>OB11094</v>
      </c>
      <c r="P233" s="89" t="s">
        <v>552</v>
      </c>
      <c r="Q233" s="90"/>
      <c r="R233" s="90"/>
      <c r="S233" s="91"/>
      <c r="T233" s="590" t="s">
        <v>1513</v>
      </c>
      <c r="U233" s="86"/>
      <c r="V233" s="876"/>
      <c r="W233" s="770"/>
      <c r="X233" s="40"/>
      <c r="Y233" s="41"/>
      <c r="Z233" s="41"/>
      <c r="AA233" s="41"/>
      <c r="AB233" s="41"/>
      <c r="AC233" s="88"/>
      <c r="AD233" s="41"/>
      <c r="AE233" s="41"/>
      <c r="AF233" s="88"/>
    </row>
    <row r="234" spans="2:32" ht="17.25" customHeight="1">
      <c r="B234" s="75">
        <v>149</v>
      </c>
      <c r="C234" s="819"/>
      <c r="D234" s="792"/>
      <c r="E234" s="76" t="s">
        <v>10</v>
      </c>
      <c r="F234" s="77" t="str">
        <f t="shared" si="8"/>
        <v>IB11095</v>
      </c>
      <c r="G234" s="83"/>
      <c r="H234" s="84"/>
      <c r="I234" s="84"/>
      <c r="J234" s="85"/>
      <c r="K234" s="590"/>
      <c r="L234" s="81"/>
      <c r="M234" s="590"/>
      <c r="N234" s="76" t="s">
        <v>11</v>
      </c>
      <c r="O234" s="82" t="str">
        <f t="shared" si="9"/>
        <v>OB11095</v>
      </c>
      <c r="P234" s="89"/>
      <c r="Q234" s="90"/>
      <c r="R234" s="90"/>
      <c r="S234" s="91"/>
      <c r="T234" s="590"/>
      <c r="U234" s="86"/>
      <c r="V234" s="876"/>
      <c r="W234" s="770"/>
      <c r="X234" s="40"/>
      <c r="Y234" s="41"/>
      <c r="Z234" s="41"/>
      <c r="AA234" s="41"/>
      <c r="AB234" s="41"/>
      <c r="AC234" s="88"/>
      <c r="AD234" s="41"/>
      <c r="AE234" s="41"/>
      <c r="AF234" s="88"/>
    </row>
    <row r="235" spans="2:32" ht="17.25" customHeight="1">
      <c r="B235" s="75">
        <v>150</v>
      </c>
      <c r="C235" s="819"/>
      <c r="D235" s="792"/>
      <c r="E235" s="76" t="s">
        <v>10</v>
      </c>
      <c r="F235" s="77" t="str">
        <f t="shared" si="8"/>
        <v>IB11096</v>
      </c>
      <c r="G235" s="83"/>
      <c r="H235" s="84"/>
      <c r="I235" s="84"/>
      <c r="J235" s="85"/>
      <c r="K235" s="590"/>
      <c r="L235" s="81"/>
      <c r="M235" s="590"/>
      <c r="N235" s="76" t="s">
        <v>11</v>
      </c>
      <c r="O235" s="82" t="str">
        <f t="shared" si="9"/>
        <v>OB11096</v>
      </c>
      <c r="P235" s="97" t="s">
        <v>553</v>
      </c>
      <c r="Q235" s="98"/>
      <c r="R235" s="98"/>
      <c r="S235" s="99"/>
      <c r="T235" s="590" t="s">
        <v>1513</v>
      </c>
      <c r="U235" s="86"/>
      <c r="V235" s="876"/>
      <c r="W235" s="770"/>
      <c r="X235" s="40"/>
      <c r="Y235" s="41"/>
      <c r="Z235" s="41"/>
      <c r="AA235" s="41"/>
      <c r="AB235" s="41"/>
      <c r="AC235" s="88"/>
      <c r="AD235" s="41"/>
      <c r="AE235" s="41"/>
      <c r="AF235" s="88"/>
    </row>
    <row r="236" spans="2:32" ht="17.25" customHeight="1">
      <c r="B236" s="75">
        <v>151</v>
      </c>
      <c r="C236" s="819"/>
      <c r="D236" s="792"/>
      <c r="E236" s="76" t="s">
        <v>10</v>
      </c>
      <c r="F236" s="77" t="str">
        <f t="shared" si="8"/>
        <v>IB11097</v>
      </c>
      <c r="G236" s="83"/>
      <c r="H236" s="84"/>
      <c r="I236" s="84"/>
      <c r="J236" s="85"/>
      <c r="K236" s="590"/>
      <c r="L236" s="81"/>
      <c r="M236" s="590"/>
      <c r="N236" s="76" t="s">
        <v>11</v>
      </c>
      <c r="O236" s="82" t="str">
        <f t="shared" si="9"/>
        <v>OB11097</v>
      </c>
      <c r="P236" s="97" t="s">
        <v>554</v>
      </c>
      <c r="Q236" s="98"/>
      <c r="R236" s="98"/>
      <c r="S236" s="99"/>
      <c r="T236" s="590" t="s">
        <v>1513</v>
      </c>
      <c r="U236" s="86"/>
      <c r="V236" s="876"/>
      <c r="W236" s="770"/>
      <c r="X236" s="41"/>
      <c r="Y236" s="41"/>
      <c r="Z236" s="41"/>
      <c r="AA236" s="41"/>
      <c r="AB236" s="41"/>
      <c r="AC236" s="88"/>
      <c r="AD236" s="41"/>
      <c r="AE236" s="41"/>
      <c r="AF236" s="88"/>
    </row>
    <row r="237" spans="2:32" ht="17.25" customHeight="1">
      <c r="B237" s="75">
        <v>152</v>
      </c>
      <c r="C237" s="819"/>
      <c r="D237" s="792"/>
      <c r="E237" s="76" t="s">
        <v>10</v>
      </c>
      <c r="F237" s="77" t="str">
        <f t="shared" si="8"/>
        <v>IB11098</v>
      </c>
      <c r="G237" s="83"/>
      <c r="H237" s="84"/>
      <c r="I237" s="84"/>
      <c r="J237" s="85"/>
      <c r="K237" s="590"/>
      <c r="L237" s="81"/>
      <c r="M237" s="590"/>
      <c r="N237" s="76" t="s">
        <v>11</v>
      </c>
      <c r="O237" s="82" t="str">
        <f t="shared" si="9"/>
        <v>OB11098</v>
      </c>
      <c r="P237" s="97" t="s">
        <v>555</v>
      </c>
      <c r="Q237" s="98"/>
      <c r="R237" s="98"/>
      <c r="S237" s="99"/>
      <c r="T237" s="590" t="s">
        <v>1513</v>
      </c>
      <c r="U237" s="86"/>
      <c r="V237" s="876"/>
      <c r="W237" s="770"/>
      <c r="X237" s="40"/>
      <c r="Y237" s="41"/>
      <c r="Z237" s="41"/>
      <c r="AA237" s="41"/>
      <c r="AB237" s="41"/>
      <c r="AC237" s="88"/>
      <c r="AD237" s="41"/>
      <c r="AE237" s="41"/>
      <c r="AF237" s="88"/>
    </row>
    <row r="238" spans="2:32" ht="17.25" customHeight="1">
      <c r="B238" s="75">
        <v>153</v>
      </c>
      <c r="C238" s="819"/>
      <c r="D238" s="792"/>
      <c r="E238" s="76" t="s">
        <v>10</v>
      </c>
      <c r="F238" s="77" t="str">
        <f t="shared" si="8"/>
        <v>IB11099</v>
      </c>
      <c r="G238" s="83"/>
      <c r="H238" s="84"/>
      <c r="I238" s="84"/>
      <c r="J238" s="85"/>
      <c r="K238" s="590"/>
      <c r="L238" s="81"/>
      <c r="M238" s="590"/>
      <c r="N238" s="76" t="s">
        <v>11</v>
      </c>
      <c r="O238" s="82" t="str">
        <f t="shared" si="9"/>
        <v>OB11099</v>
      </c>
      <c r="P238" s="97" t="s">
        <v>556</v>
      </c>
      <c r="Q238" s="98"/>
      <c r="R238" s="98"/>
      <c r="S238" s="99"/>
      <c r="T238" s="590" t="s">
        <v>1513</v>
      </c>
      <c r="U238" s="86"/>
      <c r="V238" s="876"/>
      <c r="W238" s="770"/>
      <c r="X238" s="40"/>
      <c r="Y238" s="41"/>
      <c r="Z238" s="41"/>
      <c r="AA238" s="41"/>
      <c r="AB238" s="41"/>
      <c r="AC238" s="88"/>
      <c r="AD238" s="41"/>
      <c r="AE238" s="41"/>
      <c r="AF238" s="88"/>
    </row>
    <row r="239" spans="2:32" ht="17.25" customHeight="1">
      <c r="B239" s="75">
        <v>154</v>
      </c>
      <c r="C239" s="819"/>
      <c r="D239" s="792"/>
      <c r="E239" s="76" t="s">
        <v>29</v>
      </c>
      <c r="F239" s="77" t="str">
        <f t="shared" si="8"/>
        <v>IB1109A</v>
      </c>
      <c r="G239" s="83"/>
      <c r="H239" s="84"/>
      <c r="I239" s="84"/>
      <c r="J239" s="85"/>
      <c r="K239" s="590"/>
      <c r="L239" s="81"/>
      <c r="M239" s="590"/>
      <c r="N239" s="76" t="s">
        <v>11</v>
      </c>
      <c r="O239" s="82" t="str">
        <f t="shared" si="9"/>
        <v>OB1109A</v>
      </c>
      <c r="P239" s="89"/>
      <c r="Q239" s="90"/>
      <c r="R239" s="90"/>
      <c r="S239" s="91"/>
      <c r="T239" s="590"/>
      <c r="U239" s="86"/>
      <c r="V239" s="876"/>
      <c r="W239" s="770"/>
      <c r="X239" s="40"/>
      <c r="Y239" s="41"/>
      <c r="Z239" s="41"/>
      <c r="AA239" s="41"/>
      <c r="AB239" s="41"/>
      <c r="AC239" s="88"/>
      <c r="AD239" s="41"/>
      <c r="AE239" s="41"/>
      <c r="AF239" s="88"/>
    </row>
    <row r="240" spans="2:32" ht="17.25" customHeight="1">
      <c r="B240" s="75">
        <v>155</v>
      </c>
      <c r="C240" s="819"/>
      <c r="D240" s="792"/>
      <c r="E240" s="76" t="s">
        <v>10</v>
      </c>
      <c r="F240" s="77" t="str">
        <f t="shared" si="8"/>
        <v>IB1109B</v>
      </c>
      <c r="G240" s="83"/>
      <c r="H240" s="84"/>
      <c r="I240" s="84"/>
      <c r="J240" s="85"/>
      <c r="K240" s="590"/>
      <c r="L240" s="81"/>
      <c r="M240" s="590"/>
      <c r="N240" s="76" t="s">
        <v>11</v>
      </c>
      <c r="O240" s="82" t="str">
        <f t="shared" si="9"/>
        <v>OB1109B</v>
      </c>
      <c r="P240" s="89"/>
      <c r="Q240" s="90"/>
      <c r="R240" s="90"/>
      <c r="S240" s="91"/>
      <c r="T240" s="590"/>
      <c r="U240" s="86"/>
      <c r="V240" s="876"/>
      <c r="W240" s="770"/>
      <c r="X240" s="40"/>
      <c r="Y240" s="41"/>
      <c r="Z240" s="41"/>
      <c r="AA240" s="41"/>
      <c r="AB240" s="41"/>
      <c r="AC240" s="88"/>
      <c r="AD240" s="41"/>
      <c r="AE240" s="41"/>
      <c r="AF240" s="88"/>
    </row>
    <row r="241" spans="2:32" ht="17.25" customHeight="1">
      <c r="B241" s="75">
        <v>156</v>
      </c>
      <c r="C241" s="819"/>
      <c r="D241" s="792"/>
      <c r="E241" s="109" t="s">
        <v>10</v>
      </c>
      <c r="F241" s="77" t="str">
        <f t="shared" si="8"/>
        <v>IB1109C</v>
      </c>
      <c r="G241" s="83"/>
      <c r="H241" s="84"/>
      <c r="I241" s="84"/>
      <c r="J241" s="85"/>
      <c r="K241" s="590"/>
      <c r="L241" s="81"/>
      <c r="M241" s="590"/>
      <c r="N241" s="76" t="s">
        <v>11</v>
      </c>
      <c r="O241" s="82" t="str">
        <f t="shared" si="9"/>
        <v>OB1109C</v>
      </c>
      <c r="P241" s="302" t="s">
        <v>557</v>
      </c>
      <c r="Q241" s="303"/>
      <c r="R241" s="303"/>
      <c r="S241" s="304"/>
      <c r="T241" s="590" t="s">
        <v>1530</v>
      </c>
      <c r="U241" s="86" t="s">
        <v>1513</v>
      </c>
      <c r="V241" s="876"/>
      <c r="W241" s="770"/>
      <c r="X241" s="40"/>
      <c r="Y241" s="41"/>
      <c r="Z241" s="41"/>
      <c r="AA241" s="41"/>
      <c r="AB241" s="41"/>
      <c r="AC241" s="88"/>
      <c r="AD241" s="41"/>
      <c r="AE241" s="41"/>
      <c r="AF241" s="88"/>
    </row>
    <row r="242" spans="2:32" ht="17.25" customHeight="1">
      <c r="B242" s="75">
        <v>157</v>
      </c>
      <c r="C242" s="819"/>
      <c r="D242" s="792"/>
      <c r="E242" s="76" t="s">
        <v>10</v>
      </c>
      <c r="F242" s="77" t="str">
        <f t="shared" si="8"/>
        <v>IB1109D</v>
      </c>
      <c r="G242" s="83"/>
      <c r="H242" s="84"/>
      <c r="I242" s="84"/>
      <c r="J242" s="85"/>
      <c r="K242" s="590"/>
      <c r="L242" s="81"/>
      <c r="M242" s="590"/>
      <c r="N242" s="76" t="s">
        <v>11</v>
      </c>
      <c r="O242" s="82" t="str">
        <f t="shared" si="9"/>
        <v>OB1109D</v>
      </c>
      <c r="P242" s="302" t="s">
        <v>558</v>
      </c>
      <c r="Q242" s="303"/>
      <c r="R242" s="303"/>
      <c r="S242" s="304"/>
      <c r="T242" s="590" t="s">
        <v>1530</v>
      </c>
      <c r="U242" s="86" t="s">
        <v>1513</v>
      </c>
      <c r="V242" s="876"/>
      <c r="W242" s="770"/>
      <c r="X242" s="40"/>
      <c r="Y242" s="41"/>
      <c r="Z242" s="41"/>
      <c r="AA242" s="41"/>
      <c r="AB242" s="41"/>
      <c r="AC242" s="88"/>
      <c r="AD242" s="41"/>
      <c r="AE242" s="41"/>
      <c r="AF242" s="88"/>
    </row>
    <row r="243" spans="2:32" ht="17.25" customHeight="1">
      <c r="B243" s="75">
        <v>158</v>
      </c>
      <c r="C243" s="819"/>
      <c r="D243" s="792"/>
      <c r="E243" s="76" t="s">
        <v>10</v>
      </c>
      <c r="F243" s="77" t="str">
        <f t="shared" si="8"/>
        <v>IB1109E</v>
      </c>
      <c r="G243" s="83"/>
      <c r="H243" s="84"/>
      <c r="I243" s="84"/>
      <c r="J243" s="85"/>
      <c r="K243" s="590"/>
      <c r="L243" s="81"/>
      <c r="M243" s="590"/>
      <c r="N243" s="76" t="s">
        <v>11</v>
      </c>
      <c r="O243" s="82" t="str">
        <f t="shared" si="9"/>
        <v>OB1109E</v>
      </c>
      <c r="P243" s="302" t="s">
        <v>559</v>
      </c>
      <c r="Q243" s="303"/>
      <c r="R243" s="303"/>
      <c r="S243" s="304"/>
      <c r="T243" s="590" t="s">
        <v>1530</v>
      </c>
      <c r="U243" s="86" t="s">
        <v>1513</v>
      </c>
      <c r="V243" s="876"/>
      <c r="W243" s="770"/>
      <c r="X243" s="40"/>
      <c r="Y243" s="41"/>
      <c r="Z243" s="41"/>
      <c r="AA243" s="41"/>
      <c r="AB243" s="41"/>
      <c r="AC243" s="88"/>
      <c r="AD243" s="41"/>
      <c r="AE243" s="41"/>
      <c r="AF243" s="88"/>
    </row>
    <row r="244" spans="2:32" ht="17.25" customHeight="1">
      <c r="B244" s="75">
        <v>159</v>
      </c>
      <c r="C244" s="820"/>
      <c r="D244" s="814"/>
      <c r="E244" s="76" t="s">
        <v>10</v>
      </c>
      <c r="F244" s="77" t="str">
        <f t="shared" si="8"/>
        <v>IB1109F</v>
      </c>
      <c r="G244" s="311"/>
      <c r="H244" s="312"/>
      <c r="I244" s="312"/>
      <c r="J244" s="313"/>
      <c r="K244" s="590"/>
      <c r="L244" s="81"/>
      <c r="M244" s="590"/>
      <c r="N244" s="76" t="s">
        <v>11</v>
      </c>
      <c r="O244" s="82" t="str">
        <f t="shared" si="9"/>
        <v>OB1109F</v>
      </c>
      <c r="P244" s="102"/>
      <c r="Q244" s="103"/>
      <c r="R244" s="103"/>
      <c r="S244" s="94"/>
      <c r="T244" s="590"/>
      <c r="U244" s="86"/>
      <c r="V244" s="876"/>
      <c r="W244" s="770"/>
      <c r="X244" s="41"/>
      <c r="Y244" s="41"/>
      <c r="Z244" s="41"/>
      <c r="AA244" s="41"/>
      <c r="AB244" s="41"/>
      <c r="AC244" s="88"/>
      <c r="AD244" s="41"/>
      <c r="AE244" s="41"/>
      <c r="AF244" s="88"/>
    </row>
    <row r="245" spans="2:32" ht="17.25" customHeight="1">
      <c r="B245" s="75">
        <v>160</v>
      </c>
      <c r="C245" s="822" t="s">
        <v>52</v>
      </c>
      <c r="D245" s="825" t="s">
        <v>1404</v>
      </c>
      <c r="E245" s="76" t="s">
        <v>10</v>
      </c>
      <c r="F245" s="77" t="str">
        <f t="shared" si="8"/>
        <v>IB110A0</v>
      </c>
      <c r="G245" s="89" t="s">
        <v>300</v>
      </c>
      <c r="H245" s="90"/>
      <c r="I245" s="90"/>
      <c r="J245" s="91"/>
      <c r="K245" s="590" t="s">
        <v>1513</v>
      </c>
      <c r="L245" s="81"/>
      <c r="M245" s="590"/>
      <c r="N245" s="76" t="s">
        <v>11</v>
      </c>
      <c r="O245" s="82" t="str">
        <f t="shared" si="9"/>
        <v>OB110A0</v>
      </c>
      <c r="P245" s="83"/>
      <c r="Q245" s="84"/>
      <c r="R245" s="84"/>
      <c r="S245" s="85"/>
      <c r="T245" s="590"/>
      <c r="U245" s="86"/>
      <c r="V245" s="876"/>
      <c r="W245" s="770"/>
      <c r="X245" s="40"/>
      <c r="Y245" s="41"/>
      <c r="Z245" s="41"/>
      <c r="AA245" s="41"/>
      <c r="AB245" s="41"/>
      <c r="AC245" s="88"/>
      <c r="AD245" s="41"/>
      <c r="AE245" s="41"/>
      <c r="AF245" s="88"/>
    </row>
    <row r="246" spans="2:32" ht="17.25" customHeight="1">
      <c r="B246" s="75">
        <v>161</v>
      </c>
      <c r="C246" s="823"/>
      <c r="D246" s="792"/>
      <c r="E246" s="76" t="s">
        <v>10</v>
      </c>
      <c r="F246" s="77" t="str">
        <f t="shared" si="8"/>
        <v>IB110A1</v>
      </c>
      <c r="G246" s="89" t="s">
        <v>303</v>
      </c>
      <c r="H246" s="90"/>
      <c r="I246" s="90"/>
      <c r="J246" s="91"/>
      <c r="K246" s="590" t="s">
        <v>1513</v>
      </c>
      <c r="L246" s="81"/>
      <c r="M246" s="590"/>
      <c r="N246" s="76" t="s">
        <v>11</v>
      </c>
      <c r="O246" s="82" t="str">
        <f t="shared" si="9"/>
        <v>OB110A1</v>
      </c>
      <c r="P246" s="83"/>
      <c r="Q246" s="84"/>
      <c r="R246" s="84"/>
      <c r="S246" s="85"/>
      <c r="T246" s="590"/>
      <c r="U246" s="86"/>
      <c r="V246" s="876"/>
      <c r="W246" s="770"/>
      <c r="X246" s="40"/>
      <c r="Y246" s="41"/>
      <c r="Z246" s="41"/>
      <c r="AA246" s="41"/>
      <c r="AB246" s="41"/>
      <c r="AC246" s="88"/>
      <c r="AD246" s="41"/>
      <c r="AE246" s="41"/>
      <c r="AF246" s="88"/>
    </row>
    <row r="247" spans="2:32" ht="17.25" customHeight="1">
      <c r="B247" s="75">
        <v>162</v>
      </c>
      <c r="C247" s="823"/>
      <c r="D247" s="792"/>
      <c r="E247" s="76" t="s">
        <v>10</v>
      </c>
      <c r="F247" s="77" t="str">
        <f t="shared" si="8"/>
        <v>IB110A2</v>
      </c>
      <c r="G247" s="89" t="s">
        <v>301</v>
      </c>
      <c r="H247" s="90"/>
      <c r="I247" s="90"/>
      <c r="J247" s="91"/>
      <c r="K247" s="590" t="s">
        <v>1513</v>
      </c>
      <c r="L247" s="81"/>
      <c r="M247" s="590"/>
      <c r="N247" s="76" t="s">
        <v>11</v>
      </c>
      <c r="O247" s="82" t="str">
        <f t="shared" si="9"/>
        <v>OB110A2</v>
      </c>
      <c r="P247" s="83"/>
      <c r="Q247" s="84"/>
      <c r="R247" s="84"/>
      <c r="S247" s="85"/>
      <c r="T247" s="590"/>
      <c r="U247" s="86"/>
      <c r="V247" s="876"/>
      <c r="W247" s="770"/>
      <c r="X247" s="40"/>
      <c r="Y247" s="41"/>
      <c r="Z247" s="41"/>
      <c r="AA247" s="41"/>
      <c r="AB247" s="41"/>
      <c r="AC247" s="88"/>
      <c r="AD247" s="41"/>
      <c r="AE247" s="41"/>
      <c r="AF247" s="88"/>
    </row>
    <row r="248" spans="2:32" ht="17.25" customHeight="1">
      <c r="B248" s="75">
        <v>163</v>
      </c>
      <c r="C248" s="823"/>
      <c r="D248" s="792"/>
      <c r="E248" s="76" t="s">
        <v>10</v>
      </c>
      <c r="F248" s="77" t="str">
        <f t="shared" si="8"/>
        <v>IB110A3</v>
      </c>
      <c r="G248" s="89" t="s">
        <v>304</v>
      </c>
      <c r="H248" s="90"/>
      <c r="I248" s="90"/>
      <c r="J248" s="91"/>
      <c r="K248" s="590" t="s">
        <v>1513</v>
      </c>
      <c r="L248" s="81"/>
      <c r="M248" s="590"/>
      <c r="N248" s="76" t="s">
        <v>11</v>
      </c>
      <c r="O248" s="82" t="str">
        <f t="shared" si="9"/>
        <v>OB110A3</v>
      </c>
      <c r="P248" s="83"/>
      <c r="Q248" s="84"/>
      <c r="R248" s="84"/>
      <c r="S248" s="85"/>
      <c r="T248" s="590"/>
      <c r="U248" s="86"/>
      <c r="V248" s="876"/>
      <c r="W248" s="770"/>
      <c r="X248" s="40"/>
      <c r="Y248" s="41"/>
      <c r="Z248" s="41"/>
      <c r="AA248" s="41"/>
      <c r="AB248" s="41"/>
      <c r="AC248" s="88"/>
      <c r="AD248" s="41"/>
      <c r="AE248" s="41"/>
      <c r="AF248" s="88"/>
    </row>
    <row r="249" spans="2:32" ht="17.25" customHeight="1">
      <c r="B249" s="75">
        <v>164</v>
      </c>
      <c r="C249" s="823"/>
      <c r="D249" s="792"/>
      <c r="E249" s="76" t="s">
        <v>10</v>
      </c>
      <c r="F249" s="77" t="str">
        <f t="shared" si="8"/>
        <v>IB110A4</v>
      </c>
      <c r="G249" s="89"/>
      <c r="H249" s="90"/>
      <c r="I249" s="90"/>
      <c r="J249" s="91"/>
      <c r="K249" s="590"/>
      <c r="L249" s="81"/>
      <c r="M249" s="590"/>
      <c r="N249" s="76" t="s">
        <v>11</v>
      </c>
      <c r="O249" s="82" t="str">
        <f t="shared" si="9"/>
        <v>OB110A4</v>
      </c>
      <c r="P249" s="83"/>
      <c r="Q249" s="84"/>
      <c r="R249" s="84"/>
      <c r="S249" s="85"/>
      <c r="T249" s="590"/>
      <c r="U249" s="86"/>
      <c r="V249" s="876"/>
      <c r="W249" s="770"/>
      <c r="X249" s="41"/>
      <c r="Y249" s="41"/>
      <c r="Z249" s="41"/>
      <c r="AA249" s="41"/>
      <c r="AB249" s="41"/>
      <c r="AC249" s="88"/>
      <c r="AD249" s="41"/>
      <c r="AE249" s="41"/>
      <c r="AF249" s="88"/>
    </row>
    <row r="250" spans="2:32" ht="17.25" customHeight="1">
      <c r="B250" s="75">
        <v>165</v>
      </c>
      <c r="C250" s="823"/>
      <c r="D250" s="792"/>
      <c r="E250" s="76" t="s">
        <v>10</v>
      </c>
      <c r="F250" s="77" t="str">
        <f t="shared" si="8"/>
        <v>IB110A5</v>
      </c>
      <c r="G250" s="89"/>
      <c r="H250" s="90"/>
      <c r="I250" s="90"/>
      <c r="J250" s="91"/>
      <c r="K250" s="590"/>
      <c r="L250" s="81"/>
      <c r="M250" s="590"/>
      <c r="N250" s="76" t="s">
        <v>11</v>
      </c>
      <c r="O250" s="82" t="str">
        <f t="shared" si="9"/>
        <v>OB110A5</v>
      </c>
      <c r="P250" s="83"/>
      <c r="Q250" s="84"/>
      <c r="R250" s="84"/>
      <c r="S250" s="85"/>
      <c r="T250" s="590"/>
      <c r="U250" s="86"/>
      <c r="V250" s="876"/>
      <c r="W250" s="770"/>
      <c r="X250" s="41"/>
      <c r="Y250" s="41"/>
      <c r="Z250" s="41"/>
      <c r="AA250" s="41"/>
      <c r="AB250" s="41"/>
      <c r="AC250" s="88"/>
      <c r="AD250" s="41"/>
      <c r="AE250" s="41"/>
      <c r="AF250" s="88"/>
    </row>
    <row r="251" spans="2:32" ht="17.25" customHeight="1">
      <c r="B251" s="75">
        <v>166</v>
      </c>
      <c r="C251" s="823"/>
      <c r="D251" s="792"/>
      <c r="E251" s="76" t="s">
        <v>10</v>
      </c>
      <c r="F251" s="77" t="str">
        <f t="shared" si="8"/>
        <v>IB110A6</v>
      </c>
      <c r="G251" s="89"/>
      <c r="H251" s="90"/>
      <c r="I251" s="90"/>
      <c r="J251" s="91"/>
      <c r="K251" s="590"/>
      <c r="L251" s="81"/>
      <c r="M251" s="590"/>
      <c r="N251" s="76" t="s">
        <v>11</v>
      </c>
      <c r="O251" s="82" t="str">
        <f t="shared" si="9"/>
        <v>OB110A6</v>
      </c>
      <c r="P251" s="83"/>
      <c r="Q251" s="84"/>
      <c r="R251" s="84"/>
      <c r="S251" s="85"/>
      <c r="T251" s="590"/>
      <c r="U251" s="86"/>
      <c r="V251" s="876"/>
      <c r="W251" s="770"/>
      <c r="X251" s="41"/>
      <c r="Y251" s="41"/>
      <c r="Z251" s="41"/>
      <c r="AA251" s="41"/>
      <c r="AB251" s="41"/>
      <c r="AC251" s="88"/>
      <c r="AD251" s="41"/>
      <c r="AE251" s="41"/>
      <c r="AF251" s="88"/>
    </row>
    <row r="252" spans="2:32" ht="17.25" customHeight="1">
      <c r="B252" s="75">
        <v>167</v>
      </c>
      <c r="C252" s="823"/>
      <c r="D252" s="792"/>
      <c r="E252" s="76" t="s">
        <v>10</v>
      </c>
      <c r="F252" s="77" t="str">
        <f t="shared" si="8"/>
        <v>IB110A7</v>
      </c>
      <c r="G252" s="89"/>
      <c r="H252" s="90"/>
      <c r="I252" s="90"/>
      <c r="J252" s="91"/>
      <c r="K252" s="590"/>
      <c r="L252" s="81"/>
      <c r="M252" s="590"/>
      <c r="N252" s="76" t="s">
        <v>11</v>
      </c>
      <c r="O252" s="82" t="str">
        <f t="shared" si="9"/>
        <v>OB110A7</v>
      </c>
      <c r="P252" s="83"/>
      <c r="Q252" s="84"/>
      <c r="R252" s="84"/>
      <c r="S252" s="85"/>
      <c r="T252" s="590"/>
      <c r="U252" s="86"/>
      <c r="V252" s="876"/>
      <c r="W252" s="770"/>
      <c r="X252" s="41"/>
      <c r="Y252" s="41"/>
      <c r="Z252" s="41"/>
      <c r="AA252" s="41"/>
      <c r="AB252" s="41"/>
      <c r="AC252" s="88"/>
      <c r="AD252" s="41"/>
      <c r="AE252" s="41"/>
      <c r="AF252" s="88"/>
    </row>
    <row r="253" spans="2:32" ht="17.25" customHeight="1">
      <c r="B253" s="75">
        <v>168</v>
      </c>
      <c r="C253" s="823"/>
      <c r="D253" s="792"/>
      <c r="E253" s="76" t="s">
        <v>10</v>
      </c>
      <c r="F253" s="77" t="str">
        <f t="shared" si="8"/>
        <v>IB110A8</v>
      </c>
      <c r="G253" s="89"/>
      <c r="H253" s="90"/>
      <c r="I253" s="90"/>
      <c r="J253" s="91"/>
      <c r="K253" s="42"/>
      <c r="L253" s="110"/>
      <c r="M253" s="622"/>
      <c r="N253" s="76" t="s">
        <v>11</v>
      </c>
      <c r="O253" s="82" t="str">
        <f t="shared" si="9"/>
        <v>OB110A8</v>
      </c>
      <c r="P253" s="83"/>
      <c r="Q253" s="84"/>
      <c r="R253" s="84"/>
      <c r="S253" s="85"/>
      <c r="T253" s="590"/>
      <c r="U253" s="86"/>
      <c r="V253" s="876"/>
      <c r="W253" s="770"/>
      <c r="X253" s="40"/>
      <c r="Y253" s="41"/>
      <c r="Z253" s="41"/>
      <c r="AA253" s="41"/>
      <c r="AB253" s="41"/>
      <c r="AC253" s="88"/>
      <c r="AD253" s="41"/>
      <c r="AE253" s="41"/>
      <c r="AF253" s="88"/>
    </row>
    <row r="254" spans="2:32" ht="17.25" customHeight="1">
      <c r="B254" s="75">
        <v>169</v>
      </c>
      <c r="C254" s="823"/>
      <c r="D254" s="792"/>
      <c r="E254" s="76" t="s">
        <v>10</v>
      </c>
      <c r="F254" s="77" t="str">
        <f t="shared" si="8"/>
        <v>IB110A9</v>
      </c>
      <c r="G254" s="89"/>
      <c r="H254" s="90"/>
      <c r="I254" s="90"/>
      <c r="J254" s="91"/>
      <c r="K254" s="42"/>
      <c r="L254" s="110"/>
      <c r="M254" s="622"/>
      <c r="N254" s="76" t="s">
        <v>11</v>
      </c>
      <c r="O254" s="82" t="str">
        <f t="shared" si="9"/>
        <v>OB110A9</v>
      </c>
      <c r="P254" s="83"/>
      <c r="Q254" s="84"/>
      <c r="R254" s="84"/>
      <c r="S254" s="85"/>
      <c r="T254" s="590"/>
      <c r="U254" s="86"/>
      <c r="V254" s="876"/>
      <c r="W254" s="770"/>
      <c r="X254" s="40"/>
      <c r="Y254" s="41"/>
      <c r="Z254" s="41"/>
      <c r="AA254" s="41"/>
      <c r="AB254" s="41"/>
      <c r="AC254" s="88"/>
      <c r="AD254" s="41"/>
      <c r="AE254" s="41"/>
      <c r="AF254" s="88"/>
    </row>
    <row r="255" spans="2:32" ht="17.25" customHeight="1">
      <c r="B255" s="75">
        <v>170</v>
      </c>
      <c r="C255" s="823"/>
      <c r="D255" s="792"/>
      <c r="E255" s="111" t="s">
        <v>10</v>
      </c>
      <c r="F255" s="77" t="str">
        <f t="shared" si="8"/>
        <v>IB110AA</v>
      </c>
      <c r="G255" s="89"/>
      <c r="H255" s="90"/>
      <c r="I255" s="90"/>
      <c r="J255" s="91"/>
      <c r="K255" s="42"/>
      <c r="L255" s="112"/>
      <c r="M255" s="623"/>
      <c r="N255" s="76" t="s">
        <v>11</v>
      </c>
      <c r="O255" s="82" t="str">
        <f t="shared" si="9"/>
        <v>OB110AA</v>
      </c>
      <c r="P255" s="83"/>
      <c r="Q255" s="84"/>
      <c r="R255" s="84"/>
      <c r="S255" s="85"/>
      <c r="T255" s="590"/>
      <c r="U255" s="86"/>
      <c r="V255" s="876"/>
      <c r="W255" s="770"/>
      <c r="X255" s="40"/>
      <c r="Y255" s="41"/>
      <c r="Z255" s="41"/>
      <c r="AA255" s="41"/>
      <c r="AB255" s="41"/>
      <c r="AC255" s="88"/>
      <c r="AD255" s="41"/>
      <c r="AE255" s="41"/>
      <c r="AF255" s="88"/>
    </row>
    <row r="256" spans="2:32" ht="17.25" customHeight="1">
      <c r="B256" s="75">
        <v>171</v>
      </c>
      <c r="C256" s="823"/>
      <c r="D256" s="792"/>
      <c r="E256" s="111" t="s">
        <v>10</v>
      </c>
      <c r="F256" s="77" t="str">
        <f t="shared" si="8"/>
        <v>IB110AB</v>
      </c>
      <c r="G256" s="89"/>
      <c r="H256" s="90"/>
      <c r="I256" s="90"/>
      <c r="J256" s="91"/>
      <c r="K256" s="42"/>
      <c r="L256" s="112"/>
      <c r="M256" s="623"/>
      <c r="N256" s="76" t="s">
        <v>11</v>
      </c>
      <c r="O256" s="82" t="str">
        <f t="shared" si="9"/>
        <v>OB110AB</v>
      </c>
      <c r="P256" s="83"/>
      <c r="Q256" s="84"/>
      <c r="R256" s="84"/>
      <c r="S256" s="85"/>
      <c r="T256" s="590"/>
      <c r="U256" s="86"/>
      <c r="V256" s="876"/>
      <c r="W256" s="770"/>
      <c r="X256" s="40"/>
      <c r="Y256" s="41"/>
      <c r="Z256" s="41"/>
      <c r="AA256" s="41"/>
      <c r="AB256" s="41"/>
      <c r="AC256" s="88"/>
      <c r="AD256" s="41"/>
      <c r="AE256" s="41"/>
      <c r="AF256" s="88"/>
    </row>
    <row r="257" spans="2:32" ht="17.25" customHeight="1">
      <c r="B257" s="75">
        <v>172</v>
      </c>
      <c r="C257" s="823"/>
      <c r="D257" s="792"/>
      <c r="E257" s="111" t="s">
        <v>10</v>
      </c>
      <c r="F257" s="77" t="str">
        <f t="shared" si="8"/>
        <v>IB110AC</v>
      </c>
      <c r="G257" s="89"/>
      <c r="H257" s="90"/>
      <c r="I257" s="90"/>
      <c r="J257" s="91"/>
      <c r="K257" s="42"/>
      <c r="L257" s="112"/>
      <c r="M257" s="623"/>
      <c r="N257" s="76" t="s">
        <v>11</v>
      </c>
      <c r="O257" s="82" t="str">
        <f t="shared" si="9"/>
        <v>OB110AC</v>
      </c>
      <c r="P257" s="83"/>
      <c r="Q257" s="84"/>
      <c r="R257" s="84"/>
      <c r="S257" s="85"/>
      <c r="T257" s="590"/>
      <c r="U257" s="86"/>
      <c r="V257" s="876"/>
      <c r="W257" s="770"/>
      <c r="X257" s="40"/>
      <c r="Y257" s="41"/>
      <c r="Z257" s="41"/>
      <c r="AA257" s="41"/>
      <c r="AB257" s="41"/>
      <c r="AC257" s="88"/>
      <c r="AD257" s="41"/>
      <c r="AE257" s="41"/>
      <c r="AF257" s="88"/>
    </row>
    <row r="258" spans="2:32" ht="17.25" customHeight="1">
      <c r="B258" s="75">
        <v>173</v>
      </c>
      <c r="C258" s="823"/>
      <c r="D258" s="792"/>
      <c r="E258" s="76" t="s">
        <v>10</v>
      </c>
      <c r="F258" s="77" t="str">
        <f t="shared" si="8"/>
        <v>IB110AD</v>
      </c>
      <c r="G258" s="89"/>
      <c r="H258" s="90"/>
      <c r="I258" s="90"/>
      <c r="J258" s="91"/>
      <c r="K258" s="42"/>
      <c r="L258" s="110"/>
      <c r="M258" s="622"/>
      <c r="N258" s="76" t="s">
        <v>11</v>
      </c>
      <c r="O258" s="82" t="str">
        <f t="shared" si="9"/>
        <v>OB110AD</v>
      </c>
      <c r="P258" s="83"/>
      <c r="Q258" s="84"/>
      <c r="R258" s="84"/>
      <c r="S258" s="85"/>
      <c r="T258" s="590"/>
      <c r="U258" s="86"/>
      <c r="V258" s="876"/>
      <c r="W258" s="770"/>
      <c r="X258" s="40"/>
      <c r="Y258" s="41"/>
      <c r="Z258" s="41"/>
      <c r="AA258" s="41"/>
      <c r="AB258" s="41"/>
      <c r="AC258" s="88"/>
      <c r="AD258" s="41"/>
      <c r="AE258" s="41"/>
      <c r="AF258" s="88"/>
    </row>
    <row r="259" spans="2:32" ht="17.25" customHeight="1">
      <c r="B259" s="75">
        <v>174</v>
      </c>
      <c r="C259" s="823"/>
      <c r="D259" s="792"/>
      <c r="E259" s="76" t="s">
        <v>10</v>
      </c>
      <c r="F259" s="77" t="str">
        <f t="shared" si="8"/>
        <v>IB110AE</v>
      </c>
      <c r="G259" s="100"/>
      <c r="H259" s="101"/>
      <c r="I259" s="101"/>
      <c r="J259" s="92"/>
      <c r="K259" s="42"/>
      <c r="L259" s="110"/>
      <c r="M259" s="622"/>
      <c r="N259" s="76" t="s">
        <v>11</v>
      </c>
      <c r="O259" s="82" t="str">
        <f t="shared" si="9"/>
        <v>OB110AE</v>
      </c>
      <c r="P259" s="83"/>
      <c r="Q259" s="84"/>
      <c r="R259" s="84"/>
      <c r="S259" s="85"/>
      <c r="T259" s="590"/>
      <c r="U259" s="86"/>
      <c r="V259" s="876"/>
      <c r="W259" s="770"/>
      <c r="X259" s="40"/>
      <c r="Y259" s="41"/>
      <c r="Z259" s="41"/>
      <c r="AA259" s="41"/>
      <c r="AB259" s="41"/>
      <c r="AC259" s="88"/>
      <c r="AD259" s="41"/>
      <c r="AE259" s="41"/>
      <c r="AF259" s="88"/>
    </row>
    <row r="260" spans="2:32" ht="17.25" customHeight="1">
      <c r="B260" s="75">
        <v>175</v>
      </c>
      <c r="C260" s="824"/>
      <c r="D260" s="814"/>
      <c r="E260" s="76" t="s">
        <v>10</v>
      </c>
      <c r="F260" s="77" t="str">
        <f t="shared" si="8"/>
        <v>IB110AF</v>
      </c>
      <c r="G260" s="100"/>
      <c r="H260" s="101"/>
      <c r="I260" s="101"/>
      <c r="J260" s="92"/>
      <c r="K260" s="42"/>
      <c r="L260" s="110"/>
      <c r="M260" s="622"/>
      <c r="N260" s="76" t="s">
        <v>11</v>
      </c>
      <c r="O260" s="82" t="str">
        <f t="shared" si="9"/>
        <v>OB110AF</v>
      </c>
      <c r="P260" s="311"/>
      <c r="Q260" s="312"/>
      <c r="R260" s="312"/>
      <c r="S260" s="313"/>
      <c r="T260" s="590"/>
      <c r="U260" s="86"/>
      <c r="V260" s="876"/>
      <c r="W260" s="770"/>
      <c r="X260" s="40"/>
      <c r="Y260" s="41"/>
      <c r="Z260" s="41"/>
      <c r="AA260" s="41"/>
      <c r="AB260" s="41"/>
      <c r="AC260" s="88"/>
      <c r="AD260" s="41"/>
      <c r="AE260" s="41"/>
      <c r="AF260" s="88"/>
    </row>
    <row r="261" spans="2:32" ht="17.25" customHeight="1">
      <c r="B261" s="75">
        <v>176</v>
      </c>
      <c r="C261" s="822" t="s">
        <v>1563</v>
      </c>
      <c r="D261" s="825" t="s">
        <v>1404</v>
      </c>
      <c r="E261" s="76" t="s">
        <v>10</v>
      </c>
      <c r="F261" s="77" t="str">
        <f t="shared" si="8"/>
        <v>IB110B0</v>
      </c>
      <c r="G261" s="89" t="s">
        <v>356</v>
      </c>
      <c r="H261" s="90"/>
      <c r="I261" s="90"/>
      <c r="J261" s="91"/>
      <c r="K261" s="42" t="s">
        <v>1513</v>
      </c>
      <c r="L261" s="81"/>
      <c r="M261" s="590"/>
      <c r="N261" s="76" t="s">
        <v>11</v>
      </c>
      <c r="O261" s="82" t="str">
        <f t="shared" si="9"/>
        <v>OB110B0</v>
      </c>
      <c r="P261" s="83"/>
      <c r="Q261" s="84"/>
      <c r="R261" s="84"/>
      <c r="S261" s="85"/>
      <c r="T261" s="590"/>
      <c r="U261" s="86"/>
      <c r="V261" s="876"/>
      <c r="W261" s="770"/>
      <c r="X261" s="41"/>
      <c r="Y261" s="41"/>
      <c r="Z261" s="41"/>
      <c r="AA261" s="41"/>
      <c r="AB261" s="41"/>
      <c r="AC261" s="88"/>
      <c r="AD261" s="41"/>
      <c r="AE261" s="41"/>
      <c r="AF261" s="88"/>
    </row>
    <row r="262" spans="2:32" ht="17.25" customHeight="1">
      <c r="B262" s="75">
        <v>177</v>
      </c>
      <c r="C262" s="823"/>
      <c r="D262" s="792"/>
      <c r="E262" s="76" t="s">
        <v>10</v>
      </c>
      <c r="F262" s="77" t="str">
        <f t="shared" si="8"/>
        <v>IB110B1</v>
      </c>
      <c r="G262" s="89" t="s">
        <v>357</v>
      </c>
      <c r="H262" s="90"/>
      <c r="I262" s="90"/>
      <c r="J262" s="91"/>
      <c r="K262" s="42" t="s">
        <v>1513</v>
      </c>
      <c r="L262" s="81"/>
      <c r="M262" s="590"/>
      <c r="N262" s="76" t="s">
        <v>11</v>
      </c>
      <c r="O262" s="82" t="str">
        <f t="shared" si="9"/>
        <v>OB110B1</v>
      </c>
      <c r="P262" s="83"/>
      <c r="Q262" s="84"/>
      <c r="R262" s="84"/>
      <c r="S262" s="85"/>
      <c r="T262" s="590"/>
      <c r="U262" s="86"/>
      <c r="V262" s="876"/>
      <c r="W262" s="770"/>
      <c r="X262" s="41"/>
      <c r="Y262" s="41"/>
      <c r="Z262" s="41"/>
      <c r="AA262" s="41"/>
      <c r="AB262" s="41"/>
      <c r="AC262" s="88"/>
      <c r="AD262" s="41"/>
      <c r="AE262" s="41"/>
      <c r="AF262" s="88"/>
    </row>
    <row r="263" spans="2:32" ht="17.25" customHeight="1">
      <c r="B263" s="75">
        <v>178</v>
      </c>
      <c r="C263" s="823"/>
      <c r="D263" s="792"/>
      <c r="E263" s="76" t="s">
        <v>10</v>
      </c>
      <c r="F263" s="77" t="str">
        <f t="shared" si="8"/>
        <v>IB110B2</v>
      </c>
      <c r="G263" s="89" t="s">
        <v>358</v>
      </c>
      <c r="H263" s="90"/>
      <c r="I263" s="90"/>
      <c r="J263" s="91"/>
      <c r="K263" s="42" t="s">
        <v>1513</v>
      </c>
      <c r="L263" s="81"/>
      <c r="M263" s="590"/>
      <c r="N263" s="76" t="s">
        <v>11</v>
      </c>
      <c r="O263" s="82" t="str">
        <f t="shared" si="9"/>
        <v>OB110B2</v>
      </c>
      <c r="P263" s="83"/>
      <c r="Q263" s="84"/>
      <c r="R263" s="84"/>
      <c r="S263" s="85"/>
      <c r="T263" s="590"/>
      <c r="U263" s="86"/>
      <c r="V263" s="876"/>
      <c r="W263" s="770"/>
      <c r="X263" s="41"/>
      <c r="Y263" s="41"/>
      <c r="Z263" s="41"/>
      <c r="AA263" s="41"/>
      <c r="AB263" s="41"/>
      <c r="AC263" s="88"/>
      <c r="AD263" s="41"/>
      <c r="AE263" s="41"/>
      <c r="AF263" s="88"/>
    </row>
    <row r="264" spans="2:32" ht="17.25" customHeight="1">
      <c r="B264" s="75">
        <v>179</v>
      </c>
      <c r="C264" s="823"/>
      <c r="D264" s="792"/>
      <c r="E264" s="76" t="s">
        <v>10</v>
      </c>
      <c r="F264" s="77" t="str">
        <f t="shared" si="8"/>
        <v>IB110B3</v>
      </c>
      <c r="G264" s="89" t="s">
        <v>359</v>
      </c>
      <c r="H264" s="90"/>
      <c r="I264" s="90"/>
      <c r="J264" s="91"/>
      <c r="K264" s="42" t="s">
        <v>1513</v>
      </c>
      <c r="L264" s="81"/>
      <c r="M264" s="590"/>
      <c r="N264" s="76" t="s">
        <v>11</v>
      </c>
      <c r="O264" s="82" t="str">
        <f t="shared" si="9"/>
        <v>OB110B3</v>
      </c>
      <c r="P264" s="83"/>
      <c r="Q264" s="84"/>
      <c r="R264" s="84"/>
      <c r="S264" s="85"/>
      <c r="T264" s="590"/>
      <c r="U264" s="86"/>
      <c r="V264" s="876"/>
      <c r="W264" s="770"/>
      <c r="X264" s="41"/>
      <c r="Y264" s="41"/>
      <c r="Z264" s="41"/>
      <c r="AA264" s="41"/>
      <c r="AB264" s="41"/>
      <c r="AC264" s="88"/>
      <c r="AD264" s="41"/>
      <c r="AE264" s="41"/>
      <c r="AF264" s="88"/>
    </row>
    <row r="265" spans="2:32" ht="17.25" customHeight="1">
      <c r="B265" s="75">
        <v>180</v>
      </c>
      <c r="C265" s="823"/>
      <c r="D265" s="792"/>
      <c r="E265" s="76" t="s">
        <v>10</v>
      </c>
      <c r="F265" s="77" t="str">
        <f t="shared" si="8"/>
        <v>IB110B4</v>
      </c>
      <c r="G265" s="89" t="s">
        <v>360</v>
      </c>
      <c r="H265" s="90"/>
      <c r="I265" s="90"/>
      <c r="J265" s="91"/>
      <c r="K265" s="42" t="s">
        <v>1513</v>
      </c>
      <c r="L265" s="81"/>
      <c r="M265" s="590"/>
      <c r="N265" s="76" t="s">
        <v>11</v>
      </c>
      <c r="O265" s="82" t="str">
        <f t="shared" si="9"/>
        <v>OB110B4</v>
      </c>
      <c r="P265" s="83"/>
      <c r="Q265" s="84"/>
      <c r="R265" s="84"/>
      <c r="S265" s="85"/>
      <c r="T265" s="590"/>
      <c r="U265" s="86"/>
      <c r="V265" s="876"/>
      <c r="W265" s="770"/>
      <c r="X265" s="41"/>
      <c r="Y265" s="41"/>
      <c r="Z265" s="41"/>
      <c r="AA265" s="41"/>
      <c r="AB265" s="41"/>
      <c r="AC265" s="88"/>
      <c r="AD265" s="41"/>
      <c r="AE265" s="41"/>
      <c r="AF265" s="88"/>
    </row>
    <row r="266" spans="2:32" ht="17.25" customHeight="1">
      <c r="B266" s="75">
        <v>181</v>
      </c>
      <c r="C266" s="823"/>
      <c r="D266" s="792"/>
      <c r="E266" s="76" t="s">
        <v>10</v>
      </c>
      <c r="F266" s="77" t="str">
        <f t="shared" si="8"/>
        <v>IB110B5</v>
      </c>
      <c r="G266" s="89" t="s">
        <v>361</v>
      </c>
      <c r="H266" s="90"/>
      <c r="I266" s="90"/>
      <c r="J266" s="91"/>
      <c r="K266" s="42" t="s">
        <v>1513</v>
      </c>
      <c r="L266" s="81"/>
      <c r="M266" s="590"/>
      <c r="N266" s="76" t="s">
        <v>11</v>
      </c>
      <c r="O266" s="82" t="str">
        <f t="shared" si="9"/>
        <v>OB110B5</v>
      </c>
      <c r="P266" s="83"/>
      <c r="Q266" s="84"/>
      <c r="R266" s="84"/>
      <c r="S266" s="85"/>
      <c r="T266" s="590"/>
      <c r="U266" s="86"/>
      <c r="V266" s="876"/>
      <c r="W266" s="770"/>
      <c r="X266" s="41"/>
      <c r="Y266" s="41"/>
      <c r="Z266" s="41"/>
      <c r="AA266" s="41"/>
      <c r="AB266" s="41"/>
      <c r="AC266" s="88"/>
      <c r="AD266" s="41"/>
      <c r="AE266" s="41"/>
      <c r="AF266" s="88"/>
    </row>
    <row r="267" spans="2:32" ht="17.25" customHeight="1">
      <c r="B267" s="75">
        <v>182</v>
      </c>
      <c r="C267" s="823"/>
      <c r="D267" s="792"/>
      <c r="E267" s="76" t="s">
        <v>10</v>
      </c>
      <c r="F267" s="77" t="str">
        <f t="shared" si="8"/>
        <v>IB110B6</v>
      </c>
      <c r="G267" s="89" t="s">
        <v>362</v>
      </c>
      <c r="H267" s="90"/>
      <c r="I267" s="90"/>
      <c r="J267" s="91"/>
      <c r="K267" s="42" t="s">
        <v>1513</v>
      </c>
      <c r="L267" s="81"/>
      <c r="M267" s="590"/>
      <c r="N267" s="76" t="s">
        <v>11</v>
      </c>
      <c r="O267" s="82" t="str">
        <f t="shared" si="9"/>
        <v>OB110B6</v>
      </c>
      <c r="P267" s="83"/>
      <c r="Q267" s="84"/>
      <c r="R267" s="84"/>
      <c r="S267" s="85"/>
      <c r="T267" s="590"/>
      <c r="U267" s="86"/>
      <c r="V267" s="876"/>
      <c r="W267" s="770"/>
      <c r="X267" s="41"/>
      <c r="Y267" s="41"/>
      <c r="Z267" s="41"/>
      <c r="AA267" s="41"/>
      <c r="AB267" s="41"/>
      <c r="AC267" s="88"/>
      <c r="AD267" s="41"/>
      <c r="AE267" s="41"/>
      <c r="AF267" s="88"/>
    </row>
    <row r="268" spans="2:32" ht="17.25" customHeight="1">
      <c r="B268" s="75">
        <v>183</v>
      </c>
      <c r="C268" s="823"/>
      <c r="D268" s="792"/>
      <c r="E268" s="76" t="s">
        <v>10</v>
      </c>
      <c r="F268" s="77" t="str">
        <f t="shared" si="8"/>
        <v>IB110B7</v>
      </c>
      <c r="G268" s="89" t="s">
        <v>363</v>
      </c>
      <c r="H268" s="90"/>
      <c r="I268" s="90"/>
      <c r="J268" s="91"/>
      <c r="K268" s="42" t="s">
        <v>1513</v>
      </c>
      <c r="L268" s="81"/>
      <c r="M268" s="590"/>
      <c r="N268" s="76" t="s">
        <v>11</v>
      </c>
      <c r="O268" s="82" t="str">
        <f t="shared" si="9"/>
        <v>OB110B7</v>
      </c>
      <c r="P268" s="83"/>
      <c r="Q268" s="84"/>
      <c r="R268" s="84"/>
      <c r="S268" s="85"/>
      <c r="T268" s="590"/>
      <c r="U268" s="86"/>
      <c r="V268" s="876"/>
      <c r="W268" s="770"/>
      <c r="X268" s="41"/>
      <c r="Y268" s="41"/>
      <c r="Z268" s="41"/>
      <c r="AA268" s="41"/>
      <c r="AB268" s="41"/>
      <c r="AC268" s="88"/>
      <c r="AD268" s="41"/>
      <c r="AE268" s="41"/>
      <c r="AF268" s="88"/>
    </row>
    <row r="269" spans="2:32" ht="17.25" customHeight="1">
      <c r="B269" s="75">
        <v>184</v>
      </c>
      <c r="C269" s="823"/>
      <c r="D269" s="792"/>
      <c r="E269" s="76" t="s">
        <v>10</v>
      </c>
      <c r="F269" s="77" t="str">
        <f t="shared" si="8"/>
        <v>IB110B8</v>
      </c>
      <c r="G269" s="89" t="s">
        <v>354</v>
      </c>
      <c r="H269" s="90"/>
      <c r="I269" s="90"/>
      <c r="J269" s="91"/>
      <c r="K269" s="42" t="s">
        <v>1513</v>
      </c>
      <c r="L269" s="81"/>
      <c r="M269" s="590"/>
      <c r="N269" s="76" t="s">
        <v>11</v>
      </c>
      <c r="O269" s="82" t="str">
        <f t="shared" si="9"/>
        <v>OB110B8</v>
      </c>
      <c r="P269" s="83"/>
      <c r="Q269" s="84"/>
      <c r="R269" s="84"/>
      <c r="S269" s="85"/>
      <c r="T269" s="590"/>
      <c r="U269" s="86"/>
      <c r="V269" s="876"/>
      <c r="W269" s="770"/>
      <c r="X269" s="40"/>
      <c r="Y269" s="41"/>
      <c r="Z269" s="41"/>
      <c r="AA269" s="41"/>
      <c r="AB269" s="41"/>
      <c r="AC269" s="88"/>
      <c r="AD269" s="41"/>
      <c r="AE269" s="41"/>
      <c r="AF269" s="88"/>
    </row>
    <row r="270" spans="2:32" ht="17.25" customHeight="1">
      <c r="B270" s="75">
        <v>185</v>
      </c>
      <c r="C270" s="823"/>
      <c r="D270" s="792"/>
      <c r="E270" s="76" t="s">
        <v>10</v>
      </c>
      <c r="F270" s="77" t="str">
        <f t="shared" si="8"/>
        <v>IB110B9</v>
      </c>
      <c r="G270" s="89" t="s">
        <v>355</v>
      </c>
      <c r="H270" s="90"/>
      <c r="I270" s="90"/>
      <c r="J270" s="91"/>
      <c r="K270" s="590" t="s">
        <v>1513</v>
      </c>
      <c r="L270" s="81"/>
      <c r="M270" s="590"/>
      <c r="N270" s="76" t="s">
        <v>11</v>
      </c>
      <c r="O270" s="82" t="str">
        <f t="shared" si="9"/>
        <v>OB110B9</v>
      </c>
      <c r="P270" s="83"/>
      <c r="Q270" s="84"/>
      <c r="R270" s="84"/>
      <c r="S270" s="85"/>
      <c r="T270" s="590"/>
      <c r="U270" s="86"/>
      <c r="V270" s="876"/>
      <c r="W270" s="770"/>
      <c r="X270" s="40"/>
      <c r="Y270" s="41"/>
      <c r="Z270" s="41"/>
      <c r="AA270" s="41"/>
      <c r="AB270" s="41"/>
      <c r="AC270" s="88"/>
      <c r="AD270" s="41"/>
      <c r="AE270" s="41"/>
      <c r="AF270" s="88"/>
    </row>
    <row r="271" spans="2:32" ht="17.25" customHeight="1">
      <c r="B271" s="75">
        <v>186</v>
      </c>
      <c r="C271" s="823"/>
      <c r="D271" s="792"/>
      <c r="E271" s="76" t="s">
        <v>10</v>
      </c>
      <c r="F271" s="77" t="str">
        <f t="shared" si="8"/>
        <v>IB110BA</v>
      </c>
      <c r="G271" s="89"/>
      <c r="H271" s="90"/>
      <c r="I271" s="90"/>
      <c r="J271" s="91"/>
      <c r="K271" s="590"/>
      <c r="L271" s="81"/>
      <c r="M271" s="590"/>
      <c r="N271" s="76" t="s">
        <v>11</v>
      </c>
      <c r="O271" s="82" t="str">
        <f t="shared" si="9"/>
        <v>OB110BA</v>
      </c>
      <c r="P271" s="83"/>
      <c r="Q271" s="84"/>
      <c r="R271" s="84"/>
      <c r="S271" s="85"/>
      <c r="T271" s="590"/>
      <c r="U271" s="86"/>
      <c r="V271" s="876"/>
      <c r="W271" s="770"/>
      <c r="X271" s="40"/>
      <c r="Y271" s="41"/>
      <c r="Z271" s="41"/>
      <c r="AA271" s="41"/>
      <c r="AB271" s="41"/>
      <c r="AC271" s="88"/>
      <c r="AD271" s="41"/>
      <c r="AE271" s="41"/>
      <c r="AF271" s="88"/>
    </row>
    <row r="272" spans="2:32" ht="17.25" customHeight="1">
      <c r="B272" s="75">
        <v>187</v>
      </c>
      <c r="C272" s="823"/>
      <c r="D272" s="792"/>
      <c r="E272" s="76" t="s">
        <v>10</v>
      </c>
      <c r="F272" s="77" t="str">
        <f t="shared" si="8"/>
        <v>IB110BB</v>
      </c>
      <c r="G272" s="89"/>
      <c r="H272" s="90"/>
      <c r="I272" s="90"/>
      <c r="J272" s="91"/>
      <c r="K272" s="590"/>
      <c r="L272" s="81"/>
      <c r="M272" s="590"/>
      <c r="N272" s="76" t="s">
        <v>11</v>
      </c>
      <c r="O272" s="82" t="str">
        <f t="shared" si="9"/>
        <v>OB110BB</v>
      </c>
      <c r="P272" s="83"/>
      <c r="Q272" s="84"/>
      <c r="R272" s="84"/>
      <c r="S272" s="85"/>
      <c r="T272" s="590"/>
      <c r="U272" s="86"/>
      <c r="V272" s="876"/>
      <c r="W272" s="770"/>
      <c r="X272" s="40"/>
      <c r="Y272" s="41"/>
      <c r="Z272" s="41"/>
      <c r="AA272" s="41"/>
      <c r="AB272" s="41"/>
      <c r="AC272" s="88"/>
      <c r="AD272" s="41"/>
      <c r="AE272" s="41"/>
      <c r="AF272" s="88"/>
    </row>
    <row r="273" spans="2:32" ht="17.25" customHeight="1">
      <c r="B273" s="75">
        <v>188</v>
      </c>
      <c r="C273" s="823"/>
      <c r="D273" s="792"/>
      <c r="E273" s="76" t="s">
        <v>10</v>
      </c>
      <c r="F273" s="77" t="str">
        <f t="shared" si="8"/>
        <v>IB110BC</v>
      </c>
      <c r="G273" s="89"/>
      <c r="H273" s="90"/>
      <c r="I273" s="90"/>
      <c r="J273" s="91"/>
      <c r="K273" s="590"/>
      <c r="L273" s="81"/>
      <c r="M273" s="590"/>
      <c r="N273" s="76" t="s">
        <v>11</v>
      </c>
      <c r="O273" s="82" t="str">
        <f t="shared" si="9"/>
        <v>OB110BC</v>
      </c>
      <c r="P273" s="83"/>
      <c r="Q273" s="84"/>
      <c r="R273" s="84"/>
      <c r="S273" s="85"/>
      <c r="T273" s="590"/>
      <c r="U273" s="86"/>
      <c r="V273" s="876"/>
      <c r="W273" s="770"/>
      <c r="X273" s="40"/>
      <c r="Y273" s="41"/>
      <c r="Z273" s="41"/>
      <c r="AA273" s="41"/>
      <c r="AB273" s="41"/>
      <c r="AC273" s="88"/>
      <c r="AD273" s="41"/>
      <c r="AE273" s="41"/>
      <c r="AF273" s="88"/>
    </row>
    <row r="274" spans="2:32" ht="17.25" customHeight="1">
      <c r="B274" s="75">
        <v>189</v>
      </c>
      <c r="C274" s="823"/>
      <c r="D274" s="792"/>
      <c r="E274" s="76" t="s">
        <v>10</v>
      </c>
      <c r="F274" s="77" t="str">
        <f t="shared" si="8"/>
        <v>IB110BD</v>
      </c>
      <c r="G274" s="89"/>
      <c r="H274" s="90"/>
      <c r="I274" s="90"/>
      <c r="J274" s="91"/>
      <c r="K274" s="590"/>
      <c r="L274" s="81"/>
      <c r="M274" s="590"/>
      <c r="N274" s="76" t="s">
        <v>11</v>
      </c>
      <c r="O274" s="82" t="str">
        <f t="shared" si="9"/>
        <v>OB110BD</v>
      </c>
      <c r="P274" s="83"/>
      <c r="Q274" s="84"/>
      <c r="R274" s="84"/>
      <c r="S274" s="85"/>
      <c r="T274" s="590"/>
      <c r="U274" s="86"/>
      <c r="V274" s="876"/>
      <c r="W274" s="770"/>
      <c r="X274" s="40"/>
      <c r="Y274" s="41"/>
      <c r="Z274" s="41"/>
      <c r="AA274" s="41"/>
      <c r="AB274" s="41"/>
      <c r="AC274" s="88"/>
      <c r="AD274" s="41"/>
      <c r="AE274" s="41"/>
      <c r="AF274" s="88"/>
    </row>
    <row r="275" spans="2:32" ht="17.25" customHeight="1">
      <c r="B275" s="75">
        <v>190</v>
      </c>
      <c r="C275" s="823"/>
      <c r="D275" s="792"/>
      <c r="E275" s="76" t="s">
        <v>10</v>
      </c>
      <c r="F275" s="77" t="str">
        <f t="shared" si="8"/>
        <v>IB110BE</v>
      </c>
      <c r="G275" s="89"/>
      <c r="H275" s="90"/>
      <c r="I275" s="90"/>
      <c r="J275" s="91"/>
      <c r="K275" s="590"/>
      <c r="L275" s="81"/>
      <c r="M275" s="590"/>
      <c r="N275" s="76" t="s">
        <v>11</v>
      </c>
      <c r="O275" s="82" t="str">
        <f t="shared" si="9"/>
        <v>OB110BE</v>
      </c>
      <c r="P275" s="83"/>
      <c r="Q275" s="84"/>
      <c r="R275" s="84"/>
      <c r="S275" s="85"/>
      <c r="T275" s="590"/>
      <c r="U275" s="86"/>
      <c r="V275" s="876"/>
      <c r="W275" s="770"/>
      <c r="X275" s="40"/>
      <c r="Y275" s="41"/>
      <c r="Z275" s="41"/>
      <c r="AA275" s="41"/>
      <c r="AB275" s="41"/>
      <c r="AC275" s="88"/>
      <c r="AD275" s="41"/>
      <c r="AE275" s="41"/>
      <c r="AF275" s="88"/>
    </row>
    <row r="276" spans="2:32" ht="17.25" customHeight="1">
      <c r="B276" s="75">
        <v>191</v>
      </c>
      <c r="C276" s="824"/>
      <c r="D276" s="814"/>
      <c r="E276" s="76" t="s">
        <v>10</v>
      </c>
      <c r="F276" s="77" t="str">
        <f t="shared" si="8"/>
        <v>IB110BF</v>
      </c>
      <c r="G276" s="89"/>
      <c r="H276" s="90"/>
      <c r="I276" s="90"/>
      <c r="J276" s="91"/>
      <c r="K276" s="590"/>
      <c r="L276" s="81"/>
      <c r="M276" s="590"/>
      <c r="N276" s="76" t="s">
        <v>11</v>
      </c>
      <c r="O276" s="82" t="str">
        <f t="shared" si="9"/>
        <v>OB110BF</v>
      </c>
      <c r="P276" s="311"/>
      <c r="Q276" s="312"/>
      <c r="R276" s="312"/>
      <c r="S276" s="313"/>
      <c r="T276" s="590"/>
      <c r="U276" s="86"/>
      <c r="V276" s="876"/>
      <c r="W276" s="770"/>
      <c r="X276" s="41"/>
      <c r="Y276" s="41"/>
      <c r="Z276" s="41"/>
      <c r="AA276" s="41"/>
      <c r="AB276" s="41"/>
      <c r="AC276" s="88"/>
      <c r="AD276" s="41"/>
      <c r="AE276" s="41"/>
      <c r="AF276" s="88"/>
    </row>
    <row r="277" spans="2:32" ht="17.25" customHeight="1">
      <c r="B277" s="75">
        <v>192</v>
      </c>
      <c r="C277" s="818" t="s">
        <v>1582</v>
      </c>
      <c r="D277" s="813" t="s">
        <v>69</v>
      </c>
      <c r="E277" s="76" t="s">
        <v>10</v>
      </c>
      <c r="F277" s="77" t="str">
        <f t="shared" si="8"/>
        <v>IB110C0</v>
      </c>
      <c r="G277" s="83"/>
      <c r="H277" s="84"/>
      <c r="I277" s="84"/>
      <c r="J277" s="85"/>
      <c r="K277" s="590"/>
      <c r="L277" s="110"/>
      <c r="M277" s="622"/>
      <c r="N277" s="76" t="s">
        <v>11</v>
      </c>
      <c r="O277" s="82" t="str">
        <f t="shared" si="9"/>
        <v>OB110C0</v>
      </c>
      <c r="P277" s="89" t="s">
        <v>532</v>
      </c>
      <c r="Q277" s="90"/>
      <c r="R277" s="90"/>
      <c r="S277" s="91"/>
      <c r="T277" s="590" t="s">
        <v>1513</v>
      </c>
      <c r="U277" s="86"/>
      <c r="V277" s="876"/>
      <c r="W277" s="770"/>
      <c r="X277" s="40"/>
      <c r="Y277" s="41"/>
      <c r="Z277" s="41"/>
      <c r="AA277" s="41"/>
      <c r="AB277" s="41"/>
      <c r="AC277" s="88"/>
      <c r="AD277" s="41"/>
      <c r="AE277" s="41"/>
      <c r="AF277" s="88"/>
    </row>
    <row r="278" spans="2:32" ht="17.25" customHeight="1">
      <c r="B278" s="75">
        <v>193</v>
      </c>
      <c r="C278" s="819"/>
      <c r="D278" s="792"/>
      <c r="E278" s="76" t="s">
        <v>10</v>
      </c>
      <c r="F278" s="77" t="str">
        <f t="shared" si="8"/>
        <v>IB110C1</v>
      </c>
      <c r="G278" s="83"/>
      <c r="H278" s="84"/>
      <c r="I278" s="84"/>
      <c r="J278" s="85"/>
      <c r="K278" s="42"/>
      <c r="L278" s="110"/>
      <c r="M278" s="622"/>
      <c r="N278" s="76" t="s">
        <v>11</v>
      </c>
      <c r="O278" s="82" t="str">
        <f t="shared" si="9"/>
        <v>OB110C1</v>
      </c>
      <c r="P278" s="89" t="s">
        <v>533</v>
      </c>
      <c r="Q278" s="90"/>
      <c r="R278" s="90"/>
      <c r="S278" s="91"/>
      <c r="T278" s="590" t="s">
        <v>1513</v>
      </c>
      <c r="U278" s="113"/>
      <c r="V278" s="876"/>
      <c r="W278" s="770"/>
      <c r="X278" s="40"/>
      <c r="Y278" s="41"/>
      <c r="Z278" s="41"/>
      <c r="AA278" s="41"/>
      <c r="AB278" s="41"/>
      <c r="AC278" s="88"/>
      <c r="AD278" s="41"/>
      <c r="AE278" s="41"/>
      <c r="AF278" s="88"/>
    </row>
    <row r="279" spans="2:32" ht="17.25" customHeight="1">
      <c r="B279" s="75">
        <v>194</v>
      </c>
      <c r="C279" s="819"/>
      <c r="D279" s="792"/>
      <c r="E279" s="76" t="s">
        <v>10</v>
      </c>
      <c r="F279" s="77" t="str">
        <f t="shared" ref="F279:F340" si="10">LEFT(F278,1)&amp;DEC2HEX(HEX2DEC(MID(F278,2,LENB(F278)-1))+1,LENB(F278)-1)</f>
        <v>IB110C2</v>
      </c>
      <c r="G279" s="83"/>
      <c r="H279" s="84"/>
      <c r="I279" s="84"/>
      <c r="J279" s="85"/>
      <c r="K279" s="42"/>
      <c r="L279" s="110"/>
      <c r="M279" s="622"/>
      <c r="N279" s="76" t="s">
        <v>11</v>
      </c>
      <c r="O279" s="82" t="str">
        <f t="shared" ref="O279:O340" si="11">LEFT(O278,1)&amp;DEC2HEX(HEX2DEC(MID(O278,2,LENB(O278)-1))+1,LENB(O278)-1)</f>
        <v>OB110C2</v>
      </c>
      <c r="P279" s="89" t="s">
        <v>534</v>
      </c>
      <c r="Q279" s="90"/>
      <c r="R279" s="90"/>
      <c r="S279" s="91"/>
      <c r="T279" s="590" t="s">
        <v>1513</v>
      </c>
      <c r="U279" s="113"/>
      <c r="V279" s="876"/>
      <c r="W279" s="770"/>
      <c r="X279" s="40"/>
      <c r="Y279" s="41"/>
      <c r="Z279" s="41"/>
      <c r="AA279" s="41"/>
      <c r="AB279" s="41"/>
      <c r="AC279" s="88"/>
      <c r="AD279" s="41"/>
      <c r="AE279" s="41"/>
      <c r="AF279" s="88"/>
    </row>
    <row r="280" spans="2:32" ht="17.25" customHeight="1">
      <c r="B280" s="75">
        <v>195</v>
      </c>
      <c r="C280" s="819"/>
      <c r="D280" s="792"/>
      <c r="E280" s="76" t="s">
        <v>10</v>
      </c>
      <c r="F280" s="77" t="str">
        <f t="shared" si="10"/>
        <v>IB110C3</v>
      </c>
      <c r="G280" s="83"/>
      <c r="H280" s="84"/>
      <c r="I280" s="84"/>
      <c r="J280" s="85"/>
      <c r="K280" s="42"/>
      <c r="L280" s="110"/>
      <c r="M280" s="622"/>
      <c r="N280" s="76" t="s">
        <v>11</v>
      </c>
      <c r="O280" s="82" t="str">
        <f t="shared" si="11"/>
        <v>OB110C3</v>
      </c>
      <c r="P280" s="89" t="s">
        <v>535</v>
      </c>
      <c r="Q280" s="90"/>
      <c r="R280" s="90"/>
      <c r="S280" s="91"/>
      <c r="T280" s="590" t="s">
        <v>1513</v>
      </c>
      <c r="U280" s="113"/>
      <c r="V280" s="876"/>
      <c r="W280" s="770"/>
      <c r="X280" s="40"/>
      <c r="Y280" s="41"/>
      <c r="Z280" s="41"/>
      <c r="AA280" s="41"/>
      <c r="AB280" s="41"/>
      <c r="AC280" s="88"/>
      <c r="AD280" s="41"/>
      <c r="AE280" s="41"/>
      <c r="AF280" s="88"/>
    </row>
    <row r="281" spans="2:32" ht="17.25" customHeight="1">
      <c r="B281" s="75">
        <v>196</v>
      </c>
      <c r="C281" s="819"/>
      <c r="D281" s="792"/>
      <c r="E281" s="76" t="s">
        <v>10</v>
      </c>
      <c r="F281" s="77" t="str">
        <f t="shared" si="10"/>
        <v>IB110C4</v>
      </c>
      <c r="G281" s="83"/>
      <c r="H281" s="84"/>
      <c r="I281" s="84"/>
      <c r="J281" s="85"/>
      <c r="K281" s="42"/>
      <c r="L281" s="110"/>
      <c r="M281" s="622"/>
      <c r="N281" s="76" t="s">
        <v>11</v>
      </c>
      <c r="O281" s="82" t="str">
        <f t="shared" si="11"/>
        <v>OB110C4</v>
      </c>
      <c r="P281" s="89" t="s">
        <v>536</v>
      </c>
      <c r="Q281" s="90"/>
      <c r="R281" s="90"/>
      <c r="S281" s="91"/>
      <c r="T281" s="590" t="s">
        <v>1513</v>
      </c>
      <c r="U281" s="113"/>
      <c r="V281" s="876"/>
      <c r="W281" s="770"/>
      <c r="X281" s="40"/>
      <c r="Y281" s="41"/>
      <c r="Z281" s="41"/>
      <c r="AA281" s="41"/>
      <c r="AB281" s="41"/>
      <c r="AC281" s="88"/>
      <c r="AD281" s="41"/>
      <c r="AE281" s="41"/>
      <c r="AF281" s="88"/>
    </row>
    <row r="282" spans="2:32" ht="17.25" customHeight="1">
      <c r="B282" s="75">
        <v>197</v>
      </c>
      <c r="C282" s="819"/>
      <c r="D282" s="792"/>
      <c r="E282" s="76" t="s">
        <v>10</v>
      </c>
      <c r="F282" s="77" t="str">
        <f t="shared" si="10"/>
        <v>IB110C5</v>
      </c>
      <c r="G282" s="83"/>
      <c r="H282" s="84"/>
      <c r="I282" s="84"/>
      <c r="J282" s="85"/>
      <c r="K282" s="42"/>
      <c r="L282" s="110"/>
      <c r="M282" s="622"/>
      <c r="N282" s="76" t="s">
        <v>11</v>
      </c>
      <c r="O282" s="82" t="str">
        <f t="shared" si="11"/>
        <v>OB110C5</v>
      </c>
      <c r="P282" s="89" t="s">
        <v>537</v>
      </c>
      <c r="Q282" s="90"/>
      <c r="R282" s="90"/>
      <c r="S282" s="91"/>
      <c r="T282" s="590" t="s">
        <v>1513</v>
      </c>
      <c r="U282" s="113"/>
      <c r="V282" s="876"/>
      <c r="W282" s="770"/>
      <c r="X282" s="40"/>
      <c r="Y282" s="41"/>
      <c r="Z282" s="41"/>
      <c r="AA282" s="41"/>
      <c r="AB282" s="41"/>
      <c r="AC282" s="88"/>
      <c r="AD282" s="41"/>
      <c r="AE282" s="41"/>
      <c r="AF282" s="88"/>
    </row>
    <row r="283" spans="2:32" ht="17.25" customHeight="1">
      <c r="B283" s="75">
        <v>198</v>
      </c>
      <c r="C283" s="819"/>
      <c r="D283" s="792"/>
      <c r="E283" s="76" t="s">
        <v>10</v>
      </c>
      <c r="F283" s="77" t="str">
        <f t="shared" si="10"/>
        <v>IB110C6</v>
      </c>
      <c r="G283" s="83"/>
      <c r="H283" s="84"/>
      <c r="I283" s="84"/>
      <c r="J283" s="85"/>
      <c r="K283" s="42"/>
      <c r="L283" s="110"/>
      <c r="M283" s="622"/>
      <c r="N283" s="76" t="s">
        <v>11</v>
      </c>
      <c r="O283" s="82" t="str">
        <f t="shared" si="11"/>
        <v>OB110C6</v>
      </c>
      <c r="P283" s="89" t="s">
        <v>538</v>
      </c>
      <c r="Q283" s="90"/>
      <c r="R283" s="90"/>
      <c r="S283" s="91"/>
      <c r="T283" s="590" t="s">
        <v>1513</v>
      </c>
      <c r="U283" s="113"/>
      <c r="V283" s="876"/>
      <c r="W283" s="770"/>
      <c r="X283" s="41"/>
      <c r="Y283" s="41"/>
      <c r="Z283" s="41"/>
      <c r="AA283" s="41"/>
      <c r="AB283" s="41"/>
      <c r="AC283" s="88"/>
      <c r="AD283" s="41"/>
      <c r="AE283" s="41"/>
      <c r="AF283" s="88"/>
    </row>
    <row r="284" spans="2:32" ht="17.25" customHeight="1">
      <c r="B284" s="75">
        <v>199</v>
      </c>
      <c r="C284" s="819"/>
      <c r="D284" s="792"/>
      <c r="E284" s="76" t="s">
        <v>10</v>
      </c>
      <c r="F284" s="77" t="str">
        <f t="shared" si="10"/>
        <v>IB110C7</v>
      </c>
      <c r="G284" s="83"/>
      <c r="H284" s="84"/>
      <c r="I284" s="84"/>
      <c r="J284" s="85"/>
      <c r="K284" s="42"/>
      <c r="L284" s="110"/>
      <c r="M284" s="622"/>
      <c r="N284" s="76" t="s">
        <v>11</v>
      </c>
      <c r="O284" s="82" t="str">
        <f t="shared" si="11"/>
        <v>OB110C7</v>
      </c>
      <c r="P284" s="89" t="s">
        <v>539</v>
      </c>
      <c r="Q284" s="90"/>
      <c r="R284" s="90"/>
      <c r="S284" s="91"/>
      <c r="T284" s="590" t="s">
        <v>1513</v>
      </c>
      <c r="U284" s="113"/>
      <c r="V284" s="876"/>
      <c r="W284" s="770"/>
      <c r="X284" s="41"/>
      <c r="Y284" s="41"/>
      <c r="Z284" s="41"/>
      <c r="AA284" s="41"/>
      <c r="AB284" s="41"/>
      <c r="AC284" s="88"/>
      <c r="AD284" s="41"/>
      <c r="AE284" s="41"/>
      <c r="AF284" s="88"/>
    </row>
    <row r="285" spans="2:32" ht="17.25" customHeight="1">
      <c r="B285" s="75">
        <v>200</v>
      </c>
      <c r="C285" s="819"/>
      <c r="D285" s="792"/>
      <c r="E285" s="76" t="s">
        <v>10</v>
      </c>
      <c r="F285" s="77" t="str">
        <f t="shared" si="10"/>
        <v>IB110C8</v>
      </c>
      <c r="G285" s="83"/>
      <c r="H285" s="84"/>
      <c r="I285" s="84"/>
      <c r="J285" s="85"/>
      <c r="K285" s="42"/>
      <c r="L285" s="110"/>
      <c r="M285" s="622"/>
      <c r="N285" s="76" t="s">
        <v>11</v>
      </c>
      <c r="O285" s="82" t="str">
        <f t="shared" si="11"/>
        <v>OB110C8</v>
      </c>
      <c r="P285" s="89" t="s">
        <v>540</v>
      </c>
      <c r="Q285" s="90"/>
      <c r="R285" s="90"/>
      <c r="S285" s="91"/>
      <c r="T285" s="590" t="s">
        <v>1513</v>
      </c>
      <c r="U285" s="113"/>
      <c r="V285" s="876"/>
      <c r="W285" s="770"/>
      <c r="X285" s="40"/>
      <c r="Y285" s="41"/>
      <c r="Z285" s="41"/>
      <c r="AA285" s="41"/>
      <c r="AB285" s="41"/>
      <c r="AC285" s="88"/>
      <c r="AD285" s="41"/>
      <c r="AE285" s="41"/>
      <c r="AF285" s="88"/>
    </row>
    <row r="286" spans="2:32" ht="17.25" customHeight="1">
      <c r="B286" s="75">
        <v>201</v>
      </c>
      <c r="C286" s="819"/>
      <c r="D286" s="792"/>
      <c r="E286" s="76" t="s">
        <v>10</v>
      </c>
      <c r="F286" s="77" t="str">
        <f t="shared" si="10"/>
        <v>IB110C9</v>
      </c>
      <c r="G286" s="83"/>
      <c r="H286" s="84"/>
      <c r="I286" s="84"/>
      <c r="J286" s="85"/>
      <c r="K286" s="42"/>
      <c r="L286" s="110"/>
      <c r="M286" s="622"/>
      <c r="N286" s="76" t="s">
        <v>11</v>
      </c>
      <c r="O286" s="82" t="str">
        <f t="shared" si="11"/>
        <v>OB110C9</v>
      </c>
      <c r="P286" s="89" t="s">
        <v>541</v>
      </c>
      <c r="Q286" s="90"/>
      <c r="R286" s="90"/>
      <c r="S286" s="91"/>
      <c r="T286" s="590" t="s">
        <v>1513</v>
      </c>
      <c r="U286" s="113"/>
      <c r="V286" s="876"/>
      <c r="W286" s="770"/>
      <c r="X286" s="40"/>
      <c r="Y286" s="41"/>
      <c r="Z286" s="41"/>
      <c r="AA286" s="41"/>
      <c r="AB286" s="41"/>
      <c r="AC286" s="88"/>
      <c r="AD286" s="41"/>
      <c r="AE286" s="41"/>
      <c r="AF286" s="88"/>
    </row>
    <row r="287" spans="2:32" ht="17.25" customHeight="1">
      <c r="B287" s="75">
        <v>202</v>
      </c>
      <c r="C287" s="819"/>
      <c r="D287" s="792"/>
      <c r="E287" s="76" t="s">
        <v>10</v>
      </c>
      <c r="F287" s="77" t="str">
        <f t="shared" si="10"/>
        <v>IB110CA</v>
      </c>
      <c r="G287" s="83"/>
      <c r="H287" s="84"/>
      <c r="I287" s="84"/>
      <c r="J287" s="85"/>
      <c r="K287" s="42"/>
      <c r="L287" s="110"/>
      <c r="M287" s="622"/>
      <c r="N287" s="76" t="s">
        <v>11</v>
      </c>
      <c r="O287" s="82" t="str">
        <f t="shared" si="11"/>
        <v>OB110CA</v>
      </c>
      <c r="P287" s="89" t="s">
        <v>542</v>
      </c>
      <c r="Q287" s="90"/>
      <c r="R287" s="90"/>
      <c r="S287" s="91"/>
      <c r="T287" s="590" t="s">
        <v>1513</v>
      </c>
      <c r="U287" s="113"/>
      <c r="V287" s="876"/>
      <c r="W287" s="770"/>
      <c r="X287" s="40"/>
      <c r="Y287" s="41"/>
      <c r="Z287" s="41"/>
      <c r="AA287" s="41"/>
      <c r="AB287" s="41"/>
      <c r="AC287" s="88"/>
      <c r="AD287" s="41"/>
      <c r="AE287" s="41"/>
      <c r="AF287" s="88"/>
    </row>
    <row r="288" spans="2:32" ht="17.25" customHeight="1">
      <c r="B288" s="75">
        <v>203</v>
      </c>
      <c r="C288" s="819"/>
      <c r="D288" s="792"/>
      <c r="E288" s="76" t="s">
        <v>10</v>
      </c>
      <c r="F288" s="77" t="str">
        <f t="shared" si="10"/>
        <v>IB110CB</v>
      </c>
      <c r="G288" s="83"/>
      <c r="H288" s="84"/>
      <c r="I288" s="84"/>
      <c r="J288" s="85"/>
      <c r="K288" s="42"/>
      <c r="L288" s="110"/>
      <c r="M288" s="622"/>
      <c r="N288" s="76" t="s">
        <v>11</v>
      </c>
      <c r="O288" s="82" t="str">
        <f t="shared" si="11"/>
        <v>OB110CB</v>
      </c>
      <c r="P288" s="89" t="s">
        <v>543</v>
      </c>
      <c r="Q288" s="90"/>
      <c r="R288" s="90"/>
      <c r="S288" s="91"/>
      <c r="T288" s="590" t="s">
        <v>1513</v>
      </c>
      <c r="U288" s="113"/>
      <c r="V288" s="876"/>
      <c r="W288" s="770"/>
      <c r="X288" s="40"/>
      <c r="Y288" s="41"/>
      <c r="Z288" s="41"/>
      <c r="AA288" s="41"/>
      <c r="AB288" s="41"/>
      <c r="AC288" s="88"/>
      <c r="AD288" s="41"/>
      <c r="AE288" s="41"/>
      <c r="AF288" s="88"/>
    </row>
    <row r="289" spans="2:32" ht="17.25" customHeight="1">
      <c r="B289" s="75">
        <v>204</v>
      </c>
      <c r="C289" s="819"/>
      <c r="D289" s="792"/>
      <c r="E289" s="76" t="s">
        <v>10</v>
      </c>
      <c r="F289" s="77" t="str">
        <f t="shared" si="10"/>
        <v>IB110CC</v>
      </c>
      <c r="G289" s="83"/>
      <c r="H289" s="84"/>
      <c r="I289" s="84"/>
      <c r="J289" s="85"/>
      <c r="K289" s="42"/>
      <c r="L289" s="110"/>
      <c r="M289" s="622"/>
      <c r="N289" s="76" t="s">
        <v>11</v>
      </c>
      <c r="O289" s="82" t="str">
        <f t="shared" si="11"/>
        <v>OB110CC</v>
      </c>
      <c r="P289" s="89" t="s">
        <v>544</v>
      </c>
      <c r="Q289" s="90"/>
      <c r="R289" s="90"/>
      <c r="S289" s="91"/>
      <c r="T289" s="590" t="s">
        <v>1513</v>
      </c>
      <c r="U289" s="113"/>
      <c r="V289" s="876"/>
      <c r="W289" s="770"/>
      <c r="X289" s="40"/>
      <c r="Y289" s="41"/>
      <c r="Z289" s="41"/>
      <c r="AA289" s="41"/>
      <c r="AB289" s="41"/>
      <c r="AC289" s="88"/>
      <c r="AD289" s="41"/>
      <c r="AE289" s="41"/>
      <c r="AF289" s="88"/>
    </row>
    <row r="290" spans="2:32" ht="17.25" customHeight="1">
      <c r="B290" s="75">
        <v>205</v>
      </c>
      <c r="C290" s="819"/>
      <c r="D290" s="792"/>
      <c r="E290" s="76" t="s">
        <v>10</v>
      </c>
      <c r="F290" s="77" t="str">
        <f t="shared" si="10"/>
        <v>IB110CD</v>
      </c>
      <c r="G290" s="83"/>
      <c r="H290" s="84"/>
      <c r="I290" s="84"/>
      <c r="J290" s="85"/>
      <c r="K290" s="42"/>
      <c r="L290" s="95"/>
      <c r="M290" s="94"/>
      <c r="N290" s="76" t="s">
        <v>11</v>
      </c>
      <c r="O290" s="82" t="str">
        <f t="shared" si="11"/>
        <v>OB110CD</v>
      </c>
      <c r="P290" s="89" t="s">
        <v>545</v>
      </c>
      <c r="Q290" s="90"/>
      <c r="R290" s="90"/>
      <c r="S290" s="91"/>
      <c r="T290" s="590" t="s">
        <v>1513</v>
      </c>
      <c r="U290" s="113"/>
      <c r="V290" s="876"/>
      <c r="W290" s="770"/>
      <c r="X290" s="40"/>
      <c r="Y290" s="41"/>
      <c r="Z290" s="41"/>
      <c r="AA290" s="41"/>
      <c r="AB290" s="41"/>
      <c r="AC290" s="88"/>
      <c r="AD290" s="41"/>
      <c r="AE290" s="41"/>
      <c r="AF290" s="88"/>
    </row>
    <row r="291" spans="2:32" ht="17.25" customHeight="1">
      <c r="B291" s="75">
        <v>206</v>
      </c>
      <c r="C291" s="819"/>
      <c r="D291" s="792"/>
      <c r="E291" s="76" t="s">
        <v>10</v>
      </c>
      <c r="F291" s="77" t="str">
        <f t="shared" si="10"/>
        <v>IB110CE</v>
      </c>
      <c r="G291" s="83"/>
      <c r="H291" s="84"/>
      <c r="I291" s="84"/>
      <c r="J291" s="85"/>
      <c r="K291" s="42"/>
      <c r="L291" s="95"/>
      <c r="M291" s="94"/>
      <c r="N291" s="76" t="s">
        <v>11</v>
      </c>
      <c r="O291" s="82" t="str">
        <f t="shared" si="11"/>
        <v>OB110CE</v>
      </c>
      <c r="P291" s="89" t="s">
        <v>546</v>
      </c>
      <c r="Q291" s="90"/>
      <c r="R291" s="90"/>
      <c r="S291" s="91"/>
      <c r="T291" s="590" t="s">
        <v>1513</v>
      </c>
      <c r="U291" s="113"/>
      <c r="V291" s="876"/>
      <c r="W291" s="770"/>
      <c r="X291" s="41"/>
      <c r="Y291" s="41"/>
      <c r="Z291" s="41"/>
      <c r="AA291" s="41"/>
      <c r="AB291" s="41"/>
      <c r="AC291" s="88"/>
      <c r="AD291" s="41"/>
      <c r="AE291" s="41"/>
      <c r="AF291" s="88"/>
    </row>
    <row r="292" spans="2:32" ht="17.25" customHeight="1">
      <c r="B292" s="75">
        <v>207</v>
      </c>
      <c r="C292" s="820"/>
      <c r="D292" s="814"/>
      <c r="E292" s="76" t="s">
        <v>10</v>
      </c>
      <c r="F292" s="77" t="str">
        <f t="shared" si="10"/>
        <v>IB110CF</v>
      </c>
      <c r="G292" s="311"/>
      <c r="H292" s="312"/>
      <c r="I292" s="312"/>
      <c r="J292" s="313"/>
      <c r="K292" s="42"/>
      <c r="L292" s="95"/>
      <c r="M292" s="94"/>
      <c r="N292" s="76" t="s">
        <v>11</v>
      </c>
      <c r="O292" s="82" t="str">
        <f t="shared" si="11"/>
        <v>OB110CF</v>
      </c>
      <c r="P292" s="89" t="s">
        <v>547</v>
      </c>
      <c r="Q292" s="90"/>
      <c r="R292" s="90"/>
      <c r="S292" s="91"/>
      <c r="T292" s="590" t="s">
        <v>1513</v>
      </c>
      <c r="U292" s="113"/>
      <c r="V292" s="876"/>
      <c r="W292" s="770"/>
      <c r="X292" s="41"/>
      <c r="Y292" s="41"/>
      <c r="Z292" s="41"/>
      <c r="AA292" s="41"/>
      <c r="AB292" s="41"/>
      <c r="AC292" s="88"/>
      <c r="AD292" s="41"/>
      <c r="AE292" s="41"/>
      <c r="AF292" s="88"/>
    </row>
    <row r="293" spans="2:32" ht="17.25" customHeight="1">
      <c r="B293" s="75">
        <v>208</v>
      </c>
      <c r="C293" s="822" t="s">
        <v>1583</v>
      </c>
      <c r="D293" s="813" t="s">
        <v>69</v>
      </c>
      <c r="E293" s="76" t="s">
        <v>10</v>
      </c>
      <c r="F293" s="77" t="str">
        <f t="shared" si="10"/>
        <v>IB110D0</v>
      </c>
      <c r="G293" s="89" t="s">
        <v>364</v>
      </c>
      <c r="H293" s="90"/>
      <c r="I293" s="90"/>
      <c r="J293" s="91"/>
      <c r="K293" s="42" t="s">
        <v>1513</v>
      </c>
      <c r="L293" s="110"/>
      <c r="M293" s="622"/>
      <c r="N293" s="76" t="s">
        <v>11</v>
      </c>
      <c r="O293" s="82" t="str">
        <f t="shared" si="11"/>
        <v>OB110D0</v>
      </c>
      <c r="P293" s="83"/>
      <c r="Q293" s="84"/>
      <c r="R293" s="84"/>
      <c r="S293" s="85"/>
      <c r="T293" s="590"/>
      <c r="U293" s="86"/>
      <c r="V293" s="876"/>
      <c r="W293" s="770"/>
      <c r="X293" s="40"/>
      <c r="Y293" s="41"/>
      <c r="Z293" s="76"/>
      <c r="AA293" s="41"/>
      <c r="AB293" s="41"/>
      <c r="AC293" s="88"/>
      <c r="AD293" s="41"/>
      <c r="AE293" s="41"/>
      <c r="AF293" s="88"/>
    </row>
    <row r="294" spans="2:32" ht="17.25" customHeight="1">
      <c r="B294" s="75">
        <v>209</v>
      </c>
      <c r="C294" s="823"/>
      <c r="D294" s="792"/>
      <c r="E294" s="76" t="s">
        <v>10</v>
      </c>
      <c r="F294" s="77" t="str">
        <f t="shared" si="10"/>
        <v>IB110D1</v>
      </c>
      <c r="G294" s="89" t="s">
        <v>365</v>
      </c>
      <c r="H294" s="90"/>
      <c r="I294" s="90"/>
      <c r="J294" s="91"/>
      <c r="K294" s="42" t="s">
        <v>1513</v>
      </c>
      <c r="L294" s="110"/>
      <c r="M294" s="622"/>
      <c r="N294" s="76" t="s">
        <v>11</v>
      </c>
      <c r="O294" s="82" t="str">
        <f t="shared" si="11"/>
        <v>OB110D1</v>
      </c>
      <c r="P294" s="83"/>
      <c r="Q294" s="84"/>
      <c r="R294" s="84"/>
      <c r="S294" s="85"/>
      <c r="T294" s="590"/>
      <c r="U294" s="86"/>
      <c r="V294" s="876"/>
      <c r="W294" s="770"/>
      <c r="X294" s="40"/>
      <c r="Y294" s="41"/>
      <c r="Z294" s="76"/>
      <c r="AA294" s="41"/>
      <c r="AB294" s="41"/>
      <c r="AC294" s="88"/>
      <c r="AD294" s="41"/>
      <c r="AE294" s="41"/>
      <c r="AF294" s="88"/>
    </row>
    <row r="295" spans="2:32" ht="17.25" customHeight="1">
      <c r="B295" s="75">
        <v>210</v>
      </c>
      <c r="C295" s="823"/>
      <c r="D295" s="792"/>
      <c r="E295" s="76" t="s">
        <v>10</v>
      </c>
      <c r="F295" s="77" t="str">
        <f t="shared" si="10"/>
        <v>IB110D2</v>
      </c>
      <c r="G295" s="89" t="s">
        <v>366</v>
      </c>
      <c r="H295" s="90"/>
      <c r="I295" s="90"/>
      <c r="J295" s="91"/>
      <c r="K295" s="42" t="s">
        <v>1513</v>
      </c>
      <c r="L295" s="110"/>
      <c r="M295" s="622"/>
      <c r="N295" s="76" t="s">
        <v>11</v>
      </c>
      <c r="O295" s="82" t="str">
        <f t="shared" si="11"/>
        <v>OB110D2</v>
      </c>
      <c r="P295" s="83"/>
      <c r="Q295" s="84"/>
      <c r="R295" s="84"/>
      <c r="S295" s="85"/>
      <c r="T295" s="590"/>
      <c r="U295" s="86"/>
      <c r="V295" s="876"/>
      <c r="W295" s="770"/>
      <c r="X295" s="40"/>
      <c r="Y295" s="41"/>
      <c r="Z295" s="41"/>
      <c r="AA295" s="41"/>
      <c r="AB295" s="41"/>
      <c r="AC295" s="88"/>
      <c r="AD295" s="41"/>
      <c r="AE295" s="41"/>
      <c r="AF295" s="88"/>
    </row>
    <row r="296" spans="2:32" ht="17.25" customHeight="1">
      <c r="B296" s="75">
        <v>211</v>
      </c>
      <c r="C296" s="823"/>
      <c r="D296" s="792"/>
      <c r="E296" s="76" t="s">
        <v>10</v>
      </c>
      <c r="F296" s="77" t="str">
        <f t="shared" si="10"/>
        <v>IB110D3</v>
      </c>
      <c r="G296" s="89" t="s">
        <v>367</v>
      </c>
      <c r="H296" s="90"/>
      <c r="I296" s="90"/>
      <c r="J296" s="91"/>
      <c r="K296" s="42" t="s">
        <v>1513</v>
      </c>
      <c r="L296" s="110"/>
      <c r="M296" s="622"/>
      <c r="N296" s="76" t="s">
        <v>11</v>
      </c>
      <c r="O296" s="82" t="str">
        <f t="shared" si="11"/>
        <v>OB110D3</v>
      </c>
      <c r="P296" s="83"/>
      <c r="Q296" s="84"/>
      <c r="R296" s="84"/>
      <c r="S296" s="85"/>
      <c r="T296" s="590"/>
      <c r="U296" s="86"/>
      <c r="V296" s="876"/>
      <c r="W296" s="770"/>
      <c r="X296" s="40"/>
      <c r="Y296" s="41"/>
      <c r="Z296" s="41"/>
      <c r="AA296" s="41"/>
      <c r="AB296" s="41"/>
      <c r="AC296" s="88"/>
      <c r="AD296" s="41"/>
      <c r="AE296" s="41"/>
      <c r="AF296" s="88"/>
    </row>
    <row r="297" spans="2:32" ht="17.25" customHeight="1">
      <c r="B297" s="75">
        <v>212</v>
      </c>
      <c r="C297" s="823"/>
      <c r="D297" s="792"/>
      <c r="E297" s="76" t="s">
        <v>10</v>
      </c>
      <c r="F297" s="77" t="str">
        <f t="shared" si="10"/>
        <v>IB110D4</v>
      </c>
      <c r="G297" s="89" t="s">
        <v>368</v>
      </c>
      <c r="H297" s="90"/>
      <c r="I297" s="90"/>
      <c r="J297" s="91"/>
      <c r="K297" s="42" t="s">
        <v>1513</v>
      </c>
      <c r="L297" s="110"/>
      <c r="M297" s="622"/>
      <c r="N297" s="76" t="s">
        <v>11</v>
      </c>
      <c r="O297" s="82" t="str">
        <f t="shared" si="11"/>
        <v>OB110D4</v>
      </c>
      <c r="P297" s="83"/>
      <c r="Q297" s="84"/>
      <c r="R297" s="84"/>
      <c r="S297" s="85"/>
      <c r="T297" s="590"/>
      <c r="U297" s="86"/>
      <c r="V297" s="876"/>
      <c r="W297" s="770"/>
      <c r="X297" s="40"/>
      <c r="Y297" s="41"/>
      <c r="Z297" s="41"/>
      <c r="AA297" s="41"/>
      <c r="AB297" s="41"/>
      <c r="AC297" s="88"/>
      <c r="AD297" s="41"/>
      <c r="AE297" s="41"/>
      <c r="AF297" s="88"/>
    </row>
    <row r="298" spans="2:32" ht="17.25" customHeight="1">
      <c r="B298" s="75">
        <v>213</v>
      </c>
      <c r="C298" s="823"/>
      <c r="D298" s="792"/>
      <c r="E298" s="76" t="s">
        <v>10</v>
      </c>
      <c r="F298" s="77" t="str">
        <f t="shared" si="10"/>
        <v>IB110D5</v>
      </c>
      <c r="G298" s="89" t="s">
        <v>369</v>
      </c>
      <c r="H298" s="90"/>
      <c r="I298" s="90"/>
      <c r="J298" s="91"/>
      <c r="K298" s="42" t="s">
        <v>1513</v>
      </c>
      <c r="L298" s="110"/>
      <c r="M298" s="622"/>
      <c r="N298" s="76" t="s">
        <v>11</v>
      </c>
      <c r="O298" s="82" t="str">
        <f t="shared" si="11"/>
        <v>OB110D5</v>
      </c>
      <c r="P298" s="83"/>
      <c r="Q298" s="84"/>
      <c r="R298" s="84"/>
      <c r="S298" s="85"/>
      <c r="T298" s="590"/>
      <c r="U298" s="86"/>
      <c r="V298" s="876"/>
      <c r="W298" s="770"/>
      <c r="X298" s="40"/>
      <c r="Y298" s="41"/>
      <c r="Z298" s="41"/>
      <c r="AA298" s="41"/>
      <c r="AB298" s="41"/>
      <c r="AC298" s="88"/>
      <c r="AD298" s="41"/>
      <c r="AE298" s="41"/>
      <c r="AF298" s="88"/>
    </row>
    <row r="299" spans="2:32" ht="17.25" customHeight="1">
      <c r="B299" s="75">
        <v>214</v>
      </c>
      <c r="C299" s="823"/>
      <c r="D299" s="792"/>
      <c r="E299" s="76" t="s">
        <v>10</v>
      </c>
      <c r="F299" s="77" t="str">
        <f t="shared" si="10"/>
        <v>IB110D6</v>
      </c>
      <c r="G299" s="89" t="s">
        <v>370</v>
      </c>
      <c r="H299" s="90"/>
      <c r="I299" s="90"/>
      <c r="J299" s="91"/>
      <c r="K299" s="42" t="s">
        <v>1513</v>
      </c>
      <c r="L299" s="110"/>
      <c r="M299" s="622"/>
      <c r="N299" s="76" t="s">
        <v>11</v>
      </c>
      <c r="O299" s="82" t="str">
        <f t="shared" si="11"/>
        <v>OB110D6</v>
      </c>
      <c r="P299" s="83"/>
      <c r="Q299" s="84"/>
      <c r="R299" s="84"/>
      <c r="S299" s="85"/>
      <c r="T299" s="590"/>
      <c r="U299" s="86"/>
      <c r="V299" s="876"/>
      <c r="W299" s="770"/>
      <c r="X299" s="40"/>
      <c r="Y299" s="41"/>
      <c r="Z299" s="41"/>
      <c r="AA299" s="41"/>
      <c r="AB299" s="41"/>
      <c r="AC299" s="88"/>
      <c r="AD299" s="41"/>
      <c r="AE299" s="41"/>
      <c r="AF299" s="88"/>
    </row>
    <row r="300" spans="2:32" ht="17.25" customHeight="1">
      <c r="B300" s="75">
        <v>215</v>
      </c>
      <c r="C300" s="823"/>
      <c r="D300" s="792"/>
      <c r="E300" s="76" t="s">
        <v>10</v>
      </c>
      <c r="F300" s="77" t="str">
        <f t="shared" si="10"/>
        <v>IB110D7</v>
      </c>
      <c r="G300" s="89" t="s">
        <v>371</v>
      </c>
      <c r="H300" s="90"/>
      <c r="I300" s="90"/>
      <c r="J300" s="91"/>
      <c r="K300" s="42" t="s">
        <v>1513</v>
      </c>
      <c r="L300" s="110"/>
      <c r="M300" s="622"/>
      <c r="N300" s="76" t="s">
        <v>11</v>
      </c>
      <c r="O300" s="82" t="str">
        <f t="shared" si="11"/>
        <v>OB110D7</v>
      </c>
      <c r="P300" s="83"/>
      <c r="Q300" s="84"/>
      <c r="R300" s="84"/>
      <c r="S300" s="85"/>
      <c r="T300" s="590"/>
      <c r="U300" s="86"/>
      <c r="V300" s="876"/>
      <c r="W300" s="770"/>
      <c r="X300" s="40"/>
      <c r="Y300" s="41"/>
      <c r="Z300" s="41"/>
      <c r="AA300" s="41"/>
      <c r="AB300" s="41"/>
      <c r="AC300" s="88"/>
      <c r="AD300" s="41"/>
      <c r="AE300" s="41"/>
      <c r="AF300" s="88"/>
    </row>
    <row r="301" spans="2:32" ht="17.25" customHeight="1">
      <c r="B301" s="75">
        <v>216</v>
      </c>
      <c r="C301" s="823"/>
      <c r="D301" s="792"/>
      <c r="E301" s="76" t="s">
        <v>10</v>
      </c>
      <c r="F301" s="77" t="str">
        <f t="shared" si="10"/>
        <v>IB110D8</v>
      </c>
      <c r="G301" s="89" t="s">
        <v>1515</v>
      </c>
      <c r="H301" s="90"/>
      <c r="I301" s="90"/>
      <c r="J301" s="91"/>
      <c r="K301" s="42" t="s">
        <v>1513</v>
      </c>
      <c r="L301" s="110"/>
      <c r="M301" s="622"/>
      <c r="N301" s="76" t="s">
        <v>11</v>
      </c>
      <c r="O301" s="82" t="str">
        <f t="shared" si="11"/>
        <v>OB110D8</v>
      </c>
      <c r="P301" s="83"/>
      <c r="Q301" s="84"/>
      <c r="R301" s="84"/>
      <c r="S301" s="85"/>
      <c r="T301" s="590"/>
      <c r="U301" s="86"/>
      <c r="V301" s="876"/>
      <c r="W301" s="770"/>
      <c r="X301" s="41"/>
      <c r="Y301" s="41"/>
      <c r="Z301" s="41"/>
      <c r="AA301" s="41"/>
      <c r="AB301" s="41"/>
      <c r="AC301" s="88"/>
      <c r="AD301" s="41"/>
      <c r="AE301" s="41"/>
      <c r="AF301" s="88"/>
    </row>
    <row r="302" spans="2:32" ht="17.25" customHeight="1">
      <c r="B302" s="75">
        <v>217</v>
      </c>
      <c r="C302" s="823"/>
      <c r="D302" s="792"/>
      <c r="E302" s="76" t="s">
        <v>10</v>
      </c>
      <c r="F302" s="77" t="str">
        <f t="shared" si="10"/>
        <v>IB110D9</v>
      </c>
      <c r="G302" s="89" t="s">
        <v>372</v>
      </c>
      <c r="H302" s="90"/>
      <c r="I302" s="90"/>
      <c r="J302" s="91"/>
      <c r="K302" s="42" t="s">
        <v>1513</v>
      </c>
      <c r="L302" s="110"/>
      <c r="M302" s="622"/>
      <c r="N302" s="76" t="s">
        <v>11</v>
      </c>
      <c r="O302" s="82" t="str">
        <f t="shared" si="11"/>
        <v>OB110D9</v>
      </c>
      <c r="P302" s="83"/>
      <c r="Q302" s="84"/>
      <c r="R302" s="84"/>
      <c r="S302" s="85"/>
      <c r="T302" s="590"/>
      <c r="U302" s="86"/>
      <c r="V302" s="876"/>
      <c r="W302" s="770"/>
      <c r="X302" s="41"/>
      <c r="Y302" s="41"/>
      <c r="Z302" s="41"/>
      <c r="AA302" s="41"/>
      <c r="AB302" s="41"/>
      <c r="AC302" s="88"/>
      <c r="AD302" s="41"/>
      <c r="AE302" s="41"/>
      <c r="AF302" s="88"/>
    </row>
    <row r="303" spans="2:32" ht="17.25" customHeight="1">
      <c r="B303" s="75">
        <v>218</v>
      </c>
      <c r="C303" s="823"/>
      <c r="D303" s="792"/>
      <c r="E303" s="76" t="s">
        <v>10</v>
      </c>
      <c r="F303" s="77" t="str">
        <f t="shared" si="10"/>
        <v>IB110DA</v>
      </c>
      <c r="G303" s="89" t="s">
        <v>373</v>
      </c>
      <c r="H303" s="90"/>
      <c r="I303" s="90"/>
      <c r="J303" s="91"/>
      <c r="K303" s="42" t="s">
        <v>1513</v>
      </c>
      <c r="L303" s="110"/>
      <c r="M303" s="622"/>
      <c r="N303" s="76" t="s">
        <v>11</v>
      </c>
      <c r="O303" s="82" t="str">
        <f t="shared" si="11"/>
        <v>OB110DA</v>
      </c>
      <c r="P303" s="83"/>
      <c r="Q303" s="84"/>
      <c r="R303" s="84"/>
      <c r="S303" s="85"/>
      <c r="T303" s="590"/>
      <c r="U303" s="86"/>
      <c r="V303" s="876"/>
      <c r="W303" s="770"/>
      <c r="X303" s="41"/>
      <c r="Y303" s="41"/>
      <c r="Z303" s="41"/>
      <c r="AA303" s="41"/>
      <c r="AB303" s="41"/>
      <c r="AC303" s="88"/>
      <c r="AD303" s="41"/>
      <c r="AE303" s="41"/>
      <c r="AF303" s="88"/>
    </row>
    <row r="304" spans="2:32" ht="17.25" customHeight="1">
      <c r="B304" s="75">
        <v>219</v>
      </c>
      <c r="C304" s="823"/>
      <c r="D304" s="792"/>
      <c r="E304" s="76" t="s">
        <v>10</v>
      </c>
      <c r="F304" s="77" t="str">
        <f t="shared" si="10"/>
        <v>IB110DB</v>
      </c>
      <c r="G304" s="89" t="s">
        <v>374</v>
      </c>
      <c r="H304" s="90"/>
      <c r="I304" s="90"/>
      <c r="J304" s="91"/>
      <c r="K304" s="42" t="s">
        <v>1513</v>
      </c>
      <c r="L304" s="110"/>
      <c r="M304" s="622"/>
      <c r="N304" s="76" t="s">
        <v>11</v>
      </c>
      <c r="O304" s="82" t="str">
        <f t="shared" si="11"/>
        <v>OB110DB</v>
      </c>
      <c r="P304" s="83"/>
      <c r="Q304" s="84"/>
      <c r="R304" s="84"/>
      <c r="S304" s="85"/>
      <c r="T304" s="590"/>
      <c r="U304" s="86"/>
      <c r="V304" s="876"/>
      <c r="W304" s="770"/>
      <c r="X304" s="41"/>
      <c r="Y304" s="41"/>
      <c r="Z304" s="41"/>
      <c r="AA304" s="41"/>
      <c r="AB304" s="41"/>
      <c r="AC304" s="88"/>
      <c r="AD304" s="41"/>
      <c r="AE304" s="41"/>
      <c r="AF304" s="88"/>
    </row>
    <row r="305" spans="2:32" ht="17.25" customHeight="1">
      <c r="B305" s="75">
        <v>220</v>
      </c>
      <c r="C305" s="823"/>
      <c r="D305" s="792"/>
      <c r="E305" s="76" t="s">
        <v>10</v>
      </c>
      <c r="F305" s="77" t="str">
        <f t="shared" si="10"/>
        <v>IB110DC</v>
      </c>
      <c r="G305" s="89" t="s">
        <v>375</v>
      </c>
      <c r="H305" s="90"/>
      <c r="I305" s="90"/>
      <c r="J305" s="91"/>
      <c r="K305" s="42" t="s">
        <v>1513</v>
      </c>
      <c r="L305" s="110"/>
      <c r="M305" s="622"/>
      <c r="N305" s="76" t="s">
        <v>11</v>
      </c>
      <c r="O305" s="82" t="str">
        <f t="shared" si="11"/>
        <v>OB110DC</v>
      </c>
      <c r="P305" s="83"/>
      <c r="Q305" s="84"/>
      <c r="R305" s="84"/>
      <c r="S305" s="85"/>
      <c r="T305" s="590"/>
      <c r="U305" s="86"/>
      <c r="V305" s="876"/>
      <c r="W305" s="770"/>
      <c r="X305" s="41"/>
      <c r="Y305" s="41"/>
      <c r="Z305" s="41"/>
      <c r="AA305" s="41"/>
      <c r="AB305" s="41"/>
      <c r="AC305" s="88"/>
      <c r="AD305" s="41"/>
      <c r="AE305" s="41"/>
      <c r="AF305" s="88"/>
    </row>
    <row r="306" spans="2:32" ht="17.25" customHeight="1">
      <c r="B306" s="75">
        <v>221</v>
      </c>
      <c r="C306" s="823"/>
      <c r="D306" s="792"/>
      <c r="E306" s="76" t="s">
        <v>10</v>
      </c>
      <c r="F306" s="77" t="str">
        <f t="shared" si="10"/>
        <v>IB110DD</v>
      </c>
      <c r="G306" s="89" t="s">
        <v>376</v>
      </c>
      <c r="H306" s="90"/>
      <c r="I306" s="90"/>
      <c r="J306" s="91"/>
      <c r="K306" s="42" t="s">
        <v>1513</v>
      </c>
      <c r="L306" s="110"/>
      <c r="M306" s="622"/>
      <c r="N306" s="76" t="s">
        <v>11</v>
      </c>
      <c r="O306" s="82" t="str">
        <f t="shared" si="11"/>
        <v>OB110DD</v>
      </c>
      <c r="P306" s="83"/>
      <c r="Q306" s="84"/>
      <c r="R306" s="84"/>
      <c r="S306" s="85"/>
      <c r="T306" s="590"/>
      <c r="U306" s="86"/>
      <c r="V306" s="876"/>
      <c r="W306" s="770"/>
      <c r="X306" s="41"/>
      <c r="Y306" s="41"/>
      <c r="Z306" s="41"/>
      <c r="AA306" s="41"/>
      <c r="AB306" s="41"/>
      <c r="AC306" s="88"/>
      <c r="AD306" s="41"/>
      <c r="AE306" s="41"/>
      <c r="AF306" s="88"/>
    </row>
    <row r="307" spans="2:32" ht="17.25" customHeight="1">
      <c r="B307" s="75">
        <v>222</v>
      </c>
      <c r="C307" s="823"/>
      <c r="D307" s="792"/>
      <c r="E307" s="76" t="s">
        <v>10</v>
      </c>
      <c r="F307" s="77" t="str">
        <f t="shared" si="10"/>
        <v>IB110DE</v>
      </c>
      <c r="G307" s="100"/>
      <c r="H307" s="101"/>
      <c r="I307" s="101"/>
      <c r="J307" s="92"/>
      <c r="K307" s="42"/>
      <c r="L307" s="95"/>
      <c r="M307" s="94"/>
      <c r="N307" s="76" t="s">
        <v>11</v>
      </c>
      <c r="O307" s="82" t="str">
        <f t="shared" si="11"/>
        <v>OB110DE</v>
      </c>
      <c r="P307" s="83"/>
      <c r="Q307" s="84"/>
      <c r="R307" s="84"/>
      <c r="S307" s="85"/>
      <c r="T307" s="590"/>
      <c r="U307" s="86"/>
      <c r="V307" s="876"/>
      <c r="W307" s="770"/>
      <c r="X307" s="41"/>
      <c r="Y307" s="41"/>
      <c r="Z307" s="41"/>
      <c r="AA307" s="41"/>
      <c r="AB307" s="41"/>
      <c r="AC307" s="88"/>
      <c r="AD307" s="41"/>
      <c r="AE307" s="41"/>
      <c r="AF307" s="88"/>
    </row>
    <row r="308" spans="2:32" ht="17.25" customHeight="1">
      <c r="B308" s="75">
        <v>223</v>
      </c>
      <c r="C308" s="824"/>
      <c r="D308" s="814"/>
      <c r="E308" s="76" t="s">
        <v>10</v>
      </c>
      <c r="F308" s="77" t="str">
        <f t="shared" si="10"/>
        <v>IB110DF</v>
      </c>
      <c r="G308" s="100"/>
      <c r="H308" s="101"/>
      <c r="I308" s="101"/>
      <c r="J308" s="92"/>
      <c r="K308" s="42"/>
      <c r="L308" s="95"/>
      <c r="M308" s="94"/>
      <c r="N308" s="76" t="s">
        <v>11</v>
      </c>
      <c r="O308" s="82" t="str">
        <f t="shared" si="11"/>
        <v>OB110DF</v>
      </c>
      <c r="P308" s="311"/>
      <c r="Q308" s="312"/>
      <c r="R308" s="312"/>
      <c r="S308" s="313"/>
      <c r="T308" s="590"/>
      <c r="U308" s="86"/>
      <c r="V308" s="876"/>
      <c r="W308" s="770"/>
      <c r="X308" s="41"/>
      <c r="Y308" s="41"/>
      <c r="Z308" s="41"/>
      <c r="AA308" s="41"/>
      <c r="AB308" s="41"/>
      <c r="AC308" s="88"/>
      <c r="AD308" s="41"/>
      <c r="AE308" s="41"/>
      <c r="AF308" s="88"/>
    </row>
    <row r="309" spans="2:32" ht="17.25" customHeight="1">
      <c r="B309" s="75">
        <v>224</v>
      </c>
      <c r="C309" s="815" t="s">
        <v>1564</v>
      </c>
      <c r="D309" s="813" t="s">
        <v>69</v>
      </c>
      <c r="E309" s="76" t="s">
        <v>10</v>
      </c>
      <c r="F309" s="77" t="str">
        <f t="shared" si="10"/>
        <v>IB110E0</v>
      </c>
      <c r="G309" s="83"/>
      <c r="H309" s="84"/>
      <c r="I309" s="84"/>
      <c r="J309" s="85"/>
      <c r="K309" s="42"/>
      <c r="L309" s="110"/>
      <c r="M309" s="622"/>
      <c r="N309" s="76" t="s">
        <v>11</v>
      </c>
      <c r="O309" s="82" t="str">
        <f t="shared" si="11"/>
        <v>OB110E0</v>
      </c>
      <c r="P309" s="302" t="s">
        <v>493</v>
      </c>
      <c r="Q309" s="303"/>
      <c r="R309" s="303"/>
      <c r="S309" s="304"/>
      <c r="T309" s="590" t="s">
        <v>1530</v>
      </c>
      <c r="U309" s="86" t="s">
        <v>1513</v>
      </c>
      <c r="V309" s="876"/>
      <c r="W309" s="770"/>
      <c r="X309" s="41"/>
      <c r="Y309" s="41"/>
      <c r="Z309" s="41"/>
      <c r="AA309" s="41"/>
      <c r="AB309" s="41"/>
      <c r="AC309" s="88"/>
      <c r="AD309" s="41"/>
      <c r="AE309" s="41"/>
      <c r="AF309" s="88"/>
    </row>
    <row r="310" spans="2:32" ht="17.25" customHeight="1">
      <c r="B310" s="75">
        <v>225</v>
      </c>
      <c r="C310" s="816"/>
      <c r="D310" s="792"/>
      <c r="E310" s="76" t="s">
        <v>10</v>
      </c>
      <c r="F310" s="77" t="str">
        <f t="shared" si="10"/>
        <v>IB110E1</v>
      </c>
      <c r="G310" s="83"/>
      <c r="H310" s="84"/>
      <c r="I310" s="84"/>
      <c r="J310" s="85"/>
      <c r="K310" s="42"/>
      <c r="L310" s="110"/>
      <c r="M310" s="622"/>
      <c r="N310" s="76" t="s">
        <v>11</v>
      </c>
      <c r="O310" s="82" t="str">
        <f t="shared" si="11"/>
        <v>OB110E1</v>
      </c>
      <c r="P310" s="302" t="s">
        <v>494</v>
      </c>
      <c r="Q310" s="303"/>
      <c r="R310" s="303"/>
      <c r="S310" s="304"/>
      <c r="T310" s="590" t="s">
        <v>1530</v>
      </c>
      <c r="U310" s="86" t="s">
        <v>1513</v>
      </c>
      <c r="V310" s="876"/>
      <c r="W310" s="770"/>
      <c r="X310" s="41"/>
      <c r="Y310" s="41"/>
      <c r="Z310" s="41"/>
      <c r="AA310" s="41"/>
      <c r="AB310" s="41"/>
      <c r="AC310" s="88"/>
      <c r="AD310" s="41"/>
      <c r="AE310" s="41"/>
      <c r="AF310" s="88"/>
    </row>
    <row r="311" spans="2:32" ht="17.25" customHeight="1">
      <c r="B311" s="75">
        <v>226</v>
      </c>
      <c r="C311" s="816"/>
      <c r="D311" s="792"/>
      <c r="E311" s="76" t="s">
        <v>10</v>
      </c>
      <c r="F311" s="77" t="str">
        <f t="shared" si="10"/>
        <v>IB110E2</v>
      </c>
      <c r="G311" s="83"/>
      <c r="H311" s="84"/>
      <c r="I311" s="84"/>
      <c r="J311" s="85"/>
      <c r="K311" s="42"/>
      <c r="L311" s="110"/>
      <c r="M311" s="622"/>
      <c r="N311" s="76" t="s">
        <v>11</v>
      </c>
      <c r="O311" s="82" t="str">
        <f t="shared" si="11"/>
        <v>OB110E2</v>
      </c>
      <c r="P311" s="302" t="s">
        <v>495</v>
      </c>
      <c r="Q311" s="303"/>
      <c r="R311" s="303"/>
      <c r="S311" s="304"/>
      <c r="T311" s="590" t="s">
        <v>1530</v>
      </c>
      <c r="U311" s="86" t="s">
        <v>1513</v>
      </c>
      <c r="V311" s="876"/>
      <c r="W311" s="770"/>
      <c r="X311" s="41"/>
      <c r="Y311" s="41"/>
      <c r="Z311" s="41"/>
      <c r="AA311" s="41"/>
      <c r="AB311" s="41"/>
      <c r="AC311" s="88"/>
      <c r="AD311" s="41"/>
      <c r="AE311" s="41"/>
      <c r="AF311" s="88"/>
    </row>
    <row r="312" spans="2:32" ht="17.25" customHeight="1">
      <c r="B312" s="75">
        <v>227</v>
      </c>
      <c r="C312" s="816"/>
      <c r="D312" s="792"/>
      <c r="E312" s="76" t="s">
        <v>10</v>
      </c>
      <c r="F312" s="77" t="str">
        <f t="shared" si="10"/>
        <v>IB110E3</v>
      </c>
      <c r="G312" s="83"/>
      <c r="H312" s="84"/>
      <c r="I312" s="84"/>
      <c r="J312" s="85"/>
      <c r="K312" s="42"/>
      <c r="L312" s="110"/>
      <c r="M312" s="622"/>
      <c r="N312" s="76" t="s">
        <v>11</v>
      </c>
      <c r="O312" s="82" t="str">
        <f t="shared" si="11"/>
        <v>OB110E3</v>
      </c>
      <c r="P312" s="89"/>
      <c r="Q312" s="90"/>
      <c r="R312" s="90"/>
      <c r="S312" s="91"/>
      <c r="T312" s="590"/>
      <c r="U312" s="86"/>
      <c r="V312" s="876"/>
      <c r="W312" s="770"/>
      <c r="X312" s="41"/>
      <c r="Y312" s="41"/>
      <c r="Z312" s="41"/>
      <c r="AA312" s="41"/>
      <c r="AB312" s="41"/>
      <c r="AC312" s="88"/>
      <c r="AD312" s="41"/>
      <c r="AE312" s="41"/>
      <c r="AF312" s="88"/>
    </row>
    <row r="313" spans="2:32" ht="17.25" customHeight="1">
      <c r="B313" s="75">
        <v>228</v>
      </c>
      <c r="C313" s="816"/>
      <c r="D313" s="792"/>
      <c r="E313" s="76" t="s">
        <v>10</v>
      </c>
      <c r="F313" s="77" t="str">
        <f t="shared" si="10"/>
        <v>IB110E4</v>
      </c>
      <c r="G313" s="83"/>
      <c r="H313" s="84"/>
      <c r="I313" s="84"/>
      <c r="J313" s="85"/>
      <c r="K313" s="42"/>
      <c r="L313" s="110"/>
      <c r="M313" s="622"/>
      <c r="N313" s="76" t="s">
        <v>11</v>
      </c>
      <c r="O313" s="82" t="str">
        <f t="shared" si="11"/>
        <v>OB110E4</v>
      </c>
      <c r="P313" s="302" t="s">
        <v>1546</v>
      </c>
      <c r="Q313" s="303"/>
      <c r="R313" s="303"/>
      <c r="S313" s="304"/>
      <c r="T313" s="590" t="s">
        <v>1530</v>
      </c>
      <c r="U313" s="86" t="s">
        <v>1513</v>
      </c>
      <c r="V313" s="876"/>
      <c r="W313" s="770"/>
      <c r="X313" s="40"/>
      <c r="Y313" s="41"/>
      <c r="Z313" s="41"/>
      <c r="AA313" s="41"/>
      <c r="AB313" s="41"/>
      <c r="AC313" s="88"/>
      <c r="AD313" s="41"/>
      <c r="AE313" s="41"/>
      <c r="AF313" s="88"/>
    </row>
    <row r="314" spans="2:32" ht="17.25" customHeight="1">
      <c r="B314" s="75">
        <v>229</v>
      </c>
      <c r="C314" s="816"/>
      <c r="D314" s="792"/>
      <c r="E314" s="76" t="s">
        <v>10</v>
      </c>
      <c r="F314" s="77" t="str">
        <f t="shared" si="10"/>
        <v>IB110E5</v>
      </c>
      <c r="G314" s="83"/>
      <c r="H314" s="84"/>
      <c r="I314" s="84"/>
      <c r="J314" s="85"/>
      <c r="K314" s="42"/>
      <c r="L314" s="110"/>
      <c r="M314" s="622"/>
      <c r="N314" s="76" t="s">
        <v>11</v>
      </c>
      <c r="O314" s="82" t="str">
        <f t="shared" si="11"/>
        <v>OB110E5</v>
      </c>
      <c r="P314" s="302" t="s">
        <v>504</v>
      </c>
      <c r="Q314" s="303"/>
      <c r="R314" s="303"/>
      <c r="S314" s="304"/>
      <c r="T314" s="590" t="s">
        <v>1530</v>
      </c>
      <c r="U314" s="86" t="s">
        <v>1513</v>
      </c>
      <c r="V314" s="876"/>
      <c r="W314" s="770"/>
      <c r="X314" s="40"/>
      <c r="Y314" s="41"/>
      <c r="Z314" s="41"/>
      <c r="AA314" s="41"/>
      <c r="AB314" s="41"/>
      <c r="AC314" s="88"/>
      <c r="AD314" s="41"/>
      <c r="AE314" s="41"/>
      <c r="AF314" s="88"/>
    </row>
    <row r="315" spans="2:32" ht="17.25" customHeight="1">
      <c r="B315" s="75">
        <v>230</v>
      </c>
      <c r="C315" s="816"/>
      <c r="D315" s="792"/>
      <c r="E315" s="76" t="s">
        <v>10</v>
      </c>
      <c r="F315" s="77" t="str">
        <f t="shared" si="10"/>
        <v>IB110E6</v>
      </c>
      <c r="G315" s="83"/>
      <c r="H315" s="84"/>
      <c r="I315" s="84"/>
      <c r="J315" s="85"/>
      <c r="K315" s="42"/>
      <c r="L315" s="110"/>
      <c r="M315" s="622"/>
      <c r="N315" s="76" t="s">
        <v>11</v>
      </c>
      <c r="O315" s="82" t="str">
        <f t="shared" si="11"/>
        <v>OB110E6</v>
      </c>
      <c r="P315" s="302" t="s">
        <v>505</v>
      </c>
      <c r="Q315" s="303"/>
      <c r="R315" s="303"/>
      <c r="S315" s="304"/>
      <c r="T315" s="590" t="s">
        <v>1530</v>
      </c>
      <c r="U315" s="86" t="s">
        <v>1513</v>
      </c>
      <c r="V315" s="876"/>
      <c r="W315" s="770"/>
      <c r="X315" s="40"/>
      <c r="Y315" s="41"/>
      <c r="Z315" s="41"/>
      <c r="AA315" s="41"/>
      <c r="AB315" s="41"/>
      <c r="AC315" s="88"/>
      <c r="AD315" s="41"/>
      <c r="AE315" s="41"/>
      <c r="AF315" s="88"/>
    </row>
    <row r="316" spans="2:32" ht="17.25" customHeight="1">
      <c r="B316" s="75">
        <v>231</v>
      </c>
      <c r="C316" s="816"/>
      <c r="D316" s="792"/>
      <c r="E316" s="76" t="s">
        <v>10</v>
      </c>
      <c r="F316" s="77" t="str">
        <f t="shared" si="10"/>
        <v>IB110E7</v>
      </c>
      <c r="G316" s="83"/>
      <c r="H316" s="84"/>
      <c r="I316" s="84"/>
      <c r="J316" s="85"/>
      <c r="K316" s="42"/>
      <c r="L316" s="110"/>
      <c r="M316" s="622"/>
      <c r="N316" s="76" t="s">
        <v>11</v>
      </c>
      <c r="O316" s="82" t="str">
        <f t="shared" si="11"/>
        <v>OB110E7</v>
      </c>
      <c r="P316" s="89"/>
      <c r="Q316" s="90"/>
      <c r="R316" s="90"/>
      <c r="S316" s="91"/>
      <c r="T316" s="590"/>
      <c r="U316" s="86"/>
      <c r="V316" s="876"/>
      <c r="W316" s="770"/>
      <c r="X316" s="41"/>
      <c r="Y316" s="41"/>
      <c r="Z316" s="41"/>
      <c r="AA316" s="41"/>
      <c r="AB316" s="41"/>
      <c r="AC316" s="88"/>
      <c r="AD316" s="41"/>
      <c r="AE316" s="41"/>
      <c r="AF316" s="88"/>
    </row>
    <row r="317" spans="2:32" ht="17.25" customHeight="1">
      <c r="B317" s="75">
        <v>232</v>
      </c>
      <c r="C317" s="816"/>
      <c r="D317" s="792"/>
      <c r="E317" s="76" t="s">
        <v>10</v>
      </c>
      <c r="F317" s="77" t="str">
        <f t="shared" si="10"/>
        <v>IB110E8</v>
      </c>
      <c r="G317" s="83"/>
      <c r="H317" s="84"/>
      <c r="I317" s="84"/>
      <c r="J317" s="85"/>
      <c r="K317" s="42"/>
      <c r="L317" s="110"/>
      <c r="M317" s="622"/>
      <c r="N317" s="76" t="s">
        <v>11</v>
      </c>
      <c r="O317" s="82" t="str">
        <f t="shared" si="11"/>
        <v>OB110E8</v>
      </c>
      <c r="P317" s="89"/>
      <c r="Q317" s="90"/>
      <c r="R317" s="90"/>
      <c r="S317" s="91"/>
      <c r="T317" s="590"/>
      <c r="U317" s="86"/>
      <c r="V317" s="876"/>
      <c r="W317" s="770"/>
      <c r="X317" s="41"/>
      <c r="Y317" s="41"/>
      <c r="Z317" s="41"/>
      <c r="AA317" s="41"/>
      <c r="AB317" s="41"/>
      <c r="AC317" s="88"/>
      <c r="AD317" s="41"/>
      <c r="AE317" s="41"/>
      <c r="AF317" s="88"/>
    </row>
    <row r="318" spans="2:32" ht="17.25" customHeight="1">
      <c r="B318" s="75">
        <v>233</v>
      </c>
      <c r="C318" s="816"/>
      <c r="D318" s="792"/>
      <c r="E318" s="76" t="s">
        <v>10</v>
      </c>
      <c r="F318" s="77" t="str">
        <f t="shared" si="10"/>
        <v>IB110E9</v>
      </c>
      <c r="G318" s="83"/>
      <c r="H318" s="84"/>
      <c r="I318" s="84"/>
      <c r="J318" s="85"/>
      <c r="K318" s="42"/>
      <c r="L318" s="110"/>
      <c r="M318" s="622"/>
      <c r="N318" s="76" t="s">
        <v>11</v>
      </c>
      <c r="O318" s="82" t="str">
        <f t="shared" si="11"/>
        <v>OB110E9</v>
      </c>
      <c r="P318" s="89"/>
      <c r="Q318" s="90"/>
      <c r="R318" s="90"/>
      <c r="S318" s="91"/>
      <c r="T318" s="590"/>
      <c r="U318" s="86"/>
      <c r="V318" s="876"/>
      <c r="W318" s="770"/>
      <c r="X318" s="41"/>
      <c r="Y318" s="41"/>
      <c r="Z318" s="41"/>
      <c r="AA318" s="41"/>
      <c r="AB318" s="41"/>
      <c r="AC318" s="88"/>
      <c r="AD318" s="41"/>
      <c r="AE318" s="41"/>
      <c r="AF318" s="88"/>
    </row>
    <row r="319" spans="2:32" ht="17.25" customHeight="1">
      <c r="B319" s="75">
        <v>234</v>
      </c>
      <c r="C319" s="816"/>
      <c r="D319" s="792"/>
      <c r="E319" s="76" t="s">
        <v>10</v>
      </c>
      <c r="F319" s="77" t="str">
        <f t="shared" si="10"/>
        <v>IB110EA</v>
      </c>
      <c r="G319" s="83"/>
      <c r="H319" s="84"/>
      <c r="I319" s="84"/>
      <c r="J319" s="85"/>
      <c r="K319" s="42"/>
      <c r="L319" s="110"/>
      <c r="M319" s="622"/>
      <c r="N319" s="76" t="s">
        <v>11</v>
      </c>
      <c r="O319" s="82" t="str">
        <f t="shared" si="11"/>
        <v>OB110EA</v>
      </c>
      <c r="P319" s="89"/>
      <c r="Q319" s="90"/>
      <c r="R319" s="90"/>
      <c r="S319" s="91"/>
      <c r="T319" s="590"/>
      <c r="U319" s="86"/>
      <c r="V319" s="876"/>
      <c r="W319" s="770"/>
      <c r="X319" s="41"/>
      <c r="Y319" s="41"/>
      <c r="Z319" s="41"/>
      <c r="AA319" s="41"/>
      <c r="AB319" s="41"/>
      <c r="AC319" s="88"/>
      <c r="AD319" s="41"/>
      <c r="AE319" s="41"/>
      <c r="AF319" s="88"/>
    </row>
    <row r="320" spans="2:32" ht="17.25" customHeight="1">
      <c r="B320" s="75">
        <v>235</v>
      </c>
      <c r="C320" s="816"/>
      <c r="D320" s="792"/>
      <c r="E320" s="76" t="s">
        <v>10</v>
      </c>
      <c r="F320" s="77" t="str">
        <f t="shared" si="10"/>
        <v>IB110EB</v>
      </c>
      <c r="G320" s="83"/>
      <c r="H320" s="84"/>
      <c r="I320" s="84"/>
      <c r="J320" s="85"/>
      <c r="K320" s="42"/>
      <c r="L320" s="110"/>
      <c r="M320" s="622"/>
      <c r="N320" s="76" t="s">
        <v>11</v>
      </c>
      <c r="O320" s="82" t="str">
        <f t="shared" si="11"/>
        <v>OB110EB</v>
      </c>
      <c r="P320" s="89"/>
      <c r="Q320" s="90"/>
      <c r="R320" s="90"/>
      <c r="S320" s="91"/>
      <c r="T320" s="590"/>
      <c r="U320" s="86"/>
      <c r="V320" s="876"/>
      <c r="W320" s="770"/>
      <c r="X320" s="41"/>
      <c r="Y320" s="41"/>
      <c r="Z320" s="41"/>
      <c r="AA320" s="41"/>
      <c r="AB320" s="41"/>
      <c r="AC320" s="88"/>
      <c r="AD320" s="41"/>
      <c r="AE320" s="41"/>
      <c r="AF320" s="88"/>
    </row>
    <row r="321" spans="2:32" ht="17.25" customHeight="1">
      <c r="B321" s="75">
        <v>236</v>
      </c>
      <c r="C321" s="816"/>
      <c r="D321" s="792"/>
      <c r="E321" s="76" t="s">
        <v>10</v>
      </c>
      <c r="F321" s="77" t="str">
        <f t="shared" si="10"/>
        <v>IB110EC</v>
      </c>
      <c r="G321" s="83"/>
      <c r="H321" s="84"/>
      <c r="I321" s="84"/>
      <c r="J321" s="85"/>
      <c r="K321" s="42"/>
      <c r="L321" s="110"/>
      <c r="M321" s="622"/>
      <c r="N321" s="76" t="s">
        <v>11</v>
      </c>
      <c r="O321" s="82" t="str">
        <f t="shared" si="11"/>
        <v>OB110EC</v>
      </c>
      <c r="P321" s="89"/>
      <c r="Q321" s="90"/>
      <c r="R321" s="90"/>
      <c r="S321" s="91"/>
      <c r="T321" s="590"/>
      <c r="U321" s="86"/>
      <c r="V321" s="876"/>
      <c r="W321" s="770"/>
      <c r="X321" s="41"/>
      <c r="Y321" s="41"/>
      <c r="Z321" s="41"/>
      <c r="AA321" s="41"/>
      <c r="AB321" s="41"/>
      <c r="AC321" s="88"/>
      <c r="AD321" s="41"/>
      <c r="AE321" s="41"/>
      <c r="AF321" s="88"/>
    </row>
    <row r="322" spans="2:32" ht="17.25" customHeight="1">
      <c r="B322" s="75">
        <v>237</v>
      </c>
      <c r="C322" s="816"/>
      <c r="D322" s="792"/>
      <c r="E322" s="76" t="s">
        <v>10</v>
      </c>
      <c r="F322" s="77" t="str">
        <f t="shared" si="10"/>
        <v>IB110ED</v>
      </c>
      <c r="G322" s="83"/>
      <c r="H322" s="84"/>
      <c r="I322" s="84"/>
      <c r="J322" s="85"/>
      <c r="K322" s="42"/>
      <c r="L322" s="110"/>
      <c r="M322" s="622"/>
      <c r="N322" s="76" t="s">
        <v>11</v>
      </c>
      <c r="O322" s="82" t="str">
        <f t="shared" si="11"/>
        <v>OB110ED</v>
      </c>
      <c r="P322" s="89"/>
      <c r="Q322" s="90"/>
      <c r="R322" s="90"/>
      <c r="S322" s="91"/>
      <c r="T322" s="590"/>
      <c r="U322" s="113"/>
      <c r="V322" s="876"/>
      <c r="W322" s="770"/>
      <c r="X322" s="41"/>
      <c r="Y322" s="41"/>
      <c r="Z322" s="41"/>
      <c r="AA322" s="41"/>
      <c r="AB322" s="41"/>
      <c r="AC322" s="88"/>
      <c r="AD322" s="41"/>
      <c r="AE322" s="41"/>
      <c r="AF322" s="88"/>
    </row>
    <row r="323" spans="2:32" ht="17.25" customHeight="1">
      <c r="B323" s="75">
        <v>238</v>
      </c>
      <c r="C323" s="816"/>
      <c r="D323" s="792"/>
      <c r="E323" s="76" t="s">
        <v>10</v>
      </c>
      <c r="F323" s="77" t="str">
        <f t="shared" si="10"/>
        <v>IB110EE</v>
      </c>
      <c r="G323" s="83"/>
      <c r="H323" s="84"/>
      <c r="I323" s="84"/>
      <c r="J323" s="85"/>
      <c r="K323" s="42"/>
      <c r="L323" s="110"/>
      <c r="M323" s="622"/>
      <c r="N323" s="76" t="s">
        <v>11</v>
      </c>
      <c r="O323" s="82" t="str">
        <f t="shared" si="11"/>
        <v>OB110EE</v>
      </c>
      <c r="P323" s="89"/>
      <c r="Q323" s="90"/>
      <c r="R323" s="90"/>
      <c r="S323" s="91"/>
      <c r="T323" s="590"/>
      <c r="U323" s="113"/>
      <c r="V323" s="876"/>
      <c r="W323" s="770"/>
      <c r="X323" s="41"/>
      <c r="Y323" s="41"/>
      <c r="Z323" s="41"/>
      <c r="AA323" s="41"/>
      <c r="AB323" s="41"/>
      <c r="AC323" s="88"/>
      <c r="AD323" s="41"/>
      <c r="AE323" s="41"/>
      <c r="AF323" s="88"/>
    </row>
    <row r="324" spans="2:32" ht="17.25" customHeight="1">
      <c r="B324" s="75">
        <v>239</v>
      </c>
      <c r="C324" s="817"/>
      <c r="D324" s="833"/>
      <c r="E324" s="76" t="s">
        <v>10</v>
      </c>
      <c r="F324" s="77" t="str">
        <f t="shared" si="10"/>
        <v>IB110EF</v>
      </c>
      <c r="G324" s="314"/>
      <c r="H324" s="315"/>
      <c r="I324" s="315"/>
      <c r="J324" s="316"/>
      <c r="K324" s="42"/>
      <c r="L324" s="110"/>
      <c r="M324" s="622"/>
      <c r="N324" s="76" t="s">
        <v>11</v>
      </c>
      <c r="O324" s="82" t="str">
        <f t="shared" si="11"/>
        <v>OB110EF</v>
      </c>
      <c r="P324" s="569" t="s">
        <v>574</v>
      </c>
      <c r="Q324" s="101"/>
      <c r="R324" s="101"/>
      <c r="S324" s="92"/>
      <c r="T324" s="590" t="s">
        <v>1513</v>
      </c>
      <c r="U324" s="86"/>
      <c r="V324" s="876"/>
      <c r="W324" s="770"/>
      <c r="X324" s="41"/>
      <c r="Y324" s="41"/>
      <c r="Z324" s="41"/>
      <c r="AA324" s="41"/>
      <c r="AB324" s="41"/>
      <c r="AC324" s="88"/>
      <c r="AD324" s="41"/>
      <c r="AE324" s="41"/>
      <c r="AF324" s="88"/>
    </row>
    <row r="325" spans="2:32" ht="17.25" customHeight="1">
      <c r="B325" s="75">
        <v>240</v>
      </c>
      <c r="C325" s="822" t="s">
        <v>41</v>
      </c>
      <c r="D325" s="835" t="s">
        <v>69</v>
      </c>
      <c r="E325" s="76" t="s">
        <v>10</v>
      </c>
      <c r="F325" s="77" t="str">
        <f t="shared" si="10"/>
        <v>IB110F0</v>
      </c>
      <c r="G325" s="302" t="s">
        <v>496</v>
      </c>
      <c r="H325" s="303"/>
      <c r="I325" s="303"/>
      <c r="J325" s="304"/>
      <c r="K325" s="42" t="s">
        <v>1513</v>
      </c>
      <c r="L325" s="81"/>
      <c r="M325" s="590"/>
      <c r="N325" s="76" t="s">
        <v>11</v>
      </c>
      <c r="O325" s="82" t="str">
        <f t="shared" si="11"/>
        <v>OB110F0</v>
      </c>
      <c r="P325" s="83"/>
      <c r="Q325" s="84"/>
      <c r="R325" s="84"/>
      <c r="S325" s="85"/>
      <c r="T325" s="590"/>
      <c r="U325" s="86"/>
      <c r="V325" s="876"/>
      <c r="W325" s="770"/>
      <c r="X325" s="40"/>
      <c r="Y325" s="41"/>
      <c r="Z325" s="41"/>
      <c r="AA325" s="41"/>
      <c r="AB325" s="41"/>
      <c r="AC325" s="88"/>
      <c r="AD325" s="41"/>
      <c r="AE325" s="41"/>
      <c r="AF325" s="88"/>
    </row>
    <row r="326" spans="2:32" ht="17.25" customHeight="1">
      <c r="B326" s="75">
        <v>241</v>
      </c>
      <c r="C326" s="823"/>
      <c r="D326" s="792"/>
      <c r="E326" s="76" t="s">
        <v>10</v>
      </c>
      <c r="F326" s="77" t="str">
        <f t="shared" si="10"/>
        <v>IB110F1</v>
      </c>
      <c r="G326" s="302" t="s">
        <v>497</v>
      </c>
      <c r="H326" s="303"/>
      <c r="I326" s="303"/>
      <c r="J326" s="304"/>
      <c r="K326" s="42" t="s">
        <v>1513</v>
      </c>
      <c r="L326" s="81"/>
      <c r="M326" s="590"/>
      <c r="N326" s="76" t="s">
        <v>11</v>
      </c>
      <c r="O326" s="82" t="str">
        <f t="shared" si="11"/>
        <v>OB110F1</v>
      </c>
      <c r="P326" s="83"/>
      <c r="Q326" s="84"/>
      <c r="R326" s="84"/>
      <c r="S326" s="85"/>
      <c r="T326" s="590"/>
      <c r="U326" s="86"/>
      <c r="V326" s="876"/>
      <c r="W326" s="770"/>
      <c r="X326" s="40"/>
      <c r="Y326" s="41"/>
      <c r="Z326" s="41"/>
      <c r="AA326" s="41"/>
      <c r="AB326" s="41"/>
      <c r="AC326" s="88"/>
      <c r="AD326" s="41"/>
      <c r="AE326" s="41"/>
      <c r="AF326" s="88"/>
    </row>
    <row r="327" spans="2:32" ht="17.25" customHeight="1">
      <c r="B327" s="75">
        <v>242</v>
      </c>
      <c r="C327" s="823"/>
      <c r="D327" s="792"/>
      <c r="E327" s="76" t="s">
        <v>10</v>
      </c>
      <c r="F327" s="77" t="str">
        <f t="shared" si="10"/>
        <v>IB110F2</v>
      </c>
      <c r="G327" s="302" t="s">
        <v>498</v>
      </c>
      <c r="H327" s="303"/>
      <c r="I327" s="303"/>
      <c r="J327" s="304"/>
      <c r="K327" s="42" t="s">
        <v>1513</v>
      </c>
      <c r="L327" s="81"/>
      <c r="M327" s="590"/>
      <c r="N327" s="76" t="s">
        <v>11</v>
      </c>
      <c r="O327" s="82" t="str">
        <f t="shared" si="11"/>
        <v>OB110F2</v>
      </c>
      <c r="P327" s="83"/>
      <c r="Q327" s="84"/>
      <c r="R327" s="84"/>
      <c r="S327" s="85"/>
      <c r="T327" s="590"/>
      <c r="U327" s="86"/>
      <c r="V327" s="876"/>
      <c r="W327" s="770"/>
      <c r="X327" s="40"/>
      <c r="Y327" s="41"/>
      <c r="Z327" s="41"/>
      <c r="AA327" s="41"/>
      <c r="AB327" s="41"/>
      <c r="AC327" s="88"/>
      <c r="AD327" s="41"/>
      <c r="AE327" s="41"/>
      <c r="AF327" s="88"/>
    </row>
    <row r="328" spans="2:32" ht="17.25" customHeight="1">
      <c r="B328" s="75">
        <v>243</v>
      </c>
      <c r="C328" s="823"/>
      <c r="D328" s="792"/>
      <c r="E328" s="76" t="s">
        <v>10</v>
      </c>
      <c r="F328" s="77" t="str">
        <f t="shared" si="10"/>
        <v>IB110F3</v>
      </c>
      <c r="G328" s="302" t="s">
        <v>499</v>
      </c>
      <c r="H328" s="303"/>
      <c r="I328" s="303"/>
      <c r="J328" s="304"/>
      <c r="K328" s="42" t="s">
        <v>1513</v>
      </c>
      <c r="L328" s="81"/>
      <c r="M328" s="590"/>
      <c r="N328" s="76" t="s">
        <v>11</v>
      </c>
      <c r="O328" s="82" t="str">
        <f t="shared" si="11"/>
        <v>OB110F3</v>
      </c>
      <c r="P328" s="83"/>
      <c r="Q328" s="84"/>
      <c r="R328" s="84"/>
      <c r="S328" s="85"/>
      <c r="T328" s="590"/>
      <c r="U328" s="86"/>
      <c r="V328" s="876"/>
      <c r="W328" s="770"/>
      <c r="X328" s="40"/>
      <c r="Y328" s="41"/>
      <c r="Z328" s="41"/>
      <c r="AA328" s="41"/>
      <c r="AB328" s="41"/>
      <c r="AC328" s="88"/>
      <c r="AD328" s="41"/>
      <c r="AE328" s="41"/>
      <c r="AF328" s="88"/>
    </row>
    <row r="329" spans="2:32" ht="17.25" customHeight="1">
      <c r="B329" s="75">
        <v>244</v>
      </c>
      <c r="C329" s="823"/>
      <c r="D329" s="792"/>
      <c r="E329" s="76" t="s">
        <v>10</v>
      </c>
      <c r="F329" s="77" t="str">
        <f t="shared" si="10"/>
        <v>IB110F4</v>
      </c>
      <c r="G329" s="302" t="s">
        <v>500</v>
      </c>
      <c r="H329" s="303"/>
      <c r="I329" s="303"/>
      <c r="J329" s="304"/>
      <c r="K329" s="42" t="s">
        <v>1513</v>
      </c>
      <c r="L329" s="81"/>
      <c r="M329" s="590"/>
      <c r="N329" s="76" t="s">
        <v>11</v>
      </c>
      <c r="O329" s="82" t="str">
        <f t="shared" si="11"/>
        <v>OB110F4</v>
      </c>
      <c r="P329" s="83"/>
      <c r="Q329" s="84"/>
      <c r="R329" s="84"/>
      <c r="S329" s="85"/>
      <c r="T329" s="590"/>
      <c r="U329" s="86"/>
      <c r="V329" s="876"/>
      <c r="W329" s="770"/>
      <c r="X329" s="114"/>
      <c r="Y329" s="41"/>
      <c r="Z329" s="41"/>
      <c r="AA329" s="41"/>
      <c r="AB329" s="41"/>
      <c r="AC329" s="88"/>
      <c r="AD329" s="41"/>
      <c r="AE329" s="41"/>
      <c r="AF329" s="88"/>
    </row>
    <row r="330" spans="2:32" ht="17.25" customHeight="1">
      <c r="B330" s="75">
        <v>245</v>
      </c>
      <c r="C330" s="823"/>
      <c r="D330" s="792"/>
      <c r="E330" s="76" t="s">
        <v>10</v>
      </c>
      <c r="F330" s="77" t="str">
        <f t="shared" si="10"/>
        <v>IB110F5</v>
      </c>
      <c r="G330" s="302" t="s">
        <v>501</v>
      </c>
      <c r="H330" s="303"/>
      <c r="I330" s="303"/>
      <c r="J330" s="304"/>
      <c r="K330" s="42" t="s">
        <v>1513</v>
      </c>
      <c r="L330" s="81"/>
      <c r="M330" s="590"/>
      <c r="N330" s="76" t="s">
        <v>11</v>
      </c>
      <c r="O330" s="82" t="str">
        <f t="shared" si="11"/>
        <v>OB110F5</v>
      </c>
      <c r="P330" s="83"/>
      <c r="Q330" s="84"/>
      <c r="R330" s="84"/>
      <c r="S330" s="85"/>
      <c r="T330" s="590"/>
      <c r="U330" s="86"/>
      <c r="V330" s="876"/>
      <c r="W330" s="770"/>
      <c r="X330" s="114"/>
      <c r="Y330" s="41"/>
      <c r="Z330" s="41"/>
      <c r="AA330" s="41"/>
      <c r="AB330" s="41"/>
      <c r="AC330" s="88"/>
      <c r="AD330" s="41"/>
      <c r="AE330" s="41"/>
      <c r="AF330" s="88"/>
    </row>
    <row r="331" spans="2:32" ht="17.25" customHeight="1">
      <c r="B331" s="75">
        <v>246</v>
      </c>
      <c r="C331" s="823"/>
      <c r="D331" s="792"/>
      <c r="E331" s="76" t="s">
        <v>10</v>
      </c>
      <c r="F331" s="77" t="str">
        <f t="shared" si="10"/>
        <v>IB110F6</v>
      </c>
      <c r="G331" s="302" t="s">
        <v>502</v>
      </c>
      <c r="H331" s="303"/>
      <c r="I331" s="303"/>
      <c r="J331" s="304"/>
      <c r="K331" s="42" t="s">
        <v>1513</v>
      </c>
      <c r="L331" s="81"/>
      <c r="M331" s="590"/>
      <c r="N331" s="76" t="s">
        <v>11</v>
      </c>
      <c r="O331" s="82" t="str">
        <f t="shared" si="11"/>
        <v>OB110F6</v>
      </c>
      <c r="P331" s="83"/>
      <c r="Q331" s="84"/>
      <c r="R331" s="84"/>
      <c r="S331" s="85"/>
      <c r="T331" s="590"/>
      <c r="U331" s="86"/>
      <c r="V331" s="876"/>
      <c r="W331" s="770"/>
      <c r="X331" s="114"/>
      <c r="Y331" s="41"/>
      <c r="Z331" s="41"/>
      <c r="AA331" s="41"/>
      <c r="AB331" s="41"/>
      <c r="AC331" s="88"/>
      <c r="AD331" s="41"/>
      <c r="AE331" s="41"/>
      <c r="AF331" s="88"/>
    </row>
    <row r="332" spans="2:32" ht="17.25" customHeight="1">
      <c r="B332" s="75">
        <v>247</v>
      </c>
      <c r="C332" s="823"/>
      <c r="D332" s="792"/>
      <c r="E332" s="76" t="s">
        <v>10</v>
      </c>
      <c r="F332" s="77" t="str">
        <f t="shared" si="10"/>
        <v>IB110F7</v>
      </c>
      <c r="G332" s="302" t="s">
        <v>503</v>
      </c>
      <c r="H332" s="303"/>
      <c r="I332" s="303"/>
      <c r="J332" s="304"/>
      <c r="K332" s="42" t="s">
        <v>1513</v>
      </c>
      <c r="L332" s="81"/>
      <c r="M332" s="590"/>
      <c r="N332" s="76" t="s">
        <v>11</v>
      </c>
      <c r="O332" s="82" t="str">
        <f t="shared" si="11"/>
        <v>OB110F7</v>
      </c>
      <c r="P332" s="83"/>
      <c r="Q332" s="84"/>
      <c r="R332" s="84"/>
      <c r="S332" s="85"/>
      <c r="T332" s="590"/>
      <c r="U332" s="86"/>
      <c r="V332" s="876"/>
      <c r="W332" s="770"/>
      <c r="X332" s="114"/>
      <c r="Y332" s="41"/>
      <c r="Z332" s="41"/>
      <c r="AA332" s="41"/>
      <c r="AB332" s="41"/>
      <c r="AC332" s="88"/>
      <c r="AD332" s="41"/>
      <c r="AE332" s="41"/>
      <c r="AF332" s="88"/>
    </row>
    <row r="333" spans="2:32" ht="17.25" customHeight="1">
      <c r="B333" s="75">
        <v>248</v>
      </c>
      <c r="C333" s="823"/>
      <c r="D333" s="792"/>
      <c r="E333" s="76" t="s">
        <v>10</v>
      </c>
      <c r="F333" s="77" t="str">
        <f t="shared" si="10"/>
        <v>IB110F8</v>
      </c>
      <c r="G333" s="323"/>
      <c r="H333" s="324"/>
      <c r="I333" s="324"/>
      <c r="J333" s="325"/>
      <c r="K333" s="42"/>
      <c r="L333" s="561"/>
      <c r="M333" s="624"/>
      <c r="N333" s="76" t="s">
        <v>11</v>
      </c>
      <c r="O333" s="82" t="str">
        <f t="shared" si="11"/>
        <v>OB110F8</v>
      </c>
      <c r="P333" s="83"/>
      <c r="Q333" s="84"/>
      <c r="R333" s="84"/>
      <c r="S333" s="85"/>
      <c r="T333" s="590"/>
      <c r="U333" s="86"/>
      <c r="V333" s="876"/>
      <c r="W333" s="770"/>
      <c r="X333" s="114"/>
      <c r="Y333" s="41"/>
      <c r="Z333" s="41"/>
      <c r="AA333" s="41"/>
      <c r="AB333" s="41"/>
      <c r="AC333" s="88"/>
      <c r="AD333" s="41"/>
      <c r="AE333" s="41"/>
      <c r="AF333" s="88"/>
    </row>
    <row r="334" spans="2:32" ht="17.25" customHeight="1">
      <c r="B334" s="75">
        <v>249</v>
      </c>
      <c r="C334" s="823"/>
      <c r="D334" s="792"/>
      <c r="E334" s="76" t="s">
        <v>10</v>
      </c>
      <c r="F334" s="77" t="str">
        <f t="shared" si="10"/>
        <v>IB110F9</v>
      </c>
      <c r="G334" s="569" t="s">
        <v>576</v>
      </c>
      <c r="H334" s="324"/>
      <c r="I334" s="324"/>
      <c r="J334" s="325"/>
      <c r="K334" s="42" t="s">
        <v>1513</v>
      </c>
      <c r="L334" s="561"/>
      <c r="M334" s="624"/>
      <c r="N334" s="76" t="s">
        <v>11</v>
      </c>
      <c r="O334" s="82" t="str">
        <f t="shared" si="11"/>
        <v>OB110F9</v>
      </c>
      <c r="P334" s="83"/>
      <c r="Q334" s="84"/>
      <c r="R334" s="84"/>
      <c r="S334" s="85"/>
      <c r="T334" s="590"/>
      <c r="U334" s="86"/>
      <c r="V334" s="876"/>
      <c r="W334" s="770"/>
      <c r="X334" s="114"/>
      <c r="Y334" s="41"/>
      <c r="Z334" s="41"/>
      <c r="AA334" s="41"/>
      <c r="AB334" s="41"/>
      <c r="AC334" s="88"/>
      <c r="AD334" s="41"/>
      <c r="AE334" s="41"/>
      <c r="AF334" s="88"/>
    </row>
    <row r="335" spans="2:32" ht="17.25" customHeight="1">
      <c r="B335" s="75">
        <v>250</v>
      </c>
      <c r="C335" s="823"/>
      <c r="D335" s="792"/>
      <c r="E335" s="76" t="s">
        <v>10</v>
      </c>
      <c r="F335" s="77" t="str">
        <f t="shared" si="10"/>
        <v>IB110FA</v>
      </c>
      <c r="G335" s="323"/>
      <c r="H335" s="324"/>
      <c r="I335" s="324"/>
      <c r="J335" s="325"/>
      <c r="K335" s="42"/>
      <c r="L335" s="561"/>
      <c r="M335" s="624"/>
      <c r="N335" s="76" t="s">
        <v>11</v>
      </c>
      <c r="O335" s="82" t="str">
        <f t="shared" si="11"/>
        <v>OB110FA</v>
      </c>
      <c r="P335" s="83"/>
      <c r="Q335" s="84"/>
      <c r="R335" s="84"/>
      <c r="S335" s="85"/>
      <c r="T335" s="590"/>
      <c r="U335" s="86"/>
      <c r="V335" s="876"/>
      <c r="W335" s="770"/>
      <c r="X335" s="114"/>
      <c r="Y335" s="41"/>
      <c r="Z335" s="41"/>
      <c r="AA335" s="41"/>
      <c r="AB335" s="41"/>
      <c r="AC335" s="88"/>
      <c r="AD335" s="41"/>
      <c r="AE335" s="41"/>
      <c r="AF335" s="88"/>
    </row>
    <row r="336" spans="2:32" ht="17.25" customHeight="1">
      <c r="B336" s="75">
        <v>251</v>
      </c>
      <c r="C336" s="823"/>
      <c r="D336" s="792"/>
      <c r="E336" s="76" t="s">
        <v>10</v>
      </c>
      <c r="F336" s="77" t="str">
        <f t="shared" si="10"/>
        <v>IB110FB</v>
      </c>
      <c r="G336" s="302" t="s">
        <v>1522</v>
      </c>
      <c r="H336" s="324"/>
      <c r="I336" s="324"/>
      <c r="J336" s="325"/>
      <c r="K336" s="42" t="s">
        <v>1533</v>
      </c>
      <c r="L336" s="81" t="s">
        <v>1513</v>
      </c>
      <c r="M336" s="590" t="s">
        <v>1541</v>
      </c>
      <c r="N336" s="76" t="s">
        <v>11</v>
      </c>
      <c r="O336" s="82" t="str">
        <f t="shared" si="11"/>
        <v>OB110FB</v>
      </c>
      <c r="P336" s="83"/>
      <c r="Q336" s="84"/>
      <c r="R336" s="84"/>
      <c r="S336" s="85"/>
      <c r="T336" s="590"/>
      <c r="U336" s="86"/>
      <c r="V336" s="876"/>
      <c r="W336" s="770"/>
      <c r="X336" s="114"/>
      <c r="Y336" s="41"/>
      <c r="Z336" s="41"/>
      <c r="AA336" s="41"/>
      <c r="AB336" s="41"/>
      <c r="AC336" s="88"/>
      <c r="AD336" s="41"/>
      <c r="AE336" s="41"/>
      <c r="AF336" s="88"/>
    </row>
    <row r="337" spans="2:32" ht="17.25" customHeight="1">
      <c r="B337" s="75">
        <v>252</v>
      </c>
      <c r="C337" s="823"/>
      <c r="D337" s="792"/>
      <c r="E337" s="76" t="s">
        <v>10</v>
      </c>
      <c r="F337" s="77" t="str">
        <f t="shared" si="10"/>
        <v>IB110FC</v>
      </c>
      <c r="G337" s="302" t="s">
        <v>1523</v>
      </c>
      <c r="H337" s="548"/>
      <c r="I337" s="548"/>
      <c r="J337" s="549"/>
      <c r="K337" s="42" t="s">
        <v>1533</v>
      </c>
      <c r="L337" s="81" t="s">
        <v>1513</v>
      </c>
      <c r="M337" s="590" t="s">
        <v>1541</v>
      </c>
      <c r="N337" s="76" t="s">
        <v>11</v>
      </c>
      <c r="O337" s="82" t="str">
        <f t="shared" si="11"/>
        <v>OB110FC</v>
      </c>
      <c r="P337" s="83"/>
      <c r="Q337" s="84"/>
      <c r="R337" s="84"/>
      <c r="S337" s="85"/>
      <c r="T337" s="590"/>
      <c r="U337" s="86"/>
      <c r="V337" s="876"/>
      <c r="W337" s="770"/>
      <c r="X337" s="114"/>
      <c r="Y337" s="41"/>
      <c r="Z337" s="41"/>
      <c r="AA337" s="41"/>
      <c r="AB337" s="41"/>
      <c r="AC337" s="88"/>
      <c r="AD337" s="41"/>
      <c r="AE337" s="41"/>
      <c r="AF337" s="88"/>
    </row>
    <row r="338" spans="2:32" ht="17.25" customHeight="1">
      <c r="B338" s="75">
        <v>253</v>
      </c>
      <c r="C338" s="823"/>
      <c r="D338" s="792"/>
      <c r="E338" s="76" t="s">
        <v>10</v>
      </c>
      <c r="F338" s="77" t="str">
        <f t="shared" si="10"/>
        <v>IB110FD</v>
      </c>
      <c r="G338" s="302" t="s">
        <v>1537</v>
      </c>
      <c r="H338" s="548"/>
      <c r="I338" s="548"/>
      <c r="J338" s="549"/>
      <c r="K338" s="42" t="s">
        <v>1533</v>
      </c>
      <c r="L338" s="81" t="s">
        <v>1513</v>
      </c>
      <c r="M338" s="590" t="s">
        <v>1541</v>
      </c>
      <c r="N338" s="76" t="s">
        <v>11</v>
      </c>
      <c r="O338" s="82" t="str">
        <f t="shared" si="11"/>
        <v>OB110FD</v>
      </c>
      <c r="P338" s="83"/>
      <c r="Q338" s="84"/>
      <c r="R338" s="84"/>
      <c r="S338" s="85"/>
      <c r="T338" s="590"/>
      <c r="U338" s="86"/>
      <c r="V338" s="876"/>
      <c r="W338" s="770"/>
      <c r="X338" s="114"/>
      <c r="Y338" s="41"/>
      <c r="Z338" s="41"/>
      <c r="AA338" s="41"/>
      <c r="AB338" s="41"/>
      <c r="AC338" s="88"/>
      <c r="AD338" s="41"/>
      <c r="AE338" s="41"/>
      <c r="AF338" s="88"/>
    </row>
    <row r="339" spans="2:32" ht="17.25" customHeight="1">
      <c r="B339" s="75">
        <v>254</v>
      </c>
      <c r="C339" s="823"/>
      <c r="D339" s="792"/>
      <c r="E339" s="76" t="s">
        <v>10</v>
      </c>
      <c r="F339" s="77" t="str">
        <f t="shared" si="10"/>
        <v>IB110FE</v>
      </c>
      <c r="G339" s="302" t="s">
        <v>1524</v>
      </c>
      <c r="H339" s="98"/>
      <c r="I339" s="98"/>
      <c r="J339" s="99"/>
      <c r="K339" s="42" t="s">
        <v>1533</v>
      </c>
      <c r="L339" s="81" t="s">
        <v>1513</v>
      </c>
      <c r="M339" s="590" t="s">
        <v>1541</v>
      </c>
      <c r="N339" s="76" t="s">
        <v>11</v>
      </c>
      <c r="O339" s="82" t="str">
        <f t="shared" si="11"/>
        <v>OB110FE</v>
      </c>
      <c r="P339" s="83"/>
      <c r="Q339" s="84"/>
      <c r="R339" s="84"/>
      <c r="S339" s="85"/>
      <c r="T339" s="590"/>
      <c r="U339" s="86"/>
      <c r="V339" s="876"/>
      <c r="W339" s="770"/>
      <c r="X339" s="114"/>
      <c r="Y339" s="41"/>
      <c r="Z339" s="41"/>
      <c r="AA339" s="41"/>
      <c r="AB339" s="41"/>
      <c r="AC339" s="88"/>
      <c r="AD339" s="41"/>
      <c r="AE339" s="41"/>
      <c r="AF339" s="88"/>
    </row>
    <row r="340" spans="2:32" ht="17.25" customHeight="1" thickBot="1">
      <c r="B340" s="115">
        <v>255</v>
      </c>
      <c r="C340" s="834"/>
      <c r="D340" s="793"/>
      <c r="E340" s="116" t="s">
        <v>10</v>
      </c>
      <c r="F340" s="77" t="str">
        <f t="shared" si="10"/>
        <v>IB110FF</v>
      </c>
      <c r="G340" s="302" t="s">
        <v>1539</v>
      </c>
      <c r="H340" s="546"/>
      <c r="I340" s="546"/>
      <c r="J340" s="547"/>
      <c r="K340" s="42" t="s">
        <v>1533</v>
      </c>
      <c r="L340" s="81" t="s">
        <v>1513</v>
      </c>
      <c r="M340" s="590" t="s">
        <v>1541</v>
      </c>
      <c r="N340" s="76" t="s">
        <v>11</v>
      </c>
      <c r="O340" s="82" t="str">
        <f t="shared" si="11"/>
        <v>OB110FF</v>
      </c>
      <c r="P340" s="320"/>
      <c r="Q340" s="321"/>
      <c r="R340" s="321"/>
      <c r="S340" s="322"/>
      <c r="T340" s="599"/>
      <c r="U340" s="117"/>
      <c r="V340" s="884"/>
      <c r="W340" s="873"/>
      <c r="X340" s="118"/>
      <c r="Y340" s="41"/>
      <c r="Z340" s="50"/>
      <c r="AA340" s="50"/>
      <c r="AB340" s="50"/>
      <c r="AC340" s="119"/>
      <c r="AD340" s="50"/>
      <c r="AE340" s="50"/>
      <c r="AF340" s="119"/>
    </row>
    <row r="341" spans="2:32" ht="17.25" customHeight="1">
      <c r="B341" s="28"/>
      <c r="C341" s="120"/>
      <c r="D341" s="120"/>
      <c r="E341" s="121"/>
      <c r="F341" s="122"/>
      <c r="G341" s="123"/>
      <c r="H341" s="123"/>
      <c r="I341" s="123"/>
      <c r="J341" s="123"/>
      <c r="K341" s="165"/>
      <c r="L341" s="124"/>
      <c r="M341" s="123"/>
      <c r="N341" s="123"/>
      <c r="O341" s="123"/>
      <c r="P341" s="125"/>
      <c r="Q341" s="125"/>
      <c r="R341" s="125"/>
      <c r="S341" s="125"/>
      <c r="T341" s="125"/>
      <c r="U341" s="126"/>
      <c r="V341" s="127"/>
      <c r="W341" s="127"/>
      <c r="X341" s="122"/>
      <c r="Y341" s="28"/>
      <c r="Z341" s="28"/>
      <c r="AA341" s="28"/>
      <c r="AB341" s="28"/>
      <c r="AC341" s="128"/>
      <c r="AD341" s="28"/>
      <c r="AE341" s="28"/>
      <c r="AF341" s="128"/>
    </row>
    <row r="342" spans="2:32" ht="17.25" customHeight="1" thickBot="1">
      <c r="B342" s="71"/>
      <c r="C342" s="64"/>
      <c r="D342" s="64"/>
      <c r="E342" s="65"/>
      <c r="F342" s="129"/>
      <c r="G342" s="130"/>
      <c r="H342" s="130"/>
      <c r="I342" s="130"/>
      <c r="J342" s="130"/>
      <c r="K342" s="168"/>
      <c r="L342" s="131"/>
      <c r="M342" s="130"/>
      <c r="N342" s="130"/>
      <c r="O342" s="130"/>
      <c r="P342" s="132"/>
      <c r="Q342" s="132"/>
      <c r="R342" s="132"/>
      <c r="S342" s="132"/>
      <c r="T342" s="132"/>
      <c r="U342" s="133"/>
      <c r="V342" s="134"/>
      <c r="W342" s="134"/>
      <c r="X342" s="129"/>
      <c r="Y342" s="71"/>
      <c r="Z342" s="71"/>
      <c r="AA342" s="71"/>
      <c r="AB342" s="71"/>
      <c r="AC342" s="135"/>
      <c r="AD342" s="71"/>
      <c r="AE342" s="71"/>
      <c r="AF342" s="135"/>
    </row>
    <row r="343" spans="2:32" ht="16.5" customHeight="1">
      <c r="B343" s="779" t="s">
        <v>0</v>
      </c>
      <c r="C343" s="781" t="s">
        <v>4</v>
      </c>
      <c r="D343" s="781" t="s">
        <v>5</v>
      </c>
      <c r="E343" s="783" t="s">
        <v>90</v>
      </c>
      <c r="F343" s="783" t="s">
        <v>6</v>
      </c>
      <c r="G343" s="785" t="s">
        <v>7</v>
      </c>
      <c r="H343" s="786"/>
      <c r="I343" s="786"/>
      <c r="J343" s="787"/>
      <c r="K343" s="783"/>
      <c r="L343" s="27"/>
      <c r="M343" s="615"/>
      <c r="N343" s="783" t="s">
        <v>90</v>
      </c>
      <c r="O343" s="783" t="s">
        <v>6</v>
      </c>
      <c r="P343" s="785" t="s">
        <v>21</v>
      </c>
      <c r="Q343" s="786"/>
      <c r="R343" s="786"/>
      <c r="S343" s="787"/>
      <c r="T343" s="783" t="s">
        <v>1544</v>
      </c>
      <c r="U343" s="72"/>
      <c r="V343" s="862" t="s">
        <v>13</v>
      </c>
      <c r="W343" s="855"/>
      <c r="X343" s="879" t="s">
        <v>96</v>
      </c>
      <c r="Y343" s="880"/>
      <c r="Z343" s="885"/>
      <c r="AA343" s="879" t="s">
        <v>92</v>
      </c>
      <c r="AB343" s="880"/>
      <c r="AC343" s="885"/>
      <c r="AD343" s="879" t="s">
        <v>9</v>
      </c>
      <c r="AE343" s="880"/>
      <c r="AF343" s="881"/>
    </row>
    <row r="344" spans="2:32" ht="17.25" customHeight="1">
      <c r="B344" s="780"/>
      <c r="C344" s="782"/>
      <c r="D344" s="782"/>
      <c r="E344" s="784"/>
      <c r="F344" s="784"/>
      <c r="G344" s="788"/>
      <c r="H344" s="789"/>
      <c r="I344" s="789"/>
      <c r="J344" s="790"/>
      <c r="K344" s="784"/>
      <c r="L344" s="29"/>
      <c r="M344" s="616"/>
      <c r="N344" s="784"/>
      <c r="O344" s="784"/>
      <c r="P344" s="788"/>
      <c r="Q344" s="789"/>
      <c r="R344" s="789"/>
      <c r="S344" s="790"/>
      <c r="T344" s="784"/>
      <c r="U344" s="136"/>
      <c r="V344" s="864"/>
      <c r="W344" s="866"/>
      <c r="X344" s="137" t="s">
        <v>93</v>
      </c>
      <c r="Y344" s="138" t="s">
        <v>94</v>
      </c>
      <c r="Z344" s="138" t="s">
        <v>95</v>
      </c>
      <c r="AA344" s="137" t="s">
        <v>93</v>
      </c>
      <c r="AB344" s="138" t="s">
        <v>94</v>
      </c>
      <c r="AC344" s="138" t="s">
        <v>95</v>
      </c>
      <c r="AD344" s="137" t="s">
        <v>93</v>
      </c>
      <c r="AE344" s="138" t="s">
        <v>94</v>
      </c>
      <c r="AF344" s="139" t="s">
        <v>95</v>
      </c>
    </row>
    <row r="345" spans="2:32" ht="17.25" customHeight="1">
      <c r="B345" s="34">
        <v>0</v>
      </c>
      <c r="C345" s="836" t="s">
        <v>60</v>
      </c>
      <c r="D345" s="838" t="s">
        <v>69</v>
      </c>
      <c r="E345" s="35" t="s">
        <v>10</v>
      </c>
      <c r="F345" s="36" t="str">
        <f>LEFT(F340,1)&amp;DEC2HEX(HEX2DEC(MID(F340,2,LENB(F340)-1))+1,LENB(F340)-1)</f>
        <v>IB11100</v>
      </c>
      <c r="G345" s="743" t="s">
        <v>377</v>
      </c>
      <c r="H345" s="744"/>
      <c r="I345" s="744"/>
      <c r="J345" s="745"/>
      <c r="K345" s="140" t="s">
        <v>1513</v>
      </c>
      <c r="L345" s="141"/>
      <c r="M345" s="140"/>
      <c r="N345" s="35" t="s">
        <v>11</v>
      </c>
      <c r="O345" s="38" t="str">
        <f>LEFT(O340,1)&amp;DEC2HEX(HEX2DEC(MID(O340,2,LENB(O340)-1))+1,LENB(O340)-1)</f>
        <v>OB11100</v>
      </c>
      <c r="P345" s="317"/>
      <c r="Q345" s="318"/>
      <c r="R345" s="318"/>
      <c r="S345" s="319"/>
      <c r="T345" s="140"/>
      <c r="U345" s="142"/>
      <c r="V345" s="882"/>
      <c r="W345" s="883"/>
      <c r="X345" s="36"/>
      <c r="Y345" s="143"/>
      <c r="Z345" s="143"/>
      <c r="AA345" s="143"/>
      <c r="AB345" s="143"/>
      <c r="AC345" s="144"/>
      <c r="AD345" s="143"/>
      <c r="AE345" s="143"/>
      <c r="AF345" s="145"/>
    </row>
    <row r="346" spans="2:32" ht="17.25" customHeight="1">
      <c r="B346" s="34">
        <v>1</v>
      </c>
      <c r="C346" s="823"/>
      <c r="D346" s="792"/>
      <c r="E346" s="35" t="s">
        <v>10</v>
      </c>
      <c r="F346" s="36" t="str">
        <f>LEFT(F345,1)&amp;DEC2HEX(HEX2DEC(MID(F345,2,LENB(F345)-1))+1,LENB(F345)-1)</f>
        <v>IB11101</v>
      </c>
      <c r="G346" s="743" t="s">
        <v>378</v>
      </c>
      <c r="H346" s="744"/>
      <c r="I346" s="744"/>
      <c r="J346" s="745"/>
      <c r="K346" s="140" t="s">
        <v>1513</v>
      </c>
      <c r="L346" s="141"/>
      <c r="M346" s="140"/>
      <c r="N346" s="35" t="s">
        <v>11</v>
      </c>
      <c r="O346" s="38" t="str">
        <f>LEFT(O345,1)&amp;DEC2HEX(HEX2DEC(MID(O345,2,LENB(O345)-1))+1,LENB(O345)-1)</f>
        <v>OB11101</v>
      </c>
      <c r="P346" s="83"/>
      <c r="Q346" s="84"/>
      <c r="R346" s="84"/>
      <c r="S346" s="85"/>
      <c r="T346" s="140"/>
      <c r="U346" s="142"/>
      <c r="V346" s="882"/>
      <c r="W346" s="883"/>
      <c r="X346" s="36"/>
      <c r="Y346" s="143"/>
      <c r="Z346" s="143"/>
      <c r="AA346" s="143"/>
      <c r="AB346" s="143"/>
      <c r="AC346" s="144"/>
      <c r="AD346" s="143"/>
      <c r="AE346" s="143"/>
      <c r="AF346" s="145"/>
    </row>
    <row r="347" spans="2:32" ht="17.25" customHeight="1">
      <c r="B347" s="34">
        <v>2</v>
      </c>
      <c r="C347" s="823"/>
      <c r="D347" s="792"/>
      <c r="E347" s="35" t="s">
        <v>10</v>
      </c>
      <c r="F347" s="36" t="str">
        <f t="shared" ref="F347:F410" si="12">LEFT(F346,1)&amp;DEC2HEX(HEX2DEC(MID(F346,2,LENB(F346)-1))+1,LENB(F346)-1)</f>
        <v>IB11102</v>
      </c>
      <c r="G347" s="743" t="s">
        <v>379</v>
      </c>
      <c r="H347" s="744"/>
      <c r="I347" s="744"/>
      <c r="J347" s="745"/>
      <c r="K347" s="140" t="s">
        <v>1513</v>
      </c>
      <c r="L347" s="141"/>
      <c r="M347" s="140"/>
      <c r="N347" s="35" t="s">
        <v>11</v>
      </c>
      <c r="O347" s="38" t="str">
        <f t="shared" ref="O347:O410" si="13">LEFT(O346,1)&amp;DEC2HEX(HEX2DEC(MID(O346,2,LENB(O346)-1))+1,LENB(O346)-1)</f>
        <v>OB11102</v>
      </c>
      <c r="P347" s="83"/>
      <c r="Q347" s="84"/>
      <c r="R347" s="84"/>
      <c r="S347" s="85"/>
      <c r="T347" s="140"/>
      <c r="U347" s="142"/>
      <c r="V347" s="882"/>
      <c r="W347" s="883"/>
      <c r="X347" s="36"/>
      <c r="Y347" s="143"/>
      <c r="Z347" s="143"/>
      <c r="AA347" s="143"/>
      <c r="AB347" s="143"/>
      <c r="AC347" s="144"/>
      <c r="AD347" s="143"/>
      <c r="AE347" s="143"/>
      <c r="AF347" s="145"/>
    </row>
    <row r="348" spans="2:32" ht="17.25" customHeight="1">
      <c r="B348" s="34">
        <v>3</v>
      </c>
      <c r="C348" s="823"/>
      <c r="D348" s="792"/>
      <c r="E348" s="35" t="s">
        <v>10</v>
      </c>
      <c r="F348" s="36" t="str">
        <f t="shared" si="12"/>
        <v>IB11103</v>
      </c>
      <c r="G348" s="302"/>
      <c r="H348" s="303"/>
      <c r="I348" s="303"/>
      <c r="J348" s="304"/>
      <c r="K348" s="140"/>
      <c r="L348" s="141"/>
      <c r="M348" s="140"/>
      <c r="N348" s="35" t="s">
        <v>11</v>
      </c>
      <c r="O348" s="38" t="str">
        <f t="shared" si="13"/>
        <v>OB11103</v>
      </c>
      <c r="P348" s="83"/>
      <c r="Q348" s="84"/>
      <c r="R348" s="84"/>
      <c r="S348" s="85"/>
      <c r="T348" s="140"/>
      <c r="U348" s="142"/>
      <c r="V348" s="882"/>
      <c r="W348" s="883"/>
      <c r="X348" s="36"/>
      <c r="Y348" s="143"/>
      <c r="Z348" s="143"/>
      <c r="AA348" s="143"/>
      <c r="AB348" s="143"/>
      <c r="AC348" s="144"/>
      <c r="AD348" s="143"/>
      <c r="AE348" s="143"/>
      <c r="AF348" s="145"/>
    </row>
    <row r="349" spans="2:32" ht="17.25" customHeight="1">
      <c r="B349" s="34">
        <v>4</v>
      </c>
      <c r="C349" s="823"/>
      <c r="D349" s="792"/>
      <c r="E349" s="35" t="s">
        <v>10</v>
      </c>
      <c r="F349" s="36" t="str">
        <f t="shared" si="12"/>
        <v>IB11104</v>
      </c>
      <c r="G349" s="743" t="s">
        <v>380</v>
      </c>
      <c r="H349" s="744"/>
      <c r="I349" s="744"/>
      <c r="J349" s="745"/>
      <c r="K349" s="140" t="s">
        <v>1513</v>
      </c>
      <c r="L349" s="141"/>
      <c r="M349" s="140"/>
      <c r="N349" s="35" t="s">
        <v>11</v>
      </c>
      <c r="O349" s="38" t="str">
        <f t="shared" si="13"/>
        <v>OB11104</v>
      </c>
      <c r="P349" s="83"/>
      <c r="Q349" s="84"/>
      <c r="R349" s="84"/>
      <c r="S349" s="85"/>
      <c r="T349" s="140"/>
      <c r="U349" s="142"/>
      <c r="V349" s="882"/>
      <c r="W349" s="883"/>
      <c r="X349" s="36"/>
      <c r="Y349" s="143"/>
      <c r="Z349" s="143"/>
      <c r="AA349" s="143"/>
      <c r="AB349" s="143"/>
      <c r="AC349" s="144"/>
      <c r="AD349" s="143"/>
      <c r="AE349" s="143"/>
      <c r="AF349" s="145"/>
    </row>
    <row r="350" spans="2:32" ht="17.25" customHeight="1">
      <c r="B350" s="34">
        <v>5</v>
      </c>
      <c r="C350" s="823"/>
      <c r="D350" s="792"/>
      <c r="E350" s="35" t="s">
        <v>10</v>
      </c>
      <c r="F350" s="36" t="str">
        <f t="shared" si="12"/>
        <v>IB11105</v>
      </c>
      <c r="G350" s="743" t="s">
        <v>381</v>
      </c>
      <c r="H350" s="744"/>
      <c r="I350" s="744"/>
      <c r="J350" s="745"/>
      <c r="K350" s="140" t="s">
        <v>1513</v>
      </c>
      <c r="L350" s="141"/>
      <c r="M350" s="140"/>
      <c r="N350" s="35" t="s">
        <v>11</v>
      </c>
      <c r="O350" s="38" t="str">
        <f t="shared" si="13"/>
        <v>OB11105</v>
      </c>
      <c r="P350" s="83"/>
      <c r="Q350" s="84"/>
      <c r="R350" s="84"/>
      <c r="S350" s="85"/>
      <c r="T350" s="140"/>
      <c r="U350" s="142"/>
      <c r="V350" s="882"/>
      <c r="W350" s="883"/>
      <c r="X350" s="36"/>
      <c r="Y350" s="143"/>
      <c r="Z350" s="143"/>
      <c r="AA350" s="143"/>
      <c r="AB350" s="143"/>
      <c r="AC350" s="144"/>
      <c r="AD350" s="143"/>
      <c r="AE350" s="143"/>
      <c r="AF350" s="145"/>
    </row>
    <row r="351" spans="2:32" ht="17.25" customHeight="1">
      <c r="B351" s="34">
        <v>6</v>
      </c>
      <c r="C351" s="823"/>
      <c r="D351" s="792"/>
      <c r="E351" s="35" t="s">
        <v>10</v>
      </c>
      <c r="F351" s="36" t="str">
        <f t="shared" si="12"/>
        <v>IB11106</v>
      </c>
      <c r="G351" s="743" t="s">
        <v>382</v>
      </c>
      <c r="H351" s="744"/>
      <c r="I351" s="744"/>
      <c r="J351" s="745"/>
      <c r="K351" s="140" t="s">
        <v>1513</v>
      </c>
      <c r="L351" s="141"/>
      <c r="M351" s="140"/>
      <c r="N351" s="35" t="s">
        <v>11</v>
      </c>
      <c r="O351" s="38" t="str">
        <f t="shared" si="13"/>
        <v>OB11106</v>
      </c>
      <c r="P351" s="83"/>
      <c r="Q351" s="84"/>
      <c r="R351" s="84"/>
      <c r="S351" s="85"/>
      <c r="T351" s="140"/>
      <c r="U351" s="142"/>
      <c r="V351" s="882"/>
      <c r="W351" s="883"/>
      <c r="X351" s="36"/>
      <c r="Y351" s="143"/>
      <c r="Z351" s="143"/>
      <c r="AA351" s="143"/>
      <c r="AB351" s="143"/>
      <c r="AC351" s="144"/>
      <c r="AD351" s="143"/>
      <c r="AE351" s="143"/>
      <c r="AF351" s="145"/>
    </row>
    <row r="352" spans="2:32" ht="17.25" customHeight="1">
      <c r="B352" s="34">
        <v>7</v>
      </c>
      <c r="C352" s="823"/>
      <c r="D352" s="792"/>
      <c r="E352" s="35" t="s">
        <v>10</v>
      </c>
      <c r="F352" s="36" t="str">
        <f t="shared" si="12"/>
        <v>IB11107</v>
      </c>
      <c r="G352" s="743" t="s">
        <v>383</v>
      </c>
      <c r="H352" s="744"/>
      <c r="I352" s="744"/>
      <c r="J352" s="745"/>
      <c r="K352" s="140" t="s">
        <v>1513</v>
      </c>
      <c r="L352" s="141"/>
      <c r="M352" s="140"/>
      <c r="N352" s="35" t="s">
        <v>11</v>
      </c>
      <c r="O352" s="38" t="str">
        <f t="shared" si="13"/>
        <v>OB11107</v>
      </c>
      <c r="P352" s="83"/>
      <c r="Q352" s="84"/>
      <c r="R352" s="84"/>
      <c r="S352" s="85"/>
      <c r="T352" s="140"/>
      <c r="U352" s="142"/>
      <c r="V352" s="882"/>
      <c r="W352" s="883"/>
      <c r="X352" s="36"/>
      <c r="Y352" s="143"/>
      <c r="Z352" s="143"/>
      <c r="AA352" s="143"/>
      <c r="AB352" s="143"/>
      <c r="AC352" s="144"/>
      <c r="AD352" s="143"/>
      <c r="AE352" s="143"/>
      <c r="AF352" s="145"/>
    </row>
    <row r="353" spans="2:32" ht="17.25" customHeight="1">
      <c r="B353" s="34">
        <v>8</v>
      </c>
      <c r="C353" s="823"/>
      <c r="D353" s="792"/>
      <c r="E353" s="35" t="s">
        <v>10</v>
      </c>
      <c r="F353" s="36" t="str">
        <f t="shared" si="12"/>
        <v>IB11108</v>
      </c>
      <c r="G353" s="302" t="s">
        <v>384</v>
      </c>
      <c r="H353" s="303"/>
      <c r="I353" s="303"/>
      <c r="J353" s="304"/>
      <c r="K353" s="140" t="s">
        <v>1513</v>
      </c>
      <c r="L353" s="141"/>
      <c r="M353" s="140"/>
      <c r="N353" s="35" t="s">
        <v>11</v>
      </c>
      <c r="O353" s="38" t="str">
        <f t="shared" si="13"/>
        <v>OB11108</v>
      </c>
      <c r="P353" s="83"/>
      <c r="Q353" s="84"/>
      <c r="R353" s="84"/>
      <c r="S353" s="85"/>
      <c r="T353" s="140"/>
      <c r="U353" s="142"/>
      <c r="V353" s="882"/>
      <c r="W353" s="883"/>
      <c r="X353" s="36"/>
      <c r="Y353" s="143"/>
      <c r="Z353" s="143"/>
      <c r="AA353" s="143"/>
      <c r="AB353" s="143"/>
      <c r="AC353" s="144"/>
      <c r="AD353" s="143"/>
      <c r="AE353" s="143"/>
      <c r="AF353" s="145"/>
    </row>
    <row r="354" spans="2:32" ht="17.25" customHeight="1">
      <c r="B354" s="34">
        <v>9</v>
      </c>
      <c r="C354" s="823"/>
      <c r="D354" s="792"/>
      <c r="E354" s="35" t="s">
        <v>10</v>
      </c>
      <c r="F354" s="36" t="str">
        <f t="shared" si="12"/>
        <v>IB11109</v>
      </c>
      <c r="G354" s="302" t="s">
        <v>385</v>
      </c>
      <c r="H354" s="303"/>
      <c r="I354" s="303"/>
      <c r="J354" s="304"/>
      <c r="K354" s="140" t="s">
        <v>1513</v>
      </c>
      <c r="L354" s="141"/>
      <c r="M354" s="140"/>
      <c r="N354" s="35" t="s">
        <v>11</v>
      </c>
      <c r="O354" s="38" t="str">
        <f t="shared" si="13"/>
        <v>OB11109</v>
      </c>
      <c r="P354" s="83"/>
      <c r="Q354" s="84"/>
      <c r="R354" s="84"/>
      <c r="S354" s="85"/>
      <c r="T354" s="140"/>
      <c r="U354" s="142"/>
      <c r="V354" s="882"/>
      <c r="W354" s="883"/>
      <c r="X354" s="36"/>
      <c r="Y354" s="143"/>
      <c r="Z354" s="143"/>
      <c r="AA354" s="143"/>
      <c r="AB354" s="143"/>
      <c r="AC354" s="144"/>
      <c r="AD354" s="143"/>
      <c r="AE354" s="143"/>
      <c r="AF354" s="145"/>
    </row>
    <row r="355" spans="2:32" ht="17.25" customHeight="1">
      <c r="B355" s="34">
        <v>10</v>
      </c>
      <c r="C355" s="823"/>
      <c r="D355" s="792"/>
      <c r="E355" s="35" t="s">
        <v>10</v>
      </c>
      <c r="F355" s="36" t="str">
        <f t="shared" si="12"/>
        <v>IB1110A</v>
      </c>
      <c r="G355" s="302" t="s">
        <v>386</v>
      </c>
      <c r="H355" s="303"/>
      <c r="I355" s="303"/>
      <c r="J355" s="304"/>
      <c r="K355" s="140" t="s">
        <v>1513</v>
      </c>
      <c r="L355" s="141"/>
      <c r="M355" s="140"/>
      <c r="N355" s="35" t="s">
        <v>11</v>
      </c>
      <c r="O355" s="38" t="str">
        <f t="shared" si="13"/>
        <v>OB1110A</v>
      </c>
      <c r="P355" s="83"/>
      <c r="Q355" s="84"/>
      <c r="R355" s="84"/>
      <c r="S355" s="85"/>
      <c r="T355" s="140"/>
      <c r="U355" s="142"/>
      <c r="V355" s="882"/>
      <c r="W355" s="883"/>
      <c r="X355" s="36"/>
      <c r="Y355" s="143"/>
      <c r="Z355" s="143"/>
      <c r="AA355" s="143"/>
      <c r="AB355" s="143"/>
      <c r="AC355" s="144"/>
      <c r="AD355" s="143"/>
      <c r="AE355" s="143"/>
      <c r="AF355" s="145"/>
    </row>
    <row r="356" spans="2:32" ht="17.25" customHeight="1">
      <c r="B356" s="34">
        <v>11</v>
      </c>
      <c r="C356" s="823"/>
      <c r="D356" s="792"/>
      <c r="E356" s="35" t="s">
        <v>10</v>
      </c>
      <c r="F356" s="36" t="str">
        <f t="shared" si="12"/>
        <v>IB1110B</v>
      </c>
      <c r="G356" s="302" t="s">
        <v>1525</v>
      </c>
      <c r="H356" s="303"/>
      <c r="I356" s="303"/>
      <c r="J356" s="304"/>
      <c r="K356" s="42" t="s">
        <v>1533</v>
      </c>
      <c r="L356" s="141" t="s">
        <v>1513</v>
      </c>
      <c r="M356" s="590" t="s">
        <v>1541</v>
      </c>
      <c r="N356" s="35" t="s">
        <v>11</v>
      </c>
      <c r="O356" s="38" t="str">
        <f t="shared" si="13"/>
        <v>OB1110B</v>
      </c>
      <c r="P356" s="83"/>
      <c r="Q356" s="84"/>
      <c r="R356" s="84"/>
      <c r="S356" s="85"/>
      <c r="T356" s="140"/>
      <c r="U356" s="142"/>
      <c r="V356" s="882"/>
      <c r="W356" s="883"/>
      <c r="X356" s="36"/>
      <c r="Y356" s="143"/>
      <c r="Z356" s="143"/>
      <c r="AA356" s="143"/>
      <c r="AB356" s="143"/>
      <c r="AC356" s="144"/>
      <c r="AD356" s="143"/>
      <c r="AE356" s="143"/>
      <c r="AF356" s="145"/>
    </row>
    <row r="357" spans="2:32" ht="17.25" customHeight="1">
      <c r="B357" s="34">
        <v>12</v>
      </c>
      <c r="C357" s="823"/>
      <c r="D357" s="792"/>
      <c r="E357" s="35" t="s">
        <v>10</v>
      </c>
      <c r="F357" s="36" t="str">
        <f t="shared" si="12"/>
        <v>IB1110C</v>
      </c>
      <c r="G357" s="302" t="s">
        <v>1536</v>
      </c>
      <c r="H357" s="548"/>
      <c r="I357" s="548"/>
      <c r="J357" s="549"/>
      <c r="K357" s="42" t="s">
        <v>1533</v>
      </c>
      <c r="L357" s="141" t="s">
        <v>1513</v>
      </c>
      <c r="M357" s="590" t="s">
        <v>1541</v>
      </c>
      <c r="N357" s="35" t="s">
        <v>11</v>
      </c>
      <c r="O357" s="38" t="str">
        <f t="shared" si="13"/>
        <v>OB1110C</v>
      </c>
      <c r="P357" s="83"/>
      <c r="Q357" s="84"/>
      <c r="R357" s="84"/>
      <c r="S357" s="85"/>
      <c r="T357" s="140"/>
      <c r="U357" s="142"/>
      <c r="V357" s="882"/>
      <c r="W357" s="883"/>
      <c r="X357" s="36"/>
      <c r="Y357" s="143"/>
      <c r="Z357" s="143"/>
      <c r="AA357" s="143"/>
      <c r="AB357" s="143"/>
      <c r="AC357" s="144"/>
      <c r="AD357" s="143"/>
      <c r="AE357" s="143"/>
      <c r="AF357" s="145"/>
    </row>
    <row r="358" spans="2:32" ht="17.25" customHeight="1">
      <c r="B358" s="34">
        <v>13</v>
      </c>
      <c r="C358" s="823"/>
      <c r="D358" s="792"/>
      <c r="E358" s="35" t="s">
        <v>10</v>
      </c>
      <c r="F358" s="36" t="str">
        <f t="shared" si="12"/>
        <v>IB1110D</v>
      </c>
      <c r="G358" s="302" t="s">
        <v>1538</v>
      </c>
      <c r="H358" s="548"/>
      <c r="I358" s="548"/>
      <c r="J358" s="549"/>
      <c r="K358" s="42" t="s">
        <v>1533</v>
      </c>
      <c r="L358" s="141" t="s">
        <v>1513</v>
      </c>
      <c r="M358" s="590" t="s">
        <v>1541</v>
      </c>
      <c r="N358" s="35" t="s">
        <v>11</v>
      </c>
      <c r="O358" s="38" t="str">
        <f t="shared" si="13"/>
        <v>OB1110D</v>
      </c>
      <c r="P358" s="83"/>
      <c r="Q358" s="84"/>
      <c r="R358" s="84"/>
      <c r="S358" s="85"/>
      <c r="T358" s="140"/>
      <c r="U358" s="142"/>
      <c r="V358" s="882"/>
      <c r="W358" s="883"/>
      <c r="X358" s="36"/>
      <c r="Y358" s="143"/>
      <c r="Z358" s="143"/>
      <c r="AA358" s="143"/>
      <c r="AB358" s="143"/>
      <c r="AC358" s="144"/>
      <c r="AD358" s="143"/>
      <c r="AE358" s="143"/>
      <c r="AF358" s="145"/>
    </row>
    <row r="359" spans="2:32" ht="17.25" customHeight="1">
      <c r="B359" s="34">
        <v>14</v>
      </c>
      <c r="C359" s="823"/>
      <c r="D359" s="792"/>
      <c r="E359" s="35" t="s">
        <v>10</v>
      </c>
      <c r="F359" s="36" t="str">
        <f t="shared" si="12"/>
        <v>IB1110E</v>
      </c>
      <c r="G359" s="302" t="s">
        <v>1526</v>
      </c>
      <c r="H359" s="548"/>
      <c r="I359" s="548"/>
      <c r="J359" s="549"/>
      <c r="K359" s="42" t="s">
        <v>1533</v>
      </c>
      <c r="L359" s="141" t="s">
        <v>1513</v>
      </c>
      <c r="M359" s="590" t="s">
        <v>1541</v>
      </c>
      <c r="N359" s="35" t="s">
        <v>11</v>
      </c>
      <c r="O359" s="38" t="str">
        <f t="shared" si="13"/>
        <v>OB1110E</v>
      </c>
      <c r="P359" s="83"/>
      <c r="Q359" s="84"/>
      <c r="R359" s="84"/>
      <c r="S359" s="85"/>
      <c r="T359" s="140"/>
      <c r="U359" s="142"/>
      <c r="V359" s="882"/>
      <c r="W359" s="883"/>
      <c r="X359" s="36"/>
      <c r="Y359" s="143"/>
      <c r="Z359" s="143"/>
      <c r="AA359" s="143"/>
      <c r="AB359" s="143"/>
      <c r="AC359" s="144"/>
      <c r="AD359" s="143"/>
      <c r="AE359" s="143"/>
      <c r="AF359" s="145"/>
    </row>
    <row r="360" spans="2:32" ht="17.25" customHeight="1">
      <c r="B360" s="34">
        <v>15</v>
      </c>
      <c r="C360" s="837"/>
      <c r="D360" s="839"/>
      <c r="E360" s="35" t="s">
        <v>10</v>
      </c>
      <c r="F360" s="36" t="str">
        <f t="shared" si="12"/>
        <v>IB1110F</v>
      </c>
      <c r="G360" s="302" t="s">
        <v>1540</v>
      </c>
      <c r="H360" s="548"/>
      <c r="I360" s="548"/>
      <c r="J360" s="549"/>
      <c r="K360" s="42" t="s">
        <v>1533</v>
      </c>
      <c r="L360" s="141" t="s">
        <v>1513</v>
      </c>
      <c r="M360" s="590" t="s">
        <v>1541</v>
      </c>
      <c r="N360" s="35" t="s">
        <v>11</v>
      </c>
      <c r="O360" s="38" t="str">
        <f t="shared" si="13"/>
        <v>OB1110F</v>
      </c>
      <c r="P360" s="332"/>
      <c r="Q360" s="333"/>
      <c r="R360" s="333"/>
      <c r="S360" s="334"/>
      <c r="T360" s="140"/>
      <c r="U360" s="142"/>
      <c r="V360" s="882"/>
      <c r="W360" s="883"/>
      <c r="X360" s="36"/>
      <c r="Y360" s="143"/>
      <c r="Z360" s="143"/>
      <c r="AA360" s="143"/>
      <c r="AB360" s="143"/>
      <c r="AC360" s="144"/>
      <c r="AD360" s="143"/>
      <c r="AE360" s="143"/>
      <c r="AF360" s="145"/>
    </row>
    <row r="361" spans="2:32" ht="17.25" customHeight="1">
      <c r="B361" s="34">
        <v>16</v>
      </c>
      <c r="C361" s="841" t="s">
        <v>1584</v>
      </c>
      <c r="D361" s="838" t="s">
        <v>69</v>
      </c>
      <c r="E361" s="35" t="s">
        <v>10</v>
      </c>
      <c r="F361" s="36" t="str">
        <f t="shared" si="12"/>
        <v>IB11110</v>
      </c>
      <c r="G361" s="317"/>
      <c r="H361" s="318"/>
      <c r="I361" s="318"/>
      <c r="J361" s="319"/>
      <c r="K361" s="140"/>
      <c r="L361" s="141"/>
      <c r="M361" s="140"/>
      <c r="N361" s="35" t="s">
        <v>11</v>
      </c>
      <c r="O361" s="38" t="str">
        <f t="shared" si="13"/>
        <v>OB11110</v>
      </c>
      <c r="P361" s="743" t="s">
        <v>506</v>
      </c>
      <c r="Q361" s="744"/>
      <c r="R361" s="744"/>
      <c r="S361" s="745"/>
      <c r="T361" s="140" t="s">
        <v>1513</v>
      </c>
      <c r="U361" s="142"/>
      <c r="V361" s="882"/>
      <c r="W361" s="883"/>
      <c r="X361" s="36"/>
      <c r="Y361" s="143"/>
      <c r="Z361" s="143"/>
      <c r="AA361" s="143"/>
      <c r="AB361" s="143"/>
      <c r="AC361" s="144"/>
      <c r="AD361" s="143"/>
      <c r="AE361" s="143"/>
      <c r="AF361" s="145"/>
    </row>
    <row r="362" spans="2:32" ht="17.25" customHeight="1">
      <c r="B362" s="34">
        <v>17</v>
      </c>
      <c r="C362" s="819"/>
      <c r="D362" s="792"/>
      <c r="E362" s="35" t="s">
        <v>10</v>
      </c>
      <c r="F362" s="36" t="str">
        <f t="shared" si="12"/>
        <v>IB11111</v>
      </c>
      <c r="G362" s="83"/>
      <c r="H362" s="84"/>
      <c r="I362" s="84"/>
      <c r="J362" s="85"/>
      <c r="K362" s="140"/>
      <c r="L362" s="141"/>
      <c r="M362" s="140"/>
      <c r="N362" s="35" t="s">
        <v>11</v>
      </c>
      <c r="O362" s="38" t="str">
        <f t="shared" si="13"/>
        <v>OB11111</v>
      </c>
      <c r="P362" s="743" t="s">
        <v>507</v>
      </c>
      <c r="Q362" s="744"/>
      <c r="R362" s="744"/>
      <c r="S362" s="745"/>
      <c r="T362" s="140" t="s">
        <v>1513</v>
      </c>
      <c r="U362" s="142"/>
      <c r="V362" s="882"/>
      <c r="W362" s="883"/>
      <c r="X362" s="36"/>
      <c r="Y362" s="143"/>
      <c r="Z362" s="143"/>
      <c r="AA362" s="143"/>
      <c r="AB362" s="143"/>
      <c r="AC362" s="144"/>
      <c r="AD362" s="143"/>
      <c r="AE362" s="143"/>
      <c r="AF362" s="145"/>
    </row>
    <row r="363" spans="2:32" ht="17.25" customHeight="1">
      <c r="B363" s="34">
        <v>18</v>
      </c>
      <c r="C363" s="819"/>
      <c r="D363" s="792"/>
      <c r="E363" s="35" t="s">
        <v>10</v>
      </c>
      <c r="F363" s="36" t="str">
        <f t="shared" si="12"/>
        <v>IB11112</v>
      </c>
      <c r="G363" s="83"/>
      <c r="H363" s="84"/>
      <c r="I363" s="84"/>
      <c r="J363" s="85"/>
      <c r="K363" s="140"/>
      <c r="L363" s="141"/>
      <c r="M363" s="140"/>
      <c r="N363" s="35" t="s">
        <v>11</v>
      </c>
      <c r="O363" s="38" t="str">
        <f t="shared" si="13"/>
        <v>OB11112</v>
      </c>
      <c r="P363" s="743" t="s">
        <v>508</v>
      </c>
      <c r="Q363" s="744"/>
      <c r="R363" s="744"/>
      <c r="S363" s="745"/>
      <c r="T363" s="140" t="s">
        <v>1513</v>
      </c>
      <c r="U363" s="142"/>
      <c r="V363" s="882"/>
      <c r="W363" s="883"/>
      <c r="X363" s="36"/>
      <c r="Y363" s="143"/>
      <c r="Z363" s="143"/>
      <c r="AA363" s="143"/>
      <c r="AB363" s="143"/>
      <c r="AC363" s="144"/>
      <c r="AD363" s="143"/>
      <c r="AE363" s="143"/>
      <c r="AF363" s="145"/>
    </row>
    <row r="364" spans="2:32" ht="17.25" customHeight="1">
      <c r="B364" s="34">
        <v>19</v>
      </c>
      <c r="C364" s="819"/>
      <c r="D364" s="792"/>
      <c r="E364" s="143" t="s">
        <v>10</v>
      </c>
      <c r="F364" s="36" t="str">
        <f t="shared" si="12"/>
        <v>IB11113</v>
      </c>
      <c r="G364" s="83"/>
      <c r="H364" s="84"/>
      <c r="I364" s="84"/>
      <c r="J364" s="85"/>
      <c r="K364" s="140"/>
      <c r="L364" s="141"/>
      <c r="M364" s="140"/>
      <c r="N364" s="35" t="s">
        <v>11</v>
      </c>
      <c r="O364" s="38" t="str">
        <f t="shared" si="13"/>
        <v>OB11113</v>
      </c>
      <c r="P364" s="743" t="s">
        <v>509</v>
      </c>
      <c r="Q364" s="744"/>
      <c r="R364" s="744"/>
      <c r="S364" s="745"/>
      <c r="T364" s="140" t="s">
        <v>1513</v>
      </c>
      <c r="U364" s="142"/>
      <c r="V364" s="882"/>
      <c r="W364" s="883"/>
      <c r="X364" s="36"/>
      <c r="Y364" s="143"/>
      <c r="Z364" s="143"/>
      <c r="AA364" s="143"/>
      <c r="AB364" s="143"/>
      <c r="AC364" s="144"/>
      <c r="AD364" s="143"/>
      <c r="AE364" s="143"/>
      <c r="AF364" s="145"/>
    </row>
    <row r="365" spans="2:32" ht="17.25" customHeight="1">
      <c r="B365" s="34">
        <v>20</v>
      </c>
      <c r="C365" s="819"/>
      <c r="D365" s="792"/>
      <c r="E365" s="35" t="s">
        <v>10</v>
      </c>
      <c r="F365" s="36" t="str">
        <f t="shared" si="12"/>
        <v>IB11114</v>
      </c>
      <c r="G365" s="83"/>
      <c r="H365" s="84"/>
      <c r="I365" s="84"/>
      <c r="J365" s="85"/>
      <c r="K365" s="140"/>
      <c r="L365" s="141"/>
      <c r="M365" s="140"/>
      <c r="N365" s="35" t="s">
        <v>11</v>
      </c>
      <c r="O365" s="38" t="str">
        <f t="shared" si="13"/>
        <v>OB11114</v>
      </c>
      <c r="P365" s="743" t="s">
        <v>510</v>
      </c>
      <c r="Q365" s="744"/>
      <c r="R365" s="744"/>
      <c r="S365" s="745"/>
      <c r="T365" s="140" t="s">
        <v>1513</v>
      </c>
      <c r="U365" s="142"/>
      <c r="V365" s="882"/>
      <c r="W365" s="883"/>
      <c r="X365" s="36"/>
      <c r="Y365" s="143"/>
      <c r="Z365" s="143"/>
      <c r="AA365" s="143"/>
      <c r="AB365" s="143"/>
      <c r="AC365" s="144"/>
      <c r="AD365" s="143"/>
      <c r="AE365" s="143"/>
      <c r="AF365" s="145"/>
    </row>
    <row r="366" spans="2:32" ht="17.25" customHeight="1">
      <c r="B366" s="34">
        <v>21</v>
      </c>
      <c r="C366" s="819"/>
      <c r="D366" s="792"/>
      <c r="E366" s="35" t="s">
        <v>10</v>
      </c>
      <c r="F366" s="36" t="str">
        <f t="shared" si="12"/>
        <v>IB11115</v>
      </c>
      <c r="G366" s="83"/>
      <c r="H366" s="84"/>
      <c r="I366" s="84"/>
      <c r="J366" s="85"/>
      <c r="K366" s="140"/>
      <c r="L366" s="141"/>
      <c r="M366" s="140"/>
      <c r="N366" s="35" t="s">
        <v>11</v>
      </c>
      <c r="O366" s="38" t="str">
        <f t="shared" si="13"/>
        <v>OB11115</v>
      </c>
      <c r="P366" s="743" t="s">
        <v>511</v>
      </c>
      <c r="Q366" s="744"/>
      <c r="R366" s="744"/>
      <c r="S366" s="745"/>
      <c r="T366" s="140" t="s">
        <v>1513</v>
      </c>
      <c r="U366" s="142"/>
      <c r="V366" s="882"/>
      <c r="W366" s="883"/>
      <c r="X366" s="36"/>
      <c r="Y366" s="143"/>
      <c r="Z366" s="143"/>
      <c r="AA366" s="143"/>
      <c r="AB366" s="143"/>
      <c r="AC366" s="144"/>
      <c r="AD366" s="143"/>
      <c r="AE366" s="143"/>
      <c r="AF366" s="145"/>
    </row>
    <row r="367" spans="2:32" ht="17.25" customHeight="1">
      <c r="B367" s="34">
        <v>22</v>
      </c>
      <c r="C367" s="819"/>
      <c r="D367" s="792"/>
      <c r="E367" s="35" t="s">
        <v>10</v>
      </c>
      <c r="F367" s="36" t="str">
        <f t="shared" si="12"/>
        <v>IB11116</v>
      </c>
      <c r="G367" s="83"/>
      <c r="H367" s="84"/>
      <c r="I367" s="84"/>
      <c r="J367" s="85"/>
      <c r="K367" s="140"/>
      <c r="L367" s="141"/>
      <c r="M367" s="140"/>
      <c r="N367" s="35" t="s">
        <v>11</v>
      </c>
      <c r="O367" s="38" t="str">
        <f t="shared" si="13"/>
        <v>OB11116</v>
      </c>
      <c r="P367" s="344"/>
      <c r="Q367" s="345"/>
      <c r="R367" s="345"/>
      <c r="S367" s="346"/>
      <c r="T367" s="140"/>
      <c r="U367" s="142"/>
      <c r="V367" s="882"/>
      <c r="W367" s="883"/>
      <c r="X367" s="36"/>
      <c r="Y367" s="143"/>
      <c r="Z367" s="143"/>
      <c r="AA367" s="143"/>
      <c r="AB367" s="143"/>
      <c r="AC367" s="144"/>
      <c r="AD367" s="143"/>
      <c r="AE367" s="143"/>
      <c r="AF367" s="145"/>
    </row>
    <row r="368" spans="2:32" ht="17.25" customHeight="1">
      <c r="B368" s="34">
        <v>23</v>
      </c>
      <c r="C368" s="819"/>
      <c r="D368" s="792"/>
      <c r="E368" s="35" t="s">
        <v>10</v>
      </c>
      <c r="F368" s="36" t="str">
        <f t="shared" si="12"/>
        <v>IB11117</v>
      </c>
      <c r="G368" s="83"/>
      <c r="H368" s="84"/>
      <c r="I368" s="84"/>
      <c r="J368" s="85"/>
      <c r="K368" s="140"/>
      <c r="L368" s="141"/>
      <c r="M368" s="140"/>
      <c r="N368" s="35" t="s">
        <v>11</v>
      </c>
      <c r="O368" s="38" t="str">
        <f t="shared" si="13"/>
        <v>OB11117</v>
      </c>
      <c r="P368" s="344"/>
      <c r="Q368" s="345"/>
      <c r="R368" s="345"/>
      <c r="S368" s="346"/>
      <c r="T368" s="140"/>
      <c r="U368" s="142"/>
      <c r="V368" s="882"/>
      <c r="W368" s="883"/>
      <c r="X368" s="36"/>
      <c r="Y368" s="143"/>
      <c r="Z368" s="143"/>
      <c r="AA368" s="143"/>
      <c r="AB368" s="143"/>
      <c r="AC368" s="144"/>
      <c r="AD368" s="143"/>
      <c r="AE368" s="143"/>
      <c r="AF368" s="145"/>
    </row>
    <row r="369" spans="2:32" ht="17.25" customHeight="1">
      <c r="B369" s="34">
        <v>24</v>
      </c>
      <c r="C369" s="819"/>
      <c r="D369" s="792"/>
      <c r="E369" s="35" t="s">
        <v>10</v>
      </c>
      <c r="F369" s="36" t="str">
        <f t="shared" si="12"/>
        <v>IB11118</v>
      </c>
      <c r="G369" s="83"/>
      <c r="H369" s="84"/>
      <c r="I369" s="84"/>
      <c r="J369" s="85"/>
      <c r="K369" s="140"/>
      <c r="L369" s="141"/>
      <c r="M369" s="140"/>
      <c r="N369" s="35" t="s">
        <v>11</v>
      </c>
      <c r="O369" s="38" t="str">
        <f t="shared" si="13"/>
        <v>OB11118</v>
      </c>
      <c r="P369" s="743" t="s">
        <v>512</v>
      </c>
      <c r="Q369" s="744"/>
      <c r="R369" s="744"/>
      <c r="S369" s="745"/>
      <c r="T369" s="140" t="s">
        <v>1513</v>
      </c>
      <c r="U369" s="142"/>
      <c r="V369" s="882"/>
      <c r="W369" s="883"/>
      <c r="X369" s="36"/>
      <c r="Y369" s="143"/>
      <c r="Z369" s="143"/>
      <c r="AA369" s="143"/>
      <c r="AB369" s="143"/>
      <c r="AC369" s="144"/>
      <c r="AD369" s="143"/>
      <c r="AE369" s="143"/>
      <c r="AF369" s="145"/>
    </row>
    <row r="370" spans="2:32" ht="17.25" customHeight="1">
      <c r="B370" s="34">
        <v>25</v>
      </c>
      <c r="C370" s="819"/>
      <c r="D370" s="792"/>
      <c r="E370" s="35" t="s">
        <v>10</v>
      </c>
      <c r="F370" s="36" t="str">
        <f t="shared" si="12"/>
        <v>IB11119</v>
      </c>
      <c r="G370" s="83"/>
      <c r="H370" s="84"/>
      <c r="I370" s="84"/>
      <c r="J370" s="85"/>
      <c r="K370" s="143"/>
      <c r="L370" s="146"/>
      <c r="M370" s="625"/>
      <c r="N370" s="35" t="s">
        <v>11</v>
      </c>
      <c r="O370" s="38" t="str">
        <f t="shared" si="13"/>
        <v>OB11119</v>
      </c>
      <c r="P370" s="743" t="s">
        <v>513</v>
      </c>
      <c r="Q370" s="744"/>
      <c r="R370" s="744"/>
      <c r="S370" s="745"/>
      <c r="T370" s="140" t="s">
        <v>1513</v>
      </c>
      <c r="U370" s="142"/>
      <c r="V370" s="882"/>
      <c r="W370" s="883"/>
      <c r="X370" s="36"/>
      <c r="Y370" s="143"/>
      <c r="Z370" s="143"/>
      <c r="AA370" s="143"/>
      <c r="AB370" s="143"/>
      <c r="AC370" s="144"/>
      <c r="AD370" s="143"/>
      <c r="AE370" s="143"/>
      <c r="AF370" s="145"/>
    </row>
    <row r="371" spans="2:32" ht="17.25" customHeight="1">
      <c r="B371" s="34">
        <v>26</v>
      </c>
      <c r="C371" s="819"/>
      <c r="D371" s="792"/>
      <c r="E371" s="35" t="s">
        <v>10</v>
      </c>
      <c r="F371" s="36" t="str">
        <f t="shared" si="12"/>
        <v>IB1111A</v>
      </c>
      <c r="G371" s="83">
        <v>0</v>
      </c>
      <c r="H371" s="84"/>
      <c r="I371" s="84"/>
      <c r="J371" s="85"/>
      <c r="K371" s="143"/>
      <c r="L371" s="146"/>
      <c r="M371" s="625"/>
      <c r="N371" s="35" t="s">
        <v>11</v>
      </c>
      <c r="O371" s="38" t="str">
        <f t="shared" si="13"/>
        <v>OB1111A</v>
      </c>
      <c r="P371" s="743" t="s">
        <v>514</v>
      </c>
      <c r="Q371" s="744"/>
      <c r="R371" s="744"/>
      <c r="S371" s="745"/>
      <c r="T371" s="140" t="s">
        <v>1513</v>
      </c>
      <c r="U371" s="142"/>
      <c r="V371" s="882"/>
      <c r="W371" s="883"/>
      <c r="X371" s="36"/>
      <c r="Y371" s="143"/>
      <c r="Z371" s="143"/>
      <c r="AA371" s="143"/>
      <c r="AB371" s="143"/>
      <c r="AC371" s="144"/>
      <c r="AD371" s="143"/>
      <c r="AE371" s="143"/>
      <c r="AF371" s="145"/>
    </row>
    <row r="372" spans="2:32" ht="17.25" customHeight="1">
      <c r="B372" s="34">
        <v>27</v>
      </c>
      <c r="C372" s="819"/>
      <c r="D372" s="792"/>
      <c r="E372" s="35" t="s">
        <v>10</v>
      </c>
      <c r="F372" s="36" t="str">
        <f t="shared" si="12"/>
        <v>IB1111B</v>
      </c>
      <c r="G372" s="83"/>
      <c r="H372" s="84"/>
      <c r="I372" s="84"/>
      <c r="J372" s="85"/>
      <c r="K372" s="143"/>
      <c r="L372" s="146"/>
      <c r="M372" s="625"/>
      <c r="N372" s="35" t="s">
        <v>11</v>
      </c>
      <c r="O372" s="38" t="str">
        <f t="shared" si="13"/>
        <v>OB1111B</v>
      </c>
      <c r="P372" s="743" t="s">
        <v>515</v>
      </c>
      <c r="Q372" s="744"/>
      <c r="R372" s="744"/>
      <c r="S372" s="745"/>
      <c r="T372" s="140" t="s">
        <v>1513</v>
      </c>
      <c r="U372" s="142"/>
      <c r="V372" s="882"/>
      <c r="W372" s="883"/>
      <c r="X372" s="36"/>
      <c r="Y372" s="143"/>
      <c r="Z372" s="143"/>
      <c r="AA372" s="143"/>
      <c r="AB372" s="143"/>
      <c r="AC372" s="144"/>
      <c r="AD372" s="143"/>
      <c r="AE372" s="143"/>
      <c r="AF372" s="145"/>
    </row>
    <row r="373" spans="2:32" ht="17.25" customHeight="1">
      <c r="B373" s="34">
        <v>28</v>
      </c>
      <c r="C373" s="819"/>
      <c r="D373" s="792"/>
      <c r="E373" s="35" t="s">
        <v>10</v>
      </c>
      <c r="F373" s="36" t="str">
        <f t="shared" si="12"/>
        <v>IB1111C</v>
      </c>
      <c r="G373" s="83"/>
      <c r="H373" s="84"/>
      <c r="I373" s="84"/>
      <c r="J373" s="85"/>
      <c r="K373" s="143"/>
      <c r="L373" s="146"/>
      <c r="M373" s="625"/>
      <c r="N373" s="35" t="s">
        <v>11</v>
      </c>
      <c r="O373" s="38" t="str">
        <f t="shared" si="13"/>
        <v>OB1111C</v>
      </c>
      <c r="P373" s="302" t="s">
        <v>516</v>
      </c>
      <c r="Q373" s="303"/>
      <c r="R373" s="303"/>
      <c r="S373" s="304"/>
      <c r="T373" s="140" t="s">
        <v>1513</v>
      </c>
      <c r="U373" s="142"/>
      <c r="V373" s="882"/>
      <c r="W373" s="883"/>
      <c r="X373" s="36"/>
      <c r="Y373" s="143"/>
      <c r="Z373" s="143"/>
      <c r="AA373" s="143"/>
      <c r="AB373" s="143"/>
      <c r="AC373" s="144"/>
      <c r="AD373" s="143"/>
      <c r="AE373" s="143"/>
      <c r="AF373" s="145"/>
    </row>
    <row r="374" spans="2:32" ht="17.25" customHeight="1">
      <c r="B374" s="34">
        <v>29</v>
      </c>
      <c r="C374" s="819"/>
      <c r="D374" s="792"/>
      <c r="E374" s="35" t="s">
        <v>10</v>
      </c>
      <c r="F374" s="36" t="str">
        <f t="shared" si="12"/>
        <v>IB1111D</v>
      </c>
      <c r="G374" s="83"/>
      <c r="H374" s="84"/>
      <c r="I374" s="84"/>
      <c r="J374" s="85"/>
      <c r="K374" s="143"/>
      <c r="L374" s="146"/>
      <c r="M374" s="625"/>
      <c r="N374" s="35" t="s">
        <v>11</v>
      </c>
      <c r="O374" s="38" t="str">
        <f t="shared" si="13"/>
        <v>OB1111D</v>
      </c>
      <c r="P374" s="302" t="s">
        <v>517</v>
      </c>
      <c r="Q374" s="303"/>
      <c r="R374" s="303"/>
      <c r="S374" s="304"/>
      <c r="T374" s="140" t="s">
        <v>1513</v>
      </c>
      <c r="U374" s="142"/>
      <c r="V374" s="882"/>
      <c r="W374" s="883"/>
      <c r="X374" s="36"/>
      <c r="Y374" s="143"/>
      <c r="Z374" s="143"/>
      <c r="AA374" s="143"/>
      <c r="AB374" s="143"/>
      <c r="AC374" s="144"/>
      <c r="AD374" s="143"/>
      <c r="AE374" s="143"/>
      <c r="AF374" s="145"/>
    </row>
    <row r="375" spans="2:32" ht="17.25" customHeight="1">
      <c r="B375" s="34">
        <v>30</v>
      </c>
      <c r="C375" s="819"/>
      <c r="D375" s="792"/>
      <c r="E375" s="35" t="s">
        <v>10</v>
      </c>
      <c r="F375" s="36" t="str">
        <f t="shared" si="12"/>
        <v>IB1111E</v>
      </c>
      <c r="G375" s="83"/>
      <c r="H375" s="84"/>
      <c r="I375" s="84"/>
      <c r="J375" s="85"/>
      <c r="K375" s="143"/>
      <c r="L375" s="146"/>
      <c r="M375" s="625"/>
      <c r="N375" s="35" t="s">
        <v>11</v>
      </c>
      <c r="O375" s="38" t="str">
        <f t="shared" si="13"/>
        <v>OB1111E</v>
      </c>
      <c r="P375" s="302" t="s">
        <v>518</v>
      </c>
      <c r="Q375" s="303"/>
      <c r="R375" s="303"/>
      <c r="S375" s="304"/>
      <c r="T375" s="140" t="s">
        <v>1513</v>
      </c>
      <c r="U375" s="142"/>
      <c r="V375" s="882"/>
      <c r="W375" s="883"/>
      <c r="X375" s="36"/>
      <c r="Y375" s="143"/>
      <c r="Z375" s="143"/>
      <c r="AA375" s="143"/>
      <c r="AB375" s="143"/>
      <c r="AC375" s="144"/>
      <c r="AD375" s="143"/>
      <c r="AE375" s="143"/>
      <c r="AF375" s="145"/>
    </row>
    <row r="376" spans="2:32" ht="17.25" customHeight="1">
      <c r="B376" s="34">
        <v>31</v>
      </c>
      <c r="C376" s="842"/>
      <c r="D376" s="839"/>
      <c r="E376" s="35" t="s">
        <v>10</v>
      </c>
      <c r="F376" s="36" t="str">
        <f t="shared" si="12"/>
        <v>IB1111F</v>
      </c>
      <c r="G376" s="332"/>
      <c r="H376" s="333"/>
      <c r="I376" s="333"/>
      <c r="J376" s="334"/>
      <c r="K376" s="143"/>
      <c r="L376" s="146"/>
      <c r="M376" s="625"/>
      <c r="N376" s="35" t="s">
        <v>11</v>
      </c>
      <c r="O376" s="38" t="str">
        <f t="shared" si="13"/>
        <v>OB1111F</v>
      </c>
      <c r="P376" s="302"/>
      <c r="Q376" s="303"/>
      <c r="R376" s="303"/>
      <c r="S376" s="304"/>
      <c r="T376" s="140"/>
      <c r="U376" s="142"/>
      <c r="V376" s="882"/>
      <c r="W376" s="883"/>
      <c r="X376" s="36"/>
      <c r="Y376" s="143"/>
      <c r="Z376" s="143"/>
      <c r="AA376" s="143"/>
      <c r="AB376" s="143"/>
      <c r="AC376" s="144"/>
      <c r="AD376" s="143"/>
      <c r="AE376" s="143"/>
      <c r="AF376" s="145"/>
    </row>
    <row r="377" spans="2:32" ht="17.25" customHeight="1">
      <c r="B377" s="34">
        <v>32</v>
      </c>
      <c r="C377" s="836" t="s">
        <v>1565</v>
      </c>
      <c r="D377" s="840" t="s">
        <v>1404</v>
      </c>
      <c r="E377" s="35" t="s">
        <v>10</v>
      </c>
      <c r="F377" s="36" t="str">
        <f t="shared" si="12"/>
        <v>IB11120</v>
      </c>
      <c r="G377" s="302" t="s">
        <v>315</v>
      </c>
      <c r="H377" s="303"/>
      <c r="I377" s="303"/>
      <c r="J377" s="304"/>
      <c r="K377" s="140" t="s">
        <v>1513</v>
      </c>
      <c r="L377" s="141"/>
      <c r="M377" s="140"/>
      <c r="N377" s="35" t="s">
        <v>11</v>
      </c>
      <c r="O377" s="38" t="str">
        <f t="shared" si="13"/>
        <v>OB11120</v>
      </c>
      <c r="P377" s="317"/>
      <c r="Q377" s="318"/>
      <c r="R377" s="318"/>
      <c r="S377" s="319"/>
      <c r="T377" s="140"/>
      <c r="U377" s="142"/>
      <c r="V377" s="882"/>
      <c r="W377" s="883"/>
      <c r="X377" s="36"/>
      <c r="Y377" s="143"/>
      <c r="Z377" s="143"/>
      <c r="AA377" s="143"/>
      <c r="AB377" s="143"/>
      <c r="AC377" s="144"/>
      <c r="AD377" s="143"/>
      <c r="AE377" s="143"/>
      <c r="AF377" s="145"/>
    </row>
    <row r="378" spans="2:32" ht="17.25" customHeight="1">
      <c r="B378" s="34">
        <v>33</v>
      </c>
      <c r="C378" s="823"/>
      <c r="D378" s="792"/>
      <c r="E378" s="35" t="s">
        <v>10</v>
      </c>
      <c r="F378" s="36" t="str">
        <f t="shared" si="12"/>
        <v>IB11121</v>
      </c>
      <c r="G378" s="302" t="s">
        <v>316</v>
      </c>
      <c r="H378" s="303"/>
      <c r="I378" s="303"/>
      <c r="J378" s="304"/>
      <c r="K378" s="140" t="s">
        <v>1513</v>
      </c>
      <c r="L378" s="141"/>
      <c r="M378" s="140"/>
      <c r="N378" s="35" t="s">
        <v>11</v>
      </c>
      <c r="O378" s="38" t="str">
        <f t="shared" si="13"/>
        <v>OB11121</v>
      </c>
      <c r="P378" s="83"/>
      <c r="Q378" s="84"/>
      <c r="R378" s="84"/>
      <c r="S378" s="85"/>
      <c r="T378" s="140"/>
      <c r="U378" s="142"/>
      <c r="V378" s="882"/>
      <c r="W378" s="883"/>
      <c r="X378" s="36"/>
      <c r="Y378" s="143"/>
      <c r="Z378" s="143"/>
      <c r="AA378" s="143"/>
      <c r="AB378" s="143"/>
      <c r="AC378" s="144"/>
      <c r="AD378" s="143"/>
      <c r="AE378" s="143"/>
      <c r="AF378" s="145"/>
    </row>
    <row r="379" spans="2:32" ht="17.25" customHeight="1">
      <c r="B379" s="34">
        <v>34</v>
      </c>
      <c r="C379" s="823"/>
      <c r="D379" s="792"/>
      <c r="E379" s="35" t="s">
        <v>10</v>
      </c>
      <c r="F379" s="36" t="str">
        <f t="shared" si="12"/>
        <v>IB11122</v>
      </c>
      <c r="G379" s="302" t="s">
        <v>317</v>
      </c>
      <c r="H379" s="303"/>
      <c r="I379" s="303"/>
      <c r="J379" s="304"/>
      <c r="K379" s="140" t="s">
        <v>1513</v>
      </c>
      <c r="L379" s="141"/>
      <c r="M379" s="140"/>
      <c r="N379" s="35" t="s">
        <v>11</v>
      </c>
      <c r="O379" s="38" t="str">
        <f t="shared" si="13"/>
        <v>OB11122</v>
      </c>
      <c r="P379" s="83"/>
      <c r="Q379" s="84"/>
      <c r="R379" s="84"/>
      <c r="S379" s="85"/>
      <c r="T379" s="140"/>
      <c r="U379" s="142"/>
      <c r="V379" s="882"/>
      <c r="W379" s="883"/>
      <c r="X379" s="36"/>
      <c r="Y379" s="143"/>
      <c r="Z379" s="143"/>
      <c r="AA379" s="143"/>
      <c r="AB379" s="143"/>
      <c r="AC379" s="144"/>
      <c r="AD379" s="143"/>
      <c r="AE379" s="143"/>
      <c r="AF379" s="145"/>
    </row>
    <row r="380" spans="2:32" ht="17.25" customHeight="1">
      <c r="B380" s="34">
        <v>35</v>
      </c>
      <c r="C380" s="823"/>
      <c r="D380" s="792"/>
      <c r="E380" s="35" t="s">
        <v>10</v>
      </c>
      <c r="F380" s="36" t="str">
        <f t="shared" si="12"/>
        <v>IB11123</v>
      </c>
      <c r="G380" s="302" t="s">
        <v>318</v>
      </c>
      <c r="H380" s="303"/>
      <c r="I380" s="303"/>
      <c r="J380" s="304"/>
      <c r="K380" s="140" t="s">
        <v>1513</v>
      </c>
      <c r="L380" s="141"/>
      <c r="M380" s="140"/>
      <c r="N380" s="35" t="s">
        <v>11</v>
      </c>
      <c r="O380" s="38" t="str">
        <f t="shared" si="13"/>
        <v>OB11123</v>
      </c>
      <c r="P380" s="83"/>
      <c r="Q380" s="84"/>
      <c r="R380" s="84"/>
      <c r="S380" s="85"/>
      <c r="T380" s="140"/>
      <c r="U380" s="142"/>
      <c r="V380" s="882"/>
      <c r="W380" s="883"/>
      <c r="X380" s="36"/>
      <c r="Y380" s="143"/>
      <c r="Z380" s="143"/>
      <c r="AA380" s="143"/>
      <c r="AB380" s="143"/>
      <c r="AC380" s="144"/>
      <c r="AD380" s="143"/>
      <c r="AE380" s="143"/>
      <c r="AF380" s="145"/>
    </row>
    <row r="381" spans="2:32" ht="17.25" customHeight="1">
      <c r="B381" s="34">
        <v>36</v>
      </c>
      <c r="C381" s="823"/>
      <c r="D381" s="792"/>
      <c r="E381" s="35" t="s">
        <v>10</v>
      </c>
      <c r="F381" s="36" t="str">
        <f t="shared" si="12"/>
        <v>IB11124</v>
      </c>
      <c r="G381" s="302"/>
      <c r="H381" s="303"/>
      <c r="I381" s="303"/>
      <c r="J381" s="304"/>
      <c r="K381" s="140"/>
      <c r="L381" s="141"/>
      <c r="M381" s="140"/>
      <c r="N381" s="35" t="s">
        <v>11</v>
      </c>
      <c r="O381" s="38" t="str">
        <f t="shared" si="13"/>
        <v>OB11124</v>
      </c>
      <c r="P381" s="83"/>
      <c r="Q381" s="84"/>
      <c r="R381" s="84"/>
      <c r="S381" s="85"/>
      <c r="T381" s="140"/>
      <c r="U381" s="142"/>
      <c r="V381" s="882"/>
      <c r="W381" s="883"/>
      <c r="X381" s="36"/>
      <c r="Y381" s="143"/>
      <c r="Z381" s="143"/>
      <c r="AA381" s="143"/>
      <c r="AB381" s="143"/>
      <c r="AC381" s="144"/>
      <c r="AD381" s="143"/>
      <c r="AE381" s="143"/>
      <c r="AF381" s="145"/>
    </row>
    <row r="382" spans="2:32" ht="17.25" customHeight="1">
      <c r="B382" s="34">
        <v>37</v>
      </c>
      <c r="C382" s="823"/>
      <c r="D382" s="792"/>
      <c r="E382" s="35" t="s">
        <v>10</v>
      </c>
      <c r="F382" s="36" t="str">
        <f t="shared" si="12"/>
        <v>IB11125</v>
      </c>
      <c r="G382" s="302"/>
      <c r="H382" s="303"/>
      <c r="I382" s="303"/>
      <c r="J382" s="304"/>
      <c r="K382" s="140"/>
      <c r="L382" s="141"/>
      <c r="M382" s="140"/>
      <c r="N382" s="35" t="s">
        <v>11</v>
      </c>
      <c r="O382" s="38" t="str">
        <f t="shared" si="13"/>
        <v>OB11125</v>
      </c>
      <c r="P382" s="83"/>
      <c r="Q382" s="84"/>
      <c r="R382" s="84"/>
      <c r="S382" s="85"/>
      <c r="T382" s="140"/>
      <c r="U382" s="142"/>
      <c r="V382" s="882"/>
      <c r="W382" s="883"/>
      <c r="X382" s="36"/>
      <c r="Y382" s="143"/>
      <c r="Z382" s="143"/>
      <c r="AA382" s="143"/>
      <c r="AB382" s="143"/>
      <c r="AC382" s="144"/>
      <c r="AD382" s="143"/>
      <c r="AE382" s="143"/>
      <c r="AF382" s="145"/>
    </row>
    <row r="383" spans="2:32" ht="17.25" customHeight="1">
      <c r="B383" s="34">
        <v>38</v>
      </c>
      <c r="C383" s="823"/>
      <c r="D383" s="792"/>
      <c r="E383" s="35" t="s">
        <v>10</v>
      </c>
      <c r="F383" s="36" t="str">
        <f t="shared" si="12"/>
        <v>IB11126</v>
      </c>
      <c r="G383" s="302"/>
      <c r="H383" s="303"/>
      <c r="I383" s="303"/>
      <c r="J383" s="304"/>
      <c r="K383" s="140"/>
      <c r="L383" s="141"/>
      <c r="M383" s="140"/>
      <c r="N383" s="35" t="s">
        <v>11</v>
      </c>
      <c r="O383" s="38" t="str">
        <f t="shared" si="13"/>
        <v>OB11126</v>
      </c>
      <c r="P383" s="83"/>
      <c r="Q383" s="84"/>
      <c r="R383" s="84"/>
      <c r="S383" s="85"/>
      <c r="T383" s="140"/>
      <c r="U383" s="142"/>
      <c r="V383" s="882"/>
      <c r="W383" s="883"/>
      <c r="X383" s="36"/>
      <c r="Y383" s="143"/>
      <c r="Z383" s="143"/>
      <c r="AA383" s="143"/>
      <c r="AB383" s="143"/>
      <c r="AC383" s="144"/>
      <c r="AD383" s="143"/>
      <c r="AE383" s="143"/>
      <c r="AF383" s="145"/>
    </row>
    <row r="384" spans="2:32" ht="17.25" customHeight="1">
      <c r="B384" s="34">
        <v>39</v>
      </c>
      <c r="C384" s="823"/>
      <c r="D384" s="792"/>
      <c r="E384" s="35" t="s">
        <v>10</v>
      </c>
      <c r="F384" s="36" t="str">
        <f t="shared" si="12"/>
        <v>IB11127</v>
      </c>
      <c r="G384" s="302"/>
      <c r="H384" s="303"/>
      <c r="I384" s="303"/>
      <c r="J384" s="304"/>
      <c r="K384" s="140"/>
      <c r="L384" s="141"/>
      <c r="M384" s="140"/>
      <c r="N384" s="35" t="s">
        <v>11</v>
      </c>
      <c r="O384" s="38" t="str">
        <f t="shared" si="13"/>
        <v>OB11127</v>
      </c>
      <c r="P384" s="83"/>
      <c r="Q384" s="84"/>
      <c r="R384" s="84"/>
      <c r="S384" s="85"/>
      <c r="T384" s="140"/>
      <c r="U384" s="142"/>
      <c r="V384" s="882"/>
      <c r="W384" s="883"/>
      <c r="X384" s="36"/>
      <c r="Y384" s="143"/>
      <c r="Z384" s="143"/>
      <c r="AA384" s="143"/>
      <c r="AB384" s="143"/>
      <c r="AC384" s="144"/>
      <c r="AD384" s="143"/>
      <c r="AE384" s="143"/>
      <c r="AF384" s="145"/>
    </row>
    <row r="385" spans="2:32" ht="17.25" customHeight="1">
      <c r="B385" s="34">
        <v>40</v>
      </c>
      <c r="C385" s="823"/>
      <c r="D385" s="792"/>
      <c r="E385" s="35" t="s">
        <v>10</v>
      </c>
      <c r="F385" s="36" t="str">
        <f t="shared" si="12"/>
        <v>IB11128</v>
      </c>
      <c r="G385" s="302" t="s">
        <v>321</v>
      </c>
      <c r="H385" s="303"/>
      <c r="I385" s="303"/>
      <c r="J385" s="304"/>
      <c r="K385" s="140" t="s">
        <v>1516</v>
      </c>
      <c r="L385" s="141" t="s">
        <v>1516</v>
      </c>
      <c r="M385" s="140"/>
      <c r="N385" s="35" t="s">
        <v>11</v>
      </c>
      <c r="O385" s="38" t="str">
        <f t="shared" si="13"/>
        <v>OB11128</v>
      </c>
      <c r="P385" s="83"/>
      <c r="Q385" s="84"/>
      <c r="R385" s="84"/>
      <c r="S385" s="85"/>
      <c r="T385" s="140"/>
      <c r="U385" s="142"/>
      <c r="V385" s="882"/>
      <c r="W385" s="883"/>
      <c r="X385" s="36"/>
      <c r="Y385" s="143"/>
      <c r="Z385" s="143"/>
      <c r="AA385" s="143"/>
      <c r="AB385" s="143"/>
      <c r="AC385" s="144"/>
      <c r="AD385" s="143"/>
      <c r="AE385" s="143"/>
      <c r="AF385" s="145"/>
    </row>
    <row r="386" spans="2:32" ht="17.25" customHeight="1">
      <c r="B386" s="34">
        <v>41</v>
      </c>
      <c r="C386" s="823"/>
      <c r="D386" s="792"/>
      <c r="E386" s="35" t="s">
        <v>10</v>
      </c>
      <c r="F386" s="36" t="str">
        <f t="shared" si="12"/>
        <v>IB11129</v>
      </c>
      <c r="G386" s="302" t="s">
        <v>322</v>
      </c>
      <c r="H386" s="303"/>
      <c r="I386" s="303"/>
      <c r="J386" s="304"/>
      <c r="K386" s="140" t="s">
        <v>1516</v>
      </c>
      <c r="L386" s="141" t="s">
        <v>1542</v>
      </c>
      <c r="M386" s="140"/>
      <c r="N386" s="35" t="s">
        <v>11</v>
      </c>
      <c r="O386" s="38" t="str">
        <f t="shared" si="13"/>
        <v>OB11129</v>
      </c>
      <c r="P386" s="83"/>
      <c r="Q386" s="84"/>
      <c r="R386" s="84"/>
      <c r="S386" s="85"/>
      <c r="T386" s="140"/>
      <c r="U386" s="142"/>
      <c r="V386" s="882"/>
      <c r="W386" s="883"/>
      <c r="X386" s="36"/>
      <c r="Y386" s="143"/>
      <c r="Z386" s="143"/>
      <c r="AA386" s="143"/>
      <c r="AB386" s="143"/>
      <c r="AC386" s="144"/>
      <c r="AD386" s="143"/>
      <c r="AE386" s="143"/>
      <c r="AF386" s="145"/>
    </row>
    <row r="387" spans="2:32" ht="17.25" customHeight="1">
      <c r="B387" s="34">
        <v>42</v>
      </c>
      <c r="C387" s="823"/>
      <c r="D387" s="792"/>
      <c r="E387" s="35" t="s">
        <v>10</v>
      </c>
      <c r="F387" s="36" t="str">
        <f t="shared" si="12"/>
        <v>IB1112A</v>
      </c>
      <c r="G387" s="302"/>
      <c r="H387" s="303"/>
      <c r="I387" s="303"/>
      <c r="J387" s="304"/>
      <c r="K387" s="140"/>
      <c r="L387" s="141"/>
      <c r="M387" s="140"/>
      <c r="N387" s="35" t="s">
        <v>11</v>
      </c>
      <c r="O387" s="38" t="str">
        <f t="shared" si="13"/>
        <v>OB1112A</v>
      </c>
      <c r="P387" s="83"/>
      <c r="Q387" s="84"/>
      <c r="R387" s="84"/>
      <c r="S387" s="85"/>
      <c r="T387" s="140"/>
      <c r="U387" s="142"/>
      <c r="V387" s="882"/>
      <c r="W387" s="883"/>
      <c r="X387" s="36"/>
      <c r="Y387" s="143"/>
      <c r="Z387" s="143"/>
      <c r="AA387" s="143"/>
      <c r="AB387" s="143"/>
      <c r="AC387" s="144"/>
      <c r="AD387" s="143"/>
      <c r="AE387" s="143"/>
      <c r="AF387" s="145"/>
    </row>
    <row r="388" spans="2:32" ht="17.25" customHeight="1">
      <c r="B388" s="34">
        <v>43</v>
      </c>
      <c r="C388" s="823"/>
      <c r="D388" s="792"/>
      <c r="E388" s="35" t="s">
        <v>10</v>
      </c>
      <c r="F388" s="36" t="str">
        <f t="shared" si="12"/>
        <v>IB1112B</v>
      </c>
      <c r="G388" s="302"/>
      <c r="H388" s="303"/>
      <c r="I388" s="303"/>
      <c r="J388" s="304"/>
      <c r="K388" s="140"/>
      <c r="L388" s="141"/>
      <c r="M388" s="140"/>
      <c r="N388" s="35" t="s">
        <v>11</v>
      </c>
      <c r="O388" s="38" t="str">
        <f t="shared" si="13"/>
        <v>OB1112B</v>
      </c>
      <c r="P388" s="83"/>
      <c r="Q388" s="84"/>
      <c r="R388" s="84"/>
      <c r="S388" s="85"/>
      <c r="T388" s="140"/>
      <c r="U388" s="142"/>
      <c r="V388" s="882"/>
      <c r="W388" s="883"/>
      <c r="X388" s="36"/>
      <c r="Y388" s="143"/>
      <c r="Z388" s="143"/>
      <c r="AA388" s="143"/>
      <c r="AB388" s="143"/>
      <c r="AC388" s="144"/>
      <c r="AD388" s="143"/>
      <c r="AE388" s="143"/>
      <c r="AF388" s="145"/>
    </row>
    <row r="389" spans="2:32" ht="17.25" customHeight="1">
      <c r="B389" s="34">
        <v>44</v>
      </c>
      <c r="C389" s="823"/>
      <c r="D389" s="792"/>
      <c r="E389" s="35" t="s">
        <v>10</v>
      </c>
      <c r="F389" s="36" t="str">
        <f t="shared" si="12"/>
        <v>IB1112C</v>
      </c>
      <c r="G389" s="302" t="s">
        <v>323</v>
      </c>
      <c r="H389" s="303"/>
      <c r="I389" s="303"/>
      <c r="J389" s="304"/>
      <c r="K389" s="140" t="s">
        <v>1513</v>
      </c>
      <c r="L389" s="141"/>
      <c r="M389" s="140"/>
      <c r="N389" s="35" t="s">
        <v>11</v>
      </c>
      <c r="O389" s="38" t="str">
        <f t="shared" si="13"/>
        <v>OB1112C</v>
      </c>
      <c r="P389" s="83"/>
      <c r="Q389" s="84"/>
      <c r="R389" s="84"/>
      <c r="S389" s="85"/>
      <c r="T389" s="140"/>
      <c r="U389" s="142"/>
      <c r="V389" s="882"/>
      <c r="W389" s="883"/>
      <c r="X389" s="36"/>
      <c r="Y389" s="143"/>
      <c r="Z389" s="143"/>
      <c r="AA389" s="143"/>
      <c r="AB389" s="143"/>
      <c r="AC389" s="144"/>
      <c r="AD389" s="143"/>
      <c r="AE389" s="143"/>
      <c r="AF389" s="145"/>
    </row>
    <row r="390" spans="2:32" ht="17.25" customHeight="1">
      <c r="B390" s="34">
        <v>45</v>
      </c>
      <c r="C390" s="823"/>
      <c r="D390" s="792"/>
      <c r="E390" s="35" t="s">
        <v>10</v>
      </c>
      <c r="F390" s="36" t="str">
        <f t="shared" si="12"/>
        <v>IB1112D</v>
      </c>
      <c r="G390" s="302" t="s">
        <v>324</v>
      </c>
      <c r="H390" s="303"/>
      <c r="I390" s="303"/>
      <c r="J390" s="304"/>
      <c r="K390" s="140" t="s">
        <v>1513</v>
      </c>
      <c r="L390" s="141"/>
      <c r="M390" s="140"/>
      <c r="N390" s="35" t="s">
        <v>11</v>
      </c>
      <c r="O390" s="38" t="str">
        <f t="shared" si="13"/>
        <v>OB1112D</v>
      </c>
      <c r="P390" s="83"/>
      <c r="Q390" s="84"/>
      <c r="R390" s="84"/>
      <c r="S390" s="85"/>
      <c r="T390" s="140"/>
      <c r="U390" s="142"/>
      <c r="V390" s="882"/>
      <c r="W390" s="883"/>
      <c r="X390" s="36"/>
      <c r="Y390" s="143"/>
      <c r="Z390" s="143"/>
      <c r="AA390" s="143"/>
      <c r="AB390" s="143"/>
      <c r="AC390" s="144"/>
      <c r="AD390" s="143"/>
      <c r="AE390" s="143"/>
      <c r="AF390" s="145"/>
    </row>
    <row r="391" spans="2:32" ht="17.25" customHeight="1">
      <c r="B391" s="34">
        <v>46</v>
      </c>
      <c r="C391" s="823"/>
      <c r="D391" s="792"/>
      <c r="E391" s="35" t="s">
        <v>10</v>
      </c>
      <c r="F391" s="36" t="str">
        <f t="shared" si="12"/>
        <v>IB1112E</v>
      </c>
      <c r="G391" s="302" t="s">
        <v>325</v>
      </c>
      <c r="H391" s="303"/>
      <c r="I391" s="303"/>
      <c r="J391" s="304"/>
      <c r="K391" s="140" t="s">
        <v>1513</v>
      </c>
      <c r="L391" s="141"/>
      <c r="M391" s="140"/>
      <c r="N391" s="35" t="s">
        <v>11</v>
      </c>
      <c r="O391" s="38" t="str">
        <f t="shared" si="13"/>
        <v>OB1112E</v>
      </c>
      <c r="P391" s="83"/>
      <c r="Q391" s="84"/>
      <c r="R391" s="84"/>
      <c r="S391" s="85"/>
      <c r="T391" s="140"/>
      <c r="U391" s="142"/>
      <c r="V391" s="882"/>
      <c r="W391" s="883"/>
      <c r="X391" s="36"/>
      <c r="Y391" s="143"/>
      <c r="Z391" s="143"/>
      <c r="AA391" s="143"/>
      <c r="AB391" s="143"/>
      <c r="AC391" s="144"/>
      <c r="AD391" s="143"/>
      <c r="AE391" s="143"/>
      <c r="AF391" s="145"/>
    </row>
    <row r="392" spans="2:32" ht="17.25" customHeight="1">
      <c r="B392" s="34">
        <v>47</v>
      </c>
      <c r="C392" s="837"/>
      <c r="D392" s="839"/>
      <c r="E392" s="35" t="s">
        <v>10</v>
      </c>
      <c r="F392" s="36" t="str">
        <f t="shared" si="12"/>
        <v>IB1112F</v>
      </c>
      <c r="G392" s="302" t="s">
        <v>326</v>
      </c>
      <c r="H392" s="303"/>
      <c r="I392" s="303"/>
      <c r="J392" s="304"/>
      <c r="K392" s="140" t="s">
        <v>1513</v>
      </c>
      <c r="L392" s="141"/>
      <c r="M392" s="140"/>
      <c r="N392" s="35" t="s">
        <v>11</v>
      </c>
      <c r="O392" s="38" t="str">
        <f t="shared" si="13"/>
        <v>OB1112F</v>
      </c>
      <c r="P392" s="332"/>
      <c r="Q392" s="333"/>
      <c r="R392" s="333"/>
      <c r="S392" s="334"/>
      <c r="T392" s="140"/>
      <c r="U392" s="142"/>
      <c r="V392" s="882"/>
      <c r="W392" s="883"/>
      <c r="X392" s="36"/>
      <c r="Y392" s="143"/>
      <c r="Z392" s="143"/>
      <c r="AA392" s="143"/>
      <c r="AB392" s="143"/>
      <c r="AC392" s="144"/>
      <c r="AD392" s="143"/>
      <c r="AE392" s="143"/>
      <c r="AF392" s="145"/>
    </row>
    <row r="393" spans="2:32" ht="17.25" customHeight="1">
      <c r="B393" s="34">
        <v>48</v>
      </c>
      <c r="C393" s="841" t="s">
        <v>260</v>
      </c>
      <c r="D393" s="840" t="s">
        <v>1404</v>
      </c>
      <c r="E393" s="35" t="s">
        <v>10</v>
      </c>
      <c r="F393" s="36" t="str">
        <f t="shared" si="12"/>
        <v>IB11130</v>
      </c>
      <c r="G393" s="317"/>
      <c r="H393" s="318"/>
      <c r="I393" s="318"/>
      <c r="J393" s="319"/>
      <c r="K393" s="140"/>
      <c r="L393" s="141"/>
      <c r="M393" s="140"/>
      <c r="N393" s="35" t="s">
        <v>11</v>
      </c>
      <c r="O393" s="38" t="str">
        <f t="shared" si="13"/>
        <v>OB11130</v>
      </c>
      <c r="P393" s="743" t="s">
        <v>519</v>
      </c>
      <c r="Q393" s="744"/>
      <c r="R393" s="744"/>
      <c r="S393" s="745"/>
      <c r="T393" s="140" t="s">
        <v>1513</v>
      </c>
      <c r="U393" s="142"/>
      <c r="V393" s="882"/>
      <c r="W393" s="883"/>
      <c r="X393" s="36"/>
      <c r="Y393" s="143"/>
      <c r="Z393" s="143"/>
      <c r="AA393" s="143"/>
      <c r="AB393" s="143"/>
      <c r="AC393" s="144"/>
      <c r="AD393" s="143"/>
      <c r="AE393" s="143"/>
      <c r="AF393" s="145"/>
    </row>
    <row r="394" spans="2:32" ht="17.25" customHeight="1">
      <c r="B394" s="34">
        <v>49</v>
      </c>
      <c r="C394" s="819"/>
      <c r="D394" s="792"/>
      <c r="E394" s="35" t="s">
        <v>10</v>
      </c>
      <c r="F394" s="36" t="str">
        <f t="shared" si="12"/>
        <v>IB11131</v>
      </c>
      <c r="G394" s="83"/>
      <c r="H394" s="84"/>
      <c r="I394" s="84"/>
      <c r="J394" s="85"/>
      <c r="K394" s="140"/>
      <c r="L394" s="141"/>
      <c r="M394" s="140"/>
      <c r="N394" s="35" t="s">
        <v>11</v>
      </c>
      <c r="O394" s="38" t="str">
        <f t="shared" si="13"/>
        <v>OB11131</v>
      </c>
      <c r="P394" s="743" t="s">
        <v>520</v>
      </c>
      <c r="Q394" s="744"/>
      <c r="R394" s="744"/>
      <c r="S394" s="745"/>
      <c r="T394" s="140" t="s">
        <v>1513</v>
      </c>
      <c r="U394" s="142"/>
      <c r="V394" s="882"/>
      <c r="W394" s="883"/>
      <c r="X394" s="36"/>
      <c r="Y394" s="143"/>
      <c r="Z394" s="143"/>
      <c r="AA394" s="143"/>
      <c r="AB394" s="143"/>
      <c r="AC394" s="144"/>
      <c r="AD394" s="143"/>
      <c r="AE394" s="143"/>
      <c r="AF394" s="145"/>
    </row>
    <row r="395" spans="2:32" ht="17.25" customHeight="1">
      <c r="B395" s="34">
        <v>50</v>
      </c>
      <c r="C395" s="819"/>
      <c r="D395" s="792"/>
      <c r="E395" s="35" t="s">
        <v>10</v>
      </c>
      <c r="F395" s="36" t="str">
        <f t="shared" si="12"/>
        <v>IB11132</v>
      </c>
      <c r="G395" s="83"/>
      <c r="H395" s="84"/>
      <c r="I395" s="84"/>
      <c r="J395" s="85"/>
      <c r="K395" s="140"/>
      <c r="L395" s="141"/>
      <c r="M395" s="140"/>
      <c r="N395" s="35" t="s">
        <v>11</v>
      </c>
      <c r="O395" s="38" t="str">
        <f t="shared" si="13"/>
        <v>OB11132</v>
      </c>
      <c r="P395" s="743" t="s">
        <v>521</v>
      </c>
      <c r="Q395" s="744"/>
      <c r="R395" s="744"/>
      <c r="S395" s="745"/>
      <c r="T395" s="140" t="s">
        <v>1513</v>
      </c>
      <c r="U395" s="142"/>
      <c r="V395" s="882"/>
      <c r="W395" s="883"/>
      <c r="X395" s="36"/>
      <c r="Y395" s="143"/>
      <c r="Z395" s="143"/>
      <c r="AA395" s="143"/>
      <c r="AB395" s="143"/>
      <c r="AC395" s="144"/>
      <c r="AD395" s="143"/>
      <c r="AE395" s="143"/>
      <c r="AF395" s="145"/>
    </row>
    <row r="396" spans="2:32" ht="17.25" customHeight="1">
      <c r="B396" s="34">
        <v>51</v>
      </c>
      <c r="C396" s="819"/>
      <c r="D396" s="792"/>
      <c r="E396" s="35" t="s">
        <v>10</v>
      </c>
      <c r="F396" s="36" t="str">
        <f t="shared" si="12"/>
        <v>IB11133</v>
      </c>
      <c r="G396" s="83"/>
      <c r="H396" s="84"/>
      <c r="I396" s="84"/>
      <c r="J396" s="85"/>
      <c r="K396" s="140"/>
      <c r="L396" s="141"/>
      <c r="M396" s="140"/>
      <c r="N396" s="35" t="s">
        <v>11</v>
      </c>
      <c r="O396" s="38" t="str">
        <f t="shared" si="13"/>
        <v>OB11133</v>
      </c>
      <c r="P396" s="743" t="s">
        <v>522</v>
      </c>
      <c r="Q396" s="744"/>
      <c r="R396" s="744"/>
      <c r="S396" s="745"/>
      <c r="T396" s="140" t="s">
        <v>1513</v>
      </c>
      <c r="U396" s="142"/>
      <c r="V396" s="882"/>
      <c r="W396" s="883"/>
      <c r="X396" s="36"/>
      <c r="Y396" s="143"/>
      <c r="Z396" s="143"/>
      <c r="AA396" s="143"/>
      <c r="AB396" s="143"/>
      <c r="AC396" s="144"/>
      <c r="AD396" s="143"/>
      <c r="AE396" s="143"/>
      <c r="AF396" s="145"/>
    </row>
    <row r="397" spans="2:32" ht="17.25" customHeight="1">
      <c r="B397" s="34">
        <v>52</v>
      </c>
      <c r="C397" s="819"/>
      <c r="D397" s="792"/>
      <c r="E397" s="35" t="s">
        <v>10</v>
      </c>
      <c r="F397" s="36" t="str">
        <f t="shared" si="12"/>
        <v>IB11134</v>
      </c>
      <c r="G397" s="83"/>
      <c r="H397" s="84"/>
      <c r="I397" s="84"/>
      <c r="J397" s="85"/>
      <c r="K397" s="140"/>
      <c r="L397" s="141"/>
      <c r="M397" s="140"/>
      <c r="N397" s="35" t="s">
        <v>11</v>
      </c>
      <c r="O397" s="38" t="str">
        <f t="shared" si="13"/>
        <v>OB11134</v>
      </c>
      <c r="P397" s="743" t="s">
        <v>523</v>
      </c>
      <c r="Q397" s="744"/>
      <c r="R397" s="744"/>
      <c r="S397" s="745"/>
      <c r="T397" s="140" t="s">
        <v>1513</v>
      </c>
      <c r="U397" s="142"/>
      <c r="V397" s="882"/>
      <c r="W397" s="883"/>
      <c r="X397" s="36"/>
      <c r="Y397" s="143"/>
      <c r="Z397" s="143"/>
      <c r="AA397" s="143"/>
      <c r="AB397" s="143"/>
      <c r="AC397" s="144"/>
      <c r="AD397" s="143"/>
      <c r="AE397" s="143"/>
      <c r="AF397" s="145"/>
    </row>
    <row r="398" spans="2:32" ht="17.25" customHeight="1">
      <c r="B398" s="34">
        <v>53</v>
      </c>
      <c r="C398" s="819"/>
      <c r="D398" s="792"/>
      <c r="E398" s="35" t="s">
        <v>10</v>
      </c>
      <c r="F398" s="36" t="str">
        <f t="shared" si="12"/>
        <v>IB11135</v>
      </c>
      <c r="G398" s="83"/>
      <c r="H398" s="84"/>
      <c r="I398" s="84"/>
      <c r="J398" s="85"/>
      <c r="K398" s="140"/>
      <c r="L398" s="141"/>
      <c r="M398" s="140"/>
      <c r="N398" s="35" t="s">
        <v>11</v>
      </c>
      <c r="O398" s="38" t="str">
        <f t="shared" si="13"/>
        <v>OB11135</v>
      </c>
      <c r="P398" s="743" t="s">
        <v>524</v>
      </c>
      <c r="Q398" s="744"/>
      <c r="R398" s="744"/>
      <c r="S398" s="745"/>
      <c r="T398" s="140" t="s">
        <v>1513</v>
      </c>
      <c r="U398" s="142"/>
      <c r="V398" s="882"/>
      <c r="W398" s="883"/>
      <c r="X398" s="36"/>
      <c r="Y398" s="143"/>
      <c r="Z398" s="143"/>
      <c r="AA398" s="143"/>
      <c r="AB398" s="143"/>
      <c r="AC398" s="144"/>
      <c r="AD398" s="143"/>
      <c r="AE398" s="143"/>
      <c r="AF398" s="145"/>
    </row>
    <row r="399" spans="2:32" ht="17.25" customHeight="1">
      <c r="B399" s="34">
        <v>54</v>
      </c>
      <c r="C399" s="819"/>
      <c r="D399" s="792"/>
      <c r="E399" s="35" t="s">
        <v>10</v>
      </c>
      <c r="F399" s="36" t="str">
        <f t="shared" si="12"/>
        <v>IB11136</v>
      </c>
      <c r="G399" s="83"/>
      <c r="H399" s="84"/>
      <c r="I399" s="84"/>
      <c r="J399" s="85"/>
      <c r="K399" s="140"/>
      <c r="L399" s="141"/>
      <c r="M399" s="140"/>
      <c r="N399" s="35" t="s">
        <v>11</v>
      </c>
      <c r="O399" s="38" t="str">
        <f t="shared" si="13"/>
        <v>OB11136</v>
      </c>
      <c r="P399" s="302"/>
      <c r="Q399" s="303"/>
      <c r="R399" s="303"/>
      <c r="S399" s="304"/>
      <c r="T399" s="140"/>
      <c r="U399" s="142"/>
      <c r="V399" s="882"/>
      <c r="W399" s="883"/>
      <c r="X399" s="36"/>
      <c r="Y399" s="143"/>
      <c r="Z399" s="143"/>
      <c r="AA399" s="143"/>
      <c r="AB399" s="143"/>
      <c r="AC399" s="144"/>
      <c r="AD399" s="143"/>
      <c r="AE399" s="143"/>
      <c r="AF399" s="145"/>
    </row>
    <row r="400" spans="2:32" ht="17.25" customHeight="1">
      <c r="B400" s="34">
        <v>55</v>
      </c>
      <c r="C400" s="819"/>
      <c r="D400" s="792"/>
      <c r="E400" s="35" t="s">
        <v>10</v>
      </c>
      <c r="F400" s="36" t="str">
        <f t="shared" si="12"/>
        <v>IB11137</v>
      </c>
      <c r="G400" s="83"/>
      <c r="H400" s="84"/>
      <c r="I400" s="84"/>
      <c r="J400" s="85"/>
      <c r="K400" s="140"/>
      <c r="L400" s="141"/>
      <c r="M400" s="140"/>
      <c r="N400" s="35" t="s">
        <v>11</v>
      </c>
      <c r="O400" s="38" t="str">
        <f t="shared" si="13"/>
        <v>OB11137</v>
      </c>
      <c r="P400" s="302"/>
      <c r="Q400" s="303"/>
      <c r="R400" s="303"/>
      <c r="S400" s="304"/>
      <c r="T400" s="140"/>
      <c r="U400" s="142"/>
      <c r="V400" s="882"/>
      <c r="W400" s="883"/>
      <c r="X400" s="36"/>
      <c r="Y400" s="143"/>
      <c r="Z400" s="143"/>
      <c r="AA400" s="143"/>
      <c r="AB400" s="143"/>
      <c r="AC400" s="144"/>
      <c r="AD400" s="143"/>
      <c r="AE400" s="143"/>
      <c r="AF400" s="145"/>
    </row>
    <row r="401" spans="2:32" ht="17.25" customHeight="1">
      <c r="B401" s="34">
        <v>56</v>
      </c>
      <c r="C401" s="819"/>
      <c r="D401" s="792"/>
      <c r="E401" s="35" t="s">
        <v>10</v>
      </c>
      <c r="F401" s="36" t="str">
        <f t="shared" si="12"/>
        <v>IB11138</v>
      </c>
      <c r="G401" s="83"/>
      <c r="H401" s="84"/>
      <c r="I401" s="84"/>
      <c r="J401" s="85"/>
      <c r="K401" s="143"/>
      <c r="L401" s="146"/>
      <c r="M401" s="625"/>
      <c r="N401" s="35" t="s">
        <v>11</v>
      </c>
      <c r="O401" s="38" t="str">
        <f t="shared" si="13"/>
        <v>OB11138</v>
      </c>
      <c r="P401" s="302" t="s">
        <v>525</v>
      </c>
      <c r="Q401" s="303"/>
      <c r="R401" s="303"/>
      <c r="S401" s="304"/>
      <c r="T401" s="140" t="s">
        <v>1513</v>
      </c>
      <c r="U401" s="142"/>
      <c r="V401" s="882"/>
      <c r="W401" s="883"/>
      <c r="X401" s="36"/>
      <c r="Y401" s="143"/>
      <c r="Z401" s="143"/>
      <c r="AA401" s="143"/>
      <c r="AB401" s="143"/>
      <c r="AC401" s="144"/>
      <c r="AD401" s="143"/>
      <c r="AE401" s="143"/>
      <c r="AF401" s="145"/>
    </row>
    <row r="402" spans="2:32" ht="17.25" customHeight="1">
      <c r="B402" s="34">
        <v>57</v>
      </c>
      <c r="C402" s="819"/>
      <c r="D402" s="792"/>
      <c r="E402" s="35" t="s">
        <v>10</v>
      </c>
      <c r="F402" s="36" t="str">
        <f t="shared" si="12"/>
        <v>IB11139</v>
      </c>
      <c r="G402" s="83"/>
      <c r="H402" s="84"/>
      <c r="I402" s="84"/>
      <c r="J402" s="85"/>
      <c r="K402" s="143"/>
      <c r="L402" s="146"/>
      <c r="M402" s="625"/>
      <c r="N402" s="35" t="s">
        <v>11</v>
      </c>
      <c r="O402" s="38" t="str">
        <f t="shared" si="13"/>
        <v>OB11139</v>
      </c>
      <c r="P402" s="89" t="s">
        <v>526</v>
      </c>
      <c r="Q402" s="303"/>
      <c r="R402" s="303"/>
      <c r="S402" s="304"/>
      <c r="T402" s="140" t="s">
        <v>1513</v>
      </c>
      <c r="U402" s="142"/>
      <c r="V402" s="882"/>
      <c r="W402" s="883"/>
      <c r="X402" s="36"/>
      <c r="Y402" s="143"/>
      <c r="Z402" s="143"/>
      <c r="AA402" s="143"/>
      <c r="AB402" s="143"/>
      <c r="AC402" s="144"/>
      <c r="AD402" s="143"/>
      <c r="AE402" s="143"/>
      <c r="AF402" s="145"/>
    </row>
    <row r="403" spans="2:32" ht="17.25" customHeight="1">
      <c r="B403" s="34">
        <v>58</v>
      </c>
      <c r="C403" s="819"/>
      <c r="D403" s="792"/>
      <c r="E403" s="35" t="s">
        <v>10</v>
      </c>
      <c r="F403" s="36" t="str">
        <f t="shared" si="12"/>
        <v>IB1113A</v>
      </c>
      <c r="G403" s="83"/>
      <c r="H403" s="84"/>
      <c r="I403" s="84"/>
      <c r="J403" s="85"/>
      <c r="K403" s="593"/>
      <c r="L403" s="147"/>
      <c r="M403" s="626"/>
      <c r="N403" s="35" t="s">
        <v>11</v>
      </c>
      <c r="O403" s="38" t="str">
        <f t="shared" si="13"/>
        <v>OB1113A</v>
      </c>
      <c r="P403" s="89" t="s">
        <v>527</v>
      </c>
      <c r="Q403" s="303"/>
      <c r="R403" s="303"/>
      <c r="S403" s="304"/>
      <c r="T403" s="140" t="s">
        <v>1513</v>
      </c>
      <c r="U403" s="142"/>
      <c r="V403" s="882"/>
      <c r="W403" s="883"/>
      <c r="X403" s="36"/>
      <c r="Y403" s="143"/>
      <c r="Z403" s="143"/>
      <c r="AA403" s="143"/>
      <c r="AB403" s="143"/>
      <c r="AC403" s="144"/>
      <c r="AD403" s="143"/>
      <c r="AE403" s="143"/>
      <c r="AF403" s="145"/>
    </row>
    <row r="404" spans="2:32" ht="17.25" customHeight="1">
      <c r="B404" s="34">
        <v>59</v>
      </c>
      <c r="C404" s="819"/>
      <c r="D404" s="792"/>
      <c r="E404" s="35" t="s">
        <v>10</v>
      </c>
      <c r="F404" s="36" t="str">
        <f t="shared" si="12"/>
        <v>IB1113B</v>
      </c>
      <c r="G404" s="83"/>
      <c r="H404" s="84"/>
      <c r="I404" s="84"/>
      <c r="J404" s="85"/>
      <c r="K404" s="593"/>
      <c r="L404" s="147"/>
      <c r="M404" s="626"/>
      <c r="N404" s="35" t="s">
        <v>11</v>
      </c>
      <c r="O404" s="38" t="str">
        <f t="shared" si="13"/>
        <v>OB1113B</v>
      </c>
      <c r="P404" s="302"/>
      <c r="Q404" s="303"/>
      <c r="R404" s="303"/>
      <c r="S404" s="304"/>
      <c r="T404" s="140"/>
      <c r="U404" s="142"/>
      <c r="V404" s="882"/>
      <c r="W404" s="883"/>
      <c r="X404" s="36"/>
      <c r="Y404" s="143"/>
      <c r="Z404" s="143"/>
      <c r="AA404" s="143"/>
      <c r="AB404" s="143"/>
      <c r="AC404" s="144"/>
      <c r="AD404" s="143"/>
      <c r="AE404" s="143"/>
      <c r="AF404" s="145"/>
    </row>
    <row r="405" spans="2:32" ht="17.25" customHeight="1">
      <c r="B405" s="34">
        <v>60</v>
      </c>
      <c r="C405" s="819"/>
      <c r="D405" s="792"/>
      <c r="E405" s="35" t="s">
        <v>10</v>
      </c>
      <c r="F405" s="36" t="str">
        <f t="shared" si="12"/>
        <v>IB1113C</v>
      </c>
      <c r="G405" s="83"/>
      <c r="H405" s="84"/>
      <c r="I405" s="84"/>
      <c r="J405" s="85"/>
      <c r="K405" s="593"/>
      <c r="L405" s="147"/>
      <c r="M405" s="626"/>
      <c r="N405" s="35" t="s">
        <v>11</v>
      </c>
      <c r="O405" s="38" t="str">
        <f t="shared" si="13"/>
        <v>OB1113C</v>
      </c>
      <c r="P405" s="302" t="s">
        <v>528</v>
      </c>
      <c r="Q405" s="303"/>
      <c r="R405" s="303"/>
      <c r="S405" s="304"/>
      <c r="T405" s="140" t="s">
        <v>1513</v>
      </c>
      <c r="U405" s="142"/>
      <c r="V405" s="882"/>
      <c r="W405" s="883"/>
      <c r="X405" s="36"/>
      <c r="Y405" s="143"/>
      <c r="Z405" s="143"/>
      <c r="AA405" s="143"/>
      <c r="AB405" s="143"/>
      <c r="AC405" s="144"/>
      <c r="AD405" s="143"/>
      <c r="AE405" s="143"/>
      <c r="AF405" s="145"/>
    </row>
    <row r="406" spans="2:32" ht="17.25" customHeight="1">
      <c r="B406" s="34">
        <v>61</v>
      </c>
      <c r="C406" s="819"/>
      <c r="D406" s="792"/>
      <c r="E406" s="35" t="s">
        <v>10</v>
      </c>
      <c r="F406" s="36" t="str">
        <f t="shared" si="12"/>
        <v>IB1113D</v>
      </c>
      <c r="G406" s="83"/>
      <c r="H406" s="84"/>
      <c r="I406" s="84"/>
      <c r="J406" s="85"/>
      <c r="K406" s="593"/>
      <c r="L406" s="147"/>
      <c r="M406" s="626"/>
      <c r="N406" s="35" t="s">
        <v>11</v>
      </c>
      <c r="O406" s="38" t="str">
        <f t="shared" si="13"/>
        <v>OB1113D</v>
      </c>
      <c r="P406" s="302" t="s">
        <v>529</v>
      </c>
      <c r="Q406" s="303"/>
      <c r="R406" s="303"/>
      <c r="S406" s="304"/>
      <c r="T406" s="140" t="s">
        <v>1513</v>
      </c>
      <c r="U406" s="142"/>
      <c r="V406" s="882"/>
      <c r="W406" s="883"/>
      <c r="X406" s="36"/>
      <c r="Y406" s="143"/>
      <c r="Z406" s="143"/>
      <c r="AA406" s="143"/>
      <c r="AB406" s="143"/>
      <c r="AC406" s="144"/>
      <c r="AD406" s="143"/>
      <c r="AE406" s="143"/>
      <c r="AF406" s="145"/>
    </row>
    <row r="407" spans="2:32" ht="17.25" customHeight="1">
      <c r="B407" s="34">
        <v>62</v>
      </c>
      <c r="C407" s="819"/>
      <c r="D407" s="792"/>
      <c r="E407" s="35" t="s">
        <v>10</v>
      </c>
      <c r="F407" s="36" t="str">
        <f t="shared" si="12"/>
        <v>IB1113E</v>
      </c>
      <c r="G407" s="83"/>
      <c r="H407" s="84"/>
      <c r="I407" s="84"/>
      <c r="J407" s="85"/>
      <c r="K407" s="143"/>
      <c r="L407" s="146"/>
      <c r="M407" s="625"/>
      <c r="N407" s="35" t="s">
        <v>11</v>
      </c>
      <c r="O407" s="38" t="str">
        <f t="shared" si="13"/>
        <v>OB1113E</v>
      </c>
      <c r="P407" s="305" t="s">
        <v>530</v>
      </c>
      <c r="Q407" s="306"/>
      <c r="R407" s="306"/>
      <c r="S407" s="307"/>
      <c r="T407" s="140" t="s">
        <v>1513</v>
      </c>
      <c r="U407" s="142"/>
      <c r="V407" s="882"/>
      <c r="W407" s="883"/>
      <c r="X407" s="36"/>
      <c r="Y407" s="143"/>
      <c r="Z407" s="143"/>
      <c r="AA407" s="143"/>
      <c r="AB407" s="143"/>
      <c r="AC407" s="144"/>
      <c r="AD407" s="143"/>
      <c r="AE407" s="143"/>
      <c r="AF407" s="145"/>
    </row>
    <row r="408" spans="2:32" ht="17.25" customHeight="1">
      <c r="B408" s="34">
        <v>63</v>
      </c>
      <c r="C408" s="842"/>
      <c r="D408" s="839"/>
      <c r="E408" s="35" t="s">
        <v>10</v>
      </c>
      <c r="F408" s="36" t="str">
        <f t="shared" si="12"/>
        <v>IB1113F</v>
      </c>
      <c r="G408" s="332"/>
      <c r="H408" s="333"/>
      <c r="I408" s="333"/>
      <c r="J408" s="334"/>
      <c r="K408" s="143"/>
      <c r="L408" s="146"/>
      <c r="M408" s="625"/>
      <c r="N408" s="35" t="s">
        <v>11</v>
      </c>
      <c r="O408" s="38" t="str">
        <f t="shared" si="13"/>
        <v>OB1113F</v>
      </c>
      <c r="P408" s="305" t="s">
        <v>531</v>
      </c>
      <c r="Q408" s="306"/>
      <c r="R408" s="306"/>
      <c r="S408" s="307"/>
      <c r="T408" s="140" t="s">
        <v>1513</v>
      </c>
      <c r="U408" s="142"/>
      <c r="V408" s="882"/>
      <c r="W408" s="883"/>
      <c r="X408" s="36"/>
      <c r="Y408" s="143"/>
      <c r="Z408" s="143"/>
      <c r="AA408" s="143"/>
      <c r="AB408" s="143"/>
      <c r="AC408" s="144"/>
      <c r="AD408" s="143"/>
      <c r="AE408" s="143"/>
      <c r="AF408" s="145"/>
    </row>
    <row r="409" spans="2:32" ht="17.25" customHeight="1">
      <c r="B409" s="34">
        <v>64</v>
      </c>
      <c r="C409" s="836" t="s">
        <v>61</v>
      </c>
      <c r="D409" s="840" t="s">
        <v>1404</v>
      </c>
      <c r="E409" s="35" t="s">
        <v>10</v>
      </c>
      <c r="F409" s="36" t="str">
        <f t="shared" si="12"/>
        <v>IB11140</v>
      </c>
      <c r="G409" s="749" t="s">
        <v>387</v>
      </c>
      <c r="H409" s="750"/>
      <c r="I409" s="750"/>
      <c r="J409" s="751"/>
      <c r="K409" s="140" t="s">
        <v>1513</v>
      </c>
      <c r="L409" s="141"/>
      <c r="M409" s="140"/>
      <c r="N409" s="35" t="s">
        <v>11</v>
      </c>
      <c r="O409" s="38" t="str">
        <f t="shared" si="13"/>
        <v>OB11140</v>
      </c>
      <c r="P409" s="317"/>
      <c r="Q409" s="318"/>
      <c r="R409" s="318"/>
      <c r="S409" s="319"/>
      <c r="T409" s="140"/>
      <c r="U409" s="142"/>
      <c r="V409" s="882"/>
      <c r="W409" s="883"/>
      <c r="X409" s="36"/>
      <c r="Y409" s="143"/>
      <c r="Z409" s="143"/>
      <c r="AA409" s="143"/>
      <c r="AB409" s="143"/>
      <c r="AC409" s="144"/>
      <c r="AD409" s="143"/>
      <c r="AE409" s="143"/>
      <c r="AF409" s="145"/>
    </row>
    <row r="410" spans="2:32" ht="17.25" customHeight="1">
      <c r="B410" s="34">
        <v>65</v>
      </c>
      <c r="C410" s="823"/>
      <c r="D410" s="792"/>
      <c r="E410" s="35" t="s">
        <v>10</v>
      </c>
      <c r="F410" s="36" t="str">
        <f t="shared" si="12"/>
        <v>IB11141</v>
      </c>
      <c r="G410" s="749" t="s">
        <v>388</v>
      </c>
      <c r="H410" s="750"/>
      <c r="I410" s="750"/>
      <c r="J410" s="751"/>
      <c r="K410" s="140" t="s">
        <v>1513</v>
      </c>
      <c r="L410" s="141"/>
      <c r="M410" s="140"/>
      <c r="N410" s="35" t="s">
        <v>11</v>
      </c>
      <c r="O410" s="38" t="str">
        <f t="shared" si="13"/>
        <v>OB11141</v>
      </c>
      <c r="P410" s="83"/>
      <c r="Q410" s="84"/>
      <c r="R410" s="84"/>
      <c r="S410" s="85"/>
      <c r="T410" s="140"/>
      <c r="U410" s="142"/>
      <c r="V410" s="882"/>
      <c r="W410" s="883"/>
      <c r="X410" s="36"/>
      <c r="Y410" s="143"/>
      <c r="Z410" s="143"/>
      <c r="AA410" s="143"/>
      <c r="AB410" s="143"/>
      <c r="AC410" s="144"/>
      <c r="AD410" s="143"/>
      <c r="AE410" s="143"/>
      <c r="AF410" s="145"/>
    </row>
    <row r="411" spans="2:32" ht="17.25" customHeight="1">
      <c r="B411" s="34">
        <v>66</v>
      </c>
      <c r="C411" s="823"/>
      <c r="D411" s="792"/>
      <c r="E411" s="35" t="s">
        <v>10</v>
      </c>
      <c r="F411" s="36" t="str">
        <f t="shared" ref="F411:F474" si="14">LEFT(F410,1)&amp;DEC2HEX(HEX2DEC(MID(F410,2,LENB(F410)-1))+1,LENB(F410)-1)</f>
        <v>IB11142</v>
      </c>
      <c r="G411" s="749" t="s">
        <v>389</v>
      </c>
      <c r="H411" s="750"/>
      <c r="I411" s="750"/>
      <c r="J411" s="751"/>
      <c r="K411" s="140" t="s">
        <v>1513</v>
      </c>
      <c r="L411" s="141"/>
      <c r="M411" s="140"/>
      <c r="N411" s="35" t="s">
        <v>11</v>
      </c>
      <c r="O411" s="38" t="str">
        <f t="shared" ref="O411:O474" si="15">LEFT(O410,1)&amp;DEC2HEX(HEX2DEC(MID(O410,2,LENB(O410)-1))+1,LENB(O410)-1)</f>
        <v>OB11142</v>
      </c>
      <c r="P411" s="83"/>
      <c r="Q411" s="84"/>
      <c r="R411" s="84"/>
      <c r="S411" s="85"/>
      <c r="T411" s="140"/>
      <c r="U411" s="142"/>
      <c r="V411" s="882"/>
      <c r="W411" s="883"/>
      <c r="X411" s="36"/>
      <c r="Y411" s="143"/>
      <c r="Z411" s="143"/>
      <c r="AA411" s="143"/>
      <c r="AB411" s="143"/>
      <c r="AC411" s="144"/>
      <c r="AD411" s="143"/>
      <c r="AE411" s="143"/>
      <c r="AF411" s="145"/>
    </row>
    <row r="412" spans="2:32" ht="17.25" customHeight="1">
      <c r="B412" s="34">
        <v>67</v>
      </c>
      <c r="C412" s="823"/>
      <c r="D412" s="792"/>
      <c r="E412" s="35" t="s">
        <v>10</v>
      </c>
      <c r="F412" s="36" t="str">
        <f t="shared" si="14"/>
        <v>IB11143</v>
      </c>
      <c r="G412" s="749" t="s">
        <v>390</v>
      </c>
      <c r="H412" s="750"/>
      <c r="I412" s="750"/>
      <c r="J412" s="751"/>
      <c r="K412" s="140" t="s">
        <v>1513</v>
      </c>
      <c r="L412" s="141"/>
      <c r="M412" s="140"/>
      <c r="N412" s="35" t="s">
        <v>11</v>
      </c>
      <c r="O412" s="38" t="str">
        <f t="shared" si="15"/>
        <v>OB11143</v>
      </c>
      <c r="P412" s="83"/>
      <c r="Q412" s="84"/>
      <c r="R412" s="84"/>
      <c r="S412" s="85"/>
      <c r="T412" s="140"/>
      <c r="U412" s="142"/>
      <c r="V412" s="882"/>
      <c r="W412" s="883"/>
      <c r="X412" s="36"/>
      <c r="Y412" s="143"/>
      <c r="Z412" s="143"/>
      <c r="AA412" s="143"/>
      <c r="AB412" s="143"/>
      <c r="AC412" s="144"/>
      <c r="AD412" s="143"/>
      <c r="AE412" s="143"/>
      <c r="AF412" s="145"/>
    </row>
    <row r="413" spans="2:32" ht="17.25" customHeight="1">
      <c r="B413" s="34">
        <v>68</v>
      </c>
      <c r="C413" s="823"/>
      <c r="D413" s="792"/>
      <c r="E413" s="35" t="s">
        <v>10</v>
      </c>
      <c r="F413" s="36" t="str">
        <f t="shared" si="14"/>
        <v>IB11144</v>
      </c>
      <c r="G413" s="749" t="s">
        <v>391</v>
      </c>
      <c r="H413" s="750"/>
      <c r="I413" s="750"/>
      <c r="J413" s="751"/>
      <c r="K413" s="140" t="s">
        <v>1516</v>
      </c>
      <c r="L413" s="141" t="s">
        <v>1516</v>
      </c>
      <c r="M413" s="627"/>
      <c r="N413" s="35" t="s">
        <v>11</v>
      </c>
      <c r="O413" s="38" t="str">
        <f t="shared" si="15"/>
        <v>OB11144</v>
      </c>
      <c r="P413" s="83"/>
      <c r="Q413" s="84"/>
      <c r="R413" s="84"/>
      <c r="S413" s="85"/>
      <c r="T413" s="140"/>
      <c r="U413" s="142"/>
      <c r="V413" s="882"/>
      <c r="W413" s="883"/>
      <c r="X413" s="36"/>
      <c r="Y413" s="143"/>
      <c r="Z413" s="143"/>
      <c r="AA413" s="143"/>
      <c r="AB413" s="143"/>
      <c r="AC413" s="144"/>
      <c r="AD413" s="143"/>
      <c r="AE413" s="143"/>
      <c r="AF413" s="145"/>
    </row>
    <row r="414" spans="2:32" ht="17.25" customHeight="1">
      <c r="B414" s="34">
        <v>69</v>
      </c>
      <c r="C414" s="823"/>
      <c r="D414" s="792"/>
      <c r="E414" s="35" t="s">
        <v>10</v>
      </c>
      <c r="F414" s="36" t="str">
        <f t="shared" si="14"/>
        <v>IB11145</v>
      </c>
      <c r="G414" s="749" t="s">
        <v>392</v>
      </c>
      <c r="H414" s="750"/>
      <c r="I414" s="750"/>
      <c r="J414" s="751"/>
      <c r="K414" s="140" t="s">
        <v>1516</v>
      </c>
      <c r="L414" s="141" t="s">
        <v>1516</v>
      </c>
      <c r="M414" s="627"/>
      <c r="N414" s="35" t="s">
        <v>11</v>
      </c>
      <c r="O414" s="38" t="str">
        <f t="shared" si="15"/>
        <v>OB11145</v>
      </c>
      <c r="P414" s="83"/>
      <c r="Q414" s="84"/>
      <c r="R414" s="84"/>
      <c r="S414" s="85"/>
      <c r="T414" s="140"/>
      <c r="U414" s="142"/>
      <c r="V414" s="882"/>
      <c r="W414" s="883"/>
      <c r="X414" s="36"/>
      <c r="Y414" s="143"/>
      <c r="Z414" s="143"/>
      <c r="AA414" s="143"/>
      <c r="AB414" s="143"/>
      <c r="AC414" s="144"/>
      <c r="AD414" s="143"/>
      <c r="AE414" s="143"/>
      <c r="AF414" s="145"/>
    </row>
    <row r="415" spans="2:32" ht="17.25" customHeight="1">
      <c r="B415" s="34">
        <v>70</v>
      </c>
      <c r="C415" s="823"/>
      <c r="D415" s="792"/>
      <c r="E415" s="35" t="s">
        <v>10</v>
      </c>
      <c r="F415" s="36" t="str">
        <f t="shared" si="14"/>
        <v>IB11146</v>
      </c>
      <c r="G415" s="749" t="s">
        <v>393</v>
      </c>
      <c r="H415" s="750"/>
      <c r="I415" s="750"/>
      <c r="J415" s="751"/>
      <c r="K415" s="140" t="s">
        <v>1516</v>
      </c>
      <c r="L415" s="141" t="s">
        <v>1516</v>
      </c>
      <c r="M415" s="627"/>
      <c r="N415" s="35" t="s">
        <v>11</v>
      </c>
      <c r="O415" s="38" t="str">
        <f t="shared" si="15"/>
        <v>OB11146</v>
      </c>
      <c r="P415" s="83"/>
      <c r="Q415" s="84"/>
      <c r="R415" s="84"/>
      <c r="S415" s="85"/>
      <c r="T415" s="140"/>
      <c r="U415" s="142"/>
      <c r="V415" s="882"/>
      <c r="W415" s="883"/>
      <c r="X415" s="36"/>
      <c r="Y415" s="143"/>
      <c r="Z415" s="143"/>
      <c r="AA415" s="143"/>
      <c r="AB415" s="143"/>
      <c r="AC415" s="144"/>
      <c r="AD415" s="143"/>
      <c r="AE415" s="143"/>
      <c r="AF415" s="145"/>
    </row>
    <row r="416" spans="2:32" ht="17.25" customHeight="1">
      <c r="B416" s="34">
        <v>71</v>
      </c>
      <c r="C416" s="823"/>
      <c r="D416" s="792"/>
      <c r="E416" s="35" t="s">
        <v>10</v>
      </c>
      <c r="F416" s="36" t="str">
        <f t="shared" si="14"/>
        <v>IB11147</v>
      </c>
      <c r="G416" s="749" t="s">
        <v>394</v>
      </c>
      <c r="H416" s="750"/>
      <c r="I416" s="750"/>
      <c r="J416" s="751"/>
      <c r="K416" s="140" t="s">
        <v>1516</v>
      </c>
      <c r="L416" s="141" t="s">
        <v>1516</v>
      </c>
      <c r="M416" s="627"/>
      <c r="N416" s="35" t="s">
        <v>11</v>
      </c>
      <c r="O416" s="38" t="str">
        <f t="shared" si="15"/>
        <v>OB11147</v>
      </c>
      <c r="P416" s="83"/>
      <c r="Q416" s="84"/>
      <c r="R416" s="84"/>
      <c r="S416" s="85"/>
      <c r="T416" s="140"/>
      <c r="U416" s="142"/>
      <c r="V416" s="882"/>
      <c r="W416" s="883"/>
      <c r="X416" s="36"/>
      <c r="Y416" s="143"/>
      <c r="Z416" s="143"/>
      <c r="AA416" s="143"/>
      <c r="AB416" s="143"/>
      <c r="AC416" s="144"/>
      <c r="AD416" s="143"/>
      <c r="AE416" s="143"/>
      <c r="AF416" s="145"/>
    </row>
    <row r="417" spans="2:32" ht="17.25" customHeight="1">
      <c r="B417" s="34">
        <v>72</v>
      </c>
      <c r="C417" s="823"/>
      <c r="D417" s="792"/>
      <c r="E417" s="35" t="s">
        <v>10</v>
      </c>
      <c r="F417" s="36" t="str">
        <f t="shared" si="14"/>
        <v>IB11148</v>
      </c>
      <c r="G417" s="570" t="s">
        <v>1454</v>
      </c>
      <c r="H417" s="571"/>
      <c r="I417" s="571"/>
      <c r="J417" s="572"/>
      <c r="K417" s="140" t="s">
        <v>1516</v>
      </c>
      <c r="L417" s="141" t="s">
        <v>1516</v>
      </c>
      <c r="M417" s="140"/>
      <c r="N417" s="35" t="s">
        <v>11</v>
      </c>
      <c r="O417" s="38" t="str">
        <f t="shared" si="15"/>
        <v>OB11148</v>
      </c>
      <c r="P417" s="83"/>
      <c r="Q417" s="84"/>
      <c r="R417" s="84"/>
      <c r="S417" s="85"/>
      <c r="T417" s="140"/>
      <c r="U417" s="142"/>
      <c r="V417" s="882"/>
      <c r="W417" s="883"/>
      <c r="X417" s="36"/>
      <c r="Y417" s="143"/>
      <c r="Z417" s="143"/>
      <c r="AA417" s="143"/>
      <c r="AB417" s="143"/>
      <c r="AC417" s="144"/>
      <c r="AD417" s="143"/>
      <c r="AE417" s="143"/>
      <c r="AF417" s="145"/>
    </row>
    <row r="418" spans="2:32" ht="17.25" customHeight="1">
      <c r="B418" s="34">
        <v>73</v>
      </c>
      <c r="C418" s="823"/>
      <c r="D418" s="792"/>
      <c r="E418" s="35" t="s">
        <v>10</v>
      </c>
      <c r="F418" s="36" t="str">
        <f t="shared" si="14"/>
        <v>IB11149</v>
      </c>
      <c r="G418" s="570" t="s">
        <v>1455</v>
      </c>
      <c r="H418" s="571"/>
      <c r="I418" s="571"/>
      <c r="J418" s="572"/>
      <c r="K418" s="140" t="s">
        <v>1516</v>
      </c>
      <c r="L418" s="141" t="s">
        <v>1516</v>
      </c>
      <c r="M418" s="140"/>
      <c r="N418" s="35" t="s">
        <v>11</v>
      </c>
      <c r="O418" s="38" t="str">
        <f t="shared" si="15"/>
        <v>OB11149</v>
      </c>
      <c r="P418" s="83"/>
      <c r="Q418" s="84"/>
      <c r="R418" s="84"/>
      <c r="S418" s="85"/>
      <c r="T418" s="140"/>
      <c r="U418" s="142"/>
      <c r="V418" s="882"/>
      <c r="W418" s="883"/>
      <c r="X418" s="36"/>
      <c r="Y418" s="143"/>
      <c r="Z418" s="143"/>
      <c r="AA418" s="143"/>
      <c r="AB418" s="143"/>
      <c r="AC418" s="144"/>
      <c r="AD418" s="143"/>
      <c r="AE418" s="143"/>
      <c r="AF418" s="145"/>
    </row>
    <row r="419" spans="2:32" ht="17.25" customHeight="1">
      <c r="B419" s="34">
        <v>74</v>
      </c>
      <c r="C419" s="823"/>
      <c r="D419" s="792"/>
      <c r="E419" s="35" t="s">
        <v>10</v>
      </c>
      <c r="F419" s="36" t="str">
        <f t="shared" si="14"/>
        <v>IB1114A</v>
      </c>
      <c r="G419" s="323"/>
      <c r="H419" s="324"/>
      <c r="I419" s="324"/>
      <c r="J419" s="325"/>
      <c r="K419" s="140"/>
      <c r="L419" s="141"/>
      <c r="M419" s="140"/>
      <c r="N419" s="35" t="s">
        <v>11</v>
      </c>
      <c r="O419" s="38" t="str">
        <f t="shared" si="15"/>
        <v>OB1114A</v>
      </c>
      <c r="P419" s="83"/>
      <c r="Q419" s="84"/>
      <c r="R419" s="84"/>
      <c r="S419" s="85"/>
      <c r="T419" s="140"/>
      <c r="U419" s="142"/>
      <c r="V419" s="882"/>
      <c r="W419" s="883"/>
      <c r="X419" s="36"/>
      <c r="Y419" s="143"/>
      <c r="Z419" s="143"/>
      <c r="AA419" s="143"/>
      <c r="AB419" s="143"/>
      <c r="AC419" s="144"/>
      <c r="AD419" s="143"/>
      <c r="AE419" s="143"/>
      <c r="AF419" s="145"/>
    </row>
    <row r="420" spans="2:32" ht="17.25" customHeight="1">
      <c r="B420" s="34">
        <v>75</v>
      </c>
      <c r="C420" s="823"/>
      <c r="D420" s="792"/>
      <c r="E420" s="35" t="s">
        <v>10</v>
      </c>
      <c r="F420" s="36" t="str">
        <f t="shared" si="14"/>
        <v>IB1114B</v>
      </c>
      <c r="G420" s="323"/>
      <c r="H420" s="324"/>
      <c r="I420" s="324"/>
      <c r="J420" s="325"/>
      <c r="K420" s="140"/>
      <c r="L420" s="141"/>
      <c r="M420" s="140"/>
      <c r="N420" s="35" t="s">
        <v>11</v>
      </c>
      <c r="O420" s="38" t="str">
        <f t="shared" si="15"/>
        <v>OB1114B</v>
      </c>
      <c r="P420" s="83"/>
      <c r="Q420" s="84"/>
      <c r="R420" s="84"/>
      <c r="S420" s="85"/>
      <c r="T420" s="140"/>
      <c r="U420" s="142"/>
      <c r="V420" s="882"/>
      <c r="W420" s="883"/>
      <c r="X420" s="36"/>
      <c r="Y420" s="143"/>
      <c r="Z420" s="143"/>
      <c r="AA420" s="143"/>
      <c r="AB420" s="143"/>
      <c r="AC420" s="144"/>
      <c r="AD420" s="143"/>
      <c r="AE420" s="143"/>
      <c r="AF420" s="145"/>
    </row>
    <row r="421" spans="2:32" ht="17.25" customHeight="1">
      <c r="B421" s="34">
        <v>76</v>
      </c>
      <c r="C421" s="823"/>
      <c r="D421" s="792"/>
      <c r="E421" s="35" t="s">
        <v>10</v>
      </c>
      <c r="F421" s="36" t="str">
        <f t="shared" si="14"/>
        <v>IB1114C</v>
      </c>
      <c r="G421" s="302"/>
      <c r="H421" s="303"/>
      <c r="I421" s="303"/>
      <c r="J421" s="304"/>
      <c r="K421" s="140"/>
      <c r="L421" s="141"/>
      <c r="M421" s="140"/>
      <c r="N421" s="35" t="s">
        <v>11</v>
      </c>
      <c r="O421" s="38" t="str">
        <f t="shared" si="15"/>
        <v>OB1114C</v>
      </c>
      <c r="P421" s="83"/>
      <c r="Q421" s="84"/>
      <c r="R421" s="84"/>
      <c r="S421" s="85"/>
      <c r="T421" s="140"/>
      <c r="U421" s="142"/>
      <c r="V421" s="882"/>
      <c r="W421" s="883"/>
      <c r="X421" s="36"/>
      <c r="Y421" s="143"/>
      <c r="Z421" s="143"/>
      <c r="AA421" s="143"/>
      <c r="AB421" s="143"/>
      <c r="AC421" s="144"/>
      <c r="AD421" s="143"/>
      <c r="AE421" s="143"/>
      <c r="AF421" s="145"/>
    </row>
    <row r="422" spans="2:32" ht="17.25" customHeight="1">
      <c r="B422" s="34">
        <v>77</v>
      </c>
      <c r="C422" s="823"/>
      <c r="D422" s="792"/>
      <c r="E422" s="35" t="s">
        <v>10</v>
      </c>
      <c r="F422" s="36" t="str">
        <f t="shared" si="14"/>
        <v>IB1114D</v>
      </c>
      <c r="G422" s="302"/>
      <c r="H422" s="303"/>
      <c r="I422" s="303"/>
      <c r="J422" s="304"/>
      <c r="K422" s="140"/>
      <c r="L422" s="141"/>
      <c r="M422" s="140"/>
      <c r="N422" s="35" t="s">
        <v>11</v>
      </c>
      <c r="O422" s="38" t="str">
        <f t="shared" si="15"/>
        <v>OB1114D</v>
      </c>
      <c r="P422" s="83"/>
      <c r="Q422" s="84"/>
      <c r="R422" s="84"/>
      <c r="S422" s="85"/>
      <c r="T422" s="140"/>
      <c r="U422" s="142"/>
      <c r="V422" s="882"/>
      <c r="W422" s="883"/>
      <c r="X422" s="36"/>
      <c r="Y422" s="143"/>
      <c r="Z422" s="143"/>
      <c r="AA422" s="143"/>
      <c r="AB422" s="143"/>
      <c r="AC422" s="144"/>
      <c r="AD422" s="143"/>
      <c r="AE422" s="143"/>
      <c r="AF422" s="145"/>
    </row>
    <row r="423" spans="2:32" ht="17.25" customHeight="1">
      <c r="B423" s="34">
        <v>78</v>
      </c>
      <c r="C423" s="823"/>
      <c r="D423" s="792"/>
      <c r="E423" s="35" t="s">
        <v>10</v>
      </c>
      <c r="F423" s="36" t="str">
        <f t="shared" si="14"/>
        <v>IB1114E</v>
      </c>
      <c r="G423" s="302"/>
      <c r="H423" s="303"/>
      <c r="I423" s="303"/>
      <c r="J423" s="304"/>
      <c r="K423" s="143"/>
      <c r="L423" s="146"/>
      <c r="M423" s="625"/>
      <c r="N423" s="35" t="s">
        <v>11</v>
      </c>
      <c r="O423" s="38" t="str">
        <f t="shared" si="15"/>
        <v>OB1114E</v>
      </c>
      <c r="P423" s="83"/>
      <c r="Q423" s="84"/>
      <c r="R423" s="84"/>
      <c r="S423" s="85"/>
      <c r="T423" s="140"/>
      <c r="U423" s="142"/>
      <c r="V423" s="882"/>
      <c r="W423" s="883"/>
      <c r="X423" s="36"/>
      <c r="Y423" s="143"/>
      <c r="Z423" s="143"/>
      <c r="AA423" s="143"/>
      <c r="AB423" s="143"/>
      <c r="AC423" s="144"/>
      <c r="AD423" s="143"/>
      <c r="AE423" s="143"/>
      <c r="AF423" s="145"/>
    </row>
    <row r="424" spans="2:32" ht="17.25" customHeight="1">
      <c r="B424" s="34">
        <v>79</v>
      </c>
      <c r="C424" s="837"/>
      <c r="D424" s="839"/>
      <c r="E424" s="35" t="s">
        <v>10</v>
      </c>
      <c r="F424" s="36" t="str">
        <f t="shared" si="14"/>
        <v>IB1114F</v>
      </c>
      <c r="G424" s="302"/>
      <c r="H424" s="303"/>
      <c r="I424" s="303"/>
      <c r="J424" s="304"/>
      <c r="K424" s="140"/>
      <c r="L424" s="141"/>
      <c r="M424" s="140"/>
      <c r="N424" s="35" t="s">
        <v>11</v>
      </c>
      <c r="O424" s="38" t="str">
        <f t="shared" si="15"/>
        <v>OB1114F</v>
      </c>
      <c r="P424" s="332"/>
      <c r="Q424" s="333"/>
      <c r="R424" s="333"/>
      <c r="S424" s="334"/>
      <c r="T424" s="140"/>
      <c r="U424" s="142"/>
      <c r="V424" s="882"/>
      <c r="W424" s="883"/>
      <c r="X424" s="36"/>
      <c r="Y424" s="143"/>
      <c r="Z424" s="143"/>
      <c r="AA424" s="143"/>
      <c r="AB424" s="143"/>
      <c r="AC424" s="144"/>
      <c r="AD424" s="143"/>
      <c r="AE424" s="143"/>
      <c r="AF424" s="145"/>
    </row>
    <row r="425" spans="2:32" ht="17.25" customHeight="1">
      <c r="B425" s="34">
        <v>80</v>
      </c>
      <c r="C425" s="841" t="s">
        <v>62</v>
      </c>
      <c r="D425" s="840" t="s">
        <v>1404</v>
      </c>
      <c r="E425" s="35" t="s">
        <v>10</v>
      </c>
      <c r="F425" s="36" t="str">
        <f t="shared" si="14"/>
        <v>IB11150</v>
      </c>
      <c r="G425" s="317"/>
      <c r="H425" s="318"/>
      <c r="I425" s="318"/>
      <c r="J425" s="319"/>
      <c r="K425" s="140"/>
      <c r="L425" s="141"/>
      <c r="M425" s="140"/>
      <c r="N425" s="35" t="s">
        <v>11</v>
      </c>
      <c r="O425" s="38" t="str">
        <f t="shared" si="15"/>
        <v>OB11150</v>
      </c>
      <c r="P425" s="746" t="s">
        <v>491</v>
      </c>
      <c r="Q425" s="747"/>
      <c r="R425" s="747"/>
      <c r="S425" s="748"/>
      <c r="T425" s="140" t="s">
        <v>1513</v>
      </c>
      <c r="U425" s="142"/>
      <c r="V425" s="882"/>
      <c r="W425" s="883"/>
      <c r="X425" s="36"/>
      <c r="Y425" s="143"/>
      <c r="Z425" s="143"/>
      <c r="AA425" s="143"/>
      <c r="AB425" s="143"/>
      <c r="AC425" s="144"/>
      <c r="AD425" s="143"/>
      <c r="AE425" s="143"/>
      <c r="AF425" s="145"/>
    </row>
    <row r="426" spans="2:32" ht="17.25" customHeight="1">
      <c r="B426" s="34">
        <v>81</v>
      </c>
      <c r="C426" s="819"/>
      <c r="D426" s="792"/>
      <c r="E426" s="35" t="s">
        <v>10</v>
      </c>
      <c r="F426" s="36" t="str">
        <f t="shared" si="14"/>
        <v>IB11151</v>
      </c>
      <c r="G426" s="83"/>
      <c r="H426" s="84"/>
      <c r="I426" s="84"/>
      <c r="J426" s="85"/>
      <c r="K426" s="140"/>
      <c r="L426" s="141"/>
      <c r="M426" s="140"/>
      <c r="N426" s="35" t="s">
        <v>11</v>
      </c>
      <c r="O426" s="38" t="str">
        <f t="shared" si="15"/>
        <v>OB11151</v>
      </c>
      <c r="P426" s="323"/>
      <c r="Q426" s="324"/>
      <c r="R426" s="324"/>
      <c r="S426" s="325"/>
      <c r="T426" s="140"/>
      <c r="U426" s="142"/>
      <c r="V426" s="882"/>
      <c r="W426" s="883"/>
      <c r="X426" s="36"/>
      <c r="Y426" s="143"/>
      <c r="Z426" s="143"/>
      <c r="AA426" s="143"/>
      <c r="AB426" s="143"/>
      <c r="AC426" s="144"/>
      <c r="AD426" s="143"/>
      <c r="AE426" s="143"/>
      <c r="AF426" s="145"/>
    </row>
    <row r="427" spans="2:32" ht="17.25" customHeight="1">
      <c r="B427" s="34">
        <v>82</v>
      </c>
      <c r="C427" s="819"/>
      <c r="D427" s="792"/>
      <c r="E427" s="35" t="s">
        <v>10</v>
      </c>
      <c r="F427" s="36" t="str">
        <f t="shared" si="14"/>
        <v>IB11152</v>
      </c>
      <c r="G427" s="83"/>
      <c r="H427" s="84"/>
      <c r="I427" s="84"/>
      <c r="J427" s="85"/>
      <c r="K427" s="140"/>
      <c r="L427" s="141"/>
      <c r="M427" s="140"/>
      <c r="N427" s="35" t="s">
        <v>11</v>
      </c>
      <c r="O427" s="38" t="str">
        <f t="shared" si="15"/>
        <v>OB11152</v>
      </c>
      <c r="P427" s="743" t="s">
        <v>490</v>
      </c>
      <c r="Q427" s="744"/>
      <c r="R427" s="744"/>
      <c r="S427" s="745"/>
      <c r="T427" s="140" t="s">
        <v>1513</v>
      </c>
      <c r="U427" s="142"/>
      <c r="V427" s="882"/>
      <c r="W427" s="883"/>
      <c r="X427" s="36"/>
      <c r="Y427" s="143"/>
      <c r="Z427" s="143"/>
      <c r="AA427" s="143"/>
      <c r="AB427" s="143"/>
      <c r="AC427" s="144"/>
      <c r="AD427" s="143"/>
      <c r="AE427" s="143"/>
      <c r="AF427" s="145"/>
    </row>
    <row r="428" spans="2:32" ht="17.25" customHeight="1">
      <c r="B428" s="34">
        <v>83</v>
      </c>
      <c r="C428" s="819"/>
      <c r="D428" s="792"/>
      <c r="E428" s="35" t="s">
        <v>10</v>
      </c>
      <c r="F428" s="36" t="str">
        <f t="shared" si="14"/>
        <v>IB11153</v>
      </c>
      <c r="G428" s="83"/>
      <c r="H428" s="84"/>
      <c r="I428" s="84"/>
      <c r="J428" s="85"/>
      <c r="K428" s="140"/>
      <c r="L428" s="141"/>
      <c r="M428" s="140"/>
      <c r="N428" s="35" t="s">
        <v>11</v>
      </c>
      <c r="O428" s="38" t="str">
        <f t="shared" si="15"/>
        <v>OB11153</v>
      </c>
      <c r="P428" s="323"/>
      <c r="Q428" s="324"/>
      <c r="R428" s="324"/>
      <c r="S428" s="325"/>
      <c r="T428" s="140"/>
      <c r="U428" s="142"/>
      <c r="V428" s="882"/>
      <c r="W428" s="883"/>
      <c r="X428" s="36"/>
      <c r="Y428" s="143"/>
      <c r="Z428" s="143"/>
      <c r="AA428" s="143"/>
      <c r="AB428" s="143"/>
      <c r="AC428" s="144"/>
      <c r="AD428" s="143"/>
      <c r="AE428" s="143"/>
      <c r="AF428" s="145"/>
    </row>
    <row r="429" spans="2:32" ht="17.25" customHeight="1">
      <c r="B429" s="34">
        <v>84</v>
      </c>
      <c r="C429" s="819"/>
      <c r="D429" s="792"/>
      <c r="E429" s="35" t="s">
        <v>10</v>
      </c>
      <c r="F429" s="36" t="str">
        <f t="shared" si="14"/>
        <v>IB11154</v>
      </c>
      <c r="G429" s="83"/>
      <c r="H429" s="84"/>
      <c r="I429" s="84"/>
      <c r="J429" s="85"/>
      <c r="K429" s="140"/>
      <c r="L429" s="141"/>
      <c r="M429" s="140"/>
      <c r="N429" s="35" t="s">
        <v>11</v>
      </c>
      <c r="O429" s="38" t="str">
        <f t="shared" si="15"/>
        <v>OB11154</v>
      </c>
      <c r="P429" s="743" t="s">
        <v>492</v>
      </c>
      <c r="Q429" s="744"/>
      <c r="R429" s="744"/>
      <c r="S429" s="745"/>
      <c r="T429" s="140" t="s">
        <v>1513</v>
      </c>
      <c r="U429" s="142"/>
      <c r="V429" s="882"/>
      <c r="W429" s="883"/>
      <c r="X429" s="36"/>
      <c r="Y429" s="143"/>
      <c r="Z429" s="143"/>
      <c r="AA429" s="143"/>
      <c r="AB429" s="143"/>
      <c r="AC429" s="144"/>
      <c r="AD429" s="143"/>
      <c r="AE429" s="143"/>
      <c r="AF429" s="145"/>
    </row>
    <row r="430" spans="2:32" ht="17.25" customHeight="1">
      <c r="B430" s="34">
        <v>85</v>
      </c>
      <c r="C430" s="819"/>
      <c r="D430" s="792"/>
      <c r="E430" s="35" t="s">
        <v>10</v>
      </c>
      <c r="F430" s="36" t="str">
        <f t="shared" si="14"/>
        <v>IB11155</v>
      </c>
      <c r="G430" s="83"/>
      <c r="H430" s="84"/>
      <c r="I430" s="84"/>
      <c r="J430" s="85"/>
      <c r="K430" s="140"/>
      <c r="L430" s="141"/>
      <c r="M430" s="140"/>
      <c r="N430" s="35" t="s">
        <v>11</v>
      </c>
      <c r="O430" s="38" t="str">
        <f t="shared" si="15"/>
        <v>OB11155</v>
      </c>
      <c r="P430" s="347"/>
      <c r="Q430" s="348"/>
      <c r="R430" s="348"/>
      <c r="S430" s="349"/>
      <c r="T430" s="140"/>
      <c r="U430" s="142"/>
      <c r="V430" s="882"/>
      <c r="W430" s="883"/>
      <c r="X430" s="36"/>
      <c r="Y430" s="143"/>
      <c r="Z430" s="143"/>
      <c r="AA430" s="143"/>
      <c r="AB430" s="143"/>
      <c r="AC430" s="144"/>
      <c r="AD430" s="143"/>
      <c r="AE430" s="143"/>
      <c r="AF430" s="145"/>
    </row>
    <row r="431" spans="2:32" ht="17.25" customHeight="1">
      <c r="B431" s="34">
        <v>86</v>
      </c>
      <c r="C431" s="819"/>
      <c r="D431" s="792"/>
      <c r="E431" s="35" t="s">
        <v>10</v>
      </c>
      <c r="F431" s="36" t="str">
        <f t="shared" si="14"/>
        <v>IB11156</v>
      </c>
      <c r="G431" s="83"/>
      <c r="H431" s="84"/>
      <c r="I431" s="84"/>
      <c r="J431" s="85"/>
      <c r="K431" s="140"/>
      <c r="L431" s="141"/>
      <c r="M431" s="140"/>
      <c r="N431" s="35" t="s">
        <v>11</v>
      </c>
      <c r="O431" s="38" t="str">
        <f t="shared" si="15"/>
        <v>OB11156</v>
      </c>
      <c r="P431" s="344" t="s">
        <v>302</v>
      </c>
      <c r="Q431" s="345"/>
      <c r="R431" s="345"/>
      <c r="S431" s="346"/>
      <c r="T431" s="140" t="s">
        <v>1513</v>
      </c>
      <c r="U431" s="142"/>
      <c r="V431" s="882"/>
      <c r="W431" s="883"/>
      <c r="X431" s="36"/>
      <c r="Y431" s="143"/>
      <c r="Z431" s="143"/>
      <c r="AA431" s="143"/>
      <c r="AB431" s="143"/>
      <c r="AC431" s="144"/>
      <c r="AD431" s="143"/>
      <c r="AE431" s="143"/>
      <c r="AF431" s="145"/>
    </row>
    <row r="432" spans="2:32" ht="17.25" customHeight="1">
      <c r="B432" s="34">
        <v>87</v>
      </c>
      <c r="C432" s="819"/>
      <c r="D432" s="792"/>
      <c r="E432" s="35" t="s">
        <v>10</v>
      </c>
      <c r="F432" s="36" t="str">
        <f t="shared" si="14"/>
        <v>IB11157</v>
      </c>
      <c r="G432" s="83"/>
      <c r="H432" s="84"/>
      <c r="I432" s="84"/>
      <c r="J432" s="85"/>
      <c r="K432" s="140"/>
      <c r="L432" s="141"/>
      <c r="M432" s="140"/>
      <c r="N432" s="35" t="s">
        <v>11</v>
      </c>
      <c r="O432" s="38" t="str">
        <f t="shared" si="15"/>
        <v>OB11157</v>
      </c>
      <c r="P432" s="344" t="s">
        <v>305</v>
      </c>
      <c r="Q432" s="345"/>
      <c r="R432" s="345"/>
      <c r="S432" s="346"/>
      <c r="T432" s="140" t="s">
        <v>1513</v>
      </c>
      <c r="U432" s="142"/>
      <c r="V432" s="882"/>
      <c r="W432" s="883"/>
      <c r="X432" s="36"/>
      <c r="Y432" s="143"/>
      <c r="Z432" s="143"/>
      <c r="AA432" s="143"/>
      <c r="AB432" s="143"/>
      <c r="AC432" s="144"/>
      <c r="AD432" s="143"/>
      <c r="AE432" s="143"/>
      <c r="AF432" s="145"/>
    </row>
    <row r="433" spans="2:32" ht="17.25" customHeight="1">
      <c r="B433" s="34">
        <v>88</v>
      </c>
      <c r="C433" s="819"/>
      <c r="D433" s="792"/>
      <c r="E433" s="35" t="s">
        <v>10</v>
      </c>
      <c r="F433" s="36" t="str">
        <f t="shared" si="14"/>
        <v>IB11158</v>
      </c>
      <c r="G433" s="83"/>
      <c r="H433" s="84"/>
      <c r="I433" s="84"/>
      <c r="J433" s="85"/>
      <c r="K433" s="140"/>
      <c r="L433" s="141"/>
      <c r="M433" s="140"/>
      <c r="N433" s="35" t="s">
        <v>11</v>
      </c>
      <c r="O433" s="38" t="str">
        <f t="shared" si="15"/>
        <v>OB11158</v>
      </c>
      <c r="P433" s="344" t="s">
        <v>327</v>
      </c>
      <c r="Q433" s="345"/>
      <c r="R433" s="345"/>
      <c r="S433" s="346"/>
      <c r="T433" s="140" t="s">
        <v>1513</v>
      </c>
      <c r="U433" s="142"/>
      <c r="V433" s="882"/>
      <c r="W433" s="883"/>
      <c r="X433" s="36"/>
      <c r="Y433" s="143"/>
      <c r="Z433" s="143"/>
      <c r="AA433" s="143"/>
      <c r="AB433" s="143"/>
      <c r="AC433" s="144"/>
      <c r="AD433" s="143"/>
      <c r="AE433" s="143"/>
      <c r="AF433" s="145"/>
    </row>
    <row r="434" spans="2:32" ht="17.25" customHeight="1">
      <c r="B434" s="34">
        <v>89</v>
      </c>
      <c r="C434" s="819"/>
      <c r="D434" s="792"/>
      <c r="E434" s="35" t="s">
        <v>10</v>
      </c>
      <c r="F434" s="36" t="str">
        <f t="shared" si="14"/>
        <v>IB11159</v>
      </c>
      <c r="G434" s="83"/>
      <c r="H434" s="84"/>
      <c r="I434" s="84"/>
      <c r="J434" s="85"/>
      <c r="K434" s="140"/>
      <c r="L434" s="141"/>
      <c r="M434" s="140"/>
      <c r="N434" s="35" t="s">
        <v>11</v>
      </c>
      <c r="O434" s="38" t="str">
        <f t="shared" si="15"/>
        <v>OB11159</v>
      </c>
      <c r="P434" s="344" t="s">
        <v>328</v>
      </c>
      <c r="Q434" s="345"/>
      <c r="R434" s="345"/>
      <c r="S434" s="346"/>
      <c r="T434" s="140" t="s">
        <v>1513</v>
      </c>
      <c r="U434" s="142"/>
      <c r="V434" s="882"/>
      <c r="W434" s="883"/>
      <c r="X434" s="36"/>
      <c r="Y434" s="143"/>
      <c r="Z434" s="143"/>
      <c r="AA434" s="143"/>
      <c r="AB434" s="143"/>
      <c r="AC434" s="144"/>
      <c r="AD434" s="143"/>
      <c r="AE434" s="143"/>
      <c r="AF434" s="145"/>
    </row>
    <row r="435" spans="2:32" ht="17.25" customHeight="1">
      <c r="B435" s="34">
        <v>90</v>
      </c>
      <c r="C435" s="819"/>
      <c r="D435" s="792"/>
      <c r="E435" s="35" t="s">
        <v>10</v>
      </c>
      <c r="F435" s="36" t="str">
        <f t="shared" si="14"/>
        <v>IB1115A</v>
      </c>
      <c r="G435" s="83"/>
      <c r="H435" s="84"/>
      <c r="I435" s="84"/>
      <c r="J435" s="85"/>
      <c r="K435" s="593"/>
      <c r="L435" s="147"/>
      <c r="M435" s="626"/>
      <c r="N435" s="35" t="s">
        <v>11</v>
      </c>
      <c r="O435" s="38" t="str">
        <f t="shared" si="15"/>
        <v>OB1115A</v>
      </c>
      <c r="P435" s="344" t="s">
        <v>329</v>
      </c>
      <c r="Q435" s="345"/>
      <c r="R435" s="345"/>
      <c r="S435" s="346"/>
      <c r="T435" s="140" t="s">
        <v>1513</v>
      </c>
      <c r="U435" s="142"/>
      <c r="V435" s="882"/>
      <c r="W435" s="883"/>
      <c r="X435" s="36"/>
      <c r="Y435" s="143"/>
      <c r="Z435" s="143"/>
      <c r="AA435" s="143"/>
      <c r="AB435" s="143"/>
      <c r="AC435" s="144"/>
      <c r="AD435" s="143"/>
      <c r="AE435" s="143"/>
      <c r="AF435" s="145"/>
    </row>
    <row r="436" spans="2:32" ht="17.25" customHeight="1">
      <c r="B436" s="34">
        <v>91</v>
      </c>
      <c r="C436" s="819"/>
      <c r="D436" s="792"/>
      <c r="E436" s="35" t="s">
        <v>10</v>
      </c>
      <c r="F436" s="36" t="str">
        <f t="shared" si="14"/>
        <v>IB1115B</v>
      </c>
      <c r="G436" s="83"/>
      <c r="H436" s="84"/>
      <c r="I436" s="84"/>
      <c r="J436" s="85"/>
      <c r="K436" s="593"/>
      <c r="L436" s="147"/>
      <c r="M436" s="626"/>
      <c r="N436" s="35" t="s">
        <v>11</v>
      </c>
      <c r="O436" s="38" t="str">
        <f t="shared" si="15"/>
        <v>OB1115B</v>
      </c>
      <c r="P436" s="344" t="s">
        <v>330</v>
      </c>
      <c r="Q436" s="345"/>
      <c r="R436" s="345"/>
      <c r="S436" s="346"/>
      <c r="T436" s="140" t="s">
        <v>1513</v>
      </c>
      <c r="U436" s="142"/>
      <c r="V436" s="882"/>
      <c r="W436" s="883"/>
      <c r="X436" s="36"/>
      <c r="Y436" s="143"/>
      <c r="Z436" s="143"/>
      <c r="AA436" s="143"/>
      <c r="AB436" s="143"/>
      <c r="AC436" s="144"/>
      <c r="AD436" s="143"/>
      <c r="AE436" s="143"/>
      <c r="AF436" s="145"/>
    </row>
    <row r="437" spans="2:32" ht="17.25" customHeight="1">
      <c r="B437" s="34">
        <v>92</v>
      </c>
      <c r="C437" s="819"/>
      <c r="D437" s="792"/>
      <c r="E437" s="35" t="s">
        <v>10</v>
      </c>
      <c r="F437" s="36" t="str">
        <f t="shared" si="14"/>
        <v>IB1115C</v>
      </c>
      <c r="G437" s="83"/>
      <c r="H437" s="84"/>
      <c r="I437" s="84"/>
      <c r="J437" s="85"/>
      <c r="K437" s="140"/>
      <c r="L437" s="141"/>
      <c r="M437" s="140"/>
      <c r="N437" s="35" t="s">
        <v>11</v>
      </c>
      <c r="O437" s="38" t="str">
        <f t="shared" si="15"/>
        <v>OB1115C</v>
      </c>
      <c r="P437" s="573" t="s">
        <v>1366</v>
      </c>
      <c r="Q437" s="574"/>
      <c r="R437" s="574"/>
      <c r="S437" s="575"/>
      <c r="T437" s="140" t="s">
        <v>1513</v>
      </c>
      <c r="U437" s="142"/>
      <c r="V437" s="882"/>
      <c r="W437" s="883"/>
      <c r="X437" s="36"/>
      <c r="Y437" s="143"/>
      <c r="Z437" s="143"/>
      <c r="AA437" s="143"/>
      <c r="AB437" s="143"/>
      <c r="AC437" s="144"/>
      <c r="AD437" s="143"/>
      <c r="AE437" s="143"/>
      <c r="AF437" s="145"/>
    </row>
    <row r="438" spans="2:32" ht="17.25" customHeight="1">
      <c r="B438" s="34">
        <v>93</v>
      </c>
      <c r="C438" s="819"/>
      <c r="D438" s="792"/>
      <c r="E438" s="35" t="s">
        <v>10</v>
      </c>
      <c r="F438" s="36" t="str">
        <f t="shared" si="14"/>
        <v>IB1115D</v>
      </c>
      <c r="G438" s="83"/>
      <c r="H438" s="84"/>
      <c r="I438" s="84"/>
      <c r="J438" s="85"/>
      <c r="K438" s="140"/>
      <c r="L438" s="141"/>
      <c r="M438" s="140"/>
      <c r="N438" s="35" t="s">
        <v>11</v>
      </c>
      <c r="O438" s="38" t="str">
        <f t="shared" si="15"/>
        <v>OB1115D</v>
      </c>
      <c r="P438" s="573" t="s">
        <v>1367</v>
      </c>
      <c r="Q438" s="574"/>
      <c r="R438" s="574"/>
      <c r="S438" s="575"/>
      <c r="T438" s="140" t="s">
        <v>1513</v>
      </c>
      <c r="U438" s="142"/>
      <c r="V438" s="882"/>
      <c r="W438" s="883"/>
      <c r="X438" s="36"/>
      <c r="Y438" s="143"/>
      <c r="Z438" s="143"/>
      <c r="AA438" s="143"/>
      <c r="AB438" s="143"/>
      <c r="AC438" s="144"/>
      <c r="AD438" s="143"/>
      <c r="AE438" s="143"/>
      <c r="AF438" s="145"/>
    </row>
    <row r="439" spans="2:32" ht="17.25" customHeight="1">
      <c r="B439" s="34">
        <v>94</v>
      </c>
      <c r="C439" s="819"/>
      <c r="D439" s="792"/>
      <c r="E439" s="35" t="s">
        <v>10</v>
      </c>
      <c r="F439" s="36" t="str">
        <f t="shared" si="14"/>
        <v>IB1115E</v>
      </c>
      <c r="G439" s="83"/>
      <c r="H439" s="84"/>
      <c r="I439" s="84"/>
      <c r="J439" s="85"/>
      <c r="K439" s="140"/>
      <c r="L439" s="141"/>
      <c r="M439" s="140"/>
      <c r="N439" s="35" t="s">
        <v>11</v>
      </c>
      <c r="O439" s="38" t="str">
        <f t="shared" si="15"/>
        <v>OB1115E</v>
      </c>
      <c r="P439" s="573" t="s">
        <v>319</v>
      </c>
      <c r="Q439" s="574"/>
      <c r="R439" s="574"/>
      <c r="S439" s="575"/>
      <c r="T439" s="140" t="s">
        <v>1513</v>
      </c>
      <c r="U439" s="142"/>
      <c r="V439" s="882"/>
      <c r="W439" s="883"/>
      <c r="X439" s="36"/>
      <c r="Y439" s="143"/>
      <c r="Z439" s="143"/>
      <c r="AA439" s="143"/>
      <c r="AB439" s="143"/>
      <c r="AC439" s="144"/>
      <c r="AD439" s="143"/>
      <c r="AE439" s="143"/>
      <c r="AF439" s="145"/>
    </row>
    <row r="440" spans="2:32" ht="17.25" customHeight="1">
      <c r="B440" s="34">
        <v>95</v>
      </c>
      <c r="C440" s="842"/>
      <c r="D440" s="839"/>
      <c r="E440" s="35" t="s">
        <v>10</v>
      </c>
      <c r="F440" s="36" t="str">
        <f t="shared" si="14"/>
        <v>IB1115F</v>
      </c>
      <c r="G440" s="332"/>
      <c r="H440" s="333"/>
      <c r="I440" s="333"/>
      <c r="J440" s="334"/>
      <c r="K440" s="140"/>
      <c r="L440" s="141"/>
      <c r="M440" s="140"/>
      <c r="N440" s="35" t="s">
        <v>11</v>
      </c>
      <c r="O440" s="38" t="str">
        <f t="shared" si="15"/>
        <v>OB1115F</v>
      </c>
      <c r="P440" s="573" t="s">
        <v>320</v>
      </c>
      <c r="Q440" s="574"/>
      <c r="R440" s="574"/>
      <c r="S440" s="575"/>
      <c r="T440" s="140" t="s">
        <v>1513</v>
      </c>
      <c r="U440" s="142"/>
      <c r="V440" s="882"/>
      <c r="W440" s="883"/>
      <c r="X440" s="36"/>
      <c r="Y440" s="143"/>
      <c r="Z440" s="143"/>
      <c r="AA440" s="143"/>
      <c r="AB440" s="143"/>
      <c r="AC440" s="144"/>
      <c r="AD440" s="143"/>
      <c r="AE440" s="143"/>
      <c r="AF440" s="145"/>
    </row>
    <row r="441" spans="2:32" ht="17.25" customHeight="1">
      <c r="B441" s="34">
        <v>96</v>
      </c>
      <c r="C441" s="836" t="s">
        <v>63</v>
      </c>
      <c r="D441" s="840" t="s">
        <v>1404</v>
      </c>
      <c r="E441" s="35" t="s">
        <v>10</v>
      </c>
      <c r="F441" s="36" t="str">
        <f t="shared" si="14"/>
        <v>IB11160</v>
      </c>
      <c r="G441" s="338" t="s">
        <v>331</v>
      </c>
      <c r="H441" s="339"/>
      <c r="I441" s="339"/>
      <c r="J441" s="340"/>
      <c r="K441" s="140" t="s">
        <v>1513</v>
      </c>
      <c r="L441" s="141"/>
      <c r="M441" s="140"/>
      <c r="N441" s="35" t="s">
        <v>11</v>
      </c>
      <c r="O441" s="38" t="str">
        <f t="shared" si="15"/>
        <v>OB11160</v>
      </c>
      <c r="P441" s="317"/>
      <c r="Q441" s="318"/>
      <c r="R441" s="318"/>
      <c r="S441" s="319"/>
      <c r="T441" s="140"/>
      <c r="U441" s="142"/>
      <c r="V441" s="882"/>
      <c r="W441" s="883"/>
      <c r="X441" s="36"/>
      <c r="Y441" s="143"/>
      <c r="Z441" s="143"/>
      <c r="AA441" s="143"/>
      <c r="AB441" s="143"/>
      <c r="AC441" s="144"/>
      <c r="AD441" s="143"/>
      <c r="AE441" s="143"/>
      <c r="AF441" s="145"/>
    </row>
    <row r="442" spans="2:32" ht="17.25" customHeight="1">
      <c r="B442" s="34">
        <v>97</v>
      </c>
      <c r="C442" s="823"/>
      <c r="D442" s="792"/>
      <c r="E442" s="35" t="s">
        <v>10</v>
      </c>
      <c r="F442" s="36" t="str">
        <f t="shared" si="14"/>
        <v>IB11161</v>
      </c>
      <c r="G442" s="338" t="s">
        <v>332</v>
      </c>
      <c r="H442" s="339"/>
      <c r="I442" s="339"/>
      <c r="J442" s="340"/>
      <c r="K442" s="140" t="s">
        <v>1513</v>
      </c>
      <c r="L442" s="141"/>
      <c r="M442" s="140"/>
      <c r="N442" s="35" t="s">
        <v>11</v>
      </c>
      <c r="O442" s="38" t="str">
        <f t="shared" si="15"/>
        <v>OB11161</v>
      </c>
      <c r="P442" s="83"/>
      <c r="Q442" s="84"/>
      <c r="R442" s="84"/>
      <c r="S442" s="85"/>
      <c r="T442" s="140"/>
      <c r="U442" s="142"/>
      <c r="V442" s="882"/>
      <c r="W442" s="883"/>
      <c r="X442" s="36"/>
      <c r="Y442" s="143"/>
      <c r="Z442" s="143"/>
      <c r="AA442" s="143"/>
      <c r="AB442" s="143"/>
      <c r="AC442" s="144"/>
      <c r="AD442" s="143"/>
      <c r="AE442" s="143"/>
      <c r="AF442" s="145"/>
    </row>
    <row r="443" spans="2:32" ht="17.25" customHeight="1">
      <c r="B443" s="34">
        <v>98</v>
      </c>
      <c r="C443" s="823"/>
      <c r="D443" s="792"/>
      <c r="E443" s="35" t="s">
        <v>10</v>
      </c>
      <c r="F443" s="36" t="str">
        <f t="shared" si="14"/>
        <v>IB11162</v>
      </c>
      <c r="G443" s="338" t="s">
        <v>333</v>
      </c>
      <c r="H443" s="339"/>
      <c r="I443" s="339"/>
      <c r="J443" s="340"/>
      <c r="K443" s="140" t="s">
        <v>1513</v>
      </c>
      <c r="L443" s="141"/>
      <c r="M443" s="140"/>
      <c r="N443" s="35" t="s">
        <v>11</v>
      </c>
      <c r="O443" s="38" t="str">
        <f t="shared" si="15"/>
        <v>OB11162</v>
      </c>
      <c r="P443" s="83"/>
      <c r="Q443" s="84"/>
      <c r="R443" s="84"/>
      <c r="S443" s="85"/>
      <c r="T443" s="140"/>
      <c r="U443" s="142"/>
      <c r="V443" s="882"/>
      <c r="W443" s="883"/>
      <c r="X443" s="36"/>
      <c r="Y443" s="143"/>
      <c r="Z443" s="143"/>
      <c r="AA443" s="143"/>
      <c r="AB443" s="143"/>
      <c r="AC443" s="144"/>
      <c r="AD443" s="143"/>
      <c r="AE443" s="143"/>
      <c r="AF443" s="145"/>
    </row>
    <row r="444" spans="2:32" ht="17.25" customHeight="1">
      <c r="B444" s="34">
        <v>99</v>
      </c>
      <c r="C444" s="823"/>
      <c r="D444" s="792"/>
      <c r="E444" s="35" t="s">
        <v>10</v>
      </c>
      <c r="F444" s="36" t="str">
        <f t="shared" si="14"/>
        <v>IB11163</v>
      </c>
      <c r="G444" s="338" t="s">
        <v>334</v>
      </c>
      <c r="H444" s="339"/>
      <c r="I444" s="339"/>
      <c r="J444" s="340"/>
      <c r="K444" s="593" t="s">
        <v>1513</v>
      </c>
      <c r="L444" s="147"/>
      <c r="M444" s="626"/>
      <c r="N444" s="35" t="s">
        <v>11</v>
      </c>
      <c r="O444" s="38" t="str">
        <f t="shared" si="15"/>
        <v>OB11163</v>
      </c>
      <c r="P444" s="83"/>
      <c r="Q444" s="84"/>
      <c r="R444" s="84"/>
      <c r="S444" s="85"/>
      <c r="T444" s="140"/>
      <c r="U444" s="142"/>
      <c r="V444" s="882"/>
      <c r="W444" s="883"/>
      <c r="X444" s="36"/>
      <c r="Y444" s="143"/>
      <c r="Z444" s="143"/>
      <c r="AA444" s="143"/>
      <c r="AB444" s="143"/>
      <c r="AC444" s="144"/>
      <c r="AD444" s="143"/>
      <c r="AE444" s="143"/>
      <c r="AF444" s="145"/>
    </row>
    <row r="445" spans="2:32" ht="17.25" customHeight="1">
      <c r="B445" s="34">
        <v>100</v>
      </c>
      <c r="C445" s="823"/>
      <c r="D445" s="792"/>
      <c r="E445" s="35" t="s">
        <v>10</v>
      </c>
      <c r="F445" s="36" t="str">
        <f t="shared" si="14"/>
        <v>IB11164</v>
      </c>
      <c r="G445" s="338" t="s">
        <v>335</v>
      </c>
      <c r="H445" s="339"/>
      <c r="I445" s="339"/>
      <c r="J445" s="340"/>
      <c r="K445" s="593" t="s">
        <v>1513</v>
      </c>
      <c r="L445" s="141"/>
      <c r="M445" s="140"/>
      <c r="N445" s="35" t="s">
        <v>11</v>
      </c>
      <c r="O445" s="38" t="str">
        <f t="shared" si="15"/>
        <v>OB11164</v>
      </c>
      <c r="P445" s="83"/>
      <c r="Q445" s="84"/>
      <c r="R445" s="84"/>
      <c r="S445" s="85"/>
      <c r="T445" s="140"/>
      <c r="U445" s="142"/>
      <c r="V445" s="882"/>
      <c r="W445" s="883"/>
      <c r="X445" s="36"/>
      <c r="Y445" s="143"/>
      <c r="Z445" s="143"/>
      <c r="AA445" s="143"/>
      <c r="AB445" s="143"/>
      <c r="AC445" s="144"/>
      <c r="AD445" s="143"/>
      <c r="AE445" s="143"/>
      <c r="AF445" s="145"/>
    </row>
    <row r="446" spans="2:32" ht="17.25" customHeight="1">
      <c r="B446" s="34">
        <v>101</v>
      </c>
      <c r="C446" s="823"/>
      <c r="D446" s="792"/>
      <c r="E446" s="35" t="s">
        <v>10</v>
      </c>
      <c r="F446" s="36" t="str">
        <f t="shared" si="14"/>
        <v>IB11165</v>
      </c>
      <c r="G446" s="338" t="s">
        <v>336</v>
      </c>
      <c r="H446" s="339"/>
      <c r="I446" s="339"/>
      <c r="J446" s="340"/>
      <c r="K446" s="593" t="s">
        <v>1513</v>
      </c>
      <c r="L446" s="141"/>
      <c r="M446" s="140"/>
      <c r="N446" s="35" t="s">
        <v>11</v>
      </c>
      <c r="O446" s="38" t="str">
        <f t="shared" si="15"/>
        <v>OB11165</v>
      </c>
      <c r="P446" s="83"/>
      <c r="Q446" s="84"/>
      <c r="R446" s="84"/>
      <c r="S446" s="85"/>
      <c r="T446" s="140"/>
      <c r="U446" s="142"/>
      <c r="V446" s="882"/>
      <c r="W446" s="883"/>
      <c r="X446" s="36"/>
      <c r="Y446" s="143"/>
      <c r="Z446" s="143"/>
      <c r="AA446" s="143"/>
      <c r="AB446" s="143"/>
      <c r="AC446" s="144"/>
      <c r="AD446" s="143"/>
      <c r="AE446" s="143"/>
      <c r="AF446" s="145"/>
    </row>
    <row r="447" spans="2:32" ht="17.25" customHeight="1">
      <c r="B447" s="34">
        <v>102</v>
      </c>
      <c r="C447" s="823"/>
      <c r="D447" s="792"/>
      <c r="E447" s="35" t="s">
        <v>10</v>
      </c>
      <c r="F447" s="36" t="str">
        <f t="shared" si="14"/>
        <v>IB11166</v>
      </c>
      <c r="G447" s="338" t="s">
        <v>337</v>
      </c>
      <c r="H447" s="339"/>
      <c r="I447" s="339"/>
      <c r="J447" s="340"/>
      <c r="K447" s="593" t="s">
        <v>1513</v>
      </c>
      <c r="L447" s="147"/>
      <c r="M447" s="626"/>
      <c r="N447" s="35" t="s">
        <v>11</v>
      </c>
      <c r="O447" s="38" t="str">
        <f t="shared" si="15"/>
        <v>OB11166</v>
      </c>
      <c r="P447" s="83"/>
      <c r="Q447" s="84"/>
      <c r="R447" s="84"/>
      <c r="S447" s="85"/>
      <c r="T447" s="140"/>
      <c r="U447" s="142"/>
      <c r="V447" s="882"/>
      <c r="W447" s="883"/>
      <c r="X447" s="36"/>
      <c r="Y447" s="143"/>
      <c r="Z447" s="143"/>
      <c r="AA447" s="143"/>
      <c r="AB447" s="143"/>
      <c r="AC447" s="144"/>
      <c r="AD447" s="143"/>
      <c r="AE447" s="143"/>
      <c r="AF447" s="145"/>
    </row>
    <row r="448" spans="2:32" ht="17.25" customHeight="1">
      <c r="B448" s="34">
        <v>103</v>
      </c>
      <c r="C448" s="823"/>
      <c r="D448" s="792"/>
      <c r="E448" s="35" t="s">
        <v>10</v>
      </c>
      <c r="F448" s="36" t="str">
        <f t="shared" si="14"/>
        <v>IB11167</v>
      </c>
      <c r="G448" s="338" t="s">
        <v>338</v>
      </c>
      <c r="H448" s="339"/>
      <c r="I448" s="339"/>
      <c r="J448" s="340"/>
      <c r="K448" s="594" t="s">
        <v>1513</v>
      </c>
      <c r="L448" s="148"/>
      <c r="M448" s="628"/>
      <c r="N448" s="35" t="s">
        <v>11</v>
      </c>
      <c r="O448" s="38" t="str">
        <f t="shared" si="15"/>
        <v>OB11167</v>
      </c>
      <c r="P448" s="83"/>
      <c r="Q448" s="84"/>
      <c r="R448" s="84"/>
      <c r="S448" s="85"/>
      <c r="T448" s="140"/>
      <c r="U448" s="142"/>
      <c r="V448" s="882"/>
      <c r="W448" s="883"/>
      <c r="X448" s="36"/>
      <c r="Y448" s="143"/>
      <c r="Z448" s="143"/>
      <c r="AA448" s="143"/>
      <c r="AB448" s="143"/>
      <c r="AC448" s="144"/>
      <c r="AD448" s="143"/>
      <c r="AE448" s="143"/>
      <c r="AF448" s="145"/>
    </row>
    <row r="449" spans="2:32" ht="17.25" customHeight="1">
      <c r="B449" s="34">
        <v>104</v>
      </c>
      <c r="C449" s="823"/>
      <c r="D449" s="792"/>
      <c r="E449" s="35" t="s">
        <v>10</v>
      </c>
      <c r="F449" s="36" t="str">
        <f t="shared" si="14"/>
        <v>IB11168</v>
      </c>
      <c r="G449" s="302"/>
      <c r="H449" s="303"/>
      <c r="I449" s="303"/>
      <c r="J449" s="304"/>
      <c r="K449" s="140"/>
      <c r="L449" s="141"/>
      <c r="M449" s="140"/>
      <c r="N449" s="35" t="s">
        <v>11</v>
      </c>
      <c r="O449" s="38" t="str">
        <f t="shared" si="15"/>
        <v>OB11168</v>
      </c>
      <c r="P449" s="83"/>
      <c r="Q449" s="84"/>
      <c r="R449" s="84"/>
      <c r="S449" s="85"/>
      <c r="T449" s="140"/>
      <c r="U449" s="142"/>
      <c r="V449" s="882"/>
      <c r="W449" s="883"/>
      <c r="X449" s="36"/>
      <c r="Y449" s="143"/>
      <c r="Z449" s="143"/>
      <c r="AA449" s="143"/>
      <c r="AB449" s="143"/>
      <c r="AC449" s="144"/>
      <c r="AD449" s="143"/>
      <c r="AE449" s="143"/>
      <c r="AF449" s="145"/>
    </row>
    <row r="450" spans="2:32" ht="17.25" customHeight="1">
      <c r="B450" s="34">
        <v>105</v>
      </c>
      <c r="C450" s="823"/>
      <c r="D450" s="792"/>
      <c r="E450" s="35" t="s">
        <v>10</v>
      </c>
      <c r="F450" s="36" t="str">
        <f t="shared" si="14"/>
        <v>IB11169</v>
      </c>
      <c r="G450" s="302"/>
      <c r="H450" s="303"/>
      <c r="I450" s="303"/>
      <c r="J450" s="304"/>
      <c r="K450" s="140"/>
      <c r="L450" s="141"/>
      <c r="M450" s="140"/>
      <c r="N450" s="35" t="s">
        <v>11</v>
      </c>
      <c r="O450" s="38" t="str">
        <f t="shared" si="15"/>
        <v>OB11169</v>
      </c>
      <c r="P450" s="83"/>
      <c r="Q450" s="84"/>
      <c r="R450" s="84"/>
      <c r="S450" s="85"/>
      <c r="T450" s="140"/>
      <c r="U450" s="142"/>
      <c r="V450" s="882"/>
      <c r="W450" s="883"/>
      <c r="X450" s="36"/>
      <c r="Y450" s="143"/>
      <c r="Z450" s="143"/>
      <c r="AA450" s="143"/>
      <c r="AB450" s="143"/>
      <c r="AC450" s="144"/>
      <c r="AD450" s="143"/>
      <c r="AE450" s="143"/>
      <c r="AF450" s="145"/>
    </row>
    <row r="451" spans="2:32" ht="17.25" customHeight="1">
      <c r="B451" s="34">
        <v>106</v>
      </c>
      <c r="C451" s="823"/>
      <c r="D451" s="792"/>
      <c r="E451" s="35" t="s">
        <v>10</v>
      </c>
      <c r="F451" s="36" t="str">
        <f t="shared" si="14"/>
        <v>IB1116A</v>
      </c>
      <c r="G451" s="302"/>
      <c r="H451" s="303"/>
      <c r="I451" s="303"/>
      <c r="J451" s="304"/>
      <c r="K451" s="140"/>
      <c r="L451" s="141"/>
      <c r="M451" s="140"/>
      <c r="N451" s="35" t="s">
        <v>11</v>
      </c>
      <c r="O451" s="38" t="str">
        <f t="shared" si="15"/>
        <v>OB1116A</v>
      </c>
      <c r="P451" s="83"/>
      <c r="Q451" s="84"/>
      <c r="R451" s="84"/>
      <c r="S451" s="85"/>
      <c r="T451" s="140"/>
      <c r="U451" s="142"/>
      <c r="V451" s="882"/>
      <c r="W451" s="883"/>
      <c r="X451" s="36"/>
      <c r="Y451" s="143"/>
      <c r="Z451" s="143"/>
      <c r="AA451" s="143"/>
      <c r="AB451" s="143"/>
      <c r="AC451" s="144"/>
      <c r="AD451" s="143"/>
      <c r="AE451" s="143"/>
      <c r="AF451" s="145"/>
    </row>
    <row r="452" spans="2:32" ht="17.25" customHeight="1">
      <c r="B452" s="34">
        <v>107</v>
      </c>
      <c r="C452" s="823"/>
      <c r="D452" s="792"/>
      <c r="E452" s="35" t="s">
        <v>10</v>
      </c>
      <c r="F452" s="36" t="str">
        <f t="shared" si="14"/>
        <v>IB1116B</v>
      </c>
      <c r="G452" s="302"/>
      <c r="H452" s="303"/>
      <c r="I452" s="303"/>
      <c r="J452" s="304"/>
      <c r="K452" s="140"/>
      <c r="L452" s="141"/>
      <c r="M452" s="140"/>
      <c r="N452" s="35" t="s">
        <v>11</v>
      </c>
      <c r="O452" s="38" t="str">
        <f t="shared" si="15"/>
        <v>OB1116B</v>
      </c>
      <c r="P452" s="83"/>
      <c r="Q452" s="84"/>
      <c r="R452" s="84"/>
      <c r="S452" s="85"/>
      <c r="T452" s="140"/>
      <c r="U452" s="142"/>
      <c r="V452" s="882"/>
      <c r="W452" s="883"/>
      <c r="X452" s="36"/>
      <c r="Y452" s="143"/>
      <c r="Z452" s="143"/>
      <c r="AA452" s="143"/>
      <c r="AB452" s="143"/>
      <c r="AC452" s="144"/>
      <c r="AD452" s="143"/>
      <c r="AE452" s="143"/>
      <c r="AF452" s="145"/>
    </row>
    <row r="453" spans="2:32" ht="17.25" customHeight="1">
      <c r="B453" s="34">
        <v>108</v>
      </c>
      <c r="C453" s="823"/>
      <c r="D453" s="792"/>
      <c r="E453" s="35" t="s">
        <v>10</v>
      </c>
      <c r="F453" s="36" t="str">
        <f t="shared" si="14"/>
        <v>IB1116C</v>
      </c>
      <c r="G453" s="302"/>
      <c r="H453" s="303"/>
      <c r="I453" s="303"/>
      <c r="J453" s="304"/>
      <c r="K453" s="140"/>
      <c r="L453" s="141"/>
      <c r="M453" s="140"/>
      <c r="N453" s="35" t="s">
        <v>11</v>
      </c>
      <c r="O453" s="38" t="str">
        <f t="shared" si="15"/>
        <v>OB1116C</v>
      </c>
      <c r="P453" s="83"/>
      <c r="Q453" s="84"/>
      <c r="R453" s="84"/>
      <c r="S453" s="85"/>
      <c r="T453" s="140"/>
      <c r="U453" s="142"/>
      <c r="V453" s="882"/>
      <c r="W453" s="883"/>
      <c r="X453" s="36"/>
      <c r="Y453" s="143"/>
      <c r="Z453" s="143"/>
      <c r="AA453" s="143"/>
      <c r="AB453" s="143"/>
      <c r="AC453" s="144"/>
      <c r="AD453" s="143"/>
      <c r="AE453" s="143"/>
      <c r="AF453" s="145"/>
    </row>
    <row r="454" spans="2:32" ht="17.25" customHeight="1">
      <c r="B454" s="34">
        <v>109</v>
      </c>
      <c r="C454" s="823"/>
      <c r="D454" s="792"/>
      <c r="E454" s="35" t="s">
        <v>10</v>
      </c>
      <c r="F454" s="36" t="str">
        <f t="shared" si="14"/>
        <v>IB1116D</v>
      </c>
      <c r="G454" s="302"/>
      <c r="H454" s="303"/>
      <c r="I454" s="303"/>
      <c r="J454" s="304"/>
      <c r="K454" s="140"/>
      <c r="L454" s="141"/>
      <c r="M454" s="140"/>
      <c r="N454" s="35" t="s">
        <v>11</v>
      </c>
      <c r="O454" s="38" t="str">
        <f t="shared" si="15"/>
        <v>OB1116D</v>
      </c>
      <c r="P454" s="83"/>
      <c r="Q454" s="84"/>
      <c r="R454" s="84"/>
      <c r="S454" s="85"/>
      <c r="T454" s="140"/>
      <c r="U454" s="142"/>
      <c r="V454" s="882"/>
      <c r="W454" s="883"/>
      <c r="X454" s="36"/>
      <c r="Y454" s="143"/>
      <c r="Z454" s="143"/>
      <c r="AA454" s="143"/>
      <c r="AB454" s="143"/>
      <c r="AC454" s="144"/>
      <c r="AD454" s="143"/>
      <c r="AE454" s="143"/>
      <c r="AF454" s="145"/>
    </row>
    <row r="455" spans="2:32" ht="17.25" customHeight="1">
      <c r="B455" s="34">
        <v>110</v>
      </c>
      <c r="C455" s="823"/>
      <c r="D455" s="792"/>
      <c r="E455" s="35" t="s">
        <v>10</v>
      </c>
      <c r="F455" s="36" t="str">
        <f t="shared" si="14"/>
        <v>IB1116E</v>
      </c>
      <c r="G455" s="755" t="s">
        <v>395</v>
      </c>
      <c r="H455" s="756"/>
      <c r="I455" s="756"/>
      <c r="J455" s="757"/>
      <c r="K455" s="140" t="s">
        <v>1513</v>
      </c>
      <c r="L455" s="141"/>
      <c r="M455" s="140"/>
      <c r="N455" s="35" t="s">
        <v>11</v>
      </c>
      <c r="O455" s="38" t="str">
        <f t="shared" si="15"/>
        <v>OB1116E</v>
      </c>
      <c r="P455" s="83"/>
      <c r="Q455" s="84"/>
      <c r="R455" s="84"/>
      <c r="S455" s="85"/>
      <c r="T455" s="140"/>
      <c r="U455" s="142"/>
      <c r="V455" s="882"/>
      <c r="W455" s="883"/>
      <c r="X455" s="36"/>
      <c r="Y455" s="143"/>
      <c r="Z455" s="143"/>
      <c r="AA455" s="143"/>
      <c r="AB455" s="143"/>
      <c r="AC455" s="144"/>
      <c r="AD455" s="143"/>
      <c r="AE455" s="143"/>
      <c r="AF455" s="145"/>
    </row>
    <row r="456" spans="2:32" ht="17.25" customHeight="1">
      <c r="B456" s="34">
        <v>111</v>
      </c>
      <c r="C456" s="837"/>
      <c r="D456" s="839"/>
      <c r="E456" s="35" t="s">
        <v>10</v>
      </c>
      <c r="F456" s="36" t="str">
        <f t="shared" si="14"/>
        <v>IB1116F</v>
      </c>
      <c r="G456" s="755" t="s">
        <v>396</v>
      </c>
      <c r="H456" s="756"/>
      <c r="I456" s="756"/>
      <c r="J456" s="757"/>
      <c r="K456" s="594" t="s">
        <v>1513</v>
      </c>
      <c r="L456" s="148"/>
      <c r="M456" s="628"/>
      <c r="N456" s="35" t="s">
        <v>11</v>
      </c>
      <c r="O456" s="38" t="str">
        <f t="shared" si="15"/>
        <v>OB1116F</v>
      </c>
      <c r="P456" s="332"/>
      <c r="Q456" s="333"/>
      <c r="R456" s="333"/>
      <c r="S456" s="334"/>
      <c r="T456" s="140"/>
      <c r="U456" s="142"/>
      <c r="V456" s="882"/>
      <c r="W456" s="883"/>
      <c r="X456" s="36"/>
      <c r="Y456" s="143"/>
      <c r="Z456" s="143"/>
      <c r="AA456" s="143"/>
      <c r="AB456" s="143"/>
      <c r="AC456" s="144"/>
      <c r="AD456" s="143"/>
      <c r="AE456" s="143"/>
      <c r="AF456" s="145"/>
    </row>
    <row r="457" spans="2:32" ht="17.25" customHeight="1">
      <c r="B457" s="34">
        <v>112</v>
      </c>
      <c r="C457" s="841" t="s">
        <v>1566</v>
      </c>
      <c r="D457" s="843" t="s">
        <v>1405</v>
      </c>
      <c r="E457" s="35" t="s">
        <v>10</v>
      </c>
      <c r="F457" s="36" t="str">
        <f t="shared" si="14"/>
        <v>IB11170</v>
      </c>
      <c r="G457" s="317"/>
      <c r="H457" s="318"/>
      <c r="I457" s="318"/>
      <c r="J457" s="319"/>
      <c r="K457" s="140"/>
      <c r="L457" s="141"/>
      <c r="M457" s="140"/>
      <c r="N457" s="35" t="s">
        <v>11</v>
      </c>
      <c r="O457" s="38" t="str">
        <f t="shared" si="15"/>
        <v>OB11170</v>
      </c>
      <c r="P457" s="746" t="s">
        <v>489</v>
      </c>
      <c r="Q457" s="747"/>
      <c r="R457" s="747"/>
      <c r="S457" s="748"/>
      <c r="T457" s="140" t="s">
        <v>1513</v>
      </c>
      <c r="U457" s="142"/>
      <c r="V457" s="882"/>
      <c r="W457" s="883"/>
      <c r="X457" s="36"/>
      <c r="Y457" s="143"/>
      <c r="Z457" s="143"/>
      <c r="AA457" s="143"/>
      <c r="AB457" s="143"/>
      <c r="AC457" s="144"/>
      <c r="AD457" s="143"/>
      <c r="AE457" s="143"/>
      <c r="AF457" s="145"/>
    </row>
    <row r="458" spans="2:32" ht="17.25" customHeight="1">
      <c r="B458" s="34">
        <v>113</v>
      </c>
      <c r="C458" s="819"/>
      <c r="D458" s="792"/>
      <c r="E458" s="35" t="s">
        <v>10</v>
      </c>
      <c r="F458" s="36" t="str">
        <f t="shared" si="14"/>
        <v>IB11171</v>
      </c>
      <c r="G458" s="83"/>
      <c r="H458" s="84"/>
      <c r="I458" s="84"/>
      <c r="J458" s="85"/>
      <c r="K458" s="140"/>
      <c r="L458" s="141"/>
      <c r="M458" s="140"/>
      <c r="N458" s="35" t="s">
        <v>11</v>
      </c>
      <c r="O458" s="38" t="str">
        <f t="shared" si="15"/>
        <v>OB11171</v>
      </c>
      <c r="P458" s="344"/>
      <c r="Q458" s="345"/>
      <c r="R458" s="345"/>
      <c r="S458" s="346"/>
      <c r="T458" s="140"/>
      <c r="U458" s="142"/>
      <c r="V458" s="882"/>
      <c r="W458" s="883"/>
      <c r="X458" s="36"/>
      <c r="Y458" s="143"/>
      <c r="Z458" s="143"/>
      <c r="AA458" s="143"/>
      <c r="AB458" s="143"/>
      <c r="AC458" s="144"/>
      <c r="AD458" s="143"/>
      <c r="AE458" s="143"/>
      <c r="AF458" s="145"/>
    </row>
    <row r="459" spans="2:32" ht="17.25" customHeight="1">
      <c r="B459" s="34">
        <v>114</v>
      </c>
      <c r="C459" s="819"/>
      <c r="D459" s="792"/>
      <c r="E459" s="35" t="s">
        <v>10</v>
      </c>
      <c r="F459" s="36" t="str">
        <f t="shared" si="14"/>
        <v>IB11172</v>
      </c>
      <c r="G459" s="83"/>
      <c r="H459" s="84"/>
      <c r="I459" s="84"/>
      <c r="J459" s="85"/>
      <c r="K459" s="140"/>
      <c r="L459" s="141"/>
      <c r="M459" s="140"/>
      <c r="N459" s="35" t="s">
        <v>11</v>
      </c>
      <c r="O459" s="38" t="str">
        <f t="shared" si="15"/>
        <v>OB11172</v>
      </c>
      <c r="P459" s="743" t="s">
        <v>481</v>
      </c>
      <c r="Q459" s="744"/>
      <c r="R459" s="744"/>
      <c r="S459" s="745"/>
      <c r="T459" s="140" t="s">
        <v>1513</v>
      </c>
      <c r="U459" s="142"/>
      <c r="V459" s="882"/>
      <c r="W459" s="883"/>
      <c r="X459" s="36"/>
      <c r="Y459" s="143"/>
      <c r="Z459" s="143"/>
      <c r="AA459" s="143"/>
      <c r="AB459" s="143"/>
      <c r="AC459" s="144"/>
      <c r="AD459" s="143"/>
      <c r="AE459" s="143"/>
      <c r="AF459" s="145"/>
    </row>
    <row r="460" spans="2:32" ht="17.25" customHeight="1">
      <c r="B460" s="34">
        <v>115</v>
      </c>
      <c r="C460" s="819"/>
      <c r="D460" s="792"/>
      <c r="E460" s="35" t="s">
        <v>10</v>
      </c>
      <c r="F460" s="36" t="str">
        <f t="shared" si="14"/>
        <v>IB11173</v>
      </c>
      <c r="G460" s="83"/>
      <c r="H460" s="84"/>
      <c r="I460" s="84"/>
      <c r="J460" s="85"/>
      <c r="K460" s="140"/>
      <c r="L460" s="141"/>
      <c r="M460" s="140"/>
      <c r="N460" s="35" t="s">
        <v>11</v>
      </c>
      <c r="O460" s="38" t="str">
        <f t="shared" si="15"/>
        <v>OB11173</v>
      </c>
      <c r="P460" s="743" t="s">
        <v>482</v>
      </c>
      <c r="Q460" s="744"/>
      <c r="R460" s="744"/>
      <c r="S460" s="745"/>
      <c r="T460" s="140" t="s">
        <v>1513</v>
      </c>
      <c r="U460" s="142"/>
      <c r="V460" s="882"/>
      <c r="W460" s="883"/>
      <c r="X460" s="36"/>
      <c r="Y460" s="143"/>
      <c r="Z460" s="143"/>
      <c r="AA460" s="143"/>
      <c r="AB460" s="143"/>
      <c r="AC460" s="144"/>
      <c r="AD460" s="143"/>
      <c r="AE460" s="143"/>
      <c r="AF460" s="145"/>
    </row>
    <row r="461" spans="2:32" ht="17.25" customHeight="1">
      <c r="B461" s="34">
        <v>116</v>
      </c>
      <c r="C461" s="819"/>
      <c r="D461" s="792"/>
      <c r="E461" s="35" t="s">
        <v>10</v>
      </c>
      <c r="F461" s="36" t="str">
        <f t="shared" si="14"/>
        <v>IB11174</v>
      </c>
      <c r="G461" s="83"/>
      <c r="H461" s="84"/>
      <c r="I461" s="84"/>
      <c r="J461" s="85"/>
      <c r="K461" s="140"/>
      <c r="L461" s="141"/>
      <c r="M461" s="140"/>
      <c r="N461" s="35" t="s">
        <v>11</v>
      </c>
      <c r="O461" s="38" t="str">
        <f t="shared" si="15"/>
        <v>OB11174</v>
      </c>
      <c r="P461" s="743" t="s">
        <v>483</v>
      </c>
      <c r="Q461" s="744"/>
      <c r="R461" s="744"/>
      <c r="S461" s="745"/>
      <c r="T461" s="140" t="s">
        <v>1513</v>
      </c>
      <c r="U461" s="142"/>
      <c r="V461" s="882"/>
      <c r="W461" s="883"/>
      <c r="X461" s="36"/>
      <c r="Y461" s="143"/>
      <c r="Z461" s="143"/>
      <c r="AA461" s="143"/>
      <c r="AB461" s="143"/>
      <c r="AC461" s="144"/>
      <c r="AD461" s="143"/>
      <c r="AE461" s="143"/>
      <c r="AF461" s="145"/>
    </row>
    <row r="462" spans="2:32" ht="17.25" customHeight="1">
      <c r="B462" s="34">
        <v>117</v>
      </c>
      <c r="C462" s="819"/>
      <c r="D462" s="792"/>
      <c r="E462" s="35" t="s">
        <v>10</v>
      </c>
      <c r="F462" s="36" t="str">
        <f t="shared" si="14"/>
        <v>IB11175</v>
      </c>
      <c r="G462" s="83"/>
      <c r="H462" s="84"/>
      <c r="I462" s="84"/>
      <c r="J462" s="85"/>
      <c r="K462" s="140"/>
      <c r="L462" s="141"/>
      <c r="M462" s="140"/>
      <c r="N462" s="35" t="s">
        <v>11</v>
      </c>
      <c r="O462" s="38" t="str">
        <f t="shared" si="15"/>
        <v>OB11175</v>
      </c>
      <c r="P462" s="743" t="s">
        <v>484</v>
      </c>
      <c r="Q462" s="744"/>
      <c r="R462" s="744"/>
      <c r="S462" s="745"/>
      <c r="T462" s="140" t="s">
        <v>1513</v>
      </c>
      <c r="U462" s="142"/>
      <c r="V462" s="882"/>
      <c r="W462" s="883"/>
      <c r="X462" s="36"/>
      <c r="Y462" s="143"/>
      <c r="Z462" s="143"/>
      <c r="AA462" s="143"/>
      <c r="AB462" s="143"/>
      <c r="AC462" s="144"/>
      <c r="AD462" s="143"/>
      <c r="AE462" s="143"/>
      <c r="AF462" s="145"/>
    </row>
    <row r="463" spans="2:32" ht="17.25" customHeight="1">
      <c r="B463" s="34">
        <v>118</v>
      </c>
      <c r="C463" s="819"/>
      <c r="D463" s="792"/>
      <c r="E463" s="35" t="s">
        <v>10</v>
      </c>
      <c r="F463" s="36" t="str">
        <f t="shared" si="14"/>
        <v>IB11176</v>
      </c>
      <c r="G463" s="83"/>
      <c r="H463" s="84"/>
      <c r="I463" s="84"/>
      <c r="J463" s="85"/>
      <c r="K463" s="140"/>
      <c r="L463" s="141"/>
      <c r="M463" s="140"/>
      <c r="N463" s="35" t="s">
        <v>11</v>
      </c>
      <c r="O463" s="38" t="str">
        <f t="shared" si="15"/>
        <v>OB11176</v>
      </c>
      <c r="P463" s="743" t="s">
        <v>485</v>
      </c>
      <c r="Q463" s="744"/>
      <c r="R463" s="744"/>
      <c r="S463" s="745"/>
      <c r="T463" s="140" t="s">
        <v>1513</v>
      </c>
      <c r="U463" s="142"/>
      <c r="V463" s="882"/>
      <c r="W463" s="883"/>
      <c r="X463" s="36"/>
      <c r="Y463" s="143"/>
      <c r="Z463" s="143"/>
      <c r="AA463" s="143"/>
      <c r="AB463" s="143"/>
      <c r="AC463" s="144"/>
      <c r="AD463" s="143"/>
      <c r="AE463" s="143"/>
      <c r="AF463" s="145"/>
    </row>
    <row r="464" spans="2:32" ht="17.25" customHeight="1">
      <c r="B464" s="34">
        <v>119</v>
      </c>
      <c r="C464" s="819"/>
      <c r="D464" s="792"/>
      <c r="E464" s="35" t="s">
        <v>10</v>
      </c>
      <c r="F464" s="36" t="str">
        <f t="shared" si="14"/>
        <v>IB11177</v>
      </c>
      <c r="G464" s="83"/>
      <c r="H464" s="84"/>
      <c r="I464" s="84"/>
      <c r="J464" s="85"/>
      <c r="K464" s="140"/>
      <c r="L464" s="141"/>
      <c r="M464" s="140"/>
      <c r="N464" s="35" t="s">
        <v>11</v>
      </c>
      <c r="O464" s="38" t="str">
        <f t="shared" si="15"/>
        <v>OB11177</v>
      </c>
      <c r="P464" s="743" t="s">
        <v>486</v>
      </c>
      <c r="Q464" s="744"/>
      <c r="R464" s="744"/>
      <c r="S464" s="745"/>
      <c r="T464" s="140" t="s">
        <v>1513</v>
      </c>
      <c r="U464" s="142"/>
      <c r="V464" s="882"/>
      <c r="W464" s="883"/>
      <c r="X464" s="36"/>
      <c r="Y464" s="143"/>
      <c r="Z464" s="143"/>
      <c r="AA464" s="143"/>
      <c r="AB464" s="143"/>
      <c r="AC464" s="144"/>
      <c r="AD464" s="143"/>
      <c r="AE464" s="143"/>
      <c r="AF464" s="145"/>
    </row>
    <row r="465" spans="2:32" ht="17.25" customHeight="1">
      <c r="B465" s="34">
        <v>120</v>
      </c>
      <c r="C465" s="819"/>
      <c r="D465" s="792"/>
      <c r="E465" s="35" t="s">
        <v>10</v>
      </c>
      <c r="F465" s="36" t="str">
        <f t="shared" si="14"/>
        <v>IB11178</v>
      </c>
      <c r="G465" s="83"/>
      <c r="H465" s="84"/>
      <c r="I465" s="84"/>
      <c r="J465" s="85"/>
      <c r="K465" s="593"/>
      <c r="L465" s="147"/>
      <c r="M465" s="626"/>
      <c r="N465" s="35" t="s">
        <v>11</v>
      </c>
      <c r="O465" s="38" t="str">
        <f t="shared" si="15"/>
        <v>OB11178</v>
      </c>
      <c r="P465" s="743" t="s">
        <v>487</v>
      </c>
      <c r="Q465" s="744"/>
      <c r="R465" s="744"/>
      <c r="S465" s="745"/>
      <c r="T465" s="140" t="s">
        <v>1513</v>
      </c>
      <c r="U465" s="142"/>
      <c r="V465" s="882"/>
      <c r="W465" s="883"/>
      <c r="X465" s="36"/>
      <c r="Y465" s="143"/>
      <c r="Z465" s="143"/>
      <c r="AA465" s="143"/>
      <c r="AB465" s="143"/>
      <c r="AC465" s="144"/>
      <c r="AD465" s="143"/>
      <c r="AE465" s="143"/>
      <c r="AF465" s="145"/>
    </row>
    <row r="466" spans="2:32" ht="17.25" customHeight="1">
      <c r="B466" s="34">
        <v>121</v>
      </c>
      <c r="C466" s="819"/>
      <c r="D466" s="792"/>
      <c r="E466" s="35" t="s">
        <v>10</v>
      </c>
      <c r="F466" s="36" t="str">
        <f t="shared" si="14"/>
        <v>IB11179</v>
      </c>
      <c r="G466" s="83"/>
      <c r="H466" s="84"/>
      <c r="I466" s="84"/>
      <c r="J466" s="85"/>
      <c r="K466" s="593"/>
      <c r="L466" s="147"/>
      <c r="M466" s="626"/>
      <c r="N466" s="35" t="s">
        <v>11</v>
      </c>
      <c r="O466" s="38" t="str">
        <f t="shared" si="15"/>
        <v>OB11179</v>
      </c>
      <c r="P466" s="743" t="s">
        <v>488</v>
      </c>
      <c r="Q466" s="744"/>
      <c r="R466" s="744"/>
      <c r="S466" s="745"/>
      <c r="T466" s="140" t="s">
        <v>1513</v>
      </c>
      <c r="U466" s="142"/>
      <c r="V466" s="882"/>
      <c r="W466" s="883"/>
      <c r="X466" s="36"/>
      <c r="Y466" s="143"/>
      <c r="Z466" s="143"/>
      <c r="AA466" s="143"/>
      <c r="AB466" s="143"/>
      <c r="AC466" s="144"/>
      <c r="AD466" s="143"/>
      <c r="AE466" s="143"/>
      <c r="AF466" s="145"/>
    </row>
    <row r="467" spans="2:32" ht="17.25" customHeight="1">
      <c r="B467" s="34">
        <v>122</v>
      </c>
      <c r="C467" s="819"/>
      <c r="D467" s="792"/>
      <c r="E467" s="35" t="s">
        <v>10</v>
      </c>
      <c r="F467" s="36" t="str">
        <f t="shared" si="14"/>
        <v>IB1117A</v>
      </c>
      <c r="G467" s="83"/>
      <c r="H467" s="84"/>
      <c r="I467" s="84"/>
      <c r="J467" s="85"/>
      <c r="K467" s="593"/>
      <c r="L467" s="147"/>
      <c r="M467" s="626"/>
      <c r="N467" s="35" t="s">
        <v>11</v>
      </c>
      <c r="O467" s="38" t="str">
        <f t="shared" si="15"/>
        <v>OB1117A</v>
      </c>
      <c r="P467" s="344"/>
      <c r="Q467" s="345"/>
      <c r="R467" s="345"/>
      <c r="S467" s="346"/>
      <c r="T467" s="140"/>
      <c r="U467" s="142"/>
      <c r="V467" s="882"/>
      <c r="W467" s="883"/>
      <c r="X467" s="36"/>
      <c r="Y467" s="143"/>
      <c r="Z467" s="143"/>
      <c r="AA467" s="143"/>
      <c r="AB467" s="143"/>
      <c r="AC467" s="144"/>
      <c r="AD467" s="143"/>
      <c r="AE467" s="143"/>
      <c r="AF467" s="145"/>
    </row>
    <row r="468" spans="2:32" ht="17.25" customHeight="1">
      <c r="B468" s="34">
        <v>123</v>
      </c>
      <c r="C468" s="819"/>
      <c r="D468" s="792"/>
      <c r="E468" s="35" t="s">
        <v>10</v>
      </c>
      <c r="F468" s="36" t="str">
        <f t="shared" si="14"/>
        <v>IB1117B</v>
      </c>
      <c r="G468" s="83"/>
      <c r="H468" s="84"/>
      <c r="I468" s="84"/>
      <c r="J468" s="85"/>
      <c r="K468" s="593"/>
      <c r="L468" s="147"/>
      <c r="M468" s="626"/>
      <c r="N468" s="35" t="s">
        <v>11</v>
      </c>
      <c r="O468" s="38" t="str">
        <f t="shared" si="15"/>
        <v>OB1117B</v>
      </c>
      <c r="P468" s="338" t="s">
        <v>105</v>
      </c>
      <c r="Q468" s="345"/>
      <c r="R468" s="345"/>
      <c r="S468" s="346"/>
      <c r="T468" s="140" t="s">
        <v>1513</v>
      </c>
      <c r="U468" s="142"/>
      <c r="V468" s="882"/>
      <c r="W468" s="883"/>
      <c r="X468" s="36"/>
      <c r="Y468" s="143"/>
      <c r="Z468" s="143"/>
      <c r="AA468" s="143"/>
      <c r="AB468" s="143"/>
      <c r="AC468" s="144"/>
      <c r="AD468" s="143"/>
      <c r="AE468" s="143"/>
      <c r="AF468" s="145"/>
    </row>
    <row r="469" spans="2:32" ht="17.25" customHeight="1">
      <c r="B469" s="34">
        <v>124</v>
      </c>
      <c r="C469" s="819"/>
      <c r="D469" s="792"/>
      <c r="E469" s="35" t="s">
        <v>10</v>
      </c>
      <c r="F469" s="36" t="str">
        <f t="shared" si="14"/>
        <v>IB1117C</v>
      </c>
      <c r="G469" s="83"/>
      <c r="H469" s="84"/>
      <c r="I469" s="84"/>
      <c r="J469" s="85"/>
      <c r="K469" s="594"/>
      <c r="L469" s="149"/>
      <c r="M469" s="629"/>
      <c r="N469" s="35" t="s">
        <v>11</v>
      </c>
      <c r="O469" s="38" t="str">
        <f t="shared" si="15"/>
        <v>OB1117C</v>
      </c>
      <c r="P469" s="338" t="s">
        <v>311</v>
      </c>
      <c r="Q469" s="345"/>
      <c r="R469" s="345"/>
      <c r="S469" s="346"/>
      <c r="T469" s="140" t="s">
        <v>1513</v>
      </c>
      <c r="U469" s="142"/>
      <c r="V469" s="882"/>
      <c r="W469" s="883"/>
      <c r="X469" s="36"/>
      <c r="Y469" s="143"/>
      <c r="Z469" s="143"/>
      <c r="AA469" s="143"/>
      <c r="AB469" s="143"/>
      <c r="AC469" s="144"/>
      <c r="AD469" s="143"/>
      <c r="AE469" s="143"/>
      <c r="AF469" s="145"/>
    </row>
    <row r="470" spans="2:32" ht="17.25" customHeight="1">
      <c r="B470" s="34">
        <v>125</v>
      </c>
      <c r="C470" s="819"/>
      <c r="D470" s="792"/>
      <c r="E470" s="35" t="s">
        <v>10</v>
      </c>
      <c r="F470" s="36" t="str">
        <f t="shared" si="14"/>
        <v>IB1117D</v>
      </c>
      <c r="G470" s="83"/>
      <c r="H470" s="84"/>
      <c r="I470" s="84"/>
      <c r="J470" s="85"/>
      <c r="K470" s="143"/>
      <c r="L470" s="146"/>
      <c r="M470" s="625"/>
      <c r="N470" s="35" t="s">
        <v>11</v>
      </c>
      <c r="O470" s="38" t="str">
        <f t="shared" si="15"/>
        <v>OB1117D</v>
      </c>
      <c r="P470" s="338" t="s">
        <v>106</v>
      </c>
      <c r="Q470" s="350"/>
      <c r="R470" s="350"/>
      <c r="S470" s="351"/>
      <c r="T470" s="140" t="s">
        <v>1513</v>
      </c>
      <c r="U470" s="142"/>
      <c r="V470" s="882"/>
      <c r="W470" s="883"/>
      <c r="X470" s="36"/>
      <c r="Y470" s="143"/>
      <c r="Z470" s="143"/>
      <c r="AA470" s="143"/>
      <c r="AB470" s="143"/>
      <c r="AC470" s="144"/>
      <c r="AD470" s="143"/>
      <c r="AE470" s="143"/>
      <c r="AF470" s="145"/>
    </row>
    <row r="471" spans="2:32" ht="17.25" customHeight="1">
      <c r="B471" s="34">
        <v>126</v>
      </c>
      <c r="C471" s="819"/>
      <c r="D471" s="792"/>
      <c r="E471" s="35" t="s">
        <v>10</v>
      </c>
      <c r="F471" s="36" t="str">
        <f t="shared" si="14"/>
        <v>IB1117E</v>
      </c>
      <c r="G471" s="83"/>
      <c r="H471" s="84"/>
      <c r="I471" s="84"/>
      <c r="J471" s="85"/>
      <c r="K471" s="143"/>
      <c r="L471" s="146"/>
      <c r="M471" s="625"/>
      <c r="N471" s="35" t="s">
        <v>11</v>
      </c>
      <c r="O471" s="38" t="str">
        <f t="shared" si="15"/>
        <v>OB1117E</v>
      </c>
      <c r="P471" s="344" t="s">
        <v>1438</v>
      </c>
      <c r="Q471" s="345"/>
      <c r="R471" s="345"/>
      <c r="S471" s="346"/>
      <c r="T471" s="140" t="s">
        <v>1513</v>
      </c>
      <c r="U471" s="142"/>
      <c r="V471" s="882"/>
      <c r="W471" s="883"/>
      <c r="X471" s="36"/>
      <c r="Y471" s="143"/>
      <c r="Z471" s="143"/>
      <c r="AA471" s="143"/>
      <c r="AB471" s="143"/>
      <c r="AC471" s="144"/>
      <c r="AD471" s="143"/>
      <c r="AE471" s="143"/>
      <c r="AF471" s="145"/>
    </row>
    <row r="472" spans="2:32" ht="17.25" customHeight="1">
      <c r="B472" s="34">
        <v>127</v>
      </c>
      <c r="C472" s="842"/>
      <c r="D472" s="839"/>
      <c r="E472" s="35" t="s">
        <v>10</v>
      </c>
      <c r="F472" s="36" t="str">
        <f t="shared" si="14"/>
        <v>IB1117F</v>
      </c>
      <c r="G472" s="332"/>
      <c r="H472" s="333"/>
      <c r="I472" s="333"/>
      <c r="J472" s="334"/>
      <c r="K472" s="143"/>
      <c r="L472" s="146"/>
      <c r="M472" s="625"/>
      <c r="N472" s="35" t="s">
        <v>11</v>
      </c>
      <c r="O472" s="38" t="str">
        <f t="shared" si="15"/>
        <v>OB1117F</v>
      </c>
      <c r="P472" s="344" t="s">
        <v>1439</v>
      </c>
      <c r="Q472" s="345"/>
      <c r="R472" s="345"/>
      <c r="S472" s="346"/>
      <c r="T472" s="140" t="s">
        <v>1513</v>
      </c>
      <c r="U472" s="142"/>
      <c r="V472" s="882"/>
      <c r="W472" s="883"/>
      <c r="X472" s="36"/>
      <c r="Y472" s="143"/>
      <c r="Z472" s="143"/>
      <c r="AA472" s="143"/>
      <c r="AB472" s="143"/>
      <c r="AC472" s="144"/>
      <c r="AD472" s="143"/>
      <c r="AE472" s="143"/>
      <c r="AF472" s="145"/>
    </row>
    <row r="473" spans="2:32" ht="17.25" customHeight="1">
      <c r="B473" s="34">
        <v>128</v>
      </c>
      <c r="C473" s="836" t="s">
        <v>1567</v>
      </c>
      <c r="D473" s="843" t="s">
        <v>1405</v>
      </c>
      <c r="E473" s="35" t="s">
        <v>10</v>
      </c>
      <c r="F473" s="36" t="str">
        <f t="shared" si="14"/>
        <v>IB11180</v>
      </c>
      <c r="G473" s="749" t="s">
        <v>397</v>
      </c>
      <c r="H473" s="750"/>
      <c r="I473" s="750"/>
      <c r="J473" s="751"/>
      <c r="K473" s="140" t="s">
        <v>1513</v>
      </c>
      <c r="L473" s="141"/>
      <c r="M473" s="140"/>
      <c r="N473" s="35" t="s">
        <v>11</v>
      </c>
      <c r="O473" s="38" t="str">
        <f t="shared" si="15"/>
        <v>OB11180</v>
      </c>
      <c r="P473" s="317"/>
      <c r="Q473" s="318"/>
      <c r="R473" s="318"/>
      <c r="S473" s="319"/>
      <c r="T473" s="140"/>
      <c r="U473" s="142"/>
      <c r="V473" s="882"/>
      <c r="W473" s="883"/>
      <c r="X473" s="36"/>
      <c r="Y473" s="143"/>
      <c r="Z473" s="143"/>
      <c r="AA473" s="143"/>
      <c r="AB473" s="143"/>
      <c r="AC473" s="144"/>
      <c r="AD473" s="143"/>
      <c r="AE473" s="143"/>
      <c r="AF473" s="145"/>
    </row>
    <row r="474" spans="2:32" ht="17.25" customHeight="1">
      <c r="B474" s="34">
        <v>129</v>
      </c>
      <c r="C474" s="823"/>
      <c r="D474" s="792"/>
      <c r="E474" s="35" t="s">
        <v>10</v>
      </c>
      <c r="F474" s="36" t="str">
        <f t="shared" si="14"/>
        <v>IB11181</v>
      </c>
      <c r="G474" s="749" t="s">
        <v>398</v>
      </c>
      <c r="H474" s="750"/>
      <c r="I474" s="750"/>
      <c r="J474" s="751"/>
      <c r="K474" s="140" t="s">
        <v>1513</v>
      </c>
      <c r="L474" s="141"/>
      <c r="M474" s="140"/>
      <c r="N474" s="35" t="s">
        <v>11</v>
      </c>
      <c r="O474" s="38" t="str">
        <f t="shared" si="15"/>
        <v>OB11181</v>
      </c>
      <c r="P474" s="83"/>
      <c r="Q474" s="84"/>
      <c r="R474" s="84"/>
      <c r="S474" s="85"/>
      <c r="T474" s="140"/>
      <c r="U474" s="142"/>
      <c r="V474" s="882"/>
      <c r="W474" s="883"/>
      <c r="X474" s="36"/>
      <c r="Y474" s="143"/>
      <c r="Z474" s="143"/>
      <c r="AA474" s="143"/>
      <c r="AB474" s="143"/>
      <c r="AC474" s="144"/>
      <c r="AD474" s="143"/>
      <c r="AE474" s="143"/>
      <c r="AF474" s="145"/>
    </row>
    <row r="475" spans="2:32" ht="17.25" customHeight="1">
      <c r="B475" s="34">
        <v>130</v>
      </c>
      <c r="C475" s="823"/>
      <c r="D475" s="792"/>
      <c r="E475" s="35" t="s">
        <v>10</v>
      </c>
      <c r="F475" s="36" t="str">
        <f t="shared" ref="F475:F538" si="16">LEFT(F474,1)&amp;DEC2HEX(HEX2DEC(MID(F474,2,LENB(F474)-1))+1,LENB(F474)-1)</f>
        <v>IB11182</v>
      </c>
      <c r="G475" s="749" t="s">
        <v>399</v>
      </c>
      <c r="H475" s="750"/>
      <c r="I475" s="750"/>
      <c r="J475" s="751"/>
      <c r="K475" s="140" t="s">
        <v>1513</v>
      </c>
      <c r="L475" s="141"/>
      <c r="M475" s="140"/>
      <c r="N475" s="35" t="s">
        <v>11</v>
      </c>
      <c r="O475" s="38" t="str">
        <f t="shared" ref="O475:O538" si="17">LEFT(O474,1)&amp;DEC2HEX(HEX2DEC(MID(O474,2,LENB(O474)-1))+1,LENB(O474)-1)</f>
        <v>OB11182</v>
      </c>
      <c r="P475" s="83"/>
      <c r="Q475" s="84"/>
      <c r="R475" s="84"/>
      <c r="S475" s="85"/>
      <c r="T475" s="140"/>
      <c r="U475" s="142"/>
      <c r="V475" s="882"/>
      <c r="W475" s="883"/>
      <c r="X475" s="36"/>
      <c r="Y475" s="143"/>
      <c r="Z475" s="143"/>
      <c r="AA475" s="143"/>
      <c r="AB475" s="143"/>
      <c r="AC475" s="144"/>
      <c r="AD475" s="143"/>
      <c r="AE475" s="143"/>
      <c r="AF475" s="145"/>
    </row>
    <row r="476" spans="2:32" ht="17.25" customHeight="1">
      <c r="B476" s="34">
        <v>131</v>
      </c>
      <c r="C476" s="823"/>
      <c r="D476" s="792"/>
      <c r="E476" s="35" t="s">
        <v>10</v>
      </c>
      <c r="F476" s="36" t="str">
        <f t="shared" si="16"/>
        <v>IB11183</v>
      </c>
      <c r="G476" s="749" t="s">
        <v>400</v>
      </c>
      <c r="H476" s="750"/>
      <c r="I476" s="750"/>
      <c r="J476" s="751"/>
      <c r="K476" s="140" t="s">
        <v>1513</v>
      </c>
      <c r="L476" s="141"/>
      <c r="M476" s="140"/>
      <c r="N476" s="35" t="s">
        <v>11</v>
      </c>
      <c r="O476" s="38" t="str">
        <f t="shared" si="17"/>
        <v>OB11183</v>
      </c>
      <c r="P476" s="83"/>
      <c r="Q476" s="84"/>
      <c r="R476" s="84"/>
      <c r="S476" s="85"/>
      <c r="T476" s="140"/>
      <c r="U476" s="142"/>
      <c r="V476" s="882"/>
      <c r="W476" s="883"/>
      <c r="X476" s="36"/>
      <c r="Y476" s="143"/>
      <c r="Z476" s="143"/>
      <c r="AA476" s="143"/>
      <c r="AB476" s="143"/>
      <c r="AC476" s="144"/>
      <c r="AD476" s="143"/>
      <c r="AE476" s="143"/>
      <c r="AF476" s="145"/>
    </row>
    <row r="477" spans="2:32" ht="17.25" customHeight="1">
      <c r="B477" s="34">
        <v>132</v>
      </c>
      <c r="C477" s="823"/>
      <c r="D477" s="792"/>
      <c r="E477" s="35" t="s">
        <v>10</v>
      </c>
      <c r="F477" s="36" t="str">
        <f t="shared" si="16"/>
        <v>IB11184</v>
      </c>
      <c r="G477" s="749" t="s">
        <v>401</v>
      </c>
      <c r="H477" s="750"/>
      <c r="I477" s="750"/>
      <c r="J477" s="751"/>
      <c r="K477" s="140" t="s">
        <v>1513</v>
      </c>
      <c r="L477" s="141"/>
      <c r="M477" s="140"/>
      <c r="N477" s="35" t="s">
        <v>11</v>
      </c>
      <c r="O477" s="38" t="str">
        <f t="shared" si="17"/>
        <v>OB11184</v>
      </c>
      <c r="P477" s="83"/>
      <c r="Q477" s="84"/>
      <c r="R477" s="84"/>
      <c r="S477" s="85"/>
      <c r="T477" s="140"/>
      <c r="U477" s="142"/>
      <c r="V477" s="882"/>
      <c r="W477" s="883"/>
      <c r="X477" s="36"/>
      <c r="Y477" s="143"/>
      <c r="Z477" s="143"/>
      <c r="AA477" s="143"/>
      <c r="AB477" s="143"/>
      <c r="AC477" s="144"/>
      <c r="AD477" s="143"/>
      <c r="AE477" s="143"/>
      <c r="AF477" s="145"/>
    </row>
    <row r="478" spans="2:32" ht="17.25" customHeight="1">
      <c r="B478" s="34">
        <v>133</v>
      </c>
      <c r="C478" s="823"/>
      <c r="D478" s="792"/>
      <c r="E478" s="35" t="s">
        <v>10</v>
      </c>
      <c r="F478" s="36" t="str">
        <f t="shared" si="16"/>
        <v>IB11185</v>
      </c>
      <c r="G478" s="749" t="s">
        <v>402</v>
      </c>
      <c r="H478" s="750"/>
      <c r="I478" s="750"/>
      <c r="J478" s="751"/>
      <c r="K478" s="140" t="s">
        <v>1513</v>
      </c>
      <c r="L478" s="141"/>
      <c r="M478" s="140"/>
      <c r="N478" s="35" t="s">
        <v>11</v>
      </c>
      <c r="O478" s="38" t="str">
        <f t="shared" si="17"/>
        <v>OB11185</v>
      </c>
      <c r="P478" s="83"/>
      <c r="Q478" s="84"/>
      <c r="R478" s="84"/>
      <c r="S478" s="85"/>
      <c r="T478" s="140"/>
      <c r="U478" s="142"/>
      <c r="V478" s="882"/>
      <c r="W478" s="883"/>
      <c r="X478" s="36"/>
      <c r="Y478" s="143"/>
      <c r="Z478" s="143"/>
      <c r="AA478" s="143"/>
      <c r="AB478" s="143"/>
      <c r="AC478" s="144"/>
      <c r="AD478" s="143"/>
      <c r="AE478" s="143"/>
      <c r="AF478" s="145"/>
    </row>
    <row r="479" spans="2:32" ht="17.25" customHeight="1">
      <c r="B479" s="34">
        <v>134</v>
      </c>
      <c r="C479" s="823"/>
      <c r="D479" s="792"/>
      <c r="E479" s="35" t="s">
        <v>10</v>
      </c>
      <c r="F479" s="36" t="str">
        <f t="shared" si="16"/>
        <v>IB11186</v>
      </c>
      <c r="G479" s="302"/>
      <c r="H479" s="303"/>
      <c r="I479" s="303"/>
      <c r="J479" s="304"/>
      <c r="K479" s="140"/>
      <c r="L479" s="141"/>
      <c r="M479" s="140"/>
      <c r="N479" s="35" t="s">
        <v>11</v>
      </c>
      <c r="O479" s="38" t="str">
        <f t="shared" si="17"/>
        <v>OB11186</v>
      </c>
      <c r="P479" s="83"/>
      <c r="Q479" s="84"/>
      <c r="R479" s="84"/>
      <c r="S479" s="85"/>
      <c r="T479" s="140"/>
      <c r="U479" s="142"/>
      <c r="V479" s="882"/>
      <c r="W479" s="883"/>
      <c r="X479" s="36"/>
      <c r="Y479" s="143"/>
      <c r="Z479" s="143"/>
      <c r="AA479" s="143"/>
      <c r="AB479" s="143"/>
      <c r="AC479" s="144"/>
      <c r="AD479" s="143"/>
      <c r="AE479" s="143"/>
      <c r="AF479" s="145"/>
    </row>
    <row r="480" spans="2:32" ht="17.25" customHeight="1">
      <c r="B480" s="34">
        <v>135</v>
      </c>
      <c r="C480" s="823"/>
      <c r="D480" s="792"/>
      <c r="E480" s="35" t="s">
        <v>10</v>
      </c>
      <c r="F480" s="36" t="str">
        <f t="shared" si="16"/>
        <v>IB11187</v>
      </c>
      <c r="G480" s="302"/>
      <c r="H480" s="303"/>
      <c r="I480" s="303"/>
      <c r="J480" s="304"/>
      <c r="K480" s="140"/>
      <c r="L480" s="141"/>
      <c r="M480" s="140"/>
      <c r="N480" s="35" t="s">
        <v>11</v>
      </c>
      <c r="O480" s="38" t="str">
        <f t="shared" si="17"/>
        <v>OB11187</v>
      </c>
      <c r="P480" s="83"/>
      <c r="Q480" s="84"/>
      <c r="R480" s="84"/>
      <c r="S480" s="85"/>
      <c r="T480" s="140"/>
      <c r="U480" s="142"/>
      <c r="V480" s="882"/>
      <c r="W480" s="883"/>
      <c r="X480" s="36"/>
      <c r="Y480" s="143"/>
      <c r="Z480" s="143"/>
      <c r="AA480" s="143"/>
      <c r="AB480" s="143"/>
      <c r="AC480" s="144"/>
      <c r="AD480" s="143"/>
      <c r="AE480" s="143"/>
      <c r="AF480" s="145"/>
    </row>
    <row r="481" spans="2:32" ht="13.2">
      <c r="B481" s="34">
        <v>136</v>
      </c>
      <c r="C481" s="823"/>
      <c r="D481" s="792"/>
      <c r="E481" s="35" t="s">
        <v>10</v>
      </c>
      <c r="F481" s="36" t="str">
        <f t="shared" si="16"/>
        <v>IB11188</v>
      </c>
      <c r="G481" s="758" t="s">
        <v>403</v>
      </c>
      <c r="H481" s="759"/>
      <c r="I481" s="759"/>
      <c r="J481" s="760"/>
      <c r="K481" s="140" t="s">
        <v>1513</v>
      </c>
      <c r="L481" s="150"/>
      <c r="M481" s="35"/>
      <c r="N481" s="35" t="s">
        <v>11</v>
      </c>
      <c r="O481" s="38" t="str">
        <f t="shared" si="17"/>
        <v>OB11188</v>
      </c>
      <c r="P481" s="83"/>
      <c r="Q481" s="84"/>
      <c r="R481" s="84"/>
      <c r="S481" s="85"/>
      <c r="T481" s="140"/>
      <c r="U481" s="142"/>
      <c r="V481" s="882"/>
      <c r="W481" s="883"/>
      <c r="X481" s="36"/>
      <c r="Y481" s="143"/>
      <c r="Z481" s="143"/>
      <c r="AA481" s="143"/>
      <c r="AB481" s="143"/>
      <c r="AC481" s="144"/>
      <c r="AD481" s="143"/>
      <c r="AE481" s="143"/>
      <c r="AF481" s="145"/>
    </row>
    <row r="482" spans="2:32" ht="17.25" customHeight="1">
      <c r="B482" s="34">
        <v>137</v>
      </c>
      <c r="C482" s="823"/>
      <c r="D482" s="792"/>
      <c r="E482" s="35" t="s">
        <v>10</v>
      </c>
      <c r="F482" s="36" t="str">
        <f t="shared" si="16"/>
        <v>IB11189</v>
      </c>
      <c r="G482" s="302"/>
      <c r="H482" s="303"/>
      <c r="I482" s="303"/>
      <c r="J482" s="304"/>
      <c r="K482" s="140"/>
      <c r="L482" s="141"/>
      <c r="M482" s="140"/>
      <c r="N482" s="35" t="s">
        <v>11</v>
      </c>
      <c r="O482" s="38" t="str">
        <f t="shared" si="17"/>
        <v>OB11189</v>
      </c>
      <c r="P482" s="83"/>
      <c r="Q482" s="84"/>
      <c r="R482" s="84"/>
      <c r="S482" s="85"/>
      <c r="T482" s="140"/>
      <c r="U482" s="142"/>
      <c r="V482" s="882"/>
      <c r="W482" s="883"/>
      <c r="X482" s="36"/>
      <c r="Y482" s="143"/>
      <c r="Z482" s="143"/>
      <c r="AA482" s="143"/>
      <c r="AB482" s="143"/>
      <c r="AC482" s="144"/>
      <c r="AD482" s="143"/>
      <c r="AE482" s="143"/>
      <c r="AF482" s="145"/>
    </row>
    <row r="483" spans="2:32" ht="17.25" customHeight="1">
      <c r="B483" s="34">
        <v>138</v>
      </c>
      <c r="C483" s="823"/>
      <c r="D483" s="792"/>
      <c r="E483" s="35" t="s">
        <v>10</v>
      </c>
      <c r="F483" s="36" t="str">
        <f t="shared" si="16"/>
        <v>IB1118A</v>
      </c>
      <c r="G483" s="302"/>
      <c r="H483" s="303"/>
      <c r="I483" s="303"/>
      <c r="J483" s="304"/>
      <c r="K483" s="140"/>
      <c r="L483" s="141"/>
      <c r="M483" s="140"/>
      <c r="N483" s="35" t="s">
        <v>11</v>
      </c>
      <c r="O483" s="38" t="str">
        <f t="shared" si="17"/>
        <v>OB1118A</v>
      </c>
      <c r="P483" s="83"/>
      <c r="Q483" s="84"/>
      <c r="R483" s="84"/>
      <c r="S483" s="85"/>
      <c r="T483" s="140"/>
      <c r="U483" s="142"/>
      <c r="V483" s="882"/>
      <c r="W483" s="883"/>
      <c r="X483" s="36"/>
      <c r="Y483" s="143"/>
      <c r="Z483" s="143"/>
      <c r="AA483" s="143"/>
      <c r="AB483" s="143"/>
      <c r="AC483" s="144"/>
      <c r="AD483" s="143"/>
      <c r="AE483" s="143"/>
      <c r="AF483" s="145"/>
    </row>
    <row r="484" spans="2:32" ht="17.25" customHeight="1">
      <c r="B484" s="34">
        <v>139</v>
      </c>
      <c r="C484" s="823"/>
      <c r="D484" s="792"/>
      <c r="E484" s="35" t="s">
        <v>10</v>
      </c>
      <c r="F484" s="36" t="str">
        <f t="shared" si="16"/>
        <v>IB1118B</v>
      </c>
      <c r="G484" s="302"/>
      <c r="H484" s="303"/>
      <c r="I484" s="303"/>
      <c r="J484" s="304"/>
      <c r="K484" s="140"/>
      <c r="L484" s="141"/>
      <c r="M484" s="140"/>
      <c r="N484" s="35" t="s">
        <v>11</v>
      </c>
      <c r="O484" s="38" t="str">
        <f t="shared" si="17"/>
        <v>OB1118B</v>
      </c>
      <c r="P484" s="83"/>
      <c r="Q484" s="84"/>
      <c r="R484" s="84"/>
      <c r="S484" s="85"/>
      <c r="T484" s="140"/>
      <c r="U484" s="142"/>
      <c r="V484" s="882"/>
      <c r="W484" s="883"/>
      <c r="X484" s="36"/>
      <c r="Y484" s="143"/>
      <c r="Z484" s="143"/>
      <c r="AA484" s="143"/>
      <c r="AB484" s="143"/>
      <c r="AC484" s="144"/>
      <c r="AD484" s="143"/>
      <c r="AE484" s="143"/>
      <c r="AF484" s="145"/>
    </row>
    <row r="485" spans="2:32" ht="17.25" customHeight="1">
      <c r="B485" s="34">
        <v>140</v>
      </c>
      <c r="C485" s="823"/>
      <c r="D485" s="792"/>
      <c r="E485" s="35" t="s">
        <v>10</v>
      </c>
      <c r="F485" s="36" t="str">
        <f t="shared" si="16"/>
        <v>IB1118C</v>
      </c>
      <c r="G485" s="302"/>
      <c r="H485" s="303"/>
      <c r="I485" s="303"/>
      <c r="J485" s="304"/>
      <c r="K485" s="140"/>
      <c r="L485" s="141"/>
      <c r="M485" s="140"/>
      <c r="N485" s="35" t="s">
        <v>11</v>
      </c>
      <c r="O485" s="38" t="str">
        <f t="shared" si="17"/>
        <v>OB1118C</v>
      </c>
      <c r="P485" s="83"/>
      <c r="Q485" s="84"/>
      <c r="R485" s="84"/>
      <c r="S485" s="85"/>
      <c r="T485" s="140"/>
      <c r="U485" s="142"/>
      <c r="V485" s="882"/>
      <c r="W485" s="883"/>
      <c r="X485" s="36"/>
      <c r="Y485" s="143"/>
      <c r="Z485" s="143"/>
      <c r="AA485" s="143"/>
      <c r="AB485" s="143"/>
      <c r="AC485" s="144"/>
      <c r="AD485" s="143"/>
      <c r="AE485" s="143"/>
      <c r="AF485" s="145"/>
    </row>
    <row r="486" spans="2:32" ht="17.25" customHeight="1">
      <c r="B486" s="34">
        <v>141</v>
      </c>
      <c r="C486" s="823"/>
      <c r="D486" s="792"/>
      <c r="E486" s="35" t="s">
        <v>10</v>
      </c>
      <c r="F486" s="36" t="str">
        <f t="shared" si="16"/>
        <v>IB1118D</v>
      </c>
      <c r="G486" s="302"/>
      <c r="H486" s="303"/>
      <c r="I486" s="303"/>
      <c r="J486" s="304"/>
      <c r="K486" s="140"/>
      <c r="L486" s="141"/>
      <c r="M486" s="140"/>
      <c r="N486" s="35" t="s">
        <v>11</v>
      </c>
      <c r="O486" s="38" t="str">
        <f t="shared" si="17"/>
        <v>OB1118D</v>
      </c>
      <c r="P486" s="83"/>
      <c r="Q486" s="84"/>
      <c r="R486" s="84"/>
      <c r="S486" s="85"/>
      <c r="T486" s="140"/>
      <c r="U486" s="142"/>
      <c r="V486" s="882"/>
      <c r="W486" s="883"/>
      <c r="X486" s="36"/>
      <c r="Y486" s="143"/>
      <c r="Z486" s="143"/>
      <c r="AA486" s="143"/>
      <c r="AB486" s="143"/>
      <c r="AC486" s="144"/>
      <c r="AD486" s="143"/>
      <c r="AE486" s="143"/>
      <c r="AF486" s="145"/>
    </row>
    <row r="487" spans="2:32" ht="17.25" customHeight="1">
      <c r="B487" s="34">
        <v>142</v>
      </c>
      <c r="C487" s="823"/>
      <c r="D487" s="792"/>
      <c r="E487" s="35" t="s">
        <v>10</v>
      </c>
      <c r="F487" s="36" t="str">
        <f t="shared" si="16"/>
        <v>IB1118E</v>
      </c>
      <c r="G487" s="302" t="s">
        <v>1437</v>
      </c>
      <c r="H487" s="303"/>
      <c r="I487" s="303"/>
      <c r="J487" s="304"/>
      <c r="K487" s="140" t="s">
        <v>1513</v>
      </c>
      <c r="L487" s="141"/>
      <c r="M487" s="140"/>
      <c r="N487" s="35" t="s">
        <v>11</v>
      </c>
      <c r="O487" s="38" t="str">
        <f t="shared" si="17"/>
        <v>OB1118E</v>
      </c>
      <c r="P487" s="83"/>
      <c r="Q487" s="84"/>
      <c r="R487" s="84"/>
      <c r="S487" s="85"/>
      <c r="T487" s="140"/>
      <c r="U487" s="142"/>
      <c r="V487" s="882"/>
      <c r="W487" s="883"/>
      <c r="X487" s="36"/>
      <c r="Y487" s="143"/>
      <c r="Z487" s="143"/>
      <c r="AA487" s="143"/>
      <c r="AB487" s="143"/>
      <c r="AC487" s="144"/>
      <c r="AD487" s="143"/>
      <c r="AE487" s="143"/>
      <c r="AF487" s="145"/>
    </row>
    <row r="488" spans="2:32" ht="17.25" customHeight="1">
      <c r="B488" s="34">
        <v>143</v>
      </c>
      <c r="C488" s="837"/>
      <c r="D488" s="839"/>
      <c r="E488" s="35" t="s">
        <v>10</v>
      </c>
      <c r="F488" s="36" t="str">
        <f t="shared" si="16"/>
        <v>IB1118F</v>
      </c>
      <c r="G488" s="302" t="s">
        <v>1422</v>
      </c>
      <c r="H488" s="303"/>
      <c r="I488" s="303"/>
      <c r="J488" s="304"/>
      <c r="K488" s="140" t="s">
        <v>1513</v>
      </c>
      <c r="L488" s="141"/>
      <c r="M488" s="140"/>
      <c r="N488" s="35" t="s">
        <v>11</v>
      </c>
      <c r="O488" s="38" t="str">
        <f t="shared" si="17"/>
        <v>OB1118F</v>
      </c>
      <c r="P488" s="332"/>
      <c r="Q488" s="333"/>
      <c r="R488" s="333"/>
      <c r="S488" s="334"/>
      <c r="T488" s="140"/>
      <c r="U488" s="142"/>
      <c r="V488" s="882"/>
      <c r="W488" s="883"/>
      <c r="X488" s="36"/>
      <c r="Y488" s="143"/>
      <c r="Z488" s="143"/>
      <c r="AA488" s="143"/>
      <c r="AB488" s="143"/>
      <c r="AC488" s="144"/>
      <c r="AD488" s="143"/>
      <c r="AE488" s="143"/>
      <c r="AF488" s="145"/>
    </row>
    <row r="489" spans="2:32" ht="17.25" customHeight="1">
      <c r="B489" s="34">
        <v>144</v>
      </c>
      <c r="C489" s="841" t="s">
        <v>1568</v>
      </c>
      <c r="D489" s="843" t="s">
        <v>1405</v>
      </c>
      <c r="E489" s="35" t="s">
        <v>10</v>
      </c>
      <c r="F489" s="36" t="str">
        <f t="shared" si="16"/>
        <v>IB11190</v>
      </c>
      <c r="G489" s="317"/>
      <c r="H489" s="318"/>
      <c r="I489" s="318"/>
      <c r="J489" s="319"/>
      <c r="K489" s="140"/>
      <c r="L489" s="141"/>
      <c r="M489" s="140"/>
      <c r="N489" s="35" t="s">
        <v>11</v>
      </c>
      <c r="O489" s="38" t="str">
        <f t="shared" si="17"/>
        <v>OB11190</v>
      </c>
      <c r="P489" s="302" t="s">
        <v>310</v>
      </c>
      <c r="Q489" s="303"/>
      <c r="R489" s="303"/>
      <c r="S489" s="304"/>
      <c r="T489" s="140" t="s">
        <v>1513</v>
      </c>
      <c r="U489" s="142"/>
      <c r="V489" s="882"/>
      <c r="W489" s="883"/>
      <c r="X489" s="36"/>
      <c r="Y489" s="143"/>
      <c r="Z489" s="143"/>
      <c r="AA489" s="143"/>
      <c r="AB489" s="143"/>
      <c r="AC489" s="144"/>
      <c r="AD489" s="143"/>
      <c r="AE489" s="143"/>
      <c r="AF489" s="145"/>
    </row>
    <row r="490" spans="2:32" ht="17.25" customHeight="1">
      <c r="B490" s="34">
        <v>145</v>
      </c>
      <c r="C490" s="819"/>
      <c r="D490" s="792"/>
      <c r="E490" s="35" t="s">
        <v>10</v>
      </c>
      <c r="F490" s="36" t="str">
        <f t="shared" si="16"/>
        <v>IB11191</v>
      </c>
      <c r="G490" s="83"/>
      <c r="H490" s="84"/>
      <c r="I490" s="84"/>
      <c r="J490" s="85"/>
      <c r="K490" s="140"/>
      <c r="L490" s="141"/>
      <c r="M490" s="140"/>
      <c r="N490" s="35" t="s">
        <v>11</v>
      </c>
      <c r="O490" s="38" t="str">
        <f t="shared" si="17"/>
        <v>OB11191</v>
      </c>
      <c r="P490" s="302"/>
      <c r="Q490" s="303"/>
      <c r="R490" s="303"/>
      <c r="S490" s="304"/>
      <c r="T490" s="140"/>
      <c r="U490" s="142"/>
      <c r="V490" s="882"/>
      <c r="W490" s="883"/>
      <c r="X490" s="36"/>
      <c r="Y490" s="143"/>
      <c r="Z490" s="143"/>
      <c r="AA490" s="143"/>
      <c r="AB490" s="143"/>
      <c r="AC490" s="144"/>
      <c r="AD490" s="143"/>
      <c r="AE490" s="143"/>
      <c r="AF490" s="145"/>
    </row>
    <row r="491" spans="2:32" ht="17.25" customHeight="1">
      <c r="B491" s="34">
        <v>146</v>
      </c>
      <c r="C491" s="819"/>
      <c r="D491" s="792"/>
      <c r="E491" s="35" t="s">
        <v>10</v>
      </c>
      <c r="F491" s="36" t="str">
        <f t="shared" si="16"/>
        <v>IB11192</v>
      </c>
      <c r="G491" s="83"/>
      <c r="H491" s="84"/>
      <c r="I491" s="84"/>
      <c r="J491" s="85"/>
      <c r="K491" s="140"/>
      <c r="L491" s="141"/>
      <c r="M491" s="140"/>
      <c r="N491" s="35" t="s">
        <v>11</v>
      </c>
      <c r="O491" s="38" t="str">
        <f t="shared" si="17"/>
        <v>OB11192</v>
      </c>
      <c r="P491" s="743" t="s">
        <v>468</v>
      </c>
      <c r="Q491" s="744"/>
      <c r="R491" s="744"/>
      <c r="S491" s="745"/>
      <c r="T491" s="140" t="s">
        <v>1513</v>
      </c>
      <c r="U491" s="142"/>
      <c r="V491" s="882"/>
      <c r="W491" s="883"/>
      <c r="X491" s="36"/>
      <c r="Y491" s="143"/>
      <c r="Z491" s="143"/>
      <c r="AA491" s="143"/>
      <c r="AB491" s="143"/>
      <c r="AC491" s="144"/>
      <c r="AD491" s="143"/>
      <c r="AE491" s="143"/>
      <c r="AF491" s="145"/>
    </row>
    <row r="492" spans="2:32" ht="17.25" customHeight="1">
      <c r="B492" s="34">
        <v>147</v>
      </c>
      <c r="C492" s="819"/>
      <c r="D492" s="792"/>
      <c r="E492" s="35" t="s">
        <v>10</v>
      </c>
      <c r="F492" s="36" t="str">
        <f t="shared" si="16"/>
        <v>IB11193</v>
      </c>
      <c r="G492" s="83"/>
      <c r="H492" s="84"/>
      <c r="I492" s="84"/>
      <c r="J492" s="85"/>
      <c r="K492" s="140"/>
      <c r="L492" s="141"/>
      <c r="M492" s="140"/>
      <c r="N492" s="35" t="s">
        <v>11</v>
      </c>
      <c r="O492" s="38" t="str">
        <f t="shared" si="17"/>
        <v>OB11193</v>
      </c>
      <c r="P492" s="743" t="s">
        <v>469</v>
      </c>
      <c r="Q492" s="744"/>
      <c r="R492" s="744"/>
      <c r="S492" s="745"/>
      <c r="T492" s="140" t="s">
        <v>1513</v>
      </c>
      <c r="U492" s="142"/>
      <c r="V492" s="882"/>
      <c r="W492" s="883"/>
      <c r="X492" s="36"/>
      <c r="Y492" s="143"/>
      <c r="Z492" s="143"/>
      <c r="AA492" s="143"/>
      <c r="AB492" s="143"/>
      <c r="AC492" s="144"/>
      <c r="AD492" s="143"/>
      <c r="AE492" s="143"/>
      <c r="AF492" s="145"/>
    </row>
    <row r="493" spans="2:32" ht="17.25" customHeight="1">
      <c r="B493" s="34">
        <v>148</v>
      </c>
      <c r="C493" s="819"/>
      <c r="D493" s="792"/>
      <c r="E493" s="35" t="s">
        <v>10</v>
      </c>
      <c r="F493" s="36" t="str">
        <f t="shared" si="16"/>
        <v>IB11194</v>
      </c>
      <c r="G493" s="83"/>
      <c r="H493" s="84"/>
      <c r="I493" s="84"/>
      <c r="J493" s="85"/>
      <c r="K493" s="140"/>
      <c r="L493" s="141"/>
      <c r="M493" s="140"/>
      <c r="N493" s="35" t="s">
        <v>11</v>
      </c>
      <c r="O493" s="38" t="str">
        <f t="shared" si="17"/>
        <v>OB11194</v>
      </c>
      <c r="P493" s="743" t="s">
        <v>470</v>
      </c>
      <c r="Q493" s="744"/>
      <c r="R493" s="744"/>
      <c r="S493" s="745"/>
      <c r="T493" s="140" t="s">
        <v>1513</v>
      </c>
      <c r="U493" s="142"/>
      <c r="V493" s="882"/>
      <c r="W493" s="883"/>
      <c r="X493" s="36"/>
      <c r="Y493" s="143"/>
      <c r="Z493" s="143"/>
      <c r="AA493" s="143"/>
      <c r="AB493" s="143"/>
      <c r="AC493" s="144"/>
      <c r="AD493" s="143"/>
      <c r="AE493" s="143"/>
      <c r="AF493" s="145"/>
    </row>
    <row r="494" spans="2:32" ht="17.25" customHeight="1">
      <c r="B494" s="34">
        <v>149</v>
      </c>
      <c r="C494" s="819"/>
      <c r="D494" s="792"/>
      <c r="E494" s="35" t="s">
        <v>10</v>
      </c>
      <c r="F494" s="36" t="str">
        <f t="shared" si="16"/>
        <v>IB11195</v>
      </c>
      <c r="G494" s="83"/>
      <c r="H494" s="84"/>
      <c r="I494" s="84"/>
      <c r="J494" s="85"/>
      <c r="K494" s="140"/>
      <c r="L494" s="141"/>
      <c r="M494" s="140"/>
      <c r="N494" s="35" t="s">
        <v>11</v>
      </c>
      <c r="O494" s="38" t="str">
        <f t="shared" si="17"/>
        <v>OB11195</v>
      </c>
      <c r="P494" s="743" t="s">
        <v>471</v>
      </c>
      <c r="Q494" s="744"/>
      <c r="R494" s="744"/>
      <c r="S494" s="745"/>
      <c r="T494" s="140" t="s">
        <v>1513</v>
      </c>
      <c r="U494" s="142"/>
      <c r="V494" s="882"/>
      <c r="W494" s="883"/>
      <c r="X494" s="36"/>
      <c r="Y494" s="143"/>
      <c r="Z494" s="143"/>
      <c r="AA494" s="143"/>
      <c r="AB494" s="143"/>
      <c r="AC494" s="144"/>
      <c r="AD494" s="143"/>
      <c r="AE494" s="143"/>
      <c r="AF494" s="145"/>
    </row>
    <row r="495" spans="2:32" ht="17.25" customHeight="1">
      <c r="B495" s="34">
        <v>150</v>
      </c>
      <c r="C495" s="819"/>
      <c r="D495" s="792"/>
      <c r="E495" s="35" t="s">
        <v>10</v>
      </c>
      <c r="F495" s="36" t="str">
        <f t="shared" si="16"/>
        <v>IB11196</v>
      </c>
      <c r="G495" s="83"/>
      <c r="H495" s="84"/>
      <c r="I495" s="84"/>
      <c r="J495" s="85"/>
      <c r="K495" s="140"/>
      <c r="L495" s="141"/>
      <c r="M495" s="140"/>
      <c r="N495" s="35" t="s">
        <v>11</v>
      </c>
      <c r="O495" s="38" t="str">
        <f t="shared" si="17"/>
        <v>OB11196</v>
      </c>
      <c r="P495" s="743" t="s">
        <v>472</v>
      </c>
      <c r="Q495" s="744"/>
      <c r="R495" s="744"/>
      <c r="S495" s="745"/>
      <c r="T495" s="140" t="s">
        <v>1513</v>
      </c>
      <c r="U495" s="142"/>
      <c r="V495" s="882"/>
      <c r="W495" s="883"/>
      <c r="X495" s="36"/>
      <c r="Y495" s="143"/>
      <c r="Z495" s="143"/>
      <c r="AA495" s="143"/>
      <c r="AB495" s="143"/>
      <c r="AC495" s="144"/>
      <c r="AD495" s="143"/>
      <c r="AE495" s="143"/>
      <c r="AF495" s="145"/>
    </row>
    <row r="496" spans="2:32" ht="17.25" customHeight="1">
      <c r="B496" s="34">
        <v>151</v>
      </c>
      <c r="C496" s="819"/>
      <c r="D496" s="792"/>
      <c r="E496" s="35" t="s">
        <v>10</v>
      </c>
      <c r="F496" s="36" t="str">
        <f t="shared" si="16"/>
        <v>IB11197</v>
      </c>
      <c r="G496" s="83"/>
      <c r="H496" s="84"/>
      <c r="I496" s="84"/>
      <c r="J496" s="85"/>
      <c r="K496" s="140"/>
      <c r="L496" s="141"/>
      <c r="M496" s="140"/>
      <c r="N496" s="35" t="s">
        <v>11</v>
      </c>
      <c r="O496" s="38" t="str">
        <f t="shared" si="17"/>
        <v>OB11197</v>
      </c>
      <c r="P496" s="743" t="s">
        <v>473</v>
      </c>
      <c r="Q496" s="744"/>
      <c r="R496" s="744"/>
      <c r="S496" s="745"/>
      <c r="T496" s="140" t="s">
        <v>1513</v>
      </c>
      <c r="U496" s="142"/>
      <c r="V496" s="882"/>
      <c r="W496" s="883"/>
      <c r="X496" s="36"/>
      <c r="Y496" s="143"/>
      <c r="Z496" s="143"/>
      <c r="AA496" s="143"/>
      <c r="AB496" s="143"/>
      <c r="AC496" s="144"/>
      <c r="AD496" s="143"/>
      <c r="AE496" s="143"/>
      <c r="AF496" s="145"/>
    </row>
    <row r="497" spans="2:32" ht="17.25" customHeight="1">
      <c r="B497" s="34">
        <v>152</v>
      </c>
      <c r="C497" s="819"/>
      <c r="D497" s="792"/>
      <c r="E497" s="35" t="s">
        <v>10</v>
      </c>
      <c r="F497" s="36" t="str">
        <f t="shared" si="16"/>
        <v>IB11198</v>
      </c>
      <c r="G497" s="83"/>
      <c r="H497" s="84"/>
      <c r="I497" s="84"/>
      <c r="J497" s="85"/>
      <c r="K497" s="140"/>
      <c r="L497" s="141"/>
      <c r="M497" s="140"/>
      <c r="N497" s="35" t="s">
        <v>11</v>
      </c>
      <c r="O497" s="38" t="str">
        <f t="shared" si="17"/>
        <v>OB11198</v>
      </c>
      <c r="P497" s="743" t="s">
        <v>474</v>
      </c>
      <c r="Q497" s="744"/>
      <c r="R497" s="744"/>
      <c r="S497" s="745"/>
      <c r="T497" s="140" t="s">
        <v>1513</v>
      </c>
      <c r="U497" s="142"/>
      <c r="V497" s="882"/>
      <c r="W497" s="883"/>
      <c r="X497" s="36"/>
      <c r="Y497" s="143"/>
      <c r="Z497" s="143"/>
      <c r="AA497" s="143"/>
      <c r="AB497" s="143"/>
      <c r="AC497" s="144"/>
      <c r="AD497" s="143"/>
      <c r="AE497" s="143"/>
      <c r="AF497" s="145"/>
    </row>
    <row r="498" spans="2:32" ht="17.25" customHeight="1">
      <c r="B498" s="34">
        <v>153</v>
      </c>
      <c r="C498" s="819"/>
      <c r="D498" s="792"/>
      <c r="E498" s="35" t="s">
        <v>10</v>
      </c>
      <c r="F498" s="36" t="str">
        <f t="shared" si="16"/>
        <v>IB11199</v>
      </c>
      <c r="G498" s="83"/>
      <c r="H498" s="84"/>
      <c r="I498" s="84"/>
      <c r="J498" s="85"/>
      <c r="K498" s="140"/>
      <c r="L498" s="141"/>
      <c r="M498" s="140"/>
      <c r="N498" s="35" t="s">
        <v>11</v>
      </c>
      <c r="O498" s="38" t="str">
        <f t="shared" si="17"/>
        <v>OB11199</v>
      </c>
      <c r="P498" s="743" t="s">
        <v>475</v>
      </c>
      <c r="Q498" s="744"/>
      <c r="R498" s="744"/>
      <c r="S498" s="745"/>
      <c r="T498" s="140" t="s">
        <v>1513</v>
      </c>
      <c r="U498" s="142"/>
      <c r="V498" s="882"/>
      <c r="W498" s="883"/>
      <c r="X498" s="36"/>
      <c r="Y498" s="143"/>
      <c r="Z498" s="143"/>
      <c r="AA498" s="143"/>
      <c r="AB498" s="143"/>
      <c r="AC498" s="144"/>
      <c r="AD498" s="143"/>
      <c r="AE498" s="143"/>
      <c r="AF498" s="145"/>
    </row>
    <row r="499" spans="2:32" ht="17.25" customHeight="1">
      <c r="B499" s="34">
        <v>154</v>
      </c>
      <c r="C499" s="819"/>
      <c r="D499" s="792"/>
      <c r="E499" s="35" t="s">
        <v>29</v>
      </c>
      <c r="F499" s="36" t="str">
        <f t="shared" si="16"/>
        <v>IB1119A</v>
      </c>
      <c r="G499" s="83"/>
      <c r="H499" s="84"/>
      <c r="I499" s="84"/>
      <c r="J499" s="85"/>
      <c r="K499" s="140"/>
      <c r="L499" s="141"/>
      <c r="M499" s="140"/>
      <c r="N499" s="35" t="s">
        <v>11</v>
      </c>
      <c r="O499" s="38" t="str">
        <f t="shared" si="17"/>
        <v>OB1119A</v>
      </c>
      <c r="P499" s="743" t="s">
        <v>476</v>
      </c>
      <c r="Q499" s="744"/>
      <c r="R499" s="744"/>
      <c r="S499" s="745"/>
      <c r="T499" s="140" t="s">
        <v>1513</v>
      </c>
      <c r="U499" s="142"/>
      <c r="V499" s="882"/>
      <c r="W499" s="883"/>
      <c r="X499" s="36"/>
      <c r="Y499" s="143"/>
      <c r="Z499" s="143"/>
      <c r="AA499" s="143"/>
      <c r="AB499" s="143"/>
      <c r="AC499" s="144"/>
      <c r="AD499" s="143"/>
      <c r="AE499" s="143"/>
      <c r="AF499" s="145"/>
    </row>
    <row r="500" spans="2:32" ht="17.25" customHeight="1">
      <c r="B500" s="34">
        <v>155</v>
      </c>
      <c r="C500" s="819"/>
      <c r="D500" s="792"/>
      <c r="E500" s="35" t="s">
        <v>10</v>
      </c>
      <c r="F500" s="36" t="str">
        <f t="shared" si="16"/>
        <v>IB1119B</v>
      </c>
      <c r="G500" s="83" t="s">
        <v>1514</v>
      </c>
      <c r="H500" s="84"/>
      <c r="I500" s="84"/>
      <c r="J500" s="85"/>
      <c r="K500" s="140"/>
      <c r="L500" s="141"/>
      <c r="M500" s="140"/>
      <c r="N500" s="35" t="s">
        <v>11</v>
      </c>
      <c r="O500" s="38" t="str">
        <f t="shared" si="17"/>
        <v>OB1119B</v>
      </c>
      <c r="P500" s="743" t="s">
        <v>477</v>
      </c>
      <c r="Q500" s="744"/>
      <c r="R500" s="744"/>
      <c r="S500" s="745"/>
      <c r="T500" s="140" t="s">
        <v>1513</v>
      </c>
      <c r="U500" s="142"/>
      <c r="V500" s="882"/>
      <c r="W500" s="883"/>
      <c r="X500" s="36"/>
      <c r="Y500" s="143"/>
      <c r="Z500" s="143"/>
      <c r="AA500" s="143"/>
      <c r="AB500" s="143"/>
      <c r="AC500" s="144"/>
      <c r="AD500" s="143"/>
      <c r="AE500" s="143"/>
      <c r="AF500" s="145"/>
    </row>
    <row r="501" spans="2:32" ht="17.25" customHeight="1">
      <c r="B501" s="34">
        <v>156</v>
      </c>
      <c r="C501" s="819"/>
      <c r="D501" s="792"/>
      <c r="E501" s="35" t="s">
        <v>10</v>
      </c>
      <c r="F501" s="36" t="str">
        <f t="shared" si="16"/>
        <v>IB1119C</v>
      </c>
      <c r="G501" s="83"/>
      <c r="H501" s="84"/>
      <c r="I501" s="84"/>
      <c r="J501" s="85"/>
      <c r="K501" s="140"/>
      <c r="L501" s="141"/>
      <c r="M501" s="140"/>
      <c r="N501" s="35" t="s">
        <v>11</v>
      </c>
      <c r="O501" s="38" t="str">
        <f t="shared" si="17"/>
        <v>OB1119C</v>
      </c>
      <c r="P501" s="743" t="s">
        <v>478</v>
      </c>
      <c r="Q501" s="744"/>
      <c r="R501" s="744"/>
      <c r="S501" s="745"/>
      <c r="T501" s="140" t="s">
        <v>1513</v>
      </c>
      <c r="U501" s="142"/>
      <c r="V501" s="882"/>
      <c r="W501" s="883"/>
      <c r="X501" s="36"/>
      <c r="Y501" s="143"/>
      <c r="Z501" s="143"/>
      <c r="AA501" s="143"/>
      <c r="AB501" s="143"/>
      <c r="AC501" s="144"/>
      <c r="AD501" s="143"/>
      <c r="AE501" s="143"/>
      <c r="AF501" s="145"/>
    </row>
    <row r="502" spans="2:32" ht="17.25" customHeight="1">
      <c r="B502" s="34">
        <v>157</v>
      </c>
      <c r="C502" s="819"/>
      <c r="D502" s="792"/>
      <c r="E502" s="35" t="s">
        <v>10</v>
      </c>
      <c r="F502" s="36" t="str">
        <f t="shared" si="16"/>
        <v>IB1119D</v>
      </c>
      <c r="G502" s="83"/>
      <c r="H502" s="84"/>
      <c r="I502" s="84"/>
      <c r="J502" s="85"/>
      <c r="K502" s="140"/>
      <c r="L502" s="141"/>
      <c r="M502" s="140"/>
      <c r="N502" s="35" t="s">
        <v>11</v>
      </c>
      <c r="O502" s="38" t="str">
        <f t="shared" si="17"/>
        <v>OB1119D</v>
      </c>
      <c r="P502" s="743" t="s">
        <v>479</v>
      </c>
      <c r="Q502" s="744"/>
      <c r="R502" s="744"/>
      <c r="S502" s="745"/>
      <c r="T502" s="140" t="s">
        <v>1513</v>
      </c>
      <c r="U502" s="142"/>
      <c r="V502" s="882"/>
      <c r="W502" s="883"/>
      <c r="X502" s="36"/>
      <c r="Y502" s="143"/>
      <c r="Z502" s="143"/>
      <c r="AA502" s="143"/>
      <c r="AB502" s="143"/>
      <c r="AC502" s="144"/>
      <c r="AD502" s="143"/>
      <c r="AE502" s="143"/>
      <c r="AF502" s="145"/>
    </row>
    <row r="503" spans="2:32" ht="17.25" customHeight="1">
      <c r="B503" s="34">
        <v>158</v>
      </c>
      <c r="C503" s="819"/>
      <c r="D503" s="792"/>
      <c r="E503" s="35" t="s">
        <v>10</v>
      </c>
      <c r="F503" s="36" t="str">
        <f t="shared" si="16"/>
        <v>IB1119E</v>
      </c>
      <c r="G503" s="83"/>
      <c r="H503" s="84"/>
      <c r="I503" s="84"/>
      <c r="J503" s="85"/>
      <c r="K503" s="140"/>
      <c r="L503" s="141"/>
      <c r="M503" s="140"/>
      <c r="N503" s="35" t="s">
        <v>11</v>
      </c>
      <c r="O503" s="38" t="str">
        <f t="shared" si="17"/>
        <v>OB1119E</v>
      </c>
      <c r="P503" s="752" t="s">
        <v>480</v>
      </c>
      <c r="Q503" s="753"/>
      <c r="R503" s="753"/>
      <c r="S503" s="754"/>
      <c r="T503" s="140" t="s">
        <v>1513</v>
      </c>
      <c r="U503" s="568"/>
      <c r="V503" s="882"/>
      <c r="W503" s="883"/>
      <c r="X503" s="36"/>
      <c r="Y503" s="143"/>
      <c r="Z503" s="143"/>
      <c r="AA503" s="143"/>
      <c r="AB503" s="143"/>
      <c r="AC503" s="144"/>
      <c r="AD503" s="143"/>
      <c r="AE503" s="143"/>
      <c r="AF503" s="145"/>
    </row>
    <row r="504" spans="2:32" ht="17.25" customHeight="1">
      <c r="B504" s="34">
        <v>159</v>
      </c>
      <c r="C504" s="842"/>
      <c r="D504" s="839"/>
      <c r="E504" s="35" t="s">
        <v>10</v>
      </c>
      <c r="F504" s="36" t="str">
        <f t="shared" si="16"/>
        <v>IB1119F</v>
      </c>
      <c r="G504" s="332"/>
      <c r="H504" s="333"/>
      <c r="I504" s="333"/>
      <c r="J504" s="334"/>
      <c r="K504" s="140"/>
      <c r="L504" s="141"/>
      <c r="M504" s="140"/>
      <c r="N504" s="35" t="s">
        <v>11</v>
      </c>
      <c r="O504" s="38" t="str">
        <f t="shared" si="17"/>
        <v>OB1119F</v>
      </c>
      <c r="P504" s="89" t="s">
        <v>1509</v>
      </c>
      <c r="Q504" s="90"/>
      <c r="R504" s="90"/>
      <c r="S504" s="91"/>
      <c r="T504" s="140" t="s">
        <v>1513</v>
      </c>
      <c r="U504" s="142"/>
      <c r="V504" s="882"/>
      <c r="W504" s="883"/>
      <c r="X504" s="36"/>
      <c r="Y504" s="143"/>
      <c r="Z504" s="143"/>
      <c r="AA504" s="143"/>
      <c r="AB504" s="143"/>
      <c r="AC504" s="144"/>
      <c r="AD504" s="143"/>
      <c r="AE504" s="143"/>
      <c r="AF504" s="145"/>
    </row>
    <row r="505" spans="2:32" ht="17.25" customHeight="1">
      <c r="B505" s="34">
        <v>160</v>
      </c>
      <c r="C505" s="836" t="s">
        <v>64</v>
      </c>
      <c r="D505" s="843" t="s">
        <v>1405</v>
      </c>
      <c r="E505" s="35" t="s">
        <v>10</v>
      </c>
      <c r="F505" s="36" t="str">
        <f t="shared" si="16"/>
        <v>IB111A0</v>
      </c>
      <c r="G505" s="749" t="s">
        <v>404</v>
      </c>
      <c r="H505" s="750"/>
      <c r="I505" s="750"/>
      <c r="J505" s="751"/>
      <c r="K505" s="140" t="s">
        <v>1513</v>
      </c>
      <c r="L505" s="141"/>
      <c r="M505" s="140"/>
      <c r="N505" s="35" t="s">
        <v>11</v>
      </c>
      <c r="O505" s="38" t="str">
        <f t="shared" si="17"/>
        <v>OB111A0</v>
      </c>
      <c r="P505" s="317"/>
      <c r="Q505" s="318"/>
      <c r="R505" s="318"/>
      <c r="S505" s="319"/>
      <c r="T505" s="140"/>
      <c r="U505" s="142"/>
      <c r="V505" s="882"/>
      <c r="W505" s="883"/>
      <c r="X505" s="36"/>
      <c r="Y505" s="143"/>
      <c r="Z505" s="143"/>
      <c r="AA505" s="143"/>
      <c r="AB505" s="143"/>
      <c r="AC505" s="144"/>
      <c r="AD505" s="143"/>
      <c r="AE505" s="143"/>
      <c r="AF505" s="145"/>
    </row>
    <row r="506" spans="2:32" ht="17.25" customHeight="1">
      <c r="B506" s="34">
        <v>161</v>
      </c>
      <c r="C506" s="823"/>
      <c r="D506" s="792"/>
      <c r="E506" s="35" t="s">
        <v>10</v>
      </c>
      <c r="F506" s="36" t="str">
        <f t="shared" si="16"/>
        <v>IB111A1</v>
      </c>
      <c r="G506" s="749" t="s">
        <v>405</v>
      </c>
      <c r="H506" s="750"/>
      <c r="I506" s="750"/>
      <c r="J506" s="751"/>
      <c r="K506" s="140" t="s">
        <v>1513</v>
      </c>
      <c r="L506" s="141"/>
      <c r="M506" s="140"/>
      <c r="N506" s="35" t="s">
        <v>11</v>
      </c>
      <c r="O506" s="38" t="str">
        <f t="shared" si="17"/>
        <v>OB111A1</v>
      </c>
      <c r="P506" s="83"/>
      <c r="Q506" s="84"/>
      <c r="R506" s="84"/>
      <c r="S506" s="85"/>
      <c r="T506" s="140"/>
      <c r="U506" s="142"/>
      <c r="V506" s="882"/>
      <c r="W506" s="883"/>
      <c r="X506" s="36"/>
      <c r="Y506" s="143"/>
      <c r="Z506" s="143"/>
      <c r="AA506" s="143"/>
      <c r="AB506" s="143"/>
      <c r="AC506" s="144"/>
      <c r="AD506" s="143"/>
      <c r="AE506" s="143"/>
      <c r="AF506" s="145"/>
    </row>
    <row r="507" spans="2:32" ht="17.25" customHeight="1">
      <c r="B507" s="34">
        <v>162</v>
      </c>
      <c r="C507" s="823"/>
      <c r="D507" s="792"/>
      <c r="E507" s="35" t="s">
        <v>10</v>
      </c>
      <c r="F507" s="36" t="str">
        <f t="shared" si="16"/>
        <v>IB111A2</v>
      </c>
      <c r="G507" s="749" t="s">
        <v>406</v>
      </c>
      <c r="H507" s="750"/>
      <c r="I507" s="750"/>
      <c r="J507" s="751"/>
      <c r="K507" s="140" t="s">
        <v>1513</v>
      </c>
      <c r="L507" s="141"/>
      <c r="M507" s="140"/>
      <c r="N507" s="35" t="s">
        <v>11</v>
      </c>
      <c r="O507" s="38" t="str">
        <f t="shared" si="17"/>
        <v>OB111A2</v>
      </c>
      <c r="P507" s="83"/>
      <c r="Q507" s="84"/>
      <c r="R507" s="84"/>
      <c r="S507" s="85"/>
      <c r="T507" s="140"/>
      <c r="U507" s="142"/>
      <c r="V507" s="882"/>
      <c r="W507" s="883"/>
      <c r="X507" s="36"/>
      <c r="Y507" s="143"/>
      <c r="Z507" s="143"/>
      <c r="AA507" s="143"/>
      <c r="AB507" s="143"/>
      <c r="AC507" s="144"/>
      <c r="AD507" s="143"/>
      <c r="AE507" s="143"/>
      <c r="AF507" s="145"/>
    </row>
    <row r="508" spans="2:32" ht="17.25" customHeight="1">
      <c r="B508" s="34">
        <v>163</v>
      </c>
      <c r="C508" s="823"/>
      <c r="D508" s="792"/>
      <c r="E508" s="35" t="s">
        <v>10</v>
      </c>
      <c r="F508" s="36" t="str">
        <f t="shared" si="16"/>
        <v>IB111A3</v>
      </c>
      <c r="G508" s="749" t="s">
        <v>407</v>
      </c>
      <c r="H508" s="750"/>
      <c r="I508" s="750"/>
      <c r="J508" s="751"/>
      <c r="K508" s="140" t="s">
        <v>1513</v>
      </c>
      <c r="L508" s="141"/>
      <c r="M508" s="140"/>
      <c r="N508" s="35" t="s">
        <v>11</v>
      </c>
      <c r="O508" s="38" t="str">
        <f t="shared" si="17"/>
        <v>OB111A3</v>
      </c>
      <c r="P508" s="83"/>
      <c r="Q508" s="84"/>
      <c r="R508" s="84"/>
      <c r="S508" s="85"/>
      <c r="T508" s="140"/>
      <c r="U508" s="142"/>
      <c r="V508" s="882"/>
      <c r="W508" s="883"/>
      <c r="X508" s="36"/>
      <c r="Y508" s="143"/>
      <c r="Z508" s="143"/>
      <c r="AA508" s="143"/>
      <c r="AB508" s="143"/>
      <c r="AC508" s="144"/>
      <c r="AD508" s="143"/>
      <c r="AE508" s="143"/>
      <c r="AF508" s="145"/>
    </row>
    <row r="509" spans="2:32" ht="17.25" customHeight="1">
      <c r="B509" s="34">
        <v>164</v>
      </c>
      <c r="C509" s="823"/>
      <c r="D509" s="792"/>
      <c r="E509" s="35" t="s">
        <v>10</v>
      </c>
      <c r="F509" s="36" t="str">
        <f t="shared" si="16"/>
        <v>IB111A4</v>
      </c>
      <c r="G509" s="749" t="s">
        <v>408</v>
      </c>
      <c r="H509" s="750"/>
      <c r="I509" s="750"/>
      <c r="J509" s="751"/>
      <c r="K509" s="140" t="s">
        <v>1513</v>
      </c>
      <c r="L509" s="141"/>
      <c r="M509" s="140"/>
      <c r="N509" s="35" t="s">
        <v>11</v>
      </c>
      <c r="O509" s="38" t="str">
        <f t="shared" si="17"/>
        <v>OB111A4</v>
      </c>
      <c r="P509" s="83"/>
      <c r="Q509" s="84"/>
      <c r="R509" s="84"/>
      <c r="S509" s="85"/>
      <c r="T509" s="140"/>
      <c r="U509" s="142"/>
      <c r="V509" s="882"/>
      <c r="W509" s="883"/>
      <c r="X509" s="36"/>
      <c r="Y509" s="143"/>
      <c r="Z509" s="143"/>
      <c r="AA509" s="143"/>
      <c r="AB509" s="143"/>
      <c r="AC509" s="144"/>
      <c r="AD509" s="143"/>
      <c r="AE509" s="143"/>
      <c r="AF509" s="145"/>
    </row>
    <row r="510" spans="2:32" ht="17.25" customHeight="1">
      <c r="B510" s="34">
        <v>165</v>
      </c>
      <c r="C510" s="823"/>
      <c r="D510" s="792"/>
      <c r="E510" s="35" t="s">
        <v>10</v>
      </c>
      <c r="F510" s="36" t="str">
        <f t="shared" si="16"/>
        <v>IB111A5</v>
      </c>
      <c r="G510" s="749" t="s">
        <v>409</v>
      </c>
      <c r="H510" s="750"/>
      <c r="I510" s="750"/>
      <c r="J510" s="751"/>
      <c r="K510" s="140" t="s">
        <v>1513</v>
      </c>
      <c r="L510" s="141"/>
      <c r="M510" s="140"/>
      <c r="N510" s="35" t="s">
        <v>11</v>
      </c>
      <c r="O510" s="38" t="str">
        <f t="shared" si="17"/>
        <v>OB111A5</v>
      </c>
      <c r="P510" s="83"/>
      <c r="Q510" s="84"/>
      <c r="R510" s="84"/>
      <c r="S510" s="85"/>
      <c r="T510" s="140"/>
      <c r="U510" s="142"/>
      <c r="V510" s="882"/>
      <c r="W510" s="883"/>
      <c r="X510" s="36"/>
      <c r="Y510" s="143"/>
      <c r="Z510" s="143"/>
      <c r="AA510" s="143"/>
      <c r="AB510" s="143"/>
      <c r="AC510" s="144"/>
      <c r="AD510" s="143"/>
      <c r="AE510" s="143"/>
      <c r="AF510" s="145"/>
    </row>
    <row r="511" spans="2:32" ht="17.25" customHeight="1">
      <c r="B511" s="34">
        <v>166</v>
      </c>
      <c r="C511" s="823"/>
      <c r="D511" s="792"/>
      <c r="E511" s="35" t="s">
        <v>10</v>
      </c>
      <c r="F511" s="36" t="str">
        <f t="shared" si="16"/>
        <v>IB111A6</v>
      </c>
      <c r="G511" s="749" t="s">
        <v>410</v>
      </c>
      <c r="H511" s="750"/>
      <c r="I511" s="750"/>
      <c r="J511" s="751"/>
      <c r="K511" s="140" t="s">
        <v>1513</v>
      </c>
      <c r="L511" s="141"/>
      <c r="M511" s="140"/>
      <c r="N511" s="35" t="s">
        <v>11</v>
      </c>
      <c r="O511" s="38" t="str">
        <f t="shared" si="17"/>
        <v>OB111A6</v>
      </c>
      <c r="P511" s="83"/>
      <c r="Q511" s="84"/>
      <c r="R511" s="84"/>
      <c r="S511" s="85"/>
      <c r="T511" s="140"/>
      <c r="U511" s="142"/>
      <c r="V511" s="882"/>
      <c r="W511" s="883"/>
      <c r="X511" s="36"/>
      <c r="Y511" s="143"/>
      <c r="Z511" s="143"/>
      <c r="AA511" s="143"/>
      <c r="AB511" s="143"/>
      <c r="AC511" s="144"/>
      <c r="AD511" s="143"/>
      <c r="AE511" s="143"/>
      <c r="AF511" s="145"/>
    </row>
    <row r="512" spans="2:32" ht="17.25" customHeight="1">
      <c r="B512" s="34">
        <v>167</v>
      </c>
      <c r="C512" s="823"/>
      <c r="D512" s="792"/>
      <c r="E512" s="35" t="s">
        <v>10</v>
      </c>
      <c r="F512" s="36" t="str">
        <f t="shared" si="16"/>
        <v>IB111A7</v>
      </c>
      <c r="G512" s="749" t="s">
        <v>411</v>
      </c>
      <c r="H512" s="750"/>
      <c r="I512" s="750"/>
      <c r="J512" s="751"/>
      <c r="K512" s="140" t="s">
        <v>1513</v>
      </c>
      <c r="L512" s="141"/>
      <c r="M512" s="140"/>
      <c r="N512" s="35" t="s">
        <v>11</v>
      </c>
      <c r="O512" s="38" t="str">
        <f t="shared" si="17"/>
        <v>OB111A7</v>
      </c>
      <c r="P512" s="83"/>
      <c r="Q512" s="84"/>
      <c r="R512" s="84"/>
      <c r="S512" s="85"/>
      <c r="T512" s="140"/>
      <c r="U512" s="142"/>
      <c r="V512" s="882"/>
      <c r="W512" s="883"/>
      <c r="X512" s="36"/>
      <c r="Y512" s="143"/>
      <c r="Z512" s="143"/>
      <c r="AA512" s="143"/>
      <c r="AB512" s="143"/>
      <c r="AC512" s="144"/>
      <c r="AD512" s="143"/>
      <c r="AE512" s="143"/>
      <c r="AF512" s="145"/>
    </row>
    <row r="513" spans="2:32" ht="17.25" customHeight="1">
      <c r="B513" s="34">
        <v>168</v>
      </c>
      <c r="C513" s="823"/>
      <c r="D513" s="792"/>
      <c r="E513" s="35" t="s">
        <v>10</v>
      </c>
      <c r="F513" s="36" t="str">
        <f t="shared" si="16"/>
        <v>IB111A8</v>
      </c>
      <c r="G513" s="302" t="s">
        <v>412</v>
      </c>
      <c r="H513" s="303"/>
      <c r="I513" s="303"/>
      <c r="J513" s="304"/>
      <c r="K513" s="140" t="s">
        <v>1513</v>
      </c>
      <c r="L513" s="37"/>
      <c r="M513" s="598"/>
      <c r="N513" s="35" t="s">
        <v>11</v>
      </c>
      <c r="O513" s="38" t="str">
        <f t="shared" si="17"/>
        <v>OB111A8</v>
      </c>
      <c r="P513" s="83"/>
      <c r="Q513" s="84"/>
      <c r="R513" s="84"/>
      <c r="S513" s="85"/>
      <c r="T513" s="140"/>
      <c r="U513" s="142"/>
      <c r="V513" s="882"/>
      <c r="W513" s="883"/>
      <c r="X513" s="36"/>
      <c r="Y513" s="143"/>
      <c r="Z513" s="143"/>
      <c r="AA513" s="143"/>
      <c r="AB513" s="143"/>
      <c r="AC513" s="144"/>
      <c r="AD513" s="143"/>
      <c r="AE513" s="143"/>
      <c r="AF513" s="145"/>
    </row>
    <row r="514" spans="2:32" ht="17.25" customHeight="1">
      <c r="B514" s="34">
        <v>169</v>
      </c>
      <c r="C514" s="823"/>
      <c r="D514" s="792"/>
      <c r="E514" s="35" t="s">
        <v>10</v>
      </c>
      <c r="F514" s="36" t="str">
        <f t="shared" si="16"/>
        <v>IB111A9</v>
      </c>
      <c r="G514" s="302"/>
      <c r="H514" s="303"/>
      <c r="I514" s="303"/>
      <c r="J514" s="304"/>
      <c r="K514" s="140"/>
      <c r="L514" s="37"/>
      <c r="M514" s="598"/>
      <c r="N514" s="35" t="s">
        <v>11</v>
      </c>
      <c r="O514" s="38" t="str">
        <f t="shared" si="17"/>
        <v>OB111A9</v>
      </c>
      <c r="P514" s="83"/>
      <c r="Q514" s="84"/>
      <c r="R514" s="84"/>
      <c r="S514" s="85"/>
      <c r="T514" s="140"/>
      <c r="U514" s="142"/>
      <c r="V514" s="882"/>
      <c r="W514" s="883"/>
      <c r="X514" s="36"/>
      <c r="Y514" s="143"/>
      <c r="Z514" s="143"/>
      <c r="AA514" s="143"/>
      <c r="AB514" s="143"/>
      <c r="AC514" s="144"/>
      <c r="AD514" s="143"/>
      <c r="AE514" s="143"/>
      <c r="AF514" s="145"/>
    </row>
    <row r="515" spans="2:32" ht="17.25" customHeight="1">
      <c r="B515" s="34">
        <v>170</v>
      </c>
      <c r="C515" s="823"/>
      <c r="D515" s="792"/>
      <c r="E515" s="151" t="s">
        <v>10</v>
      </c>
      <c r="F515" s="36" t="str">
        <f t="shared" si="16"/>
        <v>IB111AA</v>
      </c>
      <c r="G515" s="302"/>
      <c r="H515" s="303"/>
      <c r="I515" s="303"/>
      <c r="J515" s="304"/>
      <c r="K515" s="140"/>
      <c r="L515" s="152"/>
      <c r="M515" s="630"/>
      <c r="N515" s="35" t="s">
        <v>11</v>
      </c>
      <c r="O515" s="38" t="str">
        <f t="shared" si="17"/>
        <v>OB111AA</v>
      </c>
      <c r="P515" s="83"/>
      <c r="Q515" s="84"/>
      <c r="R515" s="84"/>
      <c r="S515" s="85"/>
      <c r="T515" s="140"/>
      <c r="U515" s="142"/>
      <c r="V515" s="882"/>
      <c r="W515" s="883"/>
      <c r="X515" s="36"/>
      <c r="Y515" s="143"/>
      <c r="Z515" s="143"/>
      <c r="AA515" s="143"/>
      <c r="AB515" s="143"/>
      <c r="AC515" s="144"/>
      <c r="AD515" s="143"/>
      <c r="AE515" s="143"/>
      <c r="AF515" s="145"/>
    </row>
    <row r="516" spans="2:32" ht="17.25" customHeight="1">
      <c r="B516" s="34">
        <v>171</v>
      </c>
      <c r="C516" s="823"/>
      <c r="D516" s="792"/>
      <c r="E516" s="151" t="s">
        <v>10</v>
      </c>
      <c r="F516" s="36" t="str">
        <f t="shared" si="16"/>
        <v>IB111AB</v>
      </c>
      <c r="G516" s="749" t="s">
        <v>413</v>
      </c>
      <c r="H516" s="750"/>
      <c r="I516" s="750"/>
      <c r="J516" s="751"/>
      <c r="K516" s="143" t="s">
        <v>1513</v>
      </c>
      <c r="L516" s="152"/>
      <c r="M516" s="630"/>
      <c r="N516" s="35" t="s">
        <v>11</v>
      </c>
      <c r="O516" s="38" t="str">
        <f t="shared" si="17"/>
        <v>OB111AB</v>
      </c>
      <c r="P516" s="83"/>
      <c r="Q516" s="84"/>
      <c r="R516" s="84"/>
      <c r="S516" s="85"/>
      <c r="T516" s="140"/>
      <c r="U516" s="142"/>
      <c r="V516" s="882"/>
      <c r="W516" s="883"/>
      <c r="X516" s="36"/>
      <c r="Y516" s="143"/>
      <c r="Z516" s="143"/>
      <c r="AA516" s="143"/>
      <c r="AB516" s="143"/>
      <c r="AC516" s="144"/>
      <c r="AD516" s="143"/>
      <c r="AE516" s="143"/>
      <c r="AF516" s="145"/>
    </row>
    <row r="517" spans="2:32" ht="17.25" customHeight="1">
      <c r="B517" s="34">
        <v>172</v>
      </c>
      <c r="C517" s="823"/>
      <c r="D517" s="792"/>
      <c r="E517" s="151" t="s">
        <v>10</v>
      </c>
      <c r="F517" s="36" t="str">
        <f t="shared" si="16"/>
        <v>IB111AC</v>
      </c>
      <c r="G517" s="749" t="s">
        <v>414</v>
      </c>
      <c r="H517" s="750"/>
      <c r="I517" s="750"/>
      <c r="J517" s="751"/>
      <c r="K517" s="143" t="s">
        <v>1513</v>
      </c>
      <c r="L517" s="152"/>
      <c r="M517" s="630"/>
      <c r="N517" s="35" t="s">
        <v>11</v>
      </c>
      <c r="O517" s="38" t="str">
        <f t="shared" si="17"/>
        <v>OB111AC</v>
      </c>
      <c r="P517" s="83"/>
      <c r="Q517" s="84"/>
      <c r="R517" s="84"/>
      <c r="S517" s="85"/>
      <c r="T517" s="140"/>
      <c r="U517" s="142"/>
      <c r="V517" s="882"/>
      <c r="W517" s="883"/>
      <c r="X517" s="36"/>
      <c r="Y517" s="143"/>
      <c r="Z517" s="143"/>
      <c r="AA517" s="143"/>
      <c r="AB517" s="143"/>
      <c r="AC517" s="144"/>
      <c r="AD517" s="143"/>
      <c r="AE517" s="143"/>
      <c r="AF517" s="145"/>
    </row>
    <row r="518" spans="2:32" ht="17.25" customHeight="1">
      <c r="B518" s="34">
        <v>173</v>
      </c>
      <c r="C518" s="823"/>
      <c r="D518" s="792"/>
      <c r="E518" s="35" t="s">
        <v>10</v>
      </c>
      <c r="F518" s="36" t="str">
        <f t="shared" si="16"/>
        <v>IB111AD</v>
      </c>
      <c r="G518" s="302"/>
      <c r="H518" s="303"/>
      <c r="I518" s="303"/>
      <c r="J518" s="304"/>
      <c r="K518" s="143"/>
      <c r="L518" s="37"/>
      <c r="M518" s="598"/>
      <c r="N518" s="35" t="s">
        <v>11</v>
      </c>
      <c r="O518" s="38" t="str">
        <f t="shared" si="17"/>
        <v>OB111AD</v>
      </c>
      <c r="P518" s="83"/>
      <c r="Q518" s="84"/>
      <c r="R518" s="84"/>
      <c r="S518" s="85"/>
      <c r="T518" s="140"/>
      <c r="U518" s="142"/>
      <c r="V518" s="882"/>
      <c r="W518" s="883"/>
      <c r="X518" s="36"/>
      <c r="Y518" s="143"/>
      <c r="Z518" s="143"/>
      <c r="AA518" s="143"/>
      <c r="AB518" s="143"/>
      <c r="AC518" s="144"/>
      <c r="AD518" s="143"/>
      <c r="AE518" s="143"/>
      <c r="AF518" s="145"/>
    </row>
    <row r="519" spans="2:32" ht="17.25" customHeight="1">
      <c r="B519" s="34">
        <v>174</v>
      </c>
      <c r="C519" s="823"/>
      <c r="D519" s="792"/>
      <c r="E519" s="35" t="s">
        <v>10</v>
      </c>
      <c r="F519" s="36" t="str">
        <f t="shared" si="16"/>
        <v>IB111AE</v>
      </c>
      <c r="G519" s="749" t="s">
        <v>415</v>
      </c>
      <c r="H519" s="750"/>
      <c r="I519" s="750"/>
      <c r="J519" s="751"/>
      <c r="K519" s="143" t="s">
        <v>1513</v>
      </c>
      <c r="L519" s="37"/>
      <c r="M519" s="598"/>
      <c r="N519" s="35" t="s">
        <v>11</v>
      </c>
      <c r="O519" s="38" t="str">
        <f t="shared" si="17"/>
        <v>OB111AE</v>
      </c>
      <c r="P519" s="83"/>
      <c r="Q519" s="84"/>
      <c r="R519" s="84"/>
      <c r="S519" s="85"/>
      <c r="T519" s="140"/>
      <c r="U519" s="142"/>
      <c r="V519" s="882"/>
      <c r="W519" s="883"/>
      <c r="X519" s="36"/>
      <c r="Y519" s="143"/>
      <c r="Z519" s="143"/>
      <c r="AA519" s="143"/>
      <c r="AB519" s="143"/>
      <c r="AC519" s="144"/>
      <c r="AD519" s="143"/>
      <c r="AE519" s="143"/>
      <c r="AF519" s="145"/>
    </row>
    <row r="520" spans="2:32" ht="17.25" customHeight="1">
      <c r="B520" s="34">
        <v>175</v>
      </c>
      <c r="C520" s="837"/>
      <c r="D520" s="839"/>
      <c r="E520" s="35" t="s">
        <v>10</v>
      </c>
      <c r="F520" s="36" t="str">
        <f t="shared" si="16"/>
        <v>IB111AF</v>
      </c>
      <c r="G520" s="302"/>
      <c r="H520" s="303"/>
      <c r="I520" s="303"/>
      <c r="J520" s="304"/>
      <c r="K520" s="143"/>
      <c r="L520" s="37"/>
      <c r="M520" s="598"/>
      <c r="N520" s="35" t="s">
        <v>11</v>
      </c>
      <c r="O520" s="38" t="str">
        <f t="shared" si="17"/>
        <v>OB111AF</v>
      </c>
      <c r="P520" s="332"/>
      <c r="Q520" s="333"/>
      <c r="R520" s="333"/>
      <c r="S520" s="334"/>
      <c r="T520" s="140"/>
      <c r="U520" s="142"/>
      <c r="V520" s="882"/>
      <c r="W520" s="883"/>
      <c r="X520" s="36"/>
      <c r="Y520" s="143"/>
      <c r="Z520" s="143"/>
      <c r="AA520" s="143"/>
      <c r="AB520" s="143"/>
      <c r="AC520" s="144"/>
      <c r="AD520" s="143"/>
      <c r="AE520" s="143"/>
      <c r="AF520" s="145"/>
    </row>
    <row r="521" spans="2:32" ht="17.25" customHeight="1">
      <c r="B521" s="34">
        <v>176</v>
      </c>
      <c r="C521" s="844" t="s">
        <v>1585</v>
      </c>
      <c r="D521" s="791"/>
      <c r="E521" s="35" t="s">
        <v>10</v>
      </c>
      <c r="F521" s="36" t="str">
        <f t="shared" si="16"/>
        <v>IB111B0</v>
      </c>
      <c r="G521" s="317"/>
      <c r="H521" s="318"/>
      <c r="I521" s="318"/>
      <c r="J521" s="319"/>
      <c r="K521" s="140"/>
      <c r="L521" s="141"/>
      <c r="M521" s="140"/>
      <c r="N521" s="35" t="s">
        <v>11</v>
      </c>
      <c r="O521" s="38" t="str">
        <f t="shared" si="17"/>
        <v>OB111B0</v>
      </c>
      <c r="P521" s="317"/>
      <c r="Q521" s="318"/>
      <c r="R521" s="318"/>
      <c r="S521" s="319"/>
      <c r="T521" s="140"/>
      <c r="U521" s="142"/>
      <c r="V521" s="882"/>
      <c r="W521" s="883"/>
      <c r="X521" s="36"/>
      <c r="Y521" s="143"/>
      <c r="Z521" s="143"/>
      <c r="AA521" s="143"/>
      <c r="AB521" s="143"/>
      <c r="AC521" s="144"/>
      <c r="AD521" s="143"/>
      <c r="AE521" s="143"/>
      <c r="AF521" s="145"/>
    </row>
    <row r="522" spans="2:32" ht="17.25" customHeight="1">
      <c r="B522" s="34">
        <v>177</v>
      </c>
      <c r="C522" s="811"/>
      <c r="D522" s="792"/>
      <c r="E522" s="35" t="s">
        <v>10</v>
      </c>
      <c r="F522" s="36" t="str">
        <f t="shared" si="16"/>
        <v>IB111B1</v>
      </c>
      <c r="G522" s="83"/>
      <c r="H522" s="84"/>
      <c r="I522" s="84"/>
      <c r="J522" s="85"/>
      <c r="K522" s="140"/>
      <c r="L522" s="141"/>
      <c r="M522" s="140"/>
      <c r="N522" s="35" t="s">
        <v>11</v>
      </c>
      <c r="O522" s="38" t="str">
        <f t="shared" si="17"/>
        <v>OB111B1</v>
      </c>
      <c r="P522" s="83"/>
      <c r="Q522" s="84"/>
      <c r="R522" s="84"/>
      <c r="S522" s="85"/>
      <c r="T522" s="140"/>
      <c r="U522" s="142"/>
      <c r="V522" s="882"/>
      <c r="W522" s="883"/>
      <c r="X522" s="36"/>
      <c r="Y522" s="143"/>
      <c r="Z522" s="143"/>
      <c r="AA522" s="143"/>
      <c r="AB522" s="143"/>
      <c r="AC522" s="144"/>
      <c r="AD522" s="143"/>
      <c r="AE522" s="143"/>
      <c r="AF522" s="145"/>
    </row>
    <row r="523" spans="2:32" ht="17.25" customHeight="1">
      <c r="B523" s="34">
        <v>178</v>
      </c>
      <c r="C523" s="811"/>
      <c r="D523" s="792"/>
      <c r="E523" s="35" t="s">
        <v>10</v>
      </c>
      <c r="F523" s="36" t="str">
        <f t="shared" si="16"/>
        <v>IB111B2</v>
      </c>
      <c r="G523" s="83"/>
      <c r="H523" s="84"/>
      <c r="I523" s="84"/>
      <c r="J523" s="85"/>
      <c r="K523" s="140"/>
      <c r="L523" s="141"/>
      <c r="M523" s="140"/>
      <c r="N523" s="35" t="s">
        <v>11</v>
      </c>
      <c r="O523" s="38" t="str">
        <f t="shared" si="17"/>
        <v>OB111B2</v>
      </c>
      <c r="P523" s="83"/>
      <c r="Q523" s="84"/>
      <c r="R523" s="84"/>
      <c r="S523" s="85"/>
      <c r="T523" s="140"/>
      <c r="U523" s="142"/>
      <c r="V523" s="882"/>
      <c r="W523" s="883"/>
      <c r="X523" s="36"/>
      <c r="Y523" s="143"/>
      <c r="Z523" s="143"/>
      <c r="AA523" s="143"/>
      <c r="AB523" s="143"/>
      <c r="AC523" s="144"/>
      <c r="AD523" s="143"/>
      <c r="AE523" s="143"/>
      <c r="AF523" s="145"/>
    </row>
    <row r="524" spans="2:32" ht="17.25" customHeight="1">
      <c r="B524" s="34">
        <v>179</v>
      </c>
      <c r="C524" s="811"/>
      <c r="D524" s="792"/>
      <c r="E524" s="35" t="s">
        <v>10</v>
      </c>
      <c r="F524" s="36" t="str">
        <f t="shared" si="16"/>
        <v>IB111B3</v>
      </c>
      <c r="G524" s="83"/>
      <c r="H524" s="84"/>
      <c r="I524" s="84"/>
      <c r="J524" s="85"/>
      <c r="K524" s="140"/>
      <c r="L524" s="141"/>
      <c r="M524" s="140"/>
      <c r="N524" s="35" t="s">
        <v>11</v>
      </c>
      <c r="O524" s="38" t="str">
        <f t="shared" si="17"/>
        <v>OB111B3</v>
      </c>
      <c r="P524" s="83"/>
      <c r="Q524" s="84"/>
      <c r="R524" s="84"/>
      <c r="S524" s="85"/>
      <c r="T524" s="140"/>
      <c r="U524" s="142"/>
      <c r="V524" s="882"/>
      <c r="W524" s="883"/>
      <c r="X524" s="36"/>
      <c r="Y524" s="143"/>
      <c r="Z524" s="143"/>
      <c r="AA524" s="143"/>
      <c r="AB524" s="143"/>
      <c r="AC524" s="144"/>
      <c r="AD524" s="143"/>
      <c r="AE524" s="143"/>
      <c r="AF524" s="145"/>
    </row>
    <row r="525" spans="2:32" ht="17.25" customHeight="1">
      <c r="B525" s="34">
        <v>180</v>
      </c>
      <c r="C525" s="811"/>
      <c r="D525" s="792"/>
      <c r="E525" s="35" t="s">
        <v>10</v>
      </c>
      <c r="F525" s="36" t="str">
        <f t="shared" si="16"/>
        <v>IB111B4</v>
      </c>
      <c r="G525" s="83"/>
      <c r="H525" s="84"/>
      <c r="I525" s="84"/>
      <c r="J525" s="85"/>
      <c r="K525" s="140"/>
      <c r="L525" s="141"/>
      <c r="M525" s="140"/>
      <c r="N525" s="35" t="s">
        <v>11</v>
      </c>
      <c r="O525" s="38" t="str">
        <f t="shared" si="17"/>
        <v>OB111B4</v>
      </c>
      <c r="P525" s="83"/>
      <c r="Q525" s="84"/>
      <c r="R525" s="84"/>
      <c r="S525" s="85"/>
      <c r="T525" s="140"/>
      <c r="U525" s="142"/>
      <c r="V525" s="882"/>
      <c r="W525" s="883"/>
      <c r="X525" s="36"/>
      <c r="Y525" s="143"/>
      <c r="Z525" s="143"/>
      <c r="AA525" s="143"/>
      <c r="AB525" s="143"/>
      <c r="AC525" s="144"/>
      <c r="AD525" s="143"/>
      <c r="AE525" s="143"/>
      <c r="AF525" s="145"/>
    </row>
    <row r="526" spans="2:32" ht="17.25" customHeight="1">
      <c r="B526" s="34">
        <v>181</v>
      </c>
      <c r="C526" s="811"/>
      <c r="D526" s="792"/>
      <c r="E526" s="35" t="s">
        <v>10</v>
      </c>
      <c r="F526" s="36" t="str">
        <f t="shared" si="16"/>
        <v>IB111B5</v>
      </c>
      <c r="G526" s="83"/>
      <c r="H526" s="84"/>
      <c r="I526" s="84"/>
      <c r="J526" s="85"/>
      <c r="K526" s="140"/>
      <c r="L526" s="141"/>
      <c r="M526" s="140"/>
      <c r="N526" s="35" t="s">
        <v>11</v>
      </c>
      <c r="O526" s="38" t="str">
        <f t="shared" si="17"/>
        <v>OB111B5</v>
      </c>
      <c r="P526" s="83"/>
      <c r="Q526" s="84"/>
      <c r="R526" s="84"/>
      <c r="S526" s="85"/>
      <c r="T526" s="140"/>
      <c r="U526" s="142"/>
      <c r="V526" s="882"/>
      <c r="W526" s="883"/>
      <c r="X526" s="36"/>
      <c r="Y526" s="143"/>
      <c r="Z526" s="143"/>
      <c r="AA526" s="143"/>
      <c r="AB526" s="143"/>
      <c r="AC526" s="144"/>
      <c r="AD526" s="143"/>
      <c r="AE526" s="143"/>
      <c r="AF526" s="145"/>
    </row>
    <row r="527" spans="2:32" ht="17.25" customHeight="1">
      <c r="B527" s="34">
        <v>182</v>
      </c>
      <c r="C527" s="811"/>
      <c r="D527" s="792"/>
      <c r="E527" s="35" t="s">
        <v>10</v>
      </c>
      <c r="F527" s="36" t="str">
        <f t="shared" si="16"/>
        <v>IB111B6</v>
      </c>
      <c r="G527" s="83"/>
      <c r="H527" s="84"/>
      <c r="I527" s="84"/>
      <c r="J527" s="85"/>
      <c r="K527" s="140"/>
      <c r="L527" s="141"/>
      <c r="M527" s="140"/>
      <c r="N527" s="35" t="s">
        <v>11</v>
      </c>
      <c r="O527" s="38" t="str">
        <f t="shared" si="17"/>
        <v>OB111B6</v>
      </c>
      <c r="P527" s="83"/>
      <c r="Q527" s="84"/>
      <c r="R527" s="84"/>
      <c r="S527" s="85"/>
      <c r="T527" s="140"/>
      <c r="U527" s="142"/>
      <c r="V527" s="882"/>
      <c r="W527" s="883"/>
      <c r="X527" s="36"/>
      <c r="Y527" s="143"/>
      <c r="Z527" s="143"/>
      <c r="AA527" s="143"/>
      <c r="AB527" s="143"/>
      <c r="AC527" s="144"/>
      <c r="AD527" s="143"/>
      <c r="AE527" s="143"/>
      <c r="AF527" s="145"/>
    </row>
    <row r="528" spans="2:32" ht="17.25" customHeight="1">
      <c r="B528" s="34">
        <v>183</v>
      </c>
      <c r="C528" s="811"/>
      <c r="D528" s="792"/>
      <c r="E528" s="35" t="s">
        <v>10</v>
      </c>
      <c r="F528" s="36" t="str">
        <f t="shared" si="16"/>
        <v>IB111B7</v>
      </c>
      <c r="G528" s="83"/>
      <c r="H528" s="84"/>
      <c r="I528" s="84"/>
      <c r="J528" s="85"/>
      <c r="K528" s="140"/>
      <c r="L528" s="141"/>
      <c r="M528" s="140"/>
      <c r="N528" s="35" t="s">
        <v>11</v>
      </c>
      <c r="O528" s="38" t="str">
        <f t="shared" si="17"/>
        <v>OB111B7</v>
      </c>
      <c r="P528" s="83"/>
      <c r="Q528" s="84"/>
      <c r="R528" s="84"/>
      <c r="S528" s="85"/>
      <c r="T528" s="140"/>
      <c r="U528" s="142"/>
      <c r="V528" s="882"/>
      <c r="W528" s="883"/>
      <c r="X528" s="36"/>
      <c r="Y528" s="143"/>
      <c r="Z528" s="143"/>
      <c r="AA528" s="143"/>
      <c r="AB528" s="143"/>
      <c r="AC528" s="144"/>
      <c r="AD528" s="143"/>
      <c r="AE528" s="143"/>
      <c r="AF528" s="145"/>
    </row>
    <row r="529" spans="2:32" ht="17.25" customHeight="1">
      <c r="B529" s="34">
        <v>184</v>
      </c>
      <c r="C529" s="811"/>
      <c r="D529" s="792"/>
      <c r="E529" s="35" t="s">
        <v>10</v>
      </c>
      <c r="F529" s="36" t="str">
        <f t="shared" si="16"/>
        <v>IB111B8</v>
      </c>
      <c r="G529" s="83"/>
      <c r="H529" s="84"/>
      <c r="I529" s="84"/>
      <c r="J529" s="85"/>
      <c r="K529" s="140"/>
      <c r="L529" s="141"/>
      <c r="M529" s="140"/>
      <c r="N529" s="35" t="s">
        <v>11</v>
      </c>
      <c r="O529" s="38" t="str">
        <f t="shared" si="17"/>
        <v>OB111B8</v>
      </c>
      <c r="P529" s="83"/>
      <c r="Q529" s="84"/>
      <c r="R529" s="84"/>
      <c r="S529" s="85"/>
      <c r="T529" s="140"/>
      <c r="U529" s="142"/>
      <c r="V529" s="882"/>
      <c r="W529" s="883"/>
      <c r="X529" s="36"/>
      <c r="Y529" s="143"/>
      <c r="Z529" s="143"/>
      <c r="AA529" s="143"/>
      <c r="AB529" s="143"/>
      <c r="AC529" s="144"/>
      <c r="AD529" s="143"/>
      <c r="AE529" s="143"/>
      <c r="AF529" s="145"/>
    </row>
    <row r="530" spans="2:32" ht="17.25" customHeight="1">
      <c r="B530" s="34">
        <v>185</v>
      </c>
      <c r="C530" s="811"/>
      <c r="D530" s="792"/>
      <c r="E530" s="35" t="s">
        <v>10</v>
      </c>
      <c r="F530" s="36" t="str">
        <f t="shared" si="16"/>
        <v>IB111B9</v>
      </c>
      <c r="G530" s="83"/>
      <c r="H530" s="84"/>
      <c r="I530" s="84"/>
      <c r="J530" s="85"/>
      <c r="K530" s="140"/>
      <c r="L530" s="141"/>
      <c r="M530" s="140"/>
      <c r="N530" s="35" t="s">
        <v>11</v>
      </c>
      <c r="O530" s="38" t="str">
        <f t="shared" si="17"/>
        <v>OB111B9</v>
      </c>
      <c r="P530" s="83"/>
      <c r="Q530" s="84"/>
      <c r="R530" s="84"/>
      <c r="S530" s="85"/>
      <c r="T530" s="140"/>
      <c r="U530" s="142"/>
      <c r="V530" s="882"/>
      <c r="W530" s="883"/>
      <c r="X530" s="36"/>
      <c r="Y530" s="143"/>
      <c r="Z530" s="143"/>
      <c r="AA530" s="143"/>
      <c r="AB530" s="143"/>
      <c r="AC530" s="144"/>
      <c r="AD530" s="143"/>
      <c r="AE530" s="143"/>
      <c r="AF530" s="145"/>
    </row>
    <row r="531" spans="2:32" ht="17.25" customHeight="1">
      <c r="B531" s="34">
        <v>186</v>
      </c>
      <c r="C531" s="811"/>
      <c r="D531" s="792"/>
      <c r="E531" s="35" t="s">
        <v>10</v>
      </c>
      <c r="F531" s="36" t="str">
        <f t="shared" si="16"/>
        <v>IB111BA</v>
      </c>
      <c r="G531" s="83"/>
      <c r="H531" s="84"/>
      <c r="I531" s="84"/>
      <c r="J531" s="85"/>
      <c r="K531" s="140"/>
      <c r="L531" s="141"/>
      <c r="M531" s="140"/>
      <c r="N531" s="35" t="s">
        <v>11</v>
      </c>
      <c r="O531" s="38" t="str">
        <f t="shared" si="17"/>
        <v>OB111BA</v>
      </c>
      <c r="P531" s="83"/>
      <c r="Q531" s="84"/>
      <c r="R531" s="84"/>
      <c r="S531" s="85"/>
      <c r="T531" s="140"/>
      <c r="U531" s="142"/>
      <c r="V531" s="882"/>
      <c r="W531" s="883"/>
      <c r="X531" s="36"/>
      <c r="Y531" s="143"/>
      <c r="Z531" s="143"/>
      <c r="AA531" s="143"/>
      <c r="AB531" s="143"/>
      <c r="AC531" s="144"/>
      <c r="AD531" s="143"/>
      <c r="AE531" s="143"/>
      <c r="AF531" s="145"/>
    </row>
    <row r="532" spans="2:32" ht="17.25" customHeight="1">
      <c r="B532" s="34">
        <v>187</v>
      </c>
      <c r="C532" s="811"/>
      <c r="D532" s="792"/>
      <c r="E532" s="35" t="s">
        <v>10</v>
      </c>
      <c r="F532" s="36" t="str">
        <f t="shared" si="16"/>
        <v>IB111BB</v>
      </c>
      <c r="G532" s="83"/>
      <c r="H532" s="84"/>
      <c r="I532" s="84"/>
      <c r="J532" s="85"/>
      <c r="K532" s="140"/>
      <c r="L532" s="141"/>
      <c r="M532" s="140"/>
      <c r="N532" s="35" t="s">
        <v>11</v>
      </c>
      <c r="O532" s="38" t="str">
        <f t="shared" si="17"/>
        <v>OB111BB</v>
      </c>
      <c r="P532" s="83"/>
      <c r="Q532" s="84"/>
      <c r="R532" s="84"/>
      <c r="S532" s="85"/>
      <c r="T532" s="140"/>
      <c r="U532" s="142"/>
      <c r="V532" s="882"/>
      <c r="W532" s="883"/>
      <c r="X532" s="36"/>
      <c r="Y532" s="143"/>
      <c r="Z532" s="143"/>
      <c r="AA532" s="143"/>
      <c r="AB532" s="143"/>
      <c r="AC532" s="144"/>
      <c r="AD532" s="143"/>
      <c r="AE532" s="143"/>
      <c r="AF532" s="145"/>
    </row>
    <row r="533" spans="2:32" ht="17.25" customHeight="1">
      <c r="B533" s="34">
        <v>188</v>
      </c>
      <c r="C533" s="811"/>
      <c r="D533" s="792"/>
      <c r="E533" s="35" t="s">
        <v>10</v>
      </c>
      <c r="F533" s="36" t="str">
        <f t="shared" si="16"/>
        <v>IB111BC</v>
      </c>
      <c r="G533" s="83"/>
      <c r="H533" s="84"/>
      <c r="I533" s="84"/>
      <c r="J533" s="85"/>
      <c r="K533" s="140"/>
      <c r="L533" s="141"/>
      <c r="M533" s="140"/>
      <c r="N533" s="35" t="s">
        <v>11</v>
      </c>
      <c r="O533" s="38" t="str">
        <f t="shared" si="17"/>
        <v>OB111BC</v>
      </c>
      <c r="P533" s="83"/>
      <c r="Q533" s="84"/>
      <c r="R533" s="84"/>
      <c r="S533" s="85"/>
      <c r="T533" s="140"/>
      <c r="U533" s="142"/>
      <c r="V533" s="882"/>
      <c r="W533" s="883"/>
      <c r="X533" s="36"/>
      <c r="Y533" s="143"/>
      <c r="Z533" s="143"/>
      <c r="AA533" s="143"/>
      <c r="AB533" s="143"/>
      <c r="AC533" s="144"/>
      <c r="AD533" s="143"/>
      <c r="AE533" s="143"/>
      <c r="AF533" s="145"/>
    </row>
    <row r="534" spans="2:32" ht="17.25" customHeight="1">
      <c r="B534" s="34">
        <v>189</v>
      </c>
      <c r="C534" s="811"/>
      <c r="D534" s="792"/>
      <c r="E534" s="35" t="s">
        <v>10</v>
      </c>
      <c r="F534" s="36" t="str">
        <f t="shared" si="16"/>
        <v>IB111BD</v>
      </c>
      <c r="G534" s="83"/>
      <c r="H534" s="84"/>
      <c r="I534" s="84"/>
      <c r="J534" s="85"/>
      <c r="K534" s="143"/>
      <c r="L534" s="37"/>
      <c r="M534" s="598"/>
      <c r="N534" s="35" t="s">
        <v>11</v>
      </c>
      <c r="O534" s="38" t="str">
        <f t="shared" si="17"/>
        <v>OB111BD</v>
      </c>
      <c r="P534" s="83"/>
      <c r="Q534" s="84"/>
      <c r="R534" s="84"/>
      <c r="S534" s="85"/>
      <c r="T534" s="140"/>
      <c r="U534" s="142"/>
      <c r="V534" s="882"/>
      <c r="W534" s="883"/>
      <c r="X534" s="36"/>
      <c r="Y534" s="143"/>
      <c r="Z534" s="143"/>
      <c r="AA534" s="143"/>
      <c r="AB534" s="143"/>
      <c r="AC534" s="144"/>
      <c r="AD534" s="143"/>
      <c r="AE534" s="143"/>
      <c r="AF534" s="145"/>
    </row>
    <row r="535" spans="2:32" ht="17.25" customHeight="1">
      <c r="B535" s="34">
        <v>190</v>
      </c>
      <c r="C535" s="811"/>
      <c r="D535" s="792"/>
      <c r="E535" s="35" t="s">
        <v>10</v>
      </c>
      <c r="F535" s="36" t="str">
        <f t="shared" si="16"/>
        <v>IB111BE</v>
      </c>
      <c r="G535" s="83"/>
      <c r="H535" s="84"/>
      <c r="I535" s="84"/>
      <c r="J535" s="85"/>
      <c r="K535" s="143"/>
      <c r="L535" s="37"/>
      <c r="M535" s="598"/>
      <c r="N535" s="35" t="s">
        <v>11</v>
      </c>
      <c r="O535" s="38" t="str">
        <f t="shared" si="17"/>
        <v>OB111BE</v>
      </c>
      <c r="P535" s="83"/>
      <c r="Q535" s="84"/>
      <c r="R535" s="84"/>
      <c r="S535" s="85"/>
      <c r="T535" s="140"/>
      <c r="U535" s="142"/>
      <c r="V535" s="882"/>
      <c r="W535" s="883"/>
      <c r="X535" s="36"/>
      <c r="Y535" s="143"/>
      <c r="Z535" s="143"/>
      <c r="AA535" s="143"/>
      <c r="AB535" s="143"/>
      <c r="AC535" s="144"/>
      <c r="AD535" s="143"/>
      <c r="AE535" s="143"/>
      <c r="AF535" s="145"/>
    </row>
    <row r="536" spans="2:32" ht="17.25" customHeight="1">
      <c r="B536" s="34">
        <v>191</v>
      </c>
      <c r="C536" s="845"/>
      <c r="D536" s="839"/>
      <c r="E536" s="35" t="s">
        <v>10</v>
      </c>
      <c r="F536" s="36" t="str">
        <f t="shared" si="16"/>
        <v>IB111BF</v>
      </c>
      <c r="G536" s="332"/>
      <c r="H536" s="333"/>
      <c r="I536" s="333"/>
      <c r="J536" s="334"/>
      <c r="K536" s="143"/>
      <c r="L536" s="37"/>
      <c r="M536" s="598"/>
      <c r="N536" s="35" t="s">
        <v>11</v>
      </c>
      <c r="O536" s="38" t="str">
        <f t="shared" si="17"/>
        <v>OB111BF</v>
      </c>
      <c r="P536" s="332"/>
      <c r="Q536" s="333"/>
      <c r="R536" s="333"/>
      <c r="S536" s="334"/>
      <c r="T536" s="140"/>
      <c r="U536" s="142"/>
      <c r="V536" s="882"/>
      <c r="W536" s="883"/>
      <c r="X536" s="36"/>
      <c r="Y536" s="143"/>
      <c r="Z536" s="143"/>
      <c r="AA536" s="143"/>
      <c r="AB536" s="143"/>
      <c r="AC536" s="144"/>
      <c r="AD536" s="143"/>
      <c r="AE536" s="143"/>
      <c r="AF536" s="145"/>
    </row>
    <row r="537" spans="2:32" ht="17.25" customHeight="1">
      <c r="B537" s="34">
        <v>192</v>
      </c>
      <c r="C537" s="836" t="s">
        <v>58</v>
      </c>
      <c r="D537" s="838" t="s">
        <v>69</v>
      </c>
      <c r="E537" s="35" t="s">
        <v>10</v>
      </c>
      <c r="F537" s="36" t="str">
        <f t="shared" si="16"/>
        <v>IB111C0</v>
      </c>
      <c r="G537" s="302" t="s">
        <v>416</v>
      </c>
      <c r="H537" s="303"/>
      <c r="I537" s="303"/>
      <c r="J537" s="304"/>
      <c r="K537" s="143" t="s">
        <v>1513</v>
      </c>
      <c r="L537" s="37"/>
      <c r="M537" s="598"/>
      <c r="N537" s="35" t="s">
        <v>11</v>
      </c>
      <c r="O537" s="38" t="str">
        <f t="shared" si="17"/>
        <v>OB111C0</v>
      </c>
      <c r="P537" s="317"/>
      <c r="Q537" s="318"/>
      <c r="R537" s="318"/>
      <c r="S537" s="319"/>
      <c r="T537" s="140"/>
      <c r="U537" s="153"/>
      <c r="V537" s="882"/>
      <c r="W537" s="883"/>
      <c r="X537" s="36"/>
      <c r="Y537" s="143"/>
      <c r="Z537" s="143"/>
      <c r="AA537" s="143"/>
      <c r="AB537" s="143"/>
      <c r="AC537" s="144"/>
      <c r="AD537" s="143"/>
      <c r="AE537" s="143"/>
      <c r="AF537" s="145"/>
    </row>
    <row r="538" spans="2:32" ht="17.25" customHeight="1">
      <c r="B538" s="34">
        <v>193</v>
      </c>
      <c r="C538" s="823"/>
      <c r="D538" s="792"/>
      <c r="E538" s="35" t="s">
        <v>10</v>
      </c>
      <c r="F538" s="36" t="str">
        <f t="shared" si="16"/>
        <v>IB111C1</v>
      </c>
      <c r="G538" s="302" t="s">
        <v>1551</v>
      </c>
      <c r="H538" s="303"/>
      <c r="I538" s="303"/>
      <c r="J538" s="304"/>
      <c r="K538" s="143" t="s">
        <v>1513</v>
      </c>
      <c r="L538" s="37"/>
      <c r="M538" s="598"/>
      <c r="N538" s="35" t="s">
        <v>11</v>
      </c>
      <c r="O538" s="38" t="str">
        <f t="shared" si="17"/>
        <v>OB111C1</v>
      </c>
      <c r="P538" s="83"/>
      <c r="Q538" s="84"/>
      <c r="R538" s="84"/>
      <c r="S538" s="85"/>
      <c r="T538" s="140"/>
      <c r="U538" s="153"/>
      <c r="V538" s="882"/>
      <c r="W538" s="883"/>
      <c r="X538" s="36"/>
      <c r="Y538" s="143"/>
      <c r="Z538" s="143"/>
      <c r="AA538" s="143"/>
      <c r="AB538" s="143"/>
      <c r="AC538" s="144"/>
      <c r="AD538" s="143"/>
      <c r="AE538" s="143"/>
      <c r="AF538" s="145"/>
    </row>
    <row r="539" spans="2:32" ht="17.25" customHeight="1">
      <c r="B539" s="34">
        <v>194</v>
      </c>
      <c r="C539" s="823"/>
      <c r="D539" s="792"/>
      <c r="E539" s="35" t="s">
        <v>10</v>
      </c>
      <c r="F539" s="36" t="str">
        <f t="shared" ref="F539:F604" si="18">LEFT(F538,1)&amp;DEC2HEX(HEX2DEC(MID(F538,2,LENB(F538)-1))+1,LENB(F538)-1)</f>
        <v>IB111C2</v>
      </c>
      <c r="G539" s="302" t="s">
        <v>417</v>
      </c>
      <c r="H539" s="303"/>
      <c r="I539" s="303"/>
      <c r="J539" s="304"/>
      <c r="K539" s="143" t="s">
        <v>1513</v>
      </c>
      <c r="L539" s="37"/>
      <c r="M539" s="598"/>
      <c r="N539" s="35" t="s">
        <v>11</v>
      </c>
      <c r="O539" s="38" t="str">
        <f t="shared" ref="O539:O604" si="19">LEFT(O538,1)&amp;DEC2HEX(HEX2DEC(MID(O538,2,LENB(O538)-1))+1,LENB(O538)-1)</f>
        <v>OB111C2</v>
      </c>
      <c r="P539" s="83"/>
      <c r="Q539" s="84"/>
      <c r="R539" s="84"/>
      <c r="S539" s="85"/>
      <c r="T539" s="140"/>
      <c r="U539" s="153"/>
      <c r="V539" s="882"/>
      <c r="W539" s="883"/>
      <c r="X539" s="36"/>
      <c r="Y539" s="143"/>
      <c r="Z539" s="143"/>
      <c r="AA539" s="143"/>
      <c r="AB539" s="143"/>
      <c r="AC539" s="144"/>
      <c r="AD539" s="143"/>
      <c r="AE539" s="143"/>
      <c r="AF539" s="145"/>
    </row>
    <row r="540" spans="2:32" ht="17.25" customHeight="1">
      <c r="B540" s="34">
        <v>195</v>
      </c>
      <c r="C540" s="823"/>
      <c r="D540" s="792"/>
      <c r="E540" s="35" t="s">
        <v>10</v>
      </c>
      <c r="F540" s="36" t="str">
        <f t="shared" si="18"/>
        <v>IB111C3</v>
      </c>
      <c r="G540" s="302" t="s">
        <v>418</v>
      </c>
      <c r="H540" s="303"/>
      <c r="I540" s="303"/>
      <c r="J540" s="304"/>
      <c r="K540" s="143" t="s">
        <v>1513</v>
      </c>
      <c r="L540" s="37"/>
      <c r="M540" s="598"/>
      <c r="N540" s="35" t="s">
        <v>11</v>
      </c>
      <c r="O540" s="38" t="str">
        <f t="shared" si="19"/>
        <v>OB111C3</v>
      </c>
      <c r="P540" s="83"/>
      <c r="Q540" s="84"/>
      <c r="R540" s="84"/>
      <c r="S540" s="85"/>
      <c r="T540" s="140"/>
      <c r="U540" s="153"/>
      <c r="V540" s="882"/>
      <c r="W540" s="883"/>
      <c r="X540" s="36"/>
      <c r="Y540" s="143"/>
      <c r="Z540" s="143"/>
      <c r="AA540" s="143"/>
      <c r="AB540" s="143"/>
      <c r="AC540" s="144"/>
      <c r="AD540" s="143"/>
      <c r="AE540" s="143"/>
      <c r="AF540" s="145"/>
    </row>
    <row r="541" spans="2:32" ht="17.25" customHeight="1">
      <c r="B541" s="34">
        <v>196</v>
      </c>
      <c r="C541" s="823"/>
      <c r="D541" s="792"/>
      <c r="E541" s="35" t="s">
        <v>10</v>
      </c>
      <c r="F541" s="36" t="str">
        <f t="shared" si="18"/>
        <v>IB111C4</v>
      </c>
      <c r="G541" s="302" t="s">
        <v>419</v>
      </c>
      <c r="H541" s="303"/>
      <c r="I541" s="303"/>
      <c r="J541" s="304"/>
      <c r="K541" s="143" t="s">
        <v>1513</v>
      </c>
      <c r="L541" s="37"/>
      <c r="M541" s="598"/>
      <c r="N541" s="35" t="s">
        <v>11</v>
      </c>
      <c r="O541" s="38" t="str">
        <f t="shared" si="19"/>
        <v>OB111C4</v>
      </c>
      <c r="P541" s="83"/>
      <c r="Q541" s="84"/>
      <c r="R541" s="84"/>
      <c r="S541" s="85"/>
      <c r="T541" s="140"/>
      <c r="U541" s="153"/>
      <c r="V541" s="882"/>
      <c r="W541" s="883"/>
      <c r="X541" s="36"/>
      <c r="Y541" s="143"/>
      <c r="Z541" s="143"/>
      <c r="AA541" s="143"/>
      <c r="AB541" s="143"/>
      <c r="AC541" s="144"/>
      <c r="AD541" s="143"/>
      <c r="AE541" s="143"/>
      <c r="AF541" s="145"/>
    </row>
    <row r="542" spans="2:32" ht="17.25" customHeight="1">
      <c r="B542" s="34">
        <v>197</v>
      </c>
      <c r="C542" s="823"/>
      <c r="D542" s="792"/>
      <c r="E542" s="35" t="s">
        <v>10</v>
      </c>
      <c r="F542" s="36" t="str">
        <f t="shared" si="18"/>
        <v>IB111C5</v>
      </c>
      <c r="G542" s="302" t="s">
        <v>420</v>
      </c>
      <c r="H542" s="303"/>
      <c r="I542" s="303"/>
      <c r="J542" s="304"/>
      <c r="K542" s="143" t="s">
        <v>1513</v>
      </c>
      <c r="L542" s="37"/>
      <c r="M542" s="598"/>
      <c r="N542" s="35" t="s">
        <v>11</v>
      </c>
      <c r="O542" s="38" t="str">
        <f t="shared" si="19"/>
        <v>OB111C5</v>
      </c>
      <c r="P542" s="83"/>
      <c r="Q542" s="84"/>
      <c r="R542" s="84"/>
      <c r="S542" s="85"/>
      <c r="T542" s="140"/>
      <c r="U542" s="153"/>
      <c r="V542" s="882"/>
      <c r="W542" s="883"/>
      <c r="X542" s="36"/>
      <c r="Y542" s="143"/>
      <c r="Z542" s="143"/>
      <c r="AA542" s="143"/>
      <c r="AB542" s="143"/>
      <c r="AC542" s="144"/>
      <c r="AD542" s="143"/>
      <c r="AE542" s="143"/>
      <c r="AF542" s="145"/>
    </row>
    <row r="543" spans="2:32" ht="17.25" customHeight="1">
      <c r="B543" s="34">
        <v>198</v>
      </c>
      <c r="C543" s="823"/>
      <c r="D543" s="792"/>
      <c r="E543" s="35" t="s">
        <v>10</v>
      </c>
      <c r="F543" s="36" t="str">
        <f t="shared" si="18"/>
        <v>IB111C6</v>
      </c>
      <c r="G543" s="302" t="s">
        <v>1552</v>
      </c>
      <c r="H543" s="303"/>
      <c r="I543" s="303"/>
      <c r="J543" s="304"/>
      <c r="K543" s="143" t="s">
        <v>1513</v>
      </c>
      <c r="L543" s="37"/>
      <c r="M543" s="598"/>
      <c r="N543" s="35" t="s">
        <v>11</v>
      </c>
      <c r="O543" s="38" t="str">
        <f t="shared" si="19"/>
        <v>OB111C6</v>
      </c>
      <c r="P543" s="83"/>
      <c r="Q543" s="84"/>
      <c r="R543" s="84"/>
      <c r="S543" s="85"/>
      <c r="T543" s="140"/>
      <c r="U543" s="153"/>
      <c r="V543" s="882"/>
      <c r="W543" s="883"/>
      <c r="X543" s="36"/>
      <c r="Y543" s="143"/>
      <c r="Z543" s="143"/>
      <c r="AA543" s="143"/>
      <c r="AB543" s="143"/>
      <c r="AC543" s="144"/>
      <c r="AD543" s="143"/>
      <c r="AE543" s="143"/>
      <c r="AF543" s="145"/>
    </row>
    <row r="544" spans="2:32" ht="17.25" customHeight="1">
      <c r="B544" s="34">
        <v>199</v>
      </c>
      <c r="C544" s="823"/>
      <c r="D544" s="792"/>
      <c r="E544" s="35" t="s">
        <v>10</v>
      </c>
      <c r="F544" s="36" t="str">
        <f t="shared" si="18"/>
        <v>IB111C7</v>
      </c>
      <c r="G544" s="302" t="s">
        <v>421</v>
      </c>
      <c r="H544" s="303"/>
      <c r="I544" s="303"/>
      <c r="J544" s="304"/>
      <c r="K544" s="143" t="s">
        <v>1513</v>
      </c>
      <c r="L544" s="37"/>
      <c r="M544" s="598"/>
      <c r="N544" s="35" t="s">
        <v>11</v>
      </c>
      <c r="O544" s="38" t="str">
        <f t="shared" si="19"/>
        <v>OB111C7</v>
      </c>
      <c r="P544" s="83"/>
      <c r="Q544" s="84"/>
      <c r="R544" s="84"/>
      <c r="S544" s="85"/>
      <c r="T544" s="140"/>
      <c r="U544" s="153"/>
      <c r="V544" s="882"/>
      <c r="W544" s="883"/>
      <c r="X544" s="36"/>
      <c r="Y544" s="143"/>
      <c r="Z544" s="143"/>
      <c r="AA544" s="143"/>
      <c r="AB544" s="143"/>
      <c r="AC544" s="144"/>
      <c r="AD544" s="143"/>
      <c r="AE544" s="143"/>
      <c r="AF544" s="145"/>
    </row>
    <row r="545" spans="2:32" ht="17.25" customHeight="1">
      <c r="B545" s="34">
        <v>200</v>
      </c>
      <c r="C545" s="823"/>
      <c r="D545" s="792"/>
      <c r="E545" s="35" t="s">
        <v>10</v>
      </c>
      <c r="F545" s="36" t="str">
        <f t="shared" si="18"/>
        <v>IB111C8</v>
      </c>
      <c r="G545" s="302" t="s">
        <v>422</v>
      </c>
      <c r="H545" s="303"/>
      <c r="I545" s="303"/>
      <c r="J545" s="304"/>
      <c r="K545" s="143" t="s">
        <v>1513</v>
      </c>
      <c r="L545" s="37"/>
      <c r="M545" s="598"/>
      <c r="N545" s="35" t="s">
        <v>11</v>
      </c>
      <c r="O545" s="38" t="str">
        <f t="shared" si="19"/>
        <v>OB111C8</v>
      </c>
      <c r="P545" s="83"/>
      <c r="Q545" s="84"/>
      <c r="R545" s="84"/>
      <c r="S545" s="85"/>
      <c r="T545" s="140"/>
      <c r="U545" s="153"/>
      <c r="V545" s="882"/>
      <c r="W545" s="883"/>
      <c r="X545" s="36"/>
      <c r="Y545" s="143"/>
      <c r="Z545" s="143"/>
      <c r="AA545" s="143"/>
      <c r="AB545" s="143"/>
      <c r="AC545" s="144"/>
      <c r="AD545" s="143"/>
      <c r="AE545" s="143"/>
      <c r="AF545" s="145"/>
    </row>
    <row r="546" spans="2:32" ht="17.25" customHeight="1">
      <c r="B546" s="34">
        <v>201</v>
      </c>
      <c r="C546" s="823"/>
      <c r="D546" s="792"/>
      <c r="E546" s="35" t="s">
        <v>10</v>
      </c>
      <c r="F546" s="36" t="str">
        <f t="shared" si="18"/>
        <v>IB111C9</v>
      </c>
      <c r="G546" s="302" t="s">
        <v>1441</v>
      </c>
      <c r="H546" s="303"/>
      <c r="I546" s="303"/>
      <c r="J546" s="304"/>
      <c r="K546" s="143" t="s">
        <v>1513</v>
      </c>
      <c r="L546" s="37"/>
      <c r="M546" s="598"/>
      <c r="N546" s="35" t="s">
        <v>11</v>
      </c>
      <c r="O546" s="38" t="str">
        <f t="shared" si="19"/>
        <v>OB111C9</v>
      </c>
      <c r="P546" s="83"/>
      <c r="Q546" s="84"/>
      <c r="R546" s="84"/>
      <c r="S546" s="85"/>
      <c r="T546" s="140"/>
      <c r="U546" s="153"/>
      <c r="V546" s="882"/>
      <c r="W546" s="883"/>
      <c r="X546" s="36"/>
      <c r="Y546" s="143"/>
      <c r="Z546" s="143"/>
      <c r="AA546" s="143"/>
      <c r="AB546" s="143"/>
      <c r="AC546" s="144"/>
      <c r="AD546" s="143"/>
      <c r="AE546" s="143"/>
      <c r="AF546" s="145"/>
    </row>
    <row r="547" spans="2:32" ht="17.25" customHeight="1">
      <c r="B547" s="34">
        <v>202</v>
      </c>
      <c r="C547" s="823"/>
      <c r="D547" s="792"/>
      <c r="E547" s="35" t="s">
        <v>10</v>
      </c>
      <c r="F547" s="36" t="str">
        <f t="shared" si="18"/>
        <v>IB111CA</v>
      </c>
      <c r="G547" s="302" t="s">
        <v>1442</v>
      </c>
      <c r="H547" s="303"/>
      <c r="I547" s="303"/>
      <c r="J547" s="304"/>
      <c r="K547" s="143" t="s">
        <v>1513</v>
      </c>
      <c r="L547" s="37"/>
      <c r="M547" s="598"/>
      <c r="N547" s="35" t="s">
        <v>11</v>
      </c>
      <c r="O547" s="38" t="str">
        <f t="shared" si="19"/>
        <v>OB111CA</v>
      </c>
      <c r="P547" s="83"/>
      <c r="Q547" s="84"/>
      <c r="R547" s="84"/>
      <c r="S547" s="85"/>
      <c r="T547" s="140"/>
      <c r="U547" s="153"/>
      <c r="V547" s="882"/>
      <c r="W547" s="883"/>
      <c r="X547" s="36"/>
      <c r="Y547" s="143"/>
      <c r="Z547" s="143"/>
      <c r="AA547" s="143"/>
      <c r="AB547" s="143"/>
      <c r="AC547" s="144"/>
      <c r="AD547" s="143"/>
      <c r="AE547" s="143"/>
      <c r="AF547" s="145"/>
    </row>
    <row r="548" spans="2:32" ht="17.25" customHeight="1">
      <c r="B548" s="34">
        <v>203</v>
      </c>
      <c r="C548" s="823"/>
      <c r="D548" s="792"/>
      <c r="E548" s="35" t="s">
        <v>10</v>
      </c>
      <c r="F548" s="36" t="str">
        <f t="shared" si="18"/>
        <v>IB111CB</v>
      </c>
      <c r="G548" s="302" t="s">
        <v>1443</v>
      </c>
      <c r="H548" s="303"/>
      <c r="I548" s="303"/>
      <c r="J548" s="304"/>
      <c r="K548" s="143" t="s">
        <v>1513</v>
      </c>
      <c r="L548" s="37"/>
      <c r="M548" s="598"/>
      <c r="N548" s="35" t="s">
        <v>11</v>
      </c>
      <c r="O548" s="38" t="str">
        <f t="shared" si="19"/>
        <v>OB111CB</v>
      </c>
      <c r="P548" s="83"/>
      <c r="Q548" s="84"/>
      <c r="R548" s="84"/>
      <c r="S548" s="85"/>
      <c r="T548" s="140"/>
      <c r="U548" s="153"/>
      <c r="V548" s="882"/>
      <c r="W548" s="883"/>
      <c r="X548" s="36"/>
      <c r="Y548" s="143"/>
      <c r="Z548" s="143"/>
      <c r="AA548" s="143"/>
      <c r="AB548" s="143"/>
      <c r="AC548" s="144"/>
      <c r="AD548" s="143"/>
      <c r="AE548" s="143"/>
      <c r="AF548" s="145"/>
    </row>
    <row r="549" spans="2:32" ht="17.25" customHeight="1">
      <c r="B549" s="34">
        <v>204</v>
      </c>
      <c r="C549" s="823"/>
      <c r="D549" s="792"/>
      <c r="E549" s="35" t="s">
        <v>10</v>
      </c>
      <c r="F549" s="36" t="str">
        <f t="shared" si="18"/>
        <v>IB111CC</v>
      </c>
      <c r="G549" s="302" t="s">
        <v>1553</v>
      </c>
      <c r="H549" s="303"/>
      <c r="I549" s="303"/>
      <c r="J549" s="304"/>
      <c r="K549" s="143" t="s">
        <v>1513</v>
      </c>
      <c r="L549" s="37"/>
      <c r="M549" s="598"/>
      <c r="N549" s="35" t="s">
        <v>11</v>
      </c>
      <c r="O549" s="38" t="str">
        <f t="shared" si="19"/>
        <v>OB111CC</v>
      </c>
      <c r="P549" s="83"/>
      <c r="Q549" s="84"/>
      <c r="R549" s="84"/>
      <c r="S549" s="85"/>
      <c r="T549" s="140"/>
      <c r="U549" s="153"/>
      <c r="V549" s="882"/>
      <c r="W549" s="883"/>
      <c r="X549" s="36"/>
      <c r="Y549" s="143"/>
      <c r="Z549" s="143"/>
      <c r="AA549" s="143"/>
      <c r="AB549" s="143"/>
      <c r="AC549" s="144"/>
      <c r="AD549" s="143"/>
      <c r="AE549" s="143"/>
      <c r="AF549" s="145"/>
    </row>
    <row r="550" spans="2:32" ht="17.25" customHeight="1">
      <c r="B550" s="34">
        <v>205</v>
      </c>
      <c r="C550" s="823"/>
      <c r="D550" s="792"/>
      <c r="E550" s="35" t="s">
        <v>10</v>
      </c>
      <c r="F550" s="36" t="str">
        <f t="shared" si="18"/>
        <v>IB111CD</v>
      </c>
      <c r="G550" s="323"/>
      <c r="H550" s="324"/>
      <c r="I550" s="324"/>
      <c r="J550" s="325"/>
      <c r="K550" s="593"/>
      <c r="L550" s="37"/>
      <c r="M550" s="598"/>
      <c r="N550" s="35" t="s">
        <v>11</v>
      </c>
      <c r="O550" s="38" t="str">
        <f t="shared" si="19"/>
        <v>OB111CD</v>
      </c>
      <c r="P550" s="83"/>
      <c r="Q550" s="84"/>
      <c r="R550" s="84"/>
      <c r="S550" s="85"/>
      <c r="T550" s="140"/>
      <c r="U550" s="153"/>
      <c r="V550" s="882"/>
      <c r="W550" s="883"/>
      <c r="X550" s="36"/>
      <c r="Y550" s="143"/>
      <c r="Z550" s="143"/>
      <c r="AA550" s="143"/>
      <c r="AB550" s="143"/>
      <c r="AC550" s="144"/>
      <c r="AD550" s="143"/>
      <c r="AE550" s="143"/>
      <c r="AF550" s="145"/>
    </row>
    <row r="551" spans="2:32" ht="17.25" customHeight="1">
      <c r="B551" s="34">
        <v>206</v>
      </c>
      <c r="C551" s="823"/>
      <c r="D551" s="792"/>
      <c r="E551" s="35" t="s">
        <v>10</v>
      </c>
      <c r="F551" s="36" t="str">
        <f t="shared" si="18"/>
        <v>IB111CE</v>
      </c>
      <c r="G551" s="302" t="s">
        <v>1554</v>
      </c>
      <c r="H551" s="303"/>
      <c r="I551" s="303"/>
      <c r="J551" s="304"/>
      <c r="K551" s="143" t="s">
        <v>1513</v>
      </c>
      <c r="L551" s="37"/>
      <c r="M551" s="598"/>
      <c r="N551" s="35" t="s">
        <v>11</v>
      </c>
      <c r="O551" s="38" t="str">
        <f t="shared" si="19"/>
        <v>OB111CE</v>
      </c>
      <c r="P551" s="83"/>
      <c r="Q551" s="84"/>
      <c r="R551" s="84"/>
      <c r="S551" s="85"/>
      <c r="T551" s="140"/>
      <c r="U551" s="153"/>
      <c r="V551" s="882"/>
      <c r="W551" s="883"/>
      <c r="X551" s="36"/>
      <c r="Y551" s="143"/>
      <c r="Z551" s="143"/>
      <c r="AA551" s="143"/>
      <c r="AB551" s="143"/>
      <c r="AC551" s="144"/>
      <c r="AD551" s="143"/>
      <c r="AE551" s="143"/>
      <c r="AF551" s="145"/>
    </row>
    <row r="552" spans="2:32" ht="17.25" customHeight="1">
      <c r="B552" s="34">
        <v>207</v>
      </c>
      <c r="C552" s="837"/>
      <c r="D552" s="839"/>
      <c r="E552" s="35" t="s">
        <v>10</v>
      </c>
      <c r="F552" s="36" t="str">
        <f t="shared" si="18"/>
        <v>IB111CF</v>
      </c>
      <c r="G552" s="341"/>
      <c r="H552" s="342"/>
      <c r="I552" s="342"/>
      <c r="J552" s="343"/>
      <c r="K552" s="593"/>
      <c r="L552" s="37"/>
      <c r="M552" s="598"/>
      <c r="N552" s="35" t="s">
        <v>11</v>
      </c>
      <c r="O552" s="38" t="str">
        <f t="shared" si="19"/>
        <v>OB111CF</v>
      </c>
      <c r="P552" s="332"/>
      <c r="Q552" s="333"/>
      <c r="R552" s="333"/>
      <c r="S552" s="334"/>
      <c r="T552" s="140"/>
      <c r="U552" s="153"/>
      <c r="V552" s="882"/>
      <c r="W552" s="883"/>
      <c r="X552" s="36"/>
      <c r="Y552" s="143"/>
      <c r="Z552" s="143"/>
      <c r="AA552" s="143"/>
      <c r="AB552" s="143"/>
      <c r="AC552" s="144"/>
      <c r="AD552" s="143"/>
      <c r="AE552" s="143"/>
      <c r="AF552" s="145"/>
    </row>
    <row r="553" spans="2:32" ht="17.25" customHeight="1">
      <c r="B553" s="34">
        <v>208</v>
      </c>
      <c r="C553" s="836" t="s">
        <v>59</v>
      </c>
      <c r="D553" s="840" t="s">
        <v>1404</v>
      </c>
      <c r="E553" s="35" t="s">
        <v>10</v>
      </c>
      <c r="F553" s="36" t="str">
        <f t="shared" si="18"/>
        <v>IB111D0</v>
      </c>
      <c r="G553" s="302" t="s">
        <v>1555</v>
      </c>
      <c r="H553" s="303"/>
      <c r="I553" s="303"/>
      <c r="J553" s="304"/>
      <c r="K553" s="143" t="s">
        <v>1513</v>
      </c>
      <c r="L553" s="37"/>
      <c r="M553" s="598"/>
      <c r="N553" s="35" t="s">
        <v>11</v>
      </c>
      <c r="O553" s="38" t="str">
        <f t="shared" si="19"/>
        <v>OB111D0</v>
      </c>
      <c r="P553" s="317"/>
      <c r="Q553" s="318"/>
      <c r="R553" s="318"/>
      <c r="S553" s="319"/>
      <c r="T553" s="140"/>
      <c r="U553" s="142"/>
      <c r="V553" s="882"/>
      <c r="W553" s="883"/>
      <c r="X553" s="36"/>
      <c r="Y553" s="143"/>
      <c r="Z553" s="143"/>
      <c r="AA553" s="143"/>
      <c r="AB553" s="143"/>
      <c r="AC553" s="144"/>
      <c r="AD553" s="143"/>
      <c r="AE553" s="143"/>
      <c r="AF553" s="145"/>
    </row>
    <row r="554" spans="2:32" ht="17.25" customHeight="1">
      <c r="B554" s="34">
        <v>209</v>
      </c>
      <c r="C554" s="823"/>
      <c r="D554" s="792"/>
      <c r="E554" s="35" t="s">
        <v>10</v>
      </c>
      <c r="F554" s="36" t="str">
        <f t="shared" si="18"/>
        <v>IB111D1</v>
      </c>
      <c r="G554" s="302" t="s">
        <v>428</v>
      </c>
      <c r="H554" s="303"/>
      <c r="I554" s="303"/>
      <c r="J554" s="304"/>
      <c r="K554" s="143" t="s">
        <v>1513</v>
      </c>
      <c r="L554" s="37"/>
      <c r="M554" s="598"/>
      <c r="N554" s="35" t="s">
        <v>11</v>
      </c>
      <c r="O554" s="38" t="str">
        <f t="shared" si="19"/>
        <v>OB111D1</v>
      </c>
      <c r="P554" s="83"/>
      <c r="Q554" s="84"/>
      <c r="R554" s="84"/>
      <c r="S554" s="85"/>
      <c r="T554" s="140"/>
      <c r="U554" s="142"/>
      <c r="V554" s="882"/>
      <c r="W554" s="883"/>
      <c r="X554" s="36"/>
      <c r="Y554" s="143"/>
      <c r="Z554" s="143"/>
      <c r="AA554" s="143"/>
      <c r="AB554" s="143"/>
      <c r="AC554" s="144"/>
      <c r="AD554" s="143"/>
      <c r="AE554" s="143"/>
      <c r="AF554" s="145"/>
    </row>
    <row r="555" spans="2:32" ht="17.25" customHeight="1">
      <c r="B555" s="34">
        <v>210</v>
      </c>
      <c r="C555" s="823"/>
      <c r="D555" s="792"/>
      <c r="E555" s="35" t="s">
        <v>10</v>
      </c>
      <c r="F555" s="36" t="str">
        <f t="shared" si="18"/>
        <v>IB111D2</v>
      </c>
      <c r="G555" s="302" t="s">
        <v>429</v>
      </c>
      <c r="H555" s="303"/>
      <c r="I555" s="303"/>
      <c r="J555" s="304"/>
      <c r="K555" s="143" t="s">
        <v>1513</v>
      </c>
      <c r="L555" s="37"/>
      <c r="M555" s="598"/>
      <c r="N555" s="35" t="s">
        <v>11</v>
      </c>
      <c r="O555" s="38" t="str">
        <f t="shared" si="19"/>
        <v>OB111D2</v>
      </c>
      <c r="P555" s="83"/>
      <c r="Q555" s="84"/>
      <c r="R555" s="84"/>
      <c r="S555" s="85"/>
      <c r="T555" s="140"/>
      <c r="U555" s="142"/>
      <c r="V555" s="882"/>
      <c r="W555" s="883"/>
      <c r="X555" s="36"/>
      <c r="Y555" s="143"/>
      <c r="Z555" s="143"/>
      <c r="AA555" s="143"/>
      <c r="AB555" s="143"/>
      <c r="AC555" s="144"/>
      <c r="AD555" s="143"/>
      <c r="AE555" s="143"/>
      <c r="AF555" s="145"/>
    </row>
    <row r="556" spans="2:32" ht="17.25" customHeight="1">
      <c r="B556" s="34">
        <v>211</v>
      </c>
      <c r="C556" s="823"/>
      <c r="D556" s="792"/>
      <c r="E556" s="35" t="s">
        <v>10</v>
      </c>
      <c r="F556" s="36" t="str">
        <f t="shared" si="18"/>
        <v>IB111D3</v>
      </c>
      <c r="G556" s="302" t="s">
        <v>425</v>
      </c>
      <c r="H556" s="303"/>
      <c r="I556" s="303"/>
      <c r="J556" s="304"/>
      <c r="K556" s="143" t="s">
        <v>1513</v>
      </c>
      <c r="L556" s="37"/>
      <c r="M556" s="598"/>
      <c r="N556" s="35" t="s">
        <v>11</v>
      </c>
      <c r="O556" s="38" t="str">
        <f t="shared" si="19"/>
        <v>OB111D3</v>
      </c>
      <c r="P556" s="83"/>
      <c r="Q556" s="84"/>
      <c r="R556" s="84"/>
      <c r="S556" s="85"/>
      <c r="T556" s="140"/>
      <c r="U556" s="142"/>
      <c r="V556" s="882"/>
      <c r="W556" s="883"/>
      <c r="X556" s="36"/>
      <c r="Y556" s="143"/>
      <c r="Z556" s="143"/>
      <c r="AA556" s="143"/>
      <c r="AB556" s="143"/>
      <c r="AC556" s="144"/>
      <c r="AD556" s="143"/>
      <c r="AE556" s="143"/>
      <c r="AF556" s="145"/>
    </row>
    <row r="557" spans="2:32" ht="17.25" customHeight="1">
      <c r="B557" s="34">
        <v>212</v>
      </c>
      <c r="C557" s="823"/>
      <c r="D557" s="792"/>
      <c r="E557" s="35" t="s">
        <v>10</v>
      </c>
      <c r="F557" s="36" t="str">
        <f t="shared" si="18"/>
        <v>IB111D4</v>
      </c>
      <c r="G557" s="302" t="s">
        <v>426</v>
      </c>
      <c r="H557" s="303"/>
      <c r="I557" s="303"/>
      <c r="J557" s="304"/>
      <c r="K557" s="143" t="s">
        <v>1513</v>
      </c>
      <c r="L557" s="37"/>
      <c r="M557" s="598"/>
      <c r="N557" s="35" t="s">
        <v>11</v>
      </c>
      <c r="O557" s="38" t="str">
        <f t="shared" si="19"/>
        <v>OB111D4</v>
      </c>
      <c r="P557" s="83"/>
      <c r="Q557" s="84"/>
      <c r="R557" s="84"/>
      <c r="S557" s="85"/>
      <c r="T557" s="140"/>
      <c r="U557" s="142"/>
      <c r="V557" s="882"/>
      <c r="W557" s="883"/>
      <c r="X557" s="36"/>
      <c r="Y557" s="143"/>
      <c r="Z557" s="143"/>
      <c r="AA557" s="143"/>
      <c r="AB557" s="143"/>
      <c r="AC557" s="144"/>
      <c r="AD557" s="143"/>
      <c r="AE557" s="143"/>
      <c r="AF557" s="145"/>
    </row>
    <row r="558" spans="2:32" ht="17.25" customHeight="1">
      <c r="B558" s="34">
        <v>213</v>
      </c>
      <c r="C558" s="823"/>
      <c r="D558" s="792"/>
      <c r="E558" s="35" t="s">
        <v>10</v>
      </c>
      <c r="F558" s="36" t="str">
        <f t="shared" si="18"/>
        <v>IB111D5</v>
      </c>
      <c r="G558" s="302" t="s">
        <v>427</v>
      </c>
      <c r="H558" s="303"/>
      <c r="I558" s="303"/>
      <c r="J558" s="304"/>
      <c r="K558" s="143" t="s">
        <v>1513</v>
      </c>
      <c r="L558" s="37"/>
      <c r="M558" s="598"/>
      <c r="N558" s="35" t="s">
        <v>11</v>
      </c>
      <c r="O558" s="38" t="str">
        <f t="shared" si="19"/>
        <v>OB111D5</v>
      </c>
      <c r="P558" s="83"/>
      <c r="Q558" s="84"/>
      <c r="R558" s="84"/>
      <c r="S558" s="85"/>
      <c r="T558" s="140"/>
      <c r="U558" s="142"/>
      <c r="V558" s="882"/>
      <c r="W558" s="883"/>
      <c r="X558" s="36"/>
      <c r="Y558" s="143"/>
      <c r="Z558" s="143"/>
      <c r="AA558" s="143"/>
      <c r="AB558" s="143"/>
      <c r="AC558" s="144"/>
      <c r="AD558" s="143"/>
      <c r="AE558" s="143"/>
      <c r="AF558" s="145"/>
    </row>
    <row r="559" spans="2:32" ht="17.25" customHeight="1">
      <c r="B559" s="34">
        <v>214</v>
      </c>
      <c r="C559" s="823"/>
      <c r="D559" s="792"/>
      <c r="E559" s="35" t="s">
        <v>10</v>
      </c>
      <c r="F559" s="36" t="str">
        <f t="shared" si="18"/>
        <v>IB111D6</v>
      </c>
      <c r="G559" s="302" t="s">
        <v>1556</v>
      </c>
      <c r="H559" s="303"/>
      <c r="I559" s="303"/>
      <c r="J559" s="304"/>
      <c r="K559" s="143" t="s">
        <v>1513</v>
      </c>
      <c r="L559" s="37"/>
      <c r="M559" s="598"/>
      <c r="N559" s="35" t="s">
        <v>11</v>
      </c>
      <c r="O559" s="38" t="str">
        <f t="shared" si="19"/>
        <v>OB111D6</v>
      </c>
      <c r="P559" s="83"/>
      <c r="Q559" s="84"/>
      <c r="R559" s="84"/>
      <c r="S559" s="85"/>
      <c r="T559" s="140"/>
      <c r="U559" s="142"/>
      <c r="V559" s="882"/>
      <c r="W559" s="883"/>
      <c r="X559" s="36"/>
      <c r="Y559" s="143"/>
      <c r="Z559" s="143"/>
      <c r="AA559" s="143"/>
      <c r="AB559" s="143"/>
      <c r="AC559" s="144"/>
      <c r="AD559" s="143"/>
      <c r="AE559" s="143"/>
      <c r="AF559" s="145"/>
    </row>
    <row r="560" spans="2:32" ht="17.25" customHeight="1">
      <c r="B560" s="34">
        <v>215</v>
      </c>
      <c r="C560" s="823"/>
      <c r="D560" s="792"/>
      <c r="E560" s="35" t="s">
        <v>10</v>
      </c>
      <c r="F560" s="36" t="str">
        <f t="shared" si="18"/>
        <v>IB111D7</v>
      </c>
      <c r="G560" s="302" t="s">
        <v>423</v>
      </c>
      <c r="H560" s="303"/>
      <c r="I560" s="303"/>
      <c r="J560" s="304"/>
      <c r="K560" s="143" t="s">
        <v>1513</v>
      </c>
      <c r="L560" s="37"/>
      <c r="M560" s="598"/>
      <c r="N560" s="35" t="s">
        <v>11</v>
      </c>
      <c r="O560" s="38" t="str">
        <f t="shared" si="19"/>
        <v>OB111D7</v>
      </c>
      <c r="P560" s="83"/>
      <c r="Q560" s="84"/>
      <c r="R560" s="84"/>
      <c r="S560" s="85"/>
      <c r="T560" s="140"/>
      <c r="U560" s="142"/>
      <c r="V560" s="882"/>
      <c r="W560" s="883"/>
      <c r="X560" s="36"/>
      <c r="Y560" s="143"/>
      <c r="Z560" s="143"/>
      <c r="AA560" s="143"/>
      <c r="AB560" s="143"/>
      <c r="AC560" s="144"/>
      <c r="AD560" s="143"/>
      <c r="AE560" s="143"/>
      <c r="AF560" s="145"/>
    </row>
    <row r="561" spans="2:32" ht="17.25" customHeight="1">
      <c r="B561" s="34">
        <v>216</v>
      </c>
      <c r="C561" s="823"/>
      <c r="D561" s="792"/>
      <c r="E561" s="35" t="s">
        <v>10</v>
      </c>
      <c r="F561" s="36" t="str">
        <f t="shared" si="18"/>
        <v>IB111D8</v>
      </c>
      <c r="G561" s="302" t="s">
        <v>424</v>
      </c>
      <c r="H561" s="303"/>
      <c r="I561" s="303"/>
      <c r="J561" s="304"/>
      <c r="K561" s="143" t="s">
        <v>1513</v>
      </c>
      <c r="L561" s="37"/>
      <c r="M561" s="598"/>
      <c r="N561" s="35" t="s">
        <v>11</v>
      </c>
      <c r="O561" s="38" t="str">
        <f t="shared" si="19"/>
        <v>OB111D8</v>
      </c>
      <c r="P561" s="83"/>
      <c r="Q561" s="84"/>
      <c r="R561" s="84"/>
      <c r="S561" s="85"/>
      <c r="T561" s="140"/>
      <c r="U561" s="142"/>
      <c r="V561" s="882"/>
      <c r="W561" s="883"/>
      <c r="X561" s="36"/>
      <c r="Y561" s="143"/>
      <c r="Z561" s="143"/>
      <c r="AA561" s="143"/>
      <c r="AB561" s="143"/>
      <c r="AC561" s="144"/>
      <c r="AD561" s="143"/>
      <c r="AE561" s="143"/>
      <c r="AF561" s="145"/>
    </row>
    <row r="562" spans="2:32" ht="17.25" customHeight="1">
      <c r="B562" s="34">
        <v>217</v>
      </c>
      <c r="C562" s="823"/>
      <c r="D562" s="792"/>
      <c r="E562" s="35" t="s">
        <v>10</v>
      </c>
      <c r="F562" s="36" t="str">
        <f t="shared" si="18"/>
        <v>IB111D9</v>
      </c>
      <c r="G562" s="302" t="s">
        <v>220</v>
      </c>
      <c r="H562" s="303"/>
      <c r="I562" s="303"/>
      <c r="J562" s="304"/>
      <c r="K562" s="143" t="s">
        <v>1513</v>
      </c>
      <c r="L562" s="37"/>
      <c r="M562" s="598"/>
      <c r="N562" s="35" t="s">
        <v>11</v>
      </c>
      <c r="O562" s="38" t="str">
        <f t="shared" si="19"/>
        <v>OB111D9</v>
      </c>
      <c r="P562" s="83"/>
      <c r="Q562" s="84"/>
      <c r="R562" s="84"/>
      <c r="S562" s="85"/>
      <c r="T562" s="140"/>
      <c r="U562" s="142"/>
      <c r="V562" s="882"/>
      <c r="W562" s="883"/>
      <c r="X562" s="36"/>
      <c r="Y562" s="143"/>
      <c r="Z562" s="143"/>
      <c r="AA562" s="143"/>
      <c r="AB562" s="143"/>
      <c r="AC562" s="144"/>
      <c r="AD562" s="143"/>
      <c r="AE562" s="143"/>
      <c r="AF562" s="145"/>
    </row>
    <row r="563" spans="2:32" ht="17.25" customHeight="1">
      <c r="B563" s="34">
        <v>218</v>
      </c>
      <c r="C563" s="823"/>
      <c r="D563" s="792"/>
      <c r="E563" s="35" t="s">
        <v>10</v>
      </c>
      <c r="F563" s="36" t="str">
        <f t="shared" si="18"/>
        <v>IB111DA</v>
      </c>
      <c r="G563" s="302" t="s">
        <v>221</v>
      </c>
      <c r="H563" s="303"/>
      <c r="I563" s="303"/>
      <c r="J563" s="304"/>
      <c r="K563" s="143" t="s">
        <v>1513</v>
      </c>
      <c r="L563" s="37"/>
      <c r="M563" s="598"/>
      <c r="N563" s="35" t="s">
        <v>11</v>
      </c>
      <c r="O563" s="38" t="str">
        <f t="shared" si="19"/>
        <v>OB111DA</v>
      </c>
      <c r="P563" s="83"/>
      <c r="Q563" s="84"/>
      <c r="R563" s="84"/>
      <c r="S563" s="85"/>
      <c r="T563" s="140"/>
      <c r="U563" s="142"/>
      <c r="V563" s="882"/>
      <c r="W563" s="883"/>
      <c r="X563" s="36"/>
      <c r="Y563" s="143"/>
      <c r="Z563" s="143"/>
      <c r="AA563" s="143"/>
      <c r="AB563" s="143"/>
      <c r="AC563" s="144"/>
      <c r="AD563" s="143"/>
      <c r="AE563" s="143"/>
      <c r="AF563" s="145"/>
    </row>
    <row r="564" spans="2:32" ht="17.25" customHeight="1">
      <c r="B564" s="34">
        <v>219</v>
      </c>
      <c r="C564" s="823"/>
      <c r="D564" s="792"/>
      <c r="E564" s="35" t="s">
        <v>10</v>
      </c>
      <c r="F564" s="36" t="str">
        <f t="shared" si="18"/>
        <v>IB111DB</v>
      </c>
      <c r="G564" s="302" t="s">
        <v>222</v>
      </c>
      <c r="H564" s="303"/>
      <c r="I564" s="303"/>
      <c r="J564" s="304"/>
      <c r="K564" s="143" t="s">
        <v>1513</v>
      </c>
      <c r="L564" s="37"/>
      <c r="M564" s="598"/>
      <c r="N564" s="35" t="s">
        <v>11</v>
      </c>
      <c r="O564" s="38" t="str">
        <f t="shared" si="19"/>
        <v>OB111DB</v>
      </c>
      <c r="P564" s="83"/>
      <c r="Q564" s="84"/>
      <c r="R564" s="84"/>
      <c r="S564" s="85"/>
      <c r="T564" s="140"/>
      <c r="U564" s="142"/>
      <c r="V564" s="882"/>
      <c r="W564" s="883"/>
      <c r="X564" s="36"/>
      <c r="Y564" s="143"/>
      <c r="Z564" s="143"/>
      <c r="AA564" s="143"/>
      <c r="AB564" s="143"/>
      <c r="AC564" s="144"/>
      <c r="AD564" s="143"/>
      <c r="AE564" s="143"/>
      <c r="AF564" s="145"/>
    </row>
    <row r="565" spans="2:32" ht="17.25" customHeight="1">
      <c r="B565" s="34">
        <v>220</v>
      </c>
      <c r="C565" s="823"/>
      <c r="D565" s="792"/>
      <c r="E565" s="35" t="s">
        <v>10</v>
      </c>
      <c r="F565" s="36" t="str">
        <f t="shared" si="18"/>
        <v>IB111DC</v>
      </c>
      <c r="G565" s="302" t="s">
        <v>1557</v>
      </c>
      <c r="H565" s="303"/>
      <c r="I565" s="303"/>
      <c r="J565" s="304"/>
      <c r="K565" s="143" t="s">
        <v>1513</v>
      </c>
      <c r="L565" s="37"/>
      <c r="M565" s="598"/>
      <c r="N565" s="35" t="s">
        <v>11</v>
      </c>
      <c r="O565" s="38" t="str">
        <f t="shared" si="19"/>
        <v>OB111DC</v>
      </c>
      <c r="P565" s="83"/>
      <c r="Q565" s="84"/>
      <c r="R565" s="84"/>
      <c r="S565" s="85"/>
      <c r="T565" s="140"/>
      <c r="U565" s="142"/>
      <c r="V565" s="882"/>
      <c r="W565" s="883"/>
      <c r="X565" s="36"/>
      <c r="Y565" s="143"/>
      <c r="Z565" s="143"/>
      <c r="AA565" s="143"/>
      <c r="AB565" s="143"/>
      <c r="AC565" s="144"/>
      <c r="AD565" s="143"/>
      <c r="AE565" s="143"/>
      <c r="AF565" s="145"/>
    </row>
    <row r="566" spans="2:32" ht="17.25" customHeight="1">
      <c r="B566" s="34">
        <v>221</v>
      </c>
      <c r="C566" s="823"/>
      <c r="D566" s="792"/>
      <c r="E566" s="35" t="s">
        <v>10</v>
      </c>
      <c r="F566" s="36" t="str">
        <f t="shared" si="18"/>
        <v>IB111DD</v>
      </c>
      <c r="G566" s="302" t="s">
        <v>1558</v>
      </c>
      <c r="H566" s="303"/>
      <c r="I566" s="303"/>
      <c r="J566" s="304"/>
      <c r="K566" s="593" t="s">
        <v>1513</v>
      </c>
      <c r="L566" s="147"/>
      <c r="M566" s="626"/>
      <c r="N566" s="35" t="s">
        <v>11</v>
      </c>
      <c r="O566" s="38" t="str">
        <f t="shared" si="19"/>
        <v>OB111DD</v>
      </c>
      <c r="P566" s="83"/>
      <c r="Q566" s="84"/>
      <c r="R566" s="84"/>
      <c r="S566" s="85"/>
      <c r="T566" s="140"/>
      <c r="U566" s="142"/>
      <c r="V566" s="882"/>
      <c r="W566" s="883"/>
      <c r="X566" s="36"/>
      <c r="Y566" s="143"/>
      <c r="Z566" s="143"/>
      <c r="AA566" s="143"/>
      <c r="AB566" s="143"/>
      <c r="AC566" s="144"/>
      <c r="AD566" s="143"/>
      <c r="AE566" s="143"/>
      <c r="AF566" s="145"/>
    </row>
    <row r="567" spans="2:32" ht="17.25" customHeight="1">
      <c r="B567" s="34">
        <v>222</v>
      </c>
      <c r="C567" s="823"/>
      <c r="D567" s="792"/>
      <c r="E567" s="35" t="s">
        <v>10</v>
      </c>
      <c r="F567" s="36" t="str">
        <f t="shared" si="18"/>
        <v>IB111DE</v>
      </c>
      <c r="G567" s="302" t="s">
        <v>1559</v>
      </c>
      <c r="H567" s="303"/>
      <c r="I567" s="303"/>
      <c r="J567" s="304"/>
      <c r="K567" s="593" t="s">
        <v>1513</v>
      </c>
      <c r="L567" s="147"/>
      <c r="M567" s="626"/>
      <c r="N567" s="35" t="s">
        <v>11</v>
      </c>
      <c r="O567" s="38" t="str">
        <f t="shared" si="19"/>
        <v>OB111DE</v>
      </c>
      <c r="P567" s="83"/>
      <c r="Q567" s="84"/>
      <c r="R567" s="84"/>
      <c r="S567" s="85"/>
      <c r="T567" s="140"/>
      <c r="U567" s="142"/>
      <c r="V567" s="882"/>
      <c r="W567" s="883"/>
      <c r="X567" s="36"/>
      <c r="Y567" s="143"/>
      <c r="Z567" s="143"/>
      <c r="AA567" s="143"/>
      <c r="AB567" s="143"/>
      <c r="AC567" s="144"/>
      <c r="AD567" s="143"/>
      <c r="AE567" s="143"/>
      <c r="AF567" s="145"/>
    </row>
    <row r="568" spans="2:32" ht="17.25" customHeight="1">
      <c r="B568" s="34">
        <v>223</v>
      </c>
      <c r="C568" s="837"/>
      <c r="D568" s="839"/>
      <c r="E568" s="35" t="s">
        <v>10</v>
      </c>
      <c r="F568" s="36" t="str">
        <f t="shared" si="18"/>
        <v>IB111DF</v>
      </c>
      <c r="G568" s="302"/>
      <c r="H568" s="303"/>
      <c r="I568" s="303"/>
      <c r="J568" s="304"/>
      <c r="K568" s="593"/>
      <c r="L568" s="147"/>
      <c r="M568" s="626"/>
      <c r="N568" s="35" t="s">
        <v>11</v>
      </c>
      <c r="O568" s="38" t="str">
        <f t="shared" si="19"/>
        <v>OB111DF</v>
      </c>
      <c r="P568" s="332"/>
      <c r="Q568" s="333"/>
      <c r="R568" s="333"/>
      <c r="S568" s="334"/>
      <c r="T568" s="140"/>
      <c r="U568" s="142"/>
      <c r="V568" s="882"/>
      <c r="W568" s="883"/>
      <c r="X568" s="36"/>
      <c r="Y568" s="143"/>
      <c r="Z568" s="143"/>
      <c r="AA568" s="143"/>
      <c r="AB568" s="143"/>
      <c r="AC568" s="144"/>
      <c r="AD568" s="143"/>
      <c r="AE568" s="143"/>
      <c r="AF568" s="145"/>
    </row>
    <row r="569" spans="2:32" ht="17.25" customHeight="1">
      <c r="B569" s="34">
        <v>224</v>
      </c>
      <c r="C569" s="836" t="s">
        <v>65</v>
      </c>
      <c r="D569" s="838" t="s">
        <v>69</v>
      </c>
      <c r="E569" s="35" t="s">
        <v>10</v>
      </c>
      <c r="F569" s="36" t="str">
        <f t="shared" si="18"/>
        <v>IB111E0</v>
      </c>
      <c r="G569" s="302" t="s">
        <v>1440</v>
      </c>
      <c r="H569" s="303"/>
      <c r="I569" s="303"/>
      <c r="J569" s="304"/>
      <c r="K569" s="143" t="s">
        <v>1513</v>
      </c>
      <c r="L569" s="147"/>
      <c r="M569" s="626"/>
      <c r="N569" s="35" t="s">
        <v>11</v>
      </c>
      <c r="O569" s="38" t="str">
        <f t="shared" si="19"/>
        <v>OB111E0</v>
      </c>
      <c r="P569" s="317"/>
      <c r="Q569" s="318"/>
      <c r="R569" s="318"/>
      <c r="S569" s="319"/>
      <c r="T569" s="140"/>
      <c r="U569" s="142"/>
      <c r="V569" s="882"/>
      <c r="W569" s="883"/>
      <c r="X569" s="36"/>
      <c r="Y569" s="143"/>
      <c r="Z569" s="143"/>
      <c r="AA569" s="143"/>
      <c r="AB569" s="143"/>
      <c r="AC569" s="144"/>
      <c r="AD569" s="143"/>
      <c r="AE569" s="143"/>
      <c r="AF569" s="145"/>
    </row>
    <row r="570" spans="2:32" ht="17.25" customHeight="1">
      <c r="B570" s="34">
        <v>225</v>
      </c>
      <c r="C570" s="823"/>
      <c r="D570" s="792"/>
      <c r="E570" s="35" t="s">
        <v>10</v>
      </c>
      <c r="F570" s="36" t="str">
        <f t="shared" si="18"/>
        <v>IB111E1</v>
      </c>
      <c r="G570" s="302" t="s">
        <v>430</v>
      </c>
      <c r="H570" s="303"/>
      <c r="I570" s="303"/>
      <c r="J570" s="304"/>
      <c r="K570" s="143" t="s">
        <v>1513</v>
      </c>
      <c r="L570" s="147"/>
      <c r="M570" s="626"/>
      <c r="N570" s="35" t="s">
        <v>11</v>
      </c>
      <c r="O570" s="38" t="str">
        <f t="shared" si="19"/>
        <v>OB111E1</v>
      </c>
      <c r="P570" s="83"/>
      <c r="Q570" s="84"/>
      <c r="R570" s="84"/>
      <c r="S570" s="85"/>
      <c r="T570" s="140"/>
      <c r="U570" s="142"/>
      <c r="V570" s="882"/>
      <c r="W570" s="883"/>
      <c r="X570" s="36"/>
      <c r="Y570" s="143"/>
      <c r="Z570" s="143"/>
      <c r="AA570" s="143"/>
      <c r="AB570" s="143"/>
      <c r="AC570" s="144"/>
      <c r="AD570" s="143"/>
      <c r="AE570" s="143"/>
      <c r="AF570" s="145"/>
    </row>
    <row r="571" spans="2:32" ht="17.25" customHeight="1">
      <c r="B571" s="34">
        <v>226</v>
      </c>
      <c r="C571" s="823"/>
      <c r="D571" s="792"/>
      <c r="E571" s="35" t="s">
        <v>10</v>
      </c>
      <c r="F571" s="36" t="str">
        <f t="shared" si="18"/>
        <v>IB111E2</v>
      </c>
      <c r="G571" s="302" t="s">
        <v>431</v>
      </c>
      <c r="H571" s="303"/>
      <c r="I571" s="303"/>
      <c r="J571" s="304"/>
      <c r="K571" s="143" t="s">
        <v>1513</v>
      </c>
      <c r="L571" s="147"/>
      <c r="M571" s="626"/>
      <c r="N571" s="35" t="s">
        <v>11</v>
      </c>
      <c r="O571" s="38" t="str">
        <f t="shared" si="19"/>
        <v>OB111E2</v>
      </c>
      <c r="P571" s="83"/>
      <c r="Q571" s="84"/>
      <c r="R571" s="84"/>
      <c r="S571" s="85"/>
      <c r="T571" s="140"/>
      <c r="U571" s="142"/>
      <c r="V571" s="882"/>
      <c r="W571" s="883"/>
      <c r="X571" s="36"/>
      <c r="Y571" s="143"/>
      <c r="Z571" s="143"/>
      <c r="AA571" s="143"/>
      <c r="AB571" s="143"/>
      <c r="AC571" s="144"/>
      <c r="AD571" s="143"/>
      <c r="AE571" s="143"/>
      <c r="AF571" s="145"/>
    </row>
    <row r="572" spans="2:32" ht="17.25" customHeight="1">
      <c r="B572" s="34">
        <v>227</v>
      </c>
      <c r="C572" s="823"/>
      <c r="D572" s="792"/>
      <c r="E572" s="35" t="s">
        <v>10</v>
      </c>
      <c r="F572" s="36" t="str">
        <f t="shared" si="18"/>
        <v>IB111E3</v>
      </c>
      <c r="G572" s="302" t="s">
        <v>432</v>
      </c>
      <c r="H572" s="303"/>
      <c r="I572" s="303"/>
      <c r="J572" s="304"/>
      <c r="K572" s="143" t="s">
        <v>1513</v>
      </c>
      <c r="L572" s="147"/>
      <c r="M572" s="626"/>
      <c r="N572" s="35" t="s">
        <v>11</v>
      </c>
      <c r="O572" s="38" t="str">
        <f t="shared" si="19"/>
        <v>OB111E3</v>
      </c>
      <c r="P572" s="83"/>
      <c r="Q572" s="84"/>
      <c r="R572" s="84"/>
      <c r="S572" s="85"/>
      <c r="T572" s="140"/>
      <c r="U572" s="142"/>
      <c r="V572" s="882"/>
      <c r="W572" s="883"/>
      <c r="X572" s="36"/>
      <c r="Y572" s="143"/>
      <c r="Z572" s="143"/>
      <c r="AA572" s="143"/>
      <c r="AB572" s="143"/>
      <c r="AC572" s="144"/>
      <c r="AD572" s="143"/>
      <c r="AE572" s="143"/>
      <c r="AF572" s="145"/>
    </row>
    <row r="573" spans="2:32" ht="17.25" customHeight="1">
      <c r="B573" s="34">
        <v>228</v>
      </c>
      <c r="C573" s="823"/>
      <c r="D573" s="792"/>
      <c r="E573" s="35" t="s">
        <v>10</v>
      </c>
      <c r="F573" s="36" t="str">
        <f t="shared" si="18"/>
        <v>IB111E4</v>
      </c>
      <c r="G573" s="302" t="s">
        <v>223</v>
      </c>
      <c r="H573" s="303"/>
      <c r="I573" s="303"/>
      <c r="J573" s="304"/>
      <c r="K573" s="595" t="s">
        <v>1513</v>
      </c>
      <c r="L573" s="147"/>
      <c r="M573" s="626"/>
      <c r="N573" s="35" t="s">
        <v>11</v>
      </c>
      <c r="O573" s="38" t="str">
        <f t="shared" si="19"/>
        <v>OB111E4</v>
      </c>
      <c r="P573" s="83"/>
      <c r="Q573" s="84"/>
      <c r="R573" s="84"/>
      <c r="S573" s="85"/>
      <c r="T573" s="140"/>
      <c r="U573" s="142"/>
      <c r="V573" s="882"/>
      <c r="W573" s="883"/>
      <c r="X573" s="36"/>
      <c r="Y573" s="143"/>
      <c r="Z573" s="143"/>
      <c r="AA573" s="143"/>
      <c r="AB573" s="143"/>
      <c r="AC573" s="144"/>
      <c r="AD573" s="143"/>
      <c r="AE573" s="143"/>
      <c r="AF573" s="145"/>
    </row>
    <row r="574" spans="2:32" ht="17.25" customHeight="1">
      <c r="B574" s="34">
        <v>229</v>
      </c>
      <c r="C574" s="823"/>
      <c r="D574" s="792"/>
      <c r="E574" s="35" t="s">
        <v>10</v>
      </c>
      <c r="F574" s="36" t="str">
        <f t="shared" si="18"/>
        <v>IB111E5</v>
      </c>
      <c r="G574" s="302" t="s">
        <v>224</v>
      </c>
      <c r="H574" s="303"/>
      <c r="I574" s="303"/>
      <c r="J574" s="304"/>
      <c r="K574" s="595" t="s">
        <v>1513</v>
      </c>
      <c r="L574" s="147"/>
      <c r="M574" s="626"/>
      <c r="N574" s="35" t="s">
        <v>11</v>
      </c>
      <c r="O574" s="38" t="str">
        <f t="shared" si="19"/>
        <v>OB111E5</v>
      </c>
      <c r="P574" s="83"/>
      <c r="Q574" s="84"/>
      <c r="R574" s="84"/>
      <c r="S574" s="85"/>
      <c r="T574" s="140"/>
      <c r="U574" s="142"/>
      <c r="V574" s="882"/>
      <c r="W574" s="883"/>
      <c r="X574" s="36"/>
      <c r="Y574" s="143"/>
      <c r="Z574" s="143"/>
      <c r="AA574" s="143"/>
      <c r="AB574" s="143"/>
      <c r="AC574" s="144"/>
      <c r="AD574" s="143"/>
      <c r="AE574" s="143"/>
      <c r="AF574" s="145"/>
    </row>
    <row r="575" spans="2:32" ht="17.25" customHeight="1">
      <c r="B575" s="34">
        <v>230</v>
      </c>
      <c r="C575" s="823"/>
      <c r="D575" s="792"/>
      <c r="E575" s="35" t="s">
        <v>10</v>
      </c>
      <c r="F575" s="36" t="str">
        <f t="shared" si="18"/>
        <v>IB111E6</v>
      </c>
      <c r="G575" s="302" t="s">
        <v>295</v>
      </c>
      <c r="H575" s="303"/>
      <c r="I575" s="303"/>
      <c r="J575" s="304"/>
      <c r="K575" s="182" t="s">
        <v>1516</v>
      </c>
      <c r="L575" s="637" t="s">
        <v>1513</v>
      </c>
      <c r="M575" s="626"/>
      <c r="N575" s="35" t="s">
        <v>11</v>
      </c>
      <c r="O575" s="38" t="str">
        <f t="shared" si="19"/>
        <v>OB111E6</v>
      </c>
      <c r="P575" s="83"/>
      <c r="Q575" s="84"/>
      <c r="R575" s="84"/>
      <c r="S575" s="85"/>
      <c r="T575" s="140"/>
      <c r="U575" s="142"/>
      <c r="V575" s="882"/>
      <c r="W575" s="883"/>
      <c r="X575" s="36"/>
      <c r="Y575" s="143"/>
      <c r="Z575" s="143"/>
      <c r="AA575" s="143"/>
      <c r="AB575" s="143"/>
      <c r="AC575" s="144"/>
      <c r="AD575" s="143"/>
      <c r="AE575" s="143"/>
      <c r="AF575" s="145"/>
    </row>
    <row r="576" spans="2:32" ht="17.25" customHeight="1">
      <c r="B576" s="34">
        <v>231</v>
      </c>
      <c r="C576" s="823"/>
      <c r="D576" s="792"/>
      <c r="E576" s="35" t="s">
        <v>10</v>
      </c>
      <c r="F576" s="36" t="str">
        <f t="shared" si="18"/>
        <v>IB111E7</v>
      </c>
      <c r="G576" s="302" t="s">
        <v>296</v>
      </c>
      <c r="H576" s="303"/>
      <c r="I576" s="303"/>
      <c r="J576" s="304"/>
      <c r="K576" s="182" t="s">
        <v>1516</v>
      </c>
      <c r="L576" s="637" t="s">
        <v>1513</v>
      </c>
      <c r="M576" s="626"/>
      <c r="N576" s="35" t="s">
        <v>11</v>
      </c>
      <c r="O576" s="38" t="str">
        <f t="shared" si="19"/>
        <v>OB111E7</v>
      </c>
      <c r="P576" s="83"/>
      <c r="Q576" s="84"/>
      <c r="R576" s="84"/>
      <c r="S576" s="85"/>
      <c r="T576" s="140"/>
      <c r="U576" s="142"/>
      <c r="V576" s="882"/>
      <c r="W576" s="883"/>
      <c r="X576" s="36"/>
      <c r="Y576" s="143"/>
      <c r="Z576" s="143"/>
      <c r="AA576" s="143"/>
      <c r="AB576" s="143"/>
      <c r="AC576" s="144"/>
      <c r="AD576" s="143"/>
      <c r="AE576" s="143"/>
      <c r="AF576" s="145"/>
    </row>
    <row r="577" spans="2:32" ht="17.25" customHeight="1">
      <c r="B577" s="34">
        <v>232</v>
      </c>
      <c r="C577" s="823"/>
      <c r="D577" s="792"/>
      <c r="E577" s="35" t="s">
        <v>10</v>
      </c>
      <c r="F577" s="36" t="str">
        <f t="shared" si="18"/>
        <v>IB111E8</v>
      </c>
      <c r="G577" s="302" t="s">
        <v>433</v>
      </c>
      <c r="H577" s="303"/>
      <c r="I577" s="303"/>
      <c r="J577" s="304"/>
      <c r="K577" s="143" t="s">
        <v>1513</v>
      </c>
      <c r="L577" s="147"/>
      <c r="M577" s="626"/>
      <c r="N577" s="35" t="s">
        <v>11</v>
      </c>
      <c r="O577" s="38" t="str">
        <f t="shared" si="19"/>
        <v>OB111E8</v>
      </c>
      <c r="P577" s="83"/>
      <c r="Q577" s="84"/>
      <c r="R577" s="84"/>
      <c r="S577" s="85"/>
      <c r="T577" s="140"/>
      <c r="U577" s="142"/>
      <c r="V577" s="882"/>
      <c r="W577" s="883"/>
      <c r="X577" s="36"/>
      <c r="Y577" s="143"/>
      <c r="Z577" s="143"/>
      <c r="AA577" s="143"/>
      <c r="AB577" s="143"/>
      <c r="AC577" s="144"/>
      <c r="AD577" s="143"/>
      <c r="AE577" s="143"/>
      <c r="AF577" s="145"/>
    </row>
    <row r="578" spans="2:32" ht="17.25" customHeight="1">
      <c r="B578" s="34">
        <v>233</v>
      </c>
      <c r="C578" s="823"/>
      <c r="D578" s="792"/>
      <c r="E578" s="35" t="s">
        <v>10</v>
      </c>
      <c r="F578" s="36" t="str">
        <f t="shared" si="18"/>
        <v>IB111E9</v>
      </c>
      <c r="G578" s="302" t="s">
        <v>434</v>
      </c>
      <c r="H578" s="303"/>
      <c r="I578" s="303"/>
      <c r="J578" s="304"/>
      <c r="K578" s="143" t="s">
        <v>1513</v>
      </c>
      <c r="L578" s="147"/>
      <c r="M578" s="626"/>
      <c r="N578" s="35" t="s">
        <v>11</v>
      </c>
      <c r="O578" s="38" t="str">
        <f t="shared" si="19"/>
        <v>OB111E9</v>
      </c>
      <c r="P578" s="83"/>
      <c r="Q578" s="84"/>
      <c r="R578" s="84"/>
      <c r="S578" s="85"/>
      <c r="T578" s="140"/>
      <c r="U578" s="142"/>
      <c r="V578" s="882"/>
      <c r="W578" s="883"/>
      <c r="X578" s="36"/>
      <c r="Y578" s="143"/>
      <c r="Z578" s="143"/>
      <c r="AA578" s="143"/>
      <c r="AB578" s="143"/>
      <c r="AC578" s="144"/>
      <c r="AD578" s="143"/>
      <c r="AE578" s="143"/>
      <c r="AF578" s="145"/>
    </row>
    <row r="579" spans="2:32" ht="17.25" customHeight="1">
      <c r="B579" s="34">
        <v>234</v>
      </c>
      <c r="C579" s="823"/>
      <c r="D579" s="792"/>
      <c r="E579" s="35" t="s">
        <v>10</v>
      </c>
      <c r="F579" s="36" t="str">
        <f t="shared" si="18"/>
        <v>IB111EA</v>
      </c>
      <c r="G579" s="302" t="s">
        <v>435</v>
      </c>
      <c r="H579" s="303"/>
      <c r="I579" s="303"/>
      <c r="J579" s="304"/>
      <c r="K579" s="143" t="s">
        <v>1513</v>
      </c>
      <c r="L579" s="147"/>
      <c r="M579" s="626"/>
      <c r="N579" s="35" t="s">
        <v>11</v>
      </c>
      <c r="O579" s="38" t="str">
        <f t="shared" si="19"/>
        <v>OB111EA</v>
      </c>
      <c r="P579" s="83"/>
      <c r="Q579" s="84"/>
      <c r="R579" s="84"/>
      <c r="S579" s="85"/>
      <c r="T579" s="140"/>
      <c r="U579" s="142"/>
      <c r="V579" s="882"/>
      <c r="W579" s="883"/>
      <c r="X579" s="36"/>
      <c r="Y579" s="143"/>
      <c r="Z579" s="143"/>
      <c r="AA579" s="143"/>
      <c r="AB579" s="143"/>
      <c r="AC579" s="144"/>
      <c r="AD579" s="143"/>
      <c r="AE579" s="143"/>
      <c r="AF579" s="145"/>
    </row>
    <row r="580" spans="2:32" ht="17.25" customHeight="1">
      <c r="B580" s="34">
        <v>235</v>
      </c>
      <c r="C580" s="823"/>
      <c r="D580" s="792"/>
      <c r="E580" s="35" t="s">
        <v>10</v>
      </c>
      <c r="F580" s="36" t="str">
        <f t="shared" si="18"/>
        <v>IB111EB</v>
      </c>
      <c r="G580" s="302" t="s">
        <v>436</v>
      </c>
      <c r="H580" s="303"/>
      <c r="I580" s="303"/>
      <c r="J580" s="304"/>
      <c r="K580" s="143" t="s">
        <v>1513</v>
      </c>
      <c r="L580" s="37"/>
      <c r="M580" s="598"/>
      <c r="N580" s="35" t="s">
        <v>11</v>
      </c>
      <c r="O580" s="38" t="str">
        <f t="shared" si="19"/>
        <v>OB111EB</v>
      </c>
      <c r="P580" s="83"/>
      <c r="Q580" s="84"/>
      <c r="R580" s="84"/>
      <c r="S580" s="85"/>
      <c r="T580" s="140"/>
      <c r="U580" s="142"/>
      <c r="V580" s="882"/>
      <c r="W580" s="883"/>
      <c r="X580" s="36"/>
      <c r="Y580" s="143"/>
      <c r="Z580" s="143"/>
      <c r="AA580" s="143"/>
      <c r="AB580" s="143"/>
      <c r="AC580" s="144"/>
      <c r="AD580" s="143"/>
      <c r="AE580" s="143"/>
      <c r="AF580" s="145"/>
    </row>
    <row r="581" spans="2:32" ht="17.25" customHeight="1">
      <c r="B581" s="34">
        <v>236</v>
      </c>
      <c r="C581" s="823"/>
      <c r="D581" s="792"/>
      <c r="E581" s="35" t="s">
        <v>10</v>
      </c>
      <c r="F581" s="36" t="str">
        <f t="shared" si="18"/>
        <v>IB111EC</v>
      </c>
      <c r="G581" s="302" t="s">
        <v>225</v>
      </c>
      <c r="H581" s="303"/>
      <c r="I581" s="303"/>
      <c r="J581" s="304"/>
      <c r="K581" s="143" t="s">
        <v>1513</v>
      </c>
      <c r="L581" s="37"/>
      <c r="M581" s="598"/>
      <c r="N581" s="35" t="s">
        <v>11</v>
      </c>
      <c r="O581" s="38" t="str">
        <f t="shared" si="19"/>
        <v>OB111EC</v>
      </c>
      <c r="P581" s="83"/>
      <c r="Q581" s="84"/>
      <c r="R581" s="84"/>
      <c r="S581" s="85"/>
      <c r="T581" s="140"/>
      <c r="U581" s="142"/>
      <c r="V581" s="882"/>
      <c r="W581" s="883"/>
      <c r="X581" s="36"/>
      <c r="Y581" s="143"/>
      <c r="Z581" s="143"/>
      <c r="AA581" s="143"/>
      <c r="AB581" s="143"/>
      <c r="AC581" s="144"/>
      <c r="AD581" s="143"/>
      <c r="AE581" s="143"/>
      <c r="AF581" s="145"/>
    </row>
    <row r="582" spans="2:32" ht="17.25" customHeight="1">
      <c r="B582" s="34">
        <v>237</v>
      </c>
      <c r="C582" s="823"/>
      <c r="D582" s="792"/>
      <c r="E582" s="35" t="s">
        <v>10</v>
      </c>
      <c r="F582" s="36" t="str">
        <f t="shared" si="18"/>
        <v>IB111ED</v>
      </c>
      <c r="G582" s="302" t="s">
        <v>226</v>
      </c>
      <c r="H582" s="303"/>
      <c r="I582" s="303"/>
      <c r="J582" s="304"/>
      <c r="K582" s="143" t="s">
        <v>1513</v>
      </c>
      <c r="L582" s="37"/>
      <c r="M582" s="598"/>
      <c r="N582" s="35" t="s">
        <v>11</v>
      </c>
      <c r="O582" s="38" t="str">
        <f t="shared" si="19"/>
        <v>OB111ED</v>
      </c>
      <c r="P582" s="83"/>
      <c r="Q582" s="84"/>
      <c r="R582" s="84"/>
      <c r="S582" s="85"/>
      <c r="T582" s="140"/>
      <c r="U582" s="153"/>
      <c r="V582" s="882"/>
      <c r="W582" s="883"/>
      <c r="X582" s="36"/>
      <c r="Y582" s="143"/>
      <c r="Z582" s="143"/>
      <c r="AA582" s="143"/>
      <c r="AB582" s="143"/>
      <c r="AC582" s="144"/>
      <c r="AD582" s="143"/>
      <c r="AE582" s="143"/>
      <c r="AF582" s="145"/>
    </row>
    <row r="583" spans="2:32" ht="17.25" customHeight="1">
      <c r="B583" s="34">
        <v>238</v>
      </c>
      <c r="C583" s="823"/>
      <c r="D583" s="792"/>
      <c r="E583" s="35" t="s">
        <v>10</v>
      </c>
      <c r="F583" s="36" t="str">
        <f t="shared" si="18"/>
        <v>IB111EE</v>
      </c>
      <c r="G583" s="302"/>
      <c r="H583" s="303"/>
      <c r="I583" s="303"/>
      <c r="J583" s="304"/>
      <c r="K583" s="143"/>
      <c r="L583" s="37"/>
      <c r="M583" s="598"/>
      <c r="N583" s="35" t="s">
        <v>11</v>
      </c>
      <c r="O583" s="38" t="str">
        <f t="shared" si="19"/>
        <v>OB111EE</v>
      </c>
      <c r="P583" s="83"/>
      <c r="Q583" s="84"/>
      <c r="R583" s="84"/>
      <c r="S583" s="85"/>
      <c r="T583" s="140"/>
      <c r="U583" s="153"/>
      <c r="V583" s="882"/>
      <c r="W583" s="883"/>
      <c r="X583" s="36"/>
      <c r="Y583" s="143"/>
      <c r="Z583" s="143"/>
      <c r="AA583" s="143"/>
      <c r="AB583" s="143"/>
      <c r="AC583" s="144"/>
      <c r="AD583" s="143"/>
      <c r="AE583" s="143"/>
      <c r="AF583" s="145"/>
    </row>
    <row r="584" spans="2:32" ht="17.25" customHeight="1">
      <c r="B584" s="34">
        <v>239</v>
      </c>
      <c r="C584" s="837"/>
      <c r="D584" s="839"/>
      <c r="E584" s="35" t="s">
        <v>10</v>
      </c>
      <c r="F584" s="36" t="str">
        <f t="shared" si="18"/>
        <v>IB111EF</v>
      </c>
      <c r="G584" s="666" t="s">
        <v>1569</v>
      </c>
      <c r="H584" s="303"/>
      <c r="I584" s="303"/>
      <c r="J584" s="304"/>
      <c r="K584" s="143"/>
      <c r="L584" s="37"/>
      <c r="M584" s="598"/>
      <c r="N584" s="35" t="s">
        <v>11</v>
      </c>
      <c r="O584" s="38" t="str">
        <f t="shared" si="19"/>
        <v>OB111EF</v>
      </c>
      <c r="P584" s="332"/>
      <c r="Q584" s="333"/>
      <c r="R584" s="333"/>
      <c r="S584" s="334"/>
      <c r="T584" s="140"/>
      <c r="U584" s="142"/>
      <c r="V584" s="882"/>
      <c r="W584" s="883"/>
      <c r="X584" s="36"/>
      <c r="Y584" s="143"/>
      <c r="Z584" s="143"/>
      <c r="AA584" s="143"/>
      <c r="AB584" s="143"/>
      <c r="AC584" s="144"/>
      <c r="AD584" s="143"/>
      <c r="AE584" s="143"/>
      <c r="AF584" s="145"/>
    </row>
    <row r="585" spans="2:32" ht="17.25" customHeight="1">
      <c r="B585" s="34">
        <v>240</v>
      </c>
      <c r="C585" s="836" t="s">
        <v>70</v>
      </c>
      <c r="D585" s="846" t="s">
        <v>1415</v>
      </c>
      <c r="E585" s="35" t="s">
        <v>10</v>
      </c>
      <c r="F585" s="36" t="str">
        <f t="shared" si="18"/>
        <v>IB111F0</v>
      </c>
      <c r="G585" s="302" t="s">
        <v>227</v>
      </c>
      <c r="H585" s="303"/>
      <c r="I585" s="303"/>
      <c r="J585" s="304"/>
      <c r="K585" s="143" t="s">
        <v>1513</v>
      </c>
      <c r="L585" s="37"/>
      <c r="M585" s="598"/>
      <c r="N585" s="35" t="s">
        <v>11</v>
      </c>
      <c r="O585" s="38" t="str">
        <f t="shared" si="19"/>
        <v>OB111F0</v>
      </c>
      <c r="P585" s="317"/>
      <c r="Q585" s="318"/>
      <c r="R585" s="318"/>
      <c r="S585" s="319"/>
      <c r="T585" s="140"/>
      <c r="U585" s="142"/>
      <c r="V585" s="882"/>
      <c r="W585" s="883"/>
      <c r="X585" s="36"/>
      <c r="Y585" s="143"/>
      <c r="Z585" s="143"/>
      <c r="AA585" s="143"/>
      <c r="AB585" s="143"/>
      <c r="AC585" s="144"/>
      <c r="AD585" s="143"/>
      <c r="AE585" s="143"/>
      <c r="AF585" s="145"/>
    </row>
    <row r="586" spans="2:32" ht="17.25" customHeight="1">
      <c r="B586" s="34">
        <v>241</v>
      </c>
      <c r="C586" s="823"/>
      <c r="D586" s="792"/>
      <c r="E586" s="35" t="s">
        <v>10</v>
      </c>
      <c r="F586" s="36" t="str">
        <f t="shared" si="18"/>
        <v>IB111F1</v>
      </c>
      <c r="G586" s="302" t="s">
        <v>228</v>
      </c>
      <c r="H586" s="303"/>
      <c r="I586" s="303"/>
      <c r="J586" s="304"/>
      <c r="K586" s="143" t="s">
        <v>1527</v>
      </c>
      <c r="L586" s="37"/>
      <c r="M586" s="598"/>
      <c r="N586" s="35" t="s">
        <v>11</v>
      </c>
      <c r="O586" s="38" t="str">
        <f t="shared" si="19"/>
        <v>OB111F1</v>
      </c>
      <c r="P586" s="83"/>
      <c r="Q586" s="84"/>
      <c r="R586" s="84"/>
      <c r="S586" s="85"/>
      <c r="T586" s="140"/>
      <c r="U586" s="142"/>
      <c r="V586" s="882"/>
      <c r="W586" s="883"/>
      <c r="X586" s="36"/>
      <c r="Y586" s="143"/>
      <c r="Z586" s="143"/>
      <c r="AA586" s="143"/>
      <c r="AB586" s="143"/>
      <c r="AC586" s="144"/>
      <c r="AD586" s="143"/>
      <c r="AE586" s="143"/>
      <c r="AF586" s="145"/>
    </row>
    <row r="587" spans="2:32" ht="17.25" customHeight="1">
      <c r="B587" s="34">
        <v>242</v>
      </c>
      <c r="C587" s="823"/>
      <c r="D587" s="792"/>
      <c r="E587" s="35" t="s">
        <v>10</v>
      </c>
      <c r="F587" s="36" t="str">
        <f t="shared" si="18"/>
        <v>IB111F2</v>
      </c>
      <c r="G587" s="302" t="s">
        <v>437</v>
      </c>
      <c r="H587" s="303"/>
      <c r="I587" s="303"/>
      <c r="J587" s="304"/>
      <c r="K587" s="143" t="s">
        <v>1513</v>
      </c>
      <c r="L587" s="37"/>
      <c r="M587" s="598"/>
      <c r="N587" s="35" t="s">
        <v>11</v>
      </c>
      <c r="O587" s="38" t="str">
        <f t="shared" si="19"/>
        <v>OB111F2</v>
      </c>
      <c r="P587" s="83"/>
      <c r="Q587" s="84"/>
      <c r="R587" s="84"/>
      <c r="S587" s="85"/>
      <c r="T587" s="140"/>
      <c r="U587" s="142"/>
      <c r="V587" s="882"/>
      <c r="W587" s="883"/>
      <c r="X587" s="36"/>
      <c r="Y587" s="143"/>
      <c r="Z587" s="143"/>
      <c r="AA587" s="143"/>
      <c r="AB587" s="143"/>
      <c r="AC587" s="144"/>
      <c r="AD587" s="143"/>
      <c r="AE587" s="143"/>
      <c r="AF587" s="145"/>
    </row>
    <row r="588" spans="2:32" ht="17.25" customHeight="1">
      <c r="B588" s="34">
        <v>243</v>
      </c>
      <c r="C588" s="823"/>
      <c r="D588" s="792"/>
      <c r="E588" s="35" t="s">
        <v>10</v>
      </c>
      <c r="F588" s="36" t="str">
        <f t="shared" si="18"/>
        <v>IB111F3</v>
      </c>
      <c r="G588" s="302" t="s">
        <v>438</v>
      </c>
      <c r="H588" s="303"/>
      <c r="I588" s="303"/>
      <c r="J588" s="304"/>
      <c r="K588" s="143" t="s">
        <v>1513</v>
      </c>
      <c r="L588" s="37"/>
      <c r="M588" s="598"/>
      <c r="N588" s="35" t="s">
        <v>11</v>
      </c>
      <c r="O588" s="38" t="str">
        <f t="shared" si="19"/>
        <v>OB111F3</v>
      </c>
      <c r="P588" s="83"/>
      <c r="Q588" s="84"/>
      <c r="R588" s="84"/>
      <c r="S588" s="85"/>
      <c r="T588" s="140"/>
      <c r="U588" s="142"/>
      <c r="V588" s="882"/>
      <c r="W588" s="883"/>
      <c r="X588" s="36"/>
      <c r="Y588" s="143"/>
      <c r="Z588" s="143"/>
      <c r="AA588" s="143"/>
      <c r="AB588" s="143"/>
      <c r="AC588" s="144"/>
      <c r="AD588" s="143"/>
      <c r="AE588" s="143"/>
      <c r="AF588" s="145"/>
    </row>
    <row r="589" spans="2:32" ht="17.25" customHeight="1">
      <c r="B589" s="34">
        <v>244</v>
      </c>
      <c r="C589" s="823"/>
      <c r="D589" s="792"/>
      <c r="E589" s="35" t="s">
        <v>10</v>
      </c>
      <c r="F589" s="36" t="str">
        <f t="shared" si="18"/>
        <v>IB111F4</v>
      </c>
      <c r="G589" s="302" t="s">
        <v>229</v>
      </c>
      <c r="H589" s="303"/>
      <c r="I589" s="303"/>
      <c r="J589" s="304"/>
      <c r="K589" s="143" t="s">
        <v>1513</v>
      </c>
      <c r="L589" s="37"/>
      <c r="M589" s="598"/>
      <c r="N589" s="35" t="s">
        <v>11</v>
      </c>
      <c r="O589" s="38" t="str">
        <f t="shared" si="19"/>
        <v>OB111F4</v>
      </c>
      <c r="P589" s="83"/>
      <c r="Q589" s="84"/>
      <c r="R589" s="84"/>
      <c r="S589" s="85"/>
      <c r="T589" s="140"/>
      <c r="U589" s="142"/>
      <c r="V589" s="882"/>
      <c r="W589" s="883"/>
      <c r="X589" s="36"/>
      <c r="Y589" s="143"/>
      <c r="Z589" s="143"/>
      <c r="AA589" s="143"/>
      <c r="AB589" s="143"/>
      <c r="AC589" s="144"/>
      <c r="AD589" s="143"/>
      <c r="AE589" s="143"/>
      <c r="AF589" s="145"/>
    </row>
    <row r="590" spans="2:32" ht="17.25" customHeight="1">
      <c r="B590" s="34">
        <v>245</v>
      </c>
      <c r="C590" s="823"/>
      <c r="D590" s="792"/>
      <c r="E590" s="35" t="s">
        <v>10</v>
      </c>
      <c r="F590" s="36" t="str">
        <f t="shared" si="18"/>
        <v>IB111F5</v>
      </c>
      <c r="G590" s="78" t="s">
        <v>230</v>
      </c>
      <c r="H590" s="79"/>
      <c r="I590" s="79"/>
      <c r="J590" s="80"/>
      <c r="K590" s="143" t="s">
        <v>1513</v>
      </c>
      <c r="L590" s="37"/>
      <c r="M590" s="598"/>
      <c r="N590" s="35" t="s">
        <v>11</v>
      </c>
      <c r="O590" s="38" t="str">
        <f t="shared" si="19"/>
        <v>OB111F5</v>
      </c>
      <c r="P590" s="83"/>
      <c r="Q590" s="84"/>
      <c r="R590" s="84"/>
      <c r="S590" s="85"/>
      <c r="T590" s="140"/>
      <c r="U590" s="142"/>
      <c r="V590" s="882"/>
      <c r="W590" s="883"/>
      <c r="X590" s="36"/>
      <c r="Y590" s="143"/>
      <c r="Z590" s="143"/>
      <c r="AA590" s="143"/>
      <c r="AB590" s="143"/>
      <c r="AC590" s="144"/>
      <c r="AD590" s="143"/>
      <c r="AE590" s="143"/>
      <c r="AF590" s="145"/>
    </row>
    <row r="591" spans="2:32" ht="17.25" customHeight="1">
      <c r="B591" s="34">
        <v>246</v>
      </c>
      <c r="C591" s="823"/>
      <c r="D591" s="792"/>
      <c r="E591" s="35" t="s">
        <v>10</v>
      </c>
      <c r="F591" s="36" t="str">
        <f t="shared" si="18"/>
        <v>IB111F6</v>
      </c>
      <c r="G591" s="78" t="s">
        <v>231</v>
      </c>
      <c r="H591" s="79"/>
      <c r="I591" s="79"/>
      <c r="J591" s="80"/>
      <c r="K591" s="143" t="s">
        <v>1513</v>
      </c>
      <c r="L591" s="37"/>
      <c r="M591" s="598"/>
      <c r="N591" s="35" t="s">
        <v>11</v>
      </c>
      <c r="O591" s="38" t="str">
        <f t="shared" si="19"/>
        <v>OB111F6</v>
      </c>
      <c r="P591" s="83"/>
      <c r="Q591" s="84"/>
      <c r="R591" s="84"/>
      <c r="S591" s="85"/>
      <c r="T591" s="140"/>
      <c r="U591" s="142"/>
      <c r="V591" s="882"/>
      <c r="W591" s="883"/>
      <c r="X591" s="36"/>
      <c r="Y591" s="143"/>
      <c r="Z591" s="143"/>
      <c r="AA591" s="143"/>
      <c r="AB591" s="143"/>
      <c r="AC591" s="144"/>
      <c r="AD591" s="143"/>
      <c r="AE591" s="143"/>
      <c r="AF591" s="145"/>
    </row>
    <row r="592" spans="2:32" ht="17.25" customHeight="1">
      <c r="B592" s="34">
        <v>247</v>
      </c>
      <c r="C592" s="823"/>
      <c r="D592" s="792"/>
      <c r="E592" s="35" t="s">
        <v>10</v>
      </c>
      <c r="F592" s="36" t="str">
        <f t="shared" si="18"/>
        <v>IB111F7</v>
      </c>
      <c r="G592" s="78" t="s">
        <v>232</v>
      </c>
      <c r="H592" s="79"/>
      <c r="I592" s="79"/>
      <c r="J592" s="80"/>
      <c r="K592" s="143" t="s">
        <v>1513</v>
      </c>
      <c r="L592" s="37"/>
      <c r="M592" s="598"/>
      <c r="N592" s="35" t="s">
        <v>11</v>
      </c>
      <c r="O592" s="38" t="str">
        <f t="shared" si="19"/>
        <v>OB111F7</v>
      </c>
      <c r="P592" s="83"/>
      <c r="Q592" s="84"/>
      <c r="R592" s="84"/>
      <c r="S592" s="85"/>
      <c r="T592" s="140"/>
      <c r="U592" s="142"/>
      <c r="V592" s="882"/>
      <c r="W592" s="883"/>
      <c r="X592" s="36"/>
      <c r="Y592" s="143"/>
      <c r="Z592" s="143"/>
      <c r="AA592" s="143"/>
      <c r="AB592" s="143"/>
      <c r="AC592" s="144"/>
      <c r="AD592" s="143"/>
      <c r="AE592" s="143"/>
      <c r="AF592" s="145"/>
    </row>
    <row r="593" spans="2:32" ht="17.25" customHeight="1">
      <c r="B593" s="34">
        <v>248</v>
      </c>
      <c r="C593" s="823"/>
      <c r="D593" s="792"/>
      <c r="E593" s="35" t="s">
        <v>10</v>
      </c>
      <c r="F593" s="36" t="str">
        <f t="shared" si="18"/>
        <v>IB111F8</v>
      </c>
      <c r="G593" s="302"/>
      <c r="H593" s="303"/>
      <c r="I593" s="303"/>
      <c r="J593" s="304"/>
      <c r="K593" s="143"/>
      <c r="L593" s="37"/>
      <c r="M593" s="598"/>
      <c r="N593" s="35" t="s">
        <v>11</v>
      </c>
      <c r="O593" s="38" t="str">
        <f t="shared" si="19"/>
        <v>OB111F8</v>
      </c>
      <c r="P593" s="83"/>
      <c r="Q593" s="84"/>
      <c r="R593" s="84"/>
      <c r="S593" s="85"/>
      <c r="T593" s="140"/>
      <c r="U593" s="142"/>
      <c r="V593" s="882"/>
      <c r="W593" s="883"/>
      <c r="X593" s="36"/>
      <c r="Y593" s="143"/>
      <c r="Z593" s="143"/>
      <c r="AA593" s="143"/>
      <c r="AB593" s="143"/>
      <c r="AC593" s="144"/>
      <c r="AD593" s="143"/>
      <c r="AE593" s="143"/>
      <c r="AF593" s="145"/>
    </row>
    <row r="594" spans="2:32" ht="17.25" customHeight="1">
      <c r="B594" s="34">
        <v>249</v>
      </c>
      <c r="C594" s="823"/>
      <c r="D594" s="792"/>
      <c r="E594" s="35" t="s">
        <v>10</v>
      </c>
      <c r="F594" s="36" t="str">
        <f t="shared" si="18"/>
        <v>IB111F9</v>
      </c>
      <c r="G594" s="338" t="s">
        <v>442</v>
      </c>
      <c r="H594" s="303"/>
      <c r="I594" s="303"/>
      <c r="J594" s="304"/>
      <c r="K594" s="143" t="s">
        <v>1513</v>
      </c>
      <c r="L594" s="37"/>
      <c r="M594" s="598"/>
      <c r="N594" s="35" t="s">
        <v>11</v>
      </c>
      <c r="O594" s="38" t="str">
        <f t="shared" si="19"/>
        <v>OB111F9</v>
      </c>
      <c r="P594" s="83"/>
      <c r="Q594" s="84"/>
      <c r="R594" s="84"/>
      <c r="S594" s="85"/>
      <c r="T594" s="140"/>
      <c r="U594" s="142"/>
      <c r="V594" s="882"/>
      <c r="W594" s="883"/>
      <c r="X594" s="36"/>
      <c r="Y594" s="143"/>
      <c r="Z594" s="143"/>
      <c r="AA594" s="143"/>
      <c r="AB594" s="143"/>
      <c r="AC594" s="144"/>
      <c r="AD594" s="143"/>
      <c r="AE594" s="143"/>
      <c r="AF594" s="145"/>
    </row>
    <row r="595" spans="2:32" ht="17.25" customHeight="1">
      <c r="B595" s="34">
        <v>250</v>
      </c>
      <c r="C595" s="823"/>
      <c r="D595" s="792"/>
      <c r="E595" s="35" t="s">
        <v>10</v>
      </c>
      <c r="F595" s="36" t="str">
        <f t="shared" si="18"/>
        <v>IB111FA</v>
      </c>
      <c r="G595" s="338" t="s">
        <v>443</v>
      </c>
      <c r="H595" s="303"/>
      <c r="I595" s="303"/>
      <c r="J595" s="304"/>
      <c r="K595" s="143" t="s">
        <v>1513</v>
      </c>
      <c r="L595" s="37"/>
      <c r="M595" s="598"/>
      <c r="N595" s="35" t="s">
        <v>11</v>
      </c>
      <c r="O595" s="38" t="str">
        <f t="shared" si="19"/>
        <v>OB111FA</v>
      </c>
      <c r="P595" s="83"/>
      <c r="Q595" s="84"/>
      <c r="R595" s="84"/>
      <c r="S595" s="85"/>
      <c r="T595" s="140"/>
      <c r="U595" s="142"/>
      <c r="V595" s="882"/>
      <c r="W595" s="883"/>
      <c r="X595" s="36"/>
      <c r="Y595" s="143"/>
      <c r="Z595" s="143"/>
      <c r="AA595" s="143"/>
      <c r="AB595" s="143"/>
      <c r="AC595" s="144"/>
      <c r="AD595" s="143"/>
      <c r="AE595" s="143"/>
      <c r="AF595" s="145"/>
    </row>
    <row r="596" spans="2:32" ht="17.25" customHeight="1">
      <c r="B596" s="34">
        <v>251</v>
      </c>
      <c r="C596" s="823"/>
      <c r="D596" s="792"/>
      <c r="E596" s="35" t="s">
        <v>10</v>
      </c>
      <c r="F596" s="36" t="str">
        <f t="shared" si="18"/>
        <v>IB111FB</v>
      </c>
      <c r="G596" s="338" t="s">
        <v>440</v>
      </c>
      <c r="H596" s="303"/>
      <c r="I596" s="303"/>
      <c r="J596" s="304"/>
      <c r="K596" s="143" t="s">
        <v>1513</v>
      </c>
      <c r="L596" s="37"/>
      <c r="M596" s="598"/>
      <c r="N596" s="35" t="s">
        <v>11</v>
      </c>
      <c r="O596" s="38" t="str">
        <f t="shared" si="19"/>
        <v>OB111FB</v>
      </c>
      <c r="P596" s="83"/>
      <c r="Q596" s="84"/>
      <c r="R596" s="84"/>
      <c r="S596" s="85"/>
      <c r="T596" s="140"/>
      <c r="U596" s="142"/>
      <c r="V596" s="882"/>
      <c r="W596" s="883"/>
      <c r="X596" s="36"/>
      <c r="Y596" s="143"/>
      <c r="Z596" s="143"/>
      <c r="AA596" s="143"/>
      <c r="AB596" s="143"/>
      <c r="AC596" s="144"/>
      <c r="AD596" s="143"/>
      <c r="AE596" s="143"/>
      <c r="AF596" s="145"/>
    </row>
    <row r="597" spans="2:32" ht="17.25" customHeight="1">
      <c r="B597" s="34">
        <v>252</v>
      </c>
      <c r="C597" s="823"/>
      <c r="D597" s="792"/>
      <c r="E597" s="35" t="s">
        <v>10</v>
      </c>
      <c r="F597" s="36" t="str">
        <f t="shared" si="18"/>
        <v>IB111FC</v>
      </c>
      <c r="G597" s="302" t="s">
        <v>441</v>
      </c>
      <c r="H597" s="303"/>
      <c r="I597" s="303"/>
      <c r="J597" s="304"/>
      <c r="K597" s="143" t="s">
        <v>1513</v>
      </c>
      <c r="L597" s="37"/>
      <c r="M597" s="598"/>
      <c r="N597" s="35" t="s">
        <v>11</v>
      </c>
      <c r="O597" s="38" t="str">
        <f t="shared" si="19"/>
        <v>OB111FC</v>
      </c>
      <c r="P597" s="83"/>
      <c r="Q597" s="84"/>
      <c r="R597" s="84"/>
      <c r="S597" s="85"/>
      <c r="T597" s="140"/>
      <c r="U597" s="142"/>
      <c r="V597" s="882"/>
      <c r="W597" s="883"/>
      <c r="X597" s="36"/>
      <c r="Y597" s="143"/>
      <c r="Z597" s="143"/>
      <c r="AA597" s="143"/>
      <c r="AB597" s="143"/>
      <c r="AC597" s="144"/>
      <c r="AD597" s="143"/>
      <c r="AE597" s="143"/>
      <c r="AF597" s="145"/>
    </row>
    <row r="598" spans="2:32" ht="17.25" customHeight="1">
      <c r="B598" s="34">
        <v>253</v>
      </c>
      <c r="C598" s="823"/>
      <c r="D598" s="792"/>
      <c r="E598" s="35" t="s">
        <v>10</v>
      </c>
      <c r="F598" s="36" t="str">
        <f t="shared" si="18"/>
        <v>IB111FD</v>
      </c>
      <c r="G598" s="302" t="s">
        <v>444</v>
      </c>
      <c r="H598" s="303"/>
      <c r="I598" s="303"/>
      <c r="J598" s="304"/>
      <c r="K598" s="143" t="s">
        <v>1513</v>
      </c>
      <c r="L598" s="37"/>
      <c r="M598" s="598"/>
      <c r="N598" s="35" t="s">
        <v>11</v>
      </c>
      <c r="O598" s="38" t="str">
        <f t="shared" si="19"/>
        <v>OB111FD</v>
      </c>
      <c r="P598" s="83"/>
      <c r="Q598" s="84"/>
      <c r="R598" s="84"/>
      <c r="S598" s="85"/>
      <c r="T598" s="140"/>
      <c r="U598" s="142"/>
      <c r="V598" s="882"/>
      <c r="W598" s="883"/>
      <c r="X598" s="36"/>
      <c r="Y598" s="143"/>
      <c r="Z598" s="143"/>
      <c r="AA598" s="143"/>
      <c r="AB598" s="143"/>
      <c r="AC598" s="144"/>
      <c r="AD598" s="143"/>
      <c r="AE598" s="143"/>
      <c r="AF598" s="145"/>
    </row>
    <row r="599" spans="2:32" ht="17.25" customHeight="1">
      <c r="B599" s="34">
        <v>254</v>
      </c>
      <c r="C599" s="823"/>
      <c r="D599" s="792"/>
      <c r="E599" s="35" t="s">
        <v>10</v>
      </c>
      <c r="F599" s="36" t="str">
        <f t="shared" si="18"/>
        <v>IB111FE</v>
      </c>
      <c r="G599" s="302" t="s">
        <v>445</v>
      </c>
      <c r="H599" s="303"/>
      <c r="I599" s="303"/>
      <c r="J599" s="304"/>
      <c r="K599" s="143" t="s">
        <v>1513</v>
      </c>
      <c r="L599" s="37"/>
      <c r="M599" s="598"/>
      <c r="N599" s="35" t="s">
        <v>11</v>
      </c>
      <c r="O599" s="38" t="str">
        <f t="shared" si="19"/>
        <v>OB111FE</v>
      </c>
      <c r="P599" s="83"/>
      <c r="Q599" s="84"/>
      <c r="R599" s="84"/>
      <c r="S599" s="85"/>
      <c r="T599" s="140"/>
      <c r="U599" s="142"/>
      <c r="V599" s="882"/>
      <c r="W599" s="883"/>
      <c r="X599" s="36"/>
      <c r="Y599" s="143"/>
      <c r="Z599" s="143"/>
      <c r="AA599" s="143"/>
      <c r="AB599" s="143"/>
      <c r="AC599" s="144"/>
      <c r="AD599" s="143"/>
      <c r="AE599" s="143"/>
      <c r="AF599" s="145"/>
    </row>
    <row r="600" spans="2:32" ht="17.25" customHeight="1" thickBot="1">
      <c r="B600" s="44">
        <v>255</v>
      </c>
      <c r="C600" s="834"/>
      <c r="D600" s="793"/>
      <c r="E600" s="45" t="s">
        <v>10</v>
      </c>
      <c r="F600" s="46" t="str">
        <f t="shared" si="18"/>
        <v>IB111FF</v>
      </c>
      <c r="G600" s="424" t="s">
        <v>439</v>
      </c>
      <c r="H600" s="425"/>
      <c r="I600" s="425"/>
      <c r="J600" s="426"/>
      <c r="K600" s="287" t="s">
        <v>1513</v>
      </c>
      <c r="L600" s="562"/>
      <c r="M600" s="631"/>
      <c r="N600" s="284" t="s">
        <v>11</v>
      </c>
      <c r="O600" s="286" t="str">
        <f t="shared" si="19"/>
        <v>OB111FF</v>
      </c>
      <c r="P600" s="335"/>
      <c r="Q600" s="336"/>
      <c r="R600" s="336"/>
      <c r="S600" s="337"/>
      <c r="T600" s="600"/>
      <c r="U600" s="427"/>
      <c r="V600" s="886"/>
      <c r="W600" s="887"/>
      <c r="X600" s="285"/>
      <c r="Y600" s="287"/>
      <c r="Z600" s="287"/>
      <c r="AA600" s="287"/>
      <c r="AB600" s="287"/>
      <c r="AC600" s="288"/>
      <c r="AD600" s="287"/>
      <c r="AE600" s="287"/>
      <c r="AF600" s="289"/>
    </row>
    <row r="601" spans="2:32" s="423" customFormat="1" ht="17.25" customHeight="1">
      <c r="B601" s="473"/>
      <c r="C601" s="462"/>
      <c r="D601" s="462"/>
      <c r="E601" s="474"/>
      <c r="F601" s="475"/>
      <c r="G601" s="439"/>
      <c r="H601" s="439"/>
      <c r="I601" s="439"/>
      <c r="J601" s="439"/>
      <c r="K601" s="28"/>
      <c r="L601" s="563"/>
      <c r="M601" s="563"/>
      <c r="N601" s="444"/>
      <c r="O601" s="443"/>
      <c r="P601" s="440"/>
      <c r="Q601" s="440"/>
      <c r="R601" s="440"/>
      <c r="S601" s="440"/>
      <c r="T601" s="413"/>
      <c r="U601" s="445"/>
      <c r="V601" s="446"/>
      <c r="W601" s="446"/>
      <c r="X601" s="443"/>
      <c r="Y601" s="447"/>
      <c r="Z601" s="447"/>
      <c r="AA601" s="447"/>
      <c r="AB601" s="447"/>
      <c r="AC601" s="448"/>
      <c r="AD601" s="447"/>
      <c r="AE601" s="447"/>
      <c r="AF601" s="448"/>
    </row>
    <row r="602" spans="2:32" s="423" customFormat="1" ht="17.25" customHeight="1" thickBot="1">
      <c r="B602" s="473"/>
      <c r="C602" s="462"/>
      <c r="D602" s="462"/>
      <c r="E602" s="474"/>
      <c r="F602" s="475"/>
      <c r="G602" s="476"/>
      <c r="H602" s="441"/>
      <c r="I602" s="441"/>
      <c r="J602" s="441"/>
      <c r="K602" s="71"/>
      <c r="L602" s="564"/>
      <c r="M602" s="564"/>
      <c r="N602" s="450"/>
      <c r="O602" s="449"/>
      <c r="P602" s="442"/>
      <c r="Q602" s="442"/>
      <c r="R602" s="442"/>
      <c r="S602" s="442"/>
      <c r="T602" s="69"/>
      <c r="U602" s="451"/>
      <c r="V602" s="452"/>
      <c r="W602" s="452"/>
      <c r="X602" s="449"/>
      <c r="Y602" s="453"/>
      <c r="Z602" s="453"/>
      <c r="AA602" s="453"/>
      <c r="AB602" s="453"/>
      <c r="AC602" s="454"/>
      <c r="AD602" s="453"/>
      <c r="AE602" s="453"/>
      <c r="AF602" s="454"/>
    </row>
    <row r="603" spans="2:32" ht="17.25" customHeight="1">
      <c r="B603" s="477">
        <v>256</v>
      </c>
      <c r="C603" s="888" t="s">
        <v>73</v>
      </c>
      <c r="D603" s="889" t="s">
        <v>1404</v>
      </c>
      <c r="E603" s="478" t="s">
        <v>10</v>
      </c>
      <c r="F603" s="479" t="str">
        <f>LEFT(F600,1)&amp;DEC2HEX(HEX2DEC(MID(F600,2,LENB(F600)-1))+1,LENB(F600)-1)</f>
        <v>IB11200</v>
      </c>
      <c r="G603" s="480" t="s">
        <v>203</v>
      </c>
      <c r="H603" s="429"/>
      <c r="I603" s="429"/>
      <c r="J603" s="430"/>
      <c r="K603" s="331" t="s">
        <v>1513</v>
      </c>
      <c r="L603" s="565"/>
      <c r="M603" s="632"/>
      <c r="N603" s="431" t="s">
        <v>11</v>
      </c>
      <c r="O603" s="432" t="str">
        <f>LEFT(O600,1)&amp;DEC2HEX(HEX2DEC(MID(O600,2,LENB(O600)-1))+1,LENB(O600)-1)</f>
        <v>OB11200</v>
      </c>
      <c r="P603" s="433"/>
      <c r="Q603" s="434"/>
      <c r="R603" s="434"/>
      <c r="S603" s="435"/>
      <c r="T603" s="601"/>
      <c r="U603" s="436"/>
      <c r="V603" s="890"/>
      <c r="W603" s="891"/>
      <c r="X603" s="428"/>
      <c r="Y603" s="331"/>
      <c r="Z603" s="331"/>
      <c r="AA603" s="331"/>
      <c r="AB603" s="331"/>
      <c r="AC603" s="437"/>
      <c r="AD603" s="331"/>
      <c r="AE603" s="331"/>
      <c r="AF603" s="438"/>
    </row>
    <row r="604" spans="2:32" ht="17.25" customHeight="1">
      <c r="B604" s="34">
        <v>257</v>
      </c>
      <c r="C604" s="823"/>
      <c r="D604" s="792"/>
      <c r="E604" s="35" t="s">
        <v>10</v>
      </c>
      <c r="F604" s="36" t="str">
        <f t="shared" si="18"/>
        <v>IB11201</v>
      </c>
      <c r="G604" s="302" t="s">
        <v>204</v>
      </c>
      <c r="H604" s="303"/>
      <c r="I604" s="303"/>
      <c r="J604" s="304"/>
      <c r="K604" s="143" t="s">
        <v>1527</v>
      </c>
      <c r="L604" s="37"/>
      <c r="M604" s="598"/>
      <c r="N604" s="35" t="s">
        <v>11</v>
      </c>
      <c r="O604" s="38" t="str">
        <f t="shared" si="19"/>
        <v>OB11201</v>
      </c>
      <c r="P604" s="83"/>
      <c r="Q604" s="84"/>
      <c r="R604" s="84"/>
      <c r="S604" s="85"/>
      <c r="T604" s="140"/>
      <c r="U604" s="142"/>
      <c r="V604" s="882"/>
      <c r="W604" s="883"/>
      <c r="X604" s="36"/>
      <c r="Y604" s="143"/>
      <c r="Z604" s="143"/>
      <c r="AA604" s="143"/>
      <c r="AB604" s="143"/>
      <c r="AC604" s="144"/>
      <c r="AD604" s="143"/>
      <c r="AE604" s="143"/>
      <c r="AF604" s="145"/>
    </row>
    <row r="605" spans="2:32" ht="17.25" customHeight="1">
      <c r="B605" s="34">
        <v>258</v>
      </c>
      <c r="C605" s="823"/>
      <c r="D605" s="792"/>
      <c r="E605" s="35" t="s">
        <v>10</v>
      </c>
      <c r="F605" s="36" t="str">
        <f t="shared" ref="F605:F650" si="20">LEFT(F604,1)&amp;DEC2HEX(HEX2DEC(MID(F604,2,LENB(F604)-1))+1,LENB(F604)-1)</f>
        <v>IB11202</v>
      </c>
      <c r="G605" s="302" t="s">
        <v>446</v>
      </c>
      <c r="H605" s="303"/>
      <c r="I605" s="303"/>
      <c r="J605" s="304"/>
      <c r="K605" s="143" t="s">
        <v>1513</v>
      </c>
      <c r="L605" s="37"/>
      <c r="M605" s="598"/>
      <c r="N605" s="35" t="s">
        <v>11</v>
      </c>
      <c r="O605" s="38" t="str">
        <f t="shared" ref="O605:O668" si="21">LEFT(O604,1)&amp;DEC2HEX(HEX2DEC(MID(O604,2,LENB(O604)-1))+1,LENB(O604)-1)</f>
        <v>OB11202</v>
      </c>
      <c r="P605" s="83"/>
      <c r="Q605" s="84"/>
      <c r="R605" s="84"/>
      <c r="S605" s="85"/>
      <c r="T605" s="140"/>
      <c r="U605" s="142"/>
      <c r="V605" s="882"/>
      <c r="W605" s="883"/>
      <c r="X605" s="36"/>
      <c r="Y605" s="143"/>
      <c r="Z605" s="143"/>
      <c r="AA605" s="143"/>
      <c r="AB605" s="143"/>
      <c r="AC605" s="144"/>
      <c r="AD605" s="143"/>
      <c r="AE605" s="143"/>
      <c r="AF605" s="145"/>
    </row>
    <row r="606" spans="2:32" ht="17.25" customHeight="1">
      <c r="B606" s="34">
        <v>259</v>
      </c>
      <c r="C606" s="823"/>
      <c r="D606" s="792"/>
      <c r="E606" s="35" t="s">
        <v>10</v>
      </c>
      <c r="F606" s="36" t="str">
        <f t="shared" si="20"/>
        <v>IB11203</v>
      </c>
      <c r="G606" s="302" t="s">
        <v>447</v>
      </c>
      <c r="H606" s="303"/>
      <c r="I606" s="303"/>
      <c r="J606" s="304"/>
      <c r="K606" s="143" t="s">
        <v>1513</v>
      </c>
      <c r="L606" s="37"/>
      <c r="M606" s="598"/>
      <c r="N606" s="35" t="s">
        <v>11</v>
      </c>
      <c r="O606" s="38" t="str">
        <f t="shared" si="21"/>
        <v>OB11203</v>
      </c>
      <c r="P606" s="83"/>
      <c r="Q606" s="84"/>
      <c r="R606" s="84"/>
      <c r="S606" s="85"/>
      <c r="T606" s="140"/>
      <c r="U606" s="142"/>
      <c r="V606" s="882"/>
      <c r="W606" s="883"/>
      <c r="X606" s="36"/>
      <c r="Y606" s="143"/>
      <c r="Z606" s="143"/>
      <c r="AA606" s="143"/>
      <c r="AB606" s="143"/>
      <c r="AC606" s="144"/>
      <c r="AD606" s="143"/>
      <c r="AE606" s="143"/>
      <c r="AF606" s="145"/>
    </row>
    <row r="607" spans="2:32" ht="17.25" customHeight="1">
      <c r="B607" s="34">
        <v>260</v>
      </c>
      <c r="C607" s="823"/>
      <c r="D607" s="792"/>
      <c r="E607" s="35" t="s">
        <v>10</v>
      </c>
      <c r="F607" s="36" t="str">
        <f t="shared" si="20"/>
        <v>IB11204</v>
      </c>
      <c r="G607" s="302" t="s">
        <v>205</v>
      </c>
      <c r="H607" s="303"/>
      <c r="I607" s="303"/>
      <c r="J607" s="304"/>
      <c r="K607" s="143" t="s">
        <v>1513</v>
      </c>
      <c r="L607" s="37"/>
      <c r="M607" s="598"/>
      <c r="N607" s="35" t="s">
        <v>11</v>
      </c>
      <c r="O607" s="38" t="str">
        <f t="shared" si="21"/>
        <v>OB11204</v>
      </c>
      <c r="P607" s="83"/>
      <c r="Q607" s="84"/>
      <c r="R607" s="84"/>
      <c r="S607" s="85"/>
      <c r="T607" s="140"/>
      <c r="U607" s="142"/>
      <c r="V607" s="882"/>
      <c r="W607" s="883"/>
      <c r="X607" s="36"/>
      <c r="Y607" s="143"/>
      <c r="Z607" s="143"/>
      <c r="AA607" s="143"/>
      <c r="AB607" s="143"/>
      <c r="AC607" s="144"/>
      <c r="AD607" s="143"/>
      <c r="AE607" s="143"/>
      <c r="AF607" s="145"/>
    </row>
    <row r="608" spans="2:32" ht="17.25" customHeight="1">
      <c r="B608" s="34">
        <v>261</v>
      </c>
      <c r="C608" s="823"/>
      <c r="D608" s="792"/>
      <c r="E608" s="35" t="s">
        <v>10</v>
      </c>
      <c r="F608" s="36" t="str">
        <f t="shared" si="20"/>
        <v>IB11205</v>
      </c>
      <c r="G608" s="78" t="s">
        <v>206</v>
      </c>
      <c r="H608" s="79"/>
      <c r="I608" s="79"/>
      <c r="J608" s="80"/>
      <c r="K608" s="143" t="s">
        <v>1513</v>
      </c>
      <c r="L608" s="37"/>
      <c r="M608" s="598"/>
      <c r="N608" s="35" t="s">
        <v>11</v>
      </c>
      <c r="O608" s="38" t="str">
        <f t="shared" si="21"/>
        <v>OB11205</v>
      </c>
      <c r="P608" s="83"/>
      <c r="Q608" s="84"/>
      <c r="R608" s="84"/>
      <c r="S608" s="85"/>
      <c r="T608" s="140"/>
      <c r="U608" s="142"/>
      <c r="V608" s="882"/>
      <c r="W608" s="883"/>
      <c r="X608" s="36"/>
      <c r="Y608" s="143"/>
      <c r="Z608" s="143"/>
      <c r="AA608" s="143"/>
      <c r="AB608" s="143"/>
      <c r="AC608" s="144"/>
      <c r="AD608" s="143"/>
      <c r="AE608" s="143"/>
      <c r="AF608" s="145"/>
    </row>
    <row r="609" spans="2:32" ht="17.25" customHeight="1">
      <c r="B609" s="34">
        <v>262</v>
      </c>
      <c r="C609" s="823"/>
      <c r="D609" s="792"/>
      <c r="E609" s="35" t="s">
        <v>10</v>
      </c>
      <c r="F609" s="36" t="str">
        <f t="shared" si="20"/>
        <v>IB11206</v>
      </c>
      <c r="G609" s="78" t="s">
        <v>207</v>
      </c>
      <c r="H609" s="79"/>
      <c r="I609" s="79"/>
      <c r="J609" s="80"/>
      <c r="K609" s="143" t="s">
        <v>1513</v>
      </c>
      <c r="L609" s="37"/>
      <c r="M609" s="598"/>
      <c r="N609" s="35" t="s">
        <v>11</v>
      </c>
      <c r="O609" s="38" t="str">
        <f t="shared" si="21"/>
        <v>OB11206</v>
      </c>
      <c r="P609" s="83"/>
      <c r="Q609" s="84"/>
      <c r="R609" s="84"/>
      <c r="S609" s="85"/>
      <c r="T609" s="140"/>
      <c r="U609" s="142"/>
      <c r="V609" s="882"/>
      <c r="W609" s="883"/>
      <c r="X609" s="36"/>
      <c r="Y609" s="143"/>
      <c r="Z609" s="143"/>
      <c r="AA609" s="143"/>
      <c r="AB609" s="143"/>
      <c r="AC609" s="144"/>
      <c r="AD609" s="143"/>
      <c r="AE609" s="143"/>
      <c r="AF609" s="145"/>
    </row>
    <row r="610" spans="2:32" ht="17.25" customHeight="1">
      <c r="B610" s="34">
        <v>263</v>
      </c>
      <c r="C610" s="823"/>
      <c r="D610" s="792"/>
      <c r="E610" s="35" t="s">
        <v>10</v>
      </c>
      <c r="F610" s="36" t="str">
        <f t="shared" si="20"/>
        <v>IB11207</v>
      </c>
      <c r="G610" s="78" t="s">
        <v>208</v>
      </c>
      <c r="H610" s="79"/>
      <c r="I610" s="79"/>
      <c r="J610" s="80"/>
      <c r="K610" s="143" t="s">
        <v>1513</v>
      </c>
      <c r="L610" s="37"/>
      <c r="M610" s="598"/>
      <c r="N610" s="35" t="s">
        <v>11</v>
      </c>
      <c r="O610" s="38" t="str">
        <f t="shared" si="21"/>
        <v>OB11207</v>
      </c>
      <c r="P610" s="83"/>
      <c r="Q610" s="84"/>
      <c r="R610" s="84"/>
      <c r="S610" s="85"/>
      <c r="T610" s="140"/>
      <c r="U610" s="142"/>
      <c r="V610" s="882"/>
      <c r="W610" s="883"/>
      <c r="X610" s="36"/>
      <c r="Y610" s="143"/>
      <c r="Z610" s="143"/>
      <c r="AA610" s="143"/>
      <c r="AB610" s="143"/>
      <c r="AC610" s="144"/>
      <c r="AD610" s="143"/>
      <c r="AE610" s="143"/>
      <c r="AF610" s="145"/>
    </row>
    <row r="611" spans="2:32" ht="17.25" customHeight="1">
      <c r="B611" s="34">
        <v>264</v>
      </c>
      <c r="C611" s="823"/>
      <c r="D611" s="792"/>
      <c r="E611" s="35" t="s">
        <v>10</v>
      </c>
      <c r="F611" s="36" t="str">
        <f t="shared" si="20"/>
        <v>IB11208</v>
      </c>
      <c r="G611" s="78" t="s">
        <v>209</v>
      </c>
      <c r="H611" s="79"/>
      <c r="I611" s="79"/>
      <c r="J611" s="80"/>
      <c r="K611" s="143" t="s">
        <v>1513</v>
      </c>
      <c r="L611" s="37"/>
      <c r="M611" s="598"/>
      <c r="N611" s="35" t="s">
        <v>11</v>
      </c>
      <c r="O611" s="38" t="str">
        <f t="shared" si="21"/>
        <v>OB11208</v>
      </c>
      <c r="P611" s="83"/>
      <c r="Q611" s="84"/>
      <c r="R611" s="84"/>
      <c r="S611" s="85"/>
      <c r="T611" s="140"/>
      <c r="U611" s="142"/>
      <c r="V611" s="882"/>
      <c r="W611" s="883"/>
      <c r="X611" s="36"/>
      <c r="Y611" s="143"/>
      <c r="Z611" s="143"/>
      <c r="AA611" s="143"/>
      <c r="AB611" s="143"/>
      <c r="AC611" s="144"/>
      <c r="AD611" s="143"/>
      <c r="AE611" s="143"/>
      <c r="AF611" s="145"/>
    </row>
    <row r="612" spans="2:32" ht="17.25" customHeight="1">
      <c r="B612" s="34">
        <v>265</v>
      </c>
      <c r="C612" s="823"/>
      <c r="D612" s="792"/>
      <c r="E612" s="35" t="s">
        <v>10</v>
      </c>
      <c r="F612" s="36" t="str">
        <f t="shared" si="20"/>
        <v>IB11209</v>
      </c>
      <c r="G612" s="78" t="s">
        <v>210</v>
      </c>
      <c r="H612" s="79"/>
      <c r="I612" s="79"/>
      <c r="J612" s="80"/>
      <c r="K612" s="143" t="s">
        <v>1513</v>
      </c>
      <c r="L612" s="37"/>
      <c r="M612" s="598"/>
      <c r="N612" s="35" t="s">
        <v>11</v>
      </c>
      <c r="O612" s="38" t="str">
        <f t="shared" si="21"/>
        <v>OB11209</v>
      </c>
      <c r="P612" s="83"/>
      <c r="Q612" s="84"/>
      <c r="R612" s="84"/>
      <c r="S612" s="85"/>
      <c r="T612" s="140"/>
      <c r="U612" s="142"/>
      <c r="V612" s="882"/>
      <c r="W612" s="883"/>
      <c r="X612" s="36"/>
      <c r="Y612" s="143"/>
      <c r="Z612" s="143"/>
      <c r="AA612" s="143"/>
      <c r="AB612" s="143"/>
      <c r="AC612" s="144"/>
      <c r="AD612" s="143"/>
      <c r="AE612" s="143"/>
      <c r="AF612" s="145"/>
    </row>
    <row r="613" spans="2:32" ht="17.25" customHeight="1">
      <c r="B613" s="34">
        <v>266</v>
      </c>
      <c r="C613" s="823"/>
      <c r="D613" s="792"/>
      <c r="E613" s="35" t="s">
        <v>10</v>
      </c>
      <c r="F613" s="36" t="str">
        <f t="shared" si="20"/>
        <v>IB1120A</v>
      </c>
      <c r="G613" s="302"/>
      <c r="H613" s="303"/>
      <c r="I613" s="303"/>
      <c r="J613" s="304"/>
      <c r="K613" s="143"/>
      <c r="L613" s="37"/>
      <c r="M613" s="598"/>
      <c r="N613" s="35" t="s">
        <v>11</v>
      </c>
      <c r="O613" s="38" t="str">
        <f t="shared" si="21"/>
        <v>OB1120A</v>
      </c>
      <c r="P613" s="83"/>
      <c r="Q613" s="84"/>
      <c r="R613" s="84"/>
      <c r="S613" s="85"/>
      <c r="T613" s="140"/>
      <c r="U613" s="142"/>
      <c r="V613" s="882"/>
      <c r="W613" s="883"/>
      <c r="X613" s="36"/>
      <c r="Y613" s="143"/>
      <c r="Z613" s="143"/>
      <c r="AA613" s="143"/>
      <c r="AB613" s="143"/>
      <c r="AC613" s="144"/>
      <c r="AD613" s="143"/>
      <c r="AE613" s="143"/>
      <c r="AF613" s="145"/>
    </row>
    <row r="614" spans="2:32" ht="17.25" customHeight="1">
      <c r="B614" s="34">
        <v>267</v>
      </c>
      <c r="C614" s="823"/>
      <c r="D614" s="792"/>
      <c r="E614" s="35" t="s">
        <v>10</v>
      </c>
      <c r="F614" s="36" t="str">
        <f t="shared" si="20"/>
        <v>IB1120B</v>
      </c>
      <c r="G614" s="302"/>
      <c r="H614" s="303"/>
      <c r="I614" s="303"/>
      <c r="J614" s="304"/>
      <c r="K614" s="143"/>
      <c r="L614" s="37"/>
      <c r="M614" s="598"/>
      <c r="N614" s="35" t="s">
        <v>11</v>
      </c>
      <c r="O614" s="38" t="str">
        <f t="shared" si="21"/>
        <v>OB1120B</v>
      </c>
      <c r="P614" s="83"/>
      <c r="Q614" s="84"/>
      <c r="R614" s="84"/>
      <c r="S614" s="85"/>
      <c r="T614" s="140"/>
      <c r="U614" s="142"/>
      <c r="V614" s="882"/>
      <c r="W614" s="883"/>
      <c r="X614" s="36"/>
      <c r="Y614" s="143"/>
      <c r="Z614" s="143"/>
      <c r="AA614" s="143"/>
      <c r="AB614" s="143"/>
      <c r="AC614" s="144"/>
      <c r="AD614" s="143"/>
      <c r="AE614" s="143"/>
      <c r="AF614" s="145"/>
    </row>
    <row r="615" spans="2:32" ht="17.25" customHeight="1">
      <c r="B615" s="34">
        <v>268</v>
      </c>
      <c r="C615" s="823"/>
      <c r="D615" s="792"/>
      <c r="E615" s="35" t="s">
        <v>10</v>
      </c>
      <c r="F615" s="36" t="str">
        <f t="shared" si="20"/>
        <v>IB1120C</v>
      </c>
      <c r="G615" s="302"/>
      <c r="H615" s="303"/>
      <c r="I615" s="303"/>
      <c r="J615" s="304"/>
      <c r="K615" s="143"/>
      <c r="L615" s="37"/>
      <c r="M615" s="598"/>
      <c r="N615" s="35" t="s">
        <v>11</v>
      </c>
      <c r="O615" s="38" t="str">
        <f t="shared" si="21"/>
        <v>OB1120C</v>
      </c>
      <c r="P615" s="83"/>
      <c r="Q615" s="84"/>
      <c r="R615" s="84"/>
      <c r="S615" s="85"/>
      <c r="T615" s="140"/>
      <c r="U615" s="142"/>
      <c r="V615" s="882"/>
      <c r="W615" s="883"/>
      <c r="X615" s="36"/>
      <c r="Y615" s="143"/>
      <c r="Z615" s="143"/>
      <c r="AA615" s="143"/>
      <c r="AB615" s="143"/>
      <c r="AC615" s="144"/>
      <c r="AD615" s="143"/>
      <c r="AE615" s="143"/>
      <c r="AF615" s="145"/>
    </row>
    <row r="616" spans="2:32" ht="17.25" customHeight="1">
      <c r="B616" s="34">
        <v>269</v>
      </c>
      <c r="C616" s="823"/>
      <c r="D616" s="792"/>
      <c r="E616" s="35" t="s">
        <v>10</v>
      </c>
      <c r="F616" s="36" t="str">
        <f t="shared" si="20"/>
        <v>IB1120D</v>
      </c>
      <c r="G616" s="302"/>
      <c r="H616" s="303"/>
      <c r="I616" s="303"/>
      <c r="J616" s="304"/>
      <c r="K616" s="143"/>
      <c r="L616" s="37"/>
      <c r="M616" s="598"/>
      <c r="N616" s="35" t="s">
        <v>11</v>
      </c>
      <c r="O616" s="38" t="str">
        <f t="shared" si="21"/>
        <v>OB1120D</v>
      </c>
      <c r="P616" s="83"/>
      <c r="Q616" s="84"/>
      <c r="R616" s="84"/>
      <c r="S616" s="85"/>
      <c r="T616" s="140"/>
      <c r="U616" s="142"/>
      <c r="V616" s="882"/>
      <c r="W616" s="883"/>
      <c r="X616" s="36"/>
      <c r="Y616" s="143"/>
      <c r="Z616" s="143"/>
      <c r="AA616" s="143"/>
      <c r="AB616" s="143"/>
      <c r="AC616" s="144"/>
      <c r="AD616" s="143"/>
      <c r="AE616" s="143"/>
      <c r="AF616" s="145"/>
    </row>
    <row r="617" spans="2:32" ht="17.25" customHeight="1">
      <c r="B617" s="34">
        <v>270</v>
      </c>
      <c r="C617" s="823"/>
      <c r="D617" s="792"/>
      <c r="E617" s="35" t="s">
        <v>10</v>
      </c>
      <c r="F617" s="36" t="str">
        <f t="shared" si="20"/>
        <v>IB1120E</v>
      </c>
      <c r="G617" s="302"/>
      <c r="H617" s="303"/>
      <c r="I617" s="303"/>
      <c r="J617" s="304"/>
      <c r="K617" s="143"/>
      <c r="L617" s="37"/>
      <c r="M617" s="598"/>
      <c r="N617" s="35" t="s">
        <v>11</v>
      </c>
      <c r="O617" s="38" t="str">
        <f t="shared" si="21"/>
        <v>OB1120E</v>
      </c>
      <c r="P617" s="83"/>
      <c r="Q617" s="84"/>
      <c r="R617" s="84"/>
      <c r="S617" s="85"/>
      <c r="T617" s="140"/>
      <c r="U617" s="142"/>
      <c r="V617" s="882"/>
      <c r="W617" s="883"/>
      <c r="X617" s="36"/>
      <c r="Y617" s="143"/>
      <c r="Z617" s="143"/>
      <c r="AA617" s="143"/>
      <c r="AB617" s="143"/>
      <c r="AC617" s="144"/>
      <c r="AD617" s="143"/>
      <c r="AE617" s="143"/>
      <c r="AF617" s="145"/>
    </row>
    <row r="618" spans="2:32" ht="17.25" customHeight="1">
      <c r="B618" s="34">
        <v>271</v>
      </c>
      <c r="C618" s="837"/>
      <c r="D618" s="839"/>
      <c r="E618" s="35" t="s">
        <v>10</v>
      </c>
      <c r="F618" s="36" t="str">
        <f t="shared" si="20"/>
        <v>IB1120F</v>
      </c>
      <c r="G618" s="302"/>
      <c r="H618" s="303"/>
      <c r="I618" s="303"/>
      <c r="J618" s="304"/>
      <c r="K618" s="143"/>
      <c r="L618" s="37"/>
      <c r="M618" s="598"/>
      <c r="N618" s="35" t="s">
        <v>11</v>
      </c>
      <c r="O618" s="38" t="str">
        <f t="shared" si="21"/>
        <v>OB1120F</v>
      </c>
      <c r="P618" s="332"/>
      <c r="Q618" s="333"/>
      <c r="R618" s="333"/>
      <c r="S618" s="334"/>
      <c r="T618" s="140"/>
      <c r="U618" s="142"/>
      <c r="V618" s="882"/>
      <c r="W618" s="883"/>
      <c r="X618" s="36"/>
      <c r="Y618" s="143"/>
      <c r="Z618" s="143"/>
      <c r="AA618" s="143"/>
      <c r="AB618" s="143"/>
      <c r="AC618" s="144"/>
      <c r="AD618" s="143"/>
      <c r="AE618" s="143"/>
      <c r="AF618" s="145"/>
    </row>
    <row r="619" spans="2:32" ht="17.25" customHeight="1">
      <c r="B619" s="34">
        <v>272</v>
      </c>
      <c r="C619" s="841" t="s">
        <v>1586</v>
      </c>
      <c r="D619" s="840" t="s">
        <v>1404</v>
      </c>
      <c r="E619" s="35" t="s">
        <v>10</v>
      </c>
      <c r="F619" s="36" t="str">
        <f t="shared" si="20"/>
        <v>IB11210</v>
      </c>
      <c r="G619" s="317"/>
      <c r="H619" s="318"/>
      <c r="I619" s="318"/>
      <c r="J619" s="319"/>
      <c r="K619" s="143"/>
      <c r="L619" s="141"/>
      <c r="M619" s="140"/>
      <c r="N619" s="35" t="s">
        <v>11</v>
      </c>
      <c r="O619" s="38" t="str">
        <f t="shared" si="21"/>
        <v>OB11210</v>
      </c>
      <c r="P619" s="302"/>
      <c r="Q619" s="303"/>
      <c r="R619" s="303"/>
      <c r="S619" s="304"/>
      <c r="T619" s="140"/>
      <c r="U619" s="142"/>
      <c r="V619" s="882"/>
      <c r="W619" s="883"/>
      <c r="X619" s="36"/>
      <c r="Y619" s="143"/>
      <c r="Z619" s="143"/>
      <c r="AA619" s="143"/>
      <c r="AB619" s="143"/>
      <c r="AC619" s="144"/>
      <c r="AD619" s="143"/>
      <c r="AE619" s="143"/>
      <c r="AF619" s="145"/>
    </row>
    <row r="620" spans="2:32" ht="17.25" customHeight="1">
      <c r="B620" s="34">
        <v>273</v>
      </c>
      <c r="C620" s="819"/>
      <c r="D620" s="792"/>
      <c r="E620" s="35" t="s">
        <v>10</v>
      </c>
      <c r="F620" s="36" t="str">
        <f t="shared" si="20"/>
        <v>IB11211</v>
      </c>
      <c r="G620" s="83"/>
      <c r="H620" s="84"/>
      <c r="I620" s="84"/>
      <c r="J620" s="85"/>
      <c r="K620" s="143"/>
      <c r="L620" s="141"/>
      <c r="M620" s="140"/>
      <c r="N620" s="35" t="s">
        <v>11</v>
      </c>
      <c r="O620" s="38" t="str">
        <f t="shared" si="21"/>
        <v>OB11211</v>
      </c>
      <c r="P620" s="302" t="s">
        <v>105</v>
      </c>
      <c r="Q620" s="303"/>
      <c r="R620" s="303"/>
      <c r="S620" s="304"/>
      <c r="T620" s="140" t="s">
        <v>1513</v>
      </c>
      <c r="U620" s="142"/>
      <c r="V620" s="882"/>
      <c r="W620" s="883"/>
      <c r="X620" s="36"/>
      <c r="Y620" s="143"/>
      <c r="Z620" s="143"/>
      <c r="AA620" s="143"/>
      <c r="AB620" s="143"/>
      <c r="AC620" s="144"/>
      <c r="AD620" s="143"/>
      <c r="AE620" s="143"/>
      <c r="AF620" s="145"/>
    </row>
    <row r="621" spans="2:32" ht="17.25" customHeight="1">
      <c r="B621" s="34">
        <v>274</v>
      </c>
      <c r="C621" s="819"/>
      <c r="D621" s="792"/>
      <c r="E621" s="35" t="s">
        <v>10</v>
      </c>
      <c r="F621" s="36" t="str">
        <f t="shared" si="20"/>
        <v>IB11212</v>
      </c>
      <c r="G621" s="83"/>
      <c r="H621" s="84"/>
      <c r="I621" s="84"/>
      <c r="J621" s="85"/>
      <c r="K621" s="140"/>
      <c r="L621" s="141"/>
      <c r="M621" s="140"/>
      <c r="N621" s="35" t="s">
        <v>11</v>
      </c>
      <c r="O621" s="38" t="str">
        <f t="shared" si="21"/>
        <v>OB11212</v>
      </c>
      <c r="P621" s="302" t="s">
        <v>311</v>
      </c>
      <c r="Q621" s="303"/>
      <c r="R621" s="303"/>
      <c r="S621" s="304"/>
      <c r="T621" s="140" t="s">
        <v>1513</v>
      </c>
      <c r="U621" s="142"/>
      <c r="V621" s="882"/>
      <c r="W621" s="883"/>
      <c r="X621" s="36"/>
      <c r="Y621" s="143"/>
      <c r="Z621" s="143"/>
      <c r="AA621" s="143"/>
      <c r="AB621" s="143"/>
      <c r="AC621" s="144"/>
      <c r="AD621" s="143"/>
      <c r="AE621" s="143"/>
      <c r="AF621" s="145"/>
    </row>
    <row r="622" spans="2:32" ht="17.25" customHeight="1">
      <c r="B622" s="34">
        <v>275</v>
      </c>
      <c r="C622" s="819"/>
      <c r="D622" s="792"/>
      <c r="E622" s="35" t="s">
        <v>10</v>
      </c>
      <c r="F622" s="36" t="str">
        <f t="shared" si="20"/>
        <v>IB11213</v>
      </c>
      <c r="G622" s="83"/>
      <c r="H622" s="84"/>
      <c r="I622" s="84"/>
      <c r="J622" s="85"/>
      <c r="K622" s="140"/>
      <c r="L622" s="141"/>
      <c r="M622" s="140"/>
      <c r="N622" s="35" t="s">
        <v>11</v>
      </c>
      <c r="O622" s="38" t="str">
        <f t="shared" si="21"/>
        <v>OB11213</v>
      </c>
      <c r="P622" s="302" t="s">
        <v>106</v>
      </c>
      <c r="Q622" s="303"/>
      <c r="R622" s="303"/>
      <c r="S622" s="304"/>
      <c r="T622" s="140" t="s">
        <v>1513</v>
      </c>
      <c r="U622" s="142"/>
      <c r="V622" s="882"/>
      <c r="W622" s="883"/>
      <c r="X622" s="36"/>
      <c r="Y622" s="143"/>
      <c r="Z622" s="143"/>
      <c r="AA622" s="143"/>
      <c r="AB622" s="143"/>
      <c r="AC622" s="144"/>
      <c r="AD622" s="143"/>
      <c r="AE622" s="143"/>
      <c r="AF622" s="145"/>
    </row>
    <row r="623" spans="2:32" ht="17.25" customHeight="1">
      <c r="B623" s="34">
        <v>276</v>
      </c>
      <c r="C623" s="819"/>
      <c r="D623" s="792"/>
      <c r="E623" s="35" t="s">
        <v>10</v>
      </c>
      <c r="F623" s="36" t="str">
        <f t="shared" si="20"/>
        <v>IB11214</v>
      </c>
      <c r="G623" s="83"/>
      <c r="H623" s="84"/>
      <c r="I623" s="84"/>
      <c r="J623" s="85"/>
      <c r="K623" s="140"/>
      <c r="L623" s="141"/>
      <c r="M623" s="140"/>
      <c r="N623" s="35" t="s">
        <v>11</v>
      </c>
      <c r="O623" s="38" t="str">
        <f t="shared" si="21"/>
        <v>OB11214</v>
      </c>
      <c r="P623" s="666" t="s">
        <v>1571</v>
      </c>
      <c r="Q623" s="655"/>
      <c r="R623" s="655"/>
      <c r="S623" s="656"/>
      <c r="T623" s="140" t="s">
        <v>1513</v>
      </c>
      <c r="U623" s="657" t="s">
        <v>1572</v>
      </c>
      <c r="V623" s="882"/>
      <c r="W623" s="883"/>
      <c r="X623" s="36"/>
      <c r="Y623" s="143"/>
      <c r="Z623" s="143"/>
      <c r="AA623" s="143"/>
      <c r="AB623" s="143"/>
      <c r="AC623" s="144"/>
      <c r="AD623" s="143"/>
      <c r="AE623" s="143"/>
      <c r="AF623" s="145"/>
    </row>
    <row r="624" spans="2:32" ht="17.25" customHeight="1">
      <c r="B624" s="34">
        <v>277</v>
      </c>
      <c r="C624" s="819"/>
      <c r="D624" s="792"/>
      <c r="E624" s="35" t="s">
        <v>10</v>
      </c>
      <c r="F624" s="36" t="str">
        <f t="shared" si="20"/>
        <v>IB11215</v>
      </c>
      <c r="G624" s="83"/>
      <c r="H624" s="84"/>
      <c r="I624" s="84"/>
      <c r="J624" s="85"/>
      <c r="K624" s="140"/>
      <c r="L624" s="141"/>
      <c r="M624" s="140"/>
      <c r="N624" s="35" t="s">
        <v>11</v>
      </c>
      <c r="O624" s="38" t="str">
        <f t="shared" si="21"/>
        <v>OB11215</v>
      </c>
      <c r="P624" s="302"/>
      <c r="Q624" s="303"/>
      <c r="R624" s="303"/>
      <c r="S624" s="304"/>
      <c r="T624" s="140"/>
      <c r="U624" s="142"/>
      <c r="V624" s="882"/>
      <c r="W624" s="883"/>
      <c r="X624" s="36"/>
      <c r="Y624" s="143"/>
      <c r="Z624" s="143"/>
      <c r="AA624" s="143"/>
      <c r="AB624" s="143"/>
      <c r="AC624" s="144"/>
      <c r="AD624" s="143"/>
      <c r="AE624" s="143"/>
      <c r="AF624" s="145"/>
    </row>
    <row r="625" spans="2:32" ht="17.25" customHeight="1">
      <c r="B625" s="34">
        <v>278</v>
      </c>
      <c r="C625" s="819"/>
      <c r="D625" s="792"/>
      <c r="E625" s="35" t="s">
        <v>10</v>
      </c>
      <c r="F625" s="36" t="str">
        <f t="shared" si="20"/>
        <v>IB11216</v>
      </c>
      <c r="G625" s="83"/>
      <c r="H625" s="84"/>
      <c r="I625" s="84"/>
      <c r="J625" s="85"/>
      <c r="K625" s="140"/>
      <c r="L625" s="141"/>
      <c r="M625" s="140"/>
      <c r="N625" s="35" t="s">
        <v>11</v>
      </c>
      <c r="O625" s="38" t="str">
        <f t="shared" si="21"/>
        <v>OB11216</v>
      </c>
      <c r="P625" s="302"/>
      <c r="Q625" s="303"/>
      <c r="R625" s="303"/>
      <c r="S625" s="304"/>
      <c r="T625" s="140"/>
      <c r="U625" s="142"/>
      <c r="V625" s="882"/>
      <c r="W625" s="883"/>
      <c r="X625" s="36"/>
      <c r="Y625" s="143"/>
      <c r="Z625" s="143"/>
      <c r="AA625" s="143"/>
      <c r="AB625" s="143"/>
      <c r="AC625" s="144"/>
      <c r="AD625" s="143"/>
      <c r="AE625" s="143"/>
      <c r="AF625" s="145"/>
    </row>
    <row r="626" spans="2:32" ht="17.25" customHeight="1">
      <c r="B626" s="34">
        <v>279</v>
      </c>
      <c r="C626" s="819"/>
      <c r="D626" s="792"/>
      <c r="E626" s="35" t="s">
        <v>10</v>
      </c>
      <c r="F626" s="36" t="str">
        <f t="shared" si="20"/>
        <v>IB11217</v>
      </c>
      <c r="G626" s="83"/>
      <c r="H626" s="84"/>
      <c r="I626" s="84"/>
      <c r="J626" s="85"/>
      <c r="K626" s="140"/>
      <c r="L626" s="141"/>
      <c r="M626" s="140"/>
      <c r="N626" s="35" t="s">
        <v>11</v>
      </c>
      <c r="O626" s="38" t="str">
        <f t="shared" si="21"/>
        <v>OB11217</v>
      </c>
      <c r="P626" s="302"/>
      <c r="Q626" s="303"/>
      <c r="R626" s="303"/>
      <c r="S626" s="304"/>
      <c r="T626" s="140"/>
      <c r="U626" s="142"/>
      <c r="V626" s="882"/>
      <c r="W626" s="883"/>
      <c r="X626" s="36"/>
      <c r="Y626" s="143"/>
      <c r="Z626" s="143"/>
      <c r="AA626" s="143"/>
      <c r="AB626" s="143"/>
      <c r="AC626" s="144"/>
      <c r="AD626" s="143"/>
      <c r="AE626" s="143"/>
      <c r="AF626" s="145"/>
    </row>
    <row r="627" spans="2:32" ht="17.25" customHeight="1">
      <c r="B627" s="34">
        <v>280</v>
      </c>
      <c r="C627" s="819"/>
      <c r="D627" s="792"/>
      <c r="E627" s="35" t="s">
        <v>10</v>
      </c>
      <c r="F627" s="36" t="str">
        <f t="shared" si="20"/>
        <v>IB11218</v>
      </c>
      <c r="G627" s="83"/>
      <c r="H627" s="84"/>
      <c r="I627" s="84"/>
      <c r="J627" s="85"/>
      <c r="K627" s="140"/>
      <c r="L627" s="141"/>
      <c r="M627" s="140"/>
      <c r="N627" s="35" t="s">
        <v>11</v>
      </c>
      <c r="O627" s="38" t="str">
        <f t="shared" si="21"/>
        <v>OB11218</v>
      </c>
      <c r="P627" s="302" t="s">
        <v>116</v>
      </c>
      <c r="Q627" s="303"/>
      <c r="R627" s="303"/>
      <c r="S627" s="304"/>
      <c r="T627" s="140" t="s">
        <v>1513</v>
      </c>
      <c r="U627" s="142"/>
      <c r="V627" s="882"/>
      <c r="W627" s="883"/>
      <c r="X627" s="36"/>
      <c r="Y627" s="143"/>
      <c r="Z627" s="143"/>
      <c r="AA627" s="143"/>
      <c r="AB627" s="143"/>
      <c r="AC627" s="144"/>
      <c r="AD627" s="143"/>
      <c r="AE627" s="143"/>
      <c r="AF627" s="145"/>
    </row>
    <row r="628" spans="2:32" ht="17.25" customHeight="1">
      <c r="B628" s="34">
        <v>281</v>
      </c>
      <c r="C628" s="819"/>
      <c r="D628" s="792"/>
      <c r="E628" s="35" t="s">
        <v>10</v>
      </c>
      <c r="F628" s="36" t="str">
        <f t="shared" si="20"/>
        <v>IB11219</v>
      </c>
      <c r="G628" s="83"/>
      <c r="H628" s="84"/>
      <c r="I628" s="84"/>
      <c r="J628" s="85"/>
      <c r="K628" s="140"/>
      <c r="L628" s="141"/>
      <c r="M628" s="140"/>
      <c r="N628" s="35" t="s">
        <v>11</v>
      </c>
      <c r="O628" s="38" t="str">
        <f t="shared" si="21"/>
        <v>OB11219</v>
      </c>
      <c r="P628" s="302" t="s">
        <v>117</v>
      </c>
      <c r="Q628" s="303"/>
      <c r="R628" s="303"/>
      <c r="S628" s="304"/>
      <c r="T628" s="140" t="s">
        <v>1513</v>
      </c>
      <c r="U628" s="142"/>
      <c r="V628" s="882"/>
      <c r="W628" s="883"/>
      <c r="X628" s="36"/>
      <c r="Y628" s="143"/>
      <c r="Z628" s="143"/>
      <c r="AA628" s="143"/>
      <c r="AB628" s="143"/>
      <c r="AC628" s="144"/>
      <c r="AD628" s="143"/>
      <c r="AE628" s="143"/>
      <c r="AF628" s="145"/>
    </row>
    <row r="629" spans="2:32" ht="17.25" customHeight="1">
      <c r="B629" s="34">
        <v>282</v>
      </c>
      <c r="C629" s="819"/>
      <c r="D629" s="792"/>
      <c r="E629" s="35" t="s">
        <v>10</v>
      </c>
      <c r="F629" s="36" t="str">
        <f t="shared" si="20"/>
        <v>IB1121A</v>
      </c>
      <c r="G629" s="83"/>
      <c r="H629" s="84"/>
      <c r="I629" s="84"/>
      <c r="J629" s="85"/>
      <c r="K629" s="140"/>
      <c r="L629" s="141"/>
      <c r="M629" s="140"/>
      <c r="N629" s="35" t="s">
        <v>11</v>
      </c>
      <c r="O629" s="38" t="str">
        <f t="shared" si="21"/>
        <v>OB1121A</v>
      </c>
      <c r="P629" s="302" t="s">
        <v>118</v>
      </c>
      <c r="Q629" s="303"/>
      <c r="R629" s="303"/>
      <c r="S629" s="304"/>
      <c r="T629" s="140" t="s">
        <v>1513</v>
      </c>
      <c r="U629" s="142"/>
      <c r="V629" s="882"/>
      <c r="W629" s="883"/>
      <c r="X629" s="36"/>
      <c r="Y629" s="143"/>
      <c r="Z629" s="143"/>
      <c r="AA629" s="143"/>
      <c r="AB629" s="143"/>
      <c r="AC629" s="144"/>
      <c r="AD629" s="143"/>
      <c r="AE629" s="143"/>
      <c r="AF629" s="145"/>
    </row>
    <row r="630" spans="2:32" ht="17.25" customHeight="1">
      <c r="B630" s="34">
        <v>283</v>
      </c>
      <c r="C630" s="819"/>
      <c r="D630" s="792"/>
      <c r="E630" s="35" t="s">
        <v>10</v>
      </c>
      <c r="F630" s="36" t="str">
        <f t="shared" si="20"/>
        <v>IB1121B</v>
      </c>
      <c r="G630" s="83"/>
      <c r="H630" s="84"/>
      <c r="I630" s="84"/>
      <c r="J630" s="85"/>
      <c r="K630" s="140"/>
      <c r="L630" s="141"/>
      <c r="M630" s="140"/>
      <c r="N630" s="35" t="s">
        <v>11</v>
      </c>
      <c r="O630" s="38" t="str">
        <f t="shared" si="21"/>
        <v>OB1121B</v>
      </c>
      <c r="P630" s="302" t="s">
        <v>119</v>
      </c>
      <c r="Q630" s="303"/>
      <c r="R630" s="303"/>
      <c r="S630" s="304"/>
      <c r="T630" s="140" t="s">
        <v>1513</v>
      </c>
      <c r="U630" s="142"/>
      <c r="V630" s="882"/>
      <c r="W630" s="883"/>
      <c r="X630" s="36"/>
      <c r="Y630" s="143"/>
      <c r="Z630" s="143"/>
      <c r="AA630" s="143"/>
      <c r="AB630" s="143"/>
      <c r="AC630" s="144"/>
      <c r="AD630" s="143"/>
      <c r="AE630" s="143"/>
      <c r="AF630" s="145"/>
    </row>
    <row r="631" spans="2:32" ht="17.25" customHeight="1">
      <c r="B631" s="34">
        <v>284</v>
      </c>
      <c r="C631" s="819"/>
      <c r="D631" s="792"/>
      <c r="E631" s="35" t="s">
        <v>10</v>
      </c>
      <c r="F631" s="36" t="str">
        <f t="shared" si="20"/>
        <v>IB1121C</v>
      </c>
      <c r="G631" s="83"/>
      <c r="H631" s="84"/>
      <c r="I631" s="84"/>
      <c r="J631" s="85"/>
      <c r="K631" s="140"/>
      <c r="L631" s="141"/>
      <c r="M631" s="140"/>
      <c r="N631" s="35" t="s">
        <v>11</v>
      </c>
      <c r="O631" s="38" t="str">
        <f t="shared" si="21"/>
        <v>OB1121C</v>
      </c>
      <c r="P631" s="302" t="s">
        <v>120</v>
      </c>
      <c r="Q631" s="303"/>
      <c r="R631" s="303"/>
      <c r="S631" s="304"/>
      <c r="T631" s="143" t="s">
        <v>1527</v>
      </c>
      <c r="U631" s="502" t="s">
        <v>1543</v>
      </c>
      <c r="V631" s="882"/>
      <c r="W631" s="883"/>
      <c r="X631" s="36"/>
      <c r="Y631" s="143"/>
      <c r="Z631" s="143"/>
      <c r="AA631" s="143"/>
      <c r="AB631" s="143"/>
      <c r="AC631" s="144"/>
      <c r="AD631" s="143"/>
      <c r="AE631" s="143"/>
      <c r="AF631" s="145"/>
    </row>
    <row r="632" spans="2:32" ht="17.25" customHeight="1">
      <c r="B632" s="34">
        <v>285</v>
      </c>
      <c r="C632" s="819"/>
      <c r="D632" s="792"/>
      <c r="E632" s="35" t="s">
        <v>10</v>
      </c>
      <c r="F632" s="36" t="str">
        <f t="shared" si="20"/>
        <v>IB1121D</v>
      </c>
      <c r="G632" s="83"/>
      <c r="H632" s="84"/>
      <c r="I632" s="84"/>
      <c r="J632" s="85"/>
      <c r="K632" s="143"/>
      <c r="L632" s="37"/>
      <c r="M632" s="598"/>
      <c r="N632" s="35" t="s">
        <v>11</v>
      </c>
      <c r="O632" s="38" t="str">
        <f t="shared" si="21"/>
        <v>OB1121D</v>
      </c>
      <c r="P632" s="302" t="s">
        <v>121</v>
      </c>
      <c r="Q632" s="303"/>
      <c r="R632" s="303"/>
      <c r="S632" s="304"/>
      <c r="T632" s="143" t="s">
        <v>1527</v>
      </c>
      <c r="U632" s="502" t="s">
        <v>1543</v>
      </c>
      <c r="V632" s="882"/>
      <c r="W632" s="883"/>
      <c r="X632" s="36"/>
      <c r="Y632" s="143"/>
      <c r="Z632" s="143"/>
      <c r="AA632" s="143"/>
      <c r="AB632" s="143"/>
      <c r="AC632" s="144"/>
      <c r="AD632" s="143"/>
      <c r="AE632" s="143"/>
      <c r="AF632" s="145"/>
    </row>
    <row r="633" spans="2:32" ht="17.25" customHeight="1">
      <c r="B633" s="34">
        <v>286</v>
      </c>
      <c r="C633" s="819"/>
      <c r="D633" s="792"/>
      <c r="E633" s="35" t="s">
        <v>10</v>
      </c>
      <c r="F633" s="36" t="str">
        <f t="shared" si="20"/>
        <v>IB1121E</v>
      </c>
      <c r="G633" s="83"/>
      <c r="H633" s="84"/>
      <c r="I633" s="84"/>
      <c r="J633" s="85"/>
      <c r="K633" s="143"/>
      <c r="L633" s="37"/>
      <c r="M633" s="598"/>
      <c r="N633" s="35" t="s">
        <v>11</v>
      </c>
      <c r="O633" s="38" t="str">
        <f t="shared" si="21"/>
        <v>OB1121E</v>
      </c>
      <c r="P633" s="302" t="s">
        <v>122</v>
      </c>
      <c r="Q633" s="303"/>
      <c r="R633" s="303"/>
      <c r="S633" s="304"/>
      <c r="T633" s="143" t="s">
        <v>1527</v>
      </c>
      <c r="U633" s="502" t="s">
        <v>1543</v>
      </c>
      <c r="V633" s="882"/>
      <c r="W633" s="883"/>
      <c r="X633" s="36"/>
      <c r="Y633" s="143"/>
      <c r="Z633" s="143"/>
      <c r="AA633" s="143"/>
      <c r="AB633" s="143"/>
      <c r="AC633" s="144"/>
      <c r="AD633" s="143"/>
      <c r="AE633" s="143"/>
      <c r="AF633" s="145"/>
    </row>
    <row r="634" spans="2:32" ht="17.25" customHeight="1">
      <c r="B634" s="34">
        <v>287</v>
      </c>
      <c r="C634" s="842"/>
      <c r="D634" s="839"/>
      <c r="E634" s="35" t="s">
        <v>10</v>
      </c>
      <c r="F634" s="36" t="str">
        <f t="shared" si="20"/>
        <v>IB1121F</v>
      </c>
      <c r="G634" s="332"/>
      <c r="H634" s="333"/>
      <c r="I634" s="333"/>
      <c r="J634" s="334"/>
      <c r="K634" s="143"/>
      <c r="L634" s="37"/>
      <c r="M634" s="598"/>
      <c r="N634" s="35" t="s">
        <v>11</v>
      </c>
      <c r="O634" s="38" t="str">
        <f t="shared" si="21"/>
        <v>OB1121F</v>
      </c>
      <c r="P634" s="344" t="s">
        <v>123</v>
      </c>
      <c r="Q634" s="345"/>
      <c r="R634" s="345"/>
      <c r="S634" s="346"/>
      <c r="T634" s="143" t="s">
        <v>1527</v>
      </c>
      <c r="U634" s="502" t="s">
        <v>1543</v>
      </c>
      <c r="V634" s="882"/>
      <c r="W634" s="883"/>
      <c r="X634" s="36"/>
      <c r="Y634" s="143"/>
      <c r="Z634" s="143"/>
      <c r="AA634" s="143"/>
      <c r="AB634" s="143"/>
      <c r="AC634" s="144"/>
      <c r="AD634" s="143"/>
      <c r="AE634" s="143"/>
      <c r="AF634" s="145"/>
    </row>
    <row r="635" spans="2:32" ht="17.25" customHeight="1">
      <c r="B635" s="34">
        <v>288</v>
      </c>
      <c r="C635" s="836" t="s">
        <v>1587</v>
      </c>
      <c r="D635" s="838" t="s">
        <v>69</v>
      </c>
      <c r="E635" s="35" t="s">
        <v>10</v>
      </c>
      <c r="F635" s="36" t="str">
        <f t="shared" si="20"/>
        <v>IB11220</v>
      </c>
      <c r="G635" s="302" t="s">
        <v>211</v>
      </c>
      <c r="H635" s="303"/>
      <c r="I635" s="303"/>
      <c r="J635" s="304"/>
      <c r="K635" s="143" t="s">
        <v>1513</v>
      </c>
      <c r="L635" s="37"/>
      <c r="M635" s="598"/>
      <c r="N635" s="35" t="s">
        <v>11</v>
      </c>
      <c r="O635" s="38" t="str">
        <f t="shared" si="21"/>
        <v>OB11220</v>
      </c>
      <c r="P635" s="317"/>
      <c r="Q635" s="318"/>
      <c r="R635" s="318"/>
      <c r="S635" s="319"/>
      <c r="T635" s="140"/>
      <c r="U635" s="142"/>
      <c r="V635" s="882"/>
      <c r="W635" s="883"/>
      <c r="X635" s="36"/>
      <c r="Y635" s="143"/>
      <c r="Z635" s="143"/>
      <c r="AA635" s="143"/>
      <c r="AB635" s="143"/>
      <c r="AC635" s="144"/>
      <c r="AD635" s="143"/>
      <c r="AE635" s="143"/>
      <c r="AF635" s="145"/>
    </row>
    <row r="636" spans="2:32" ht="17.25" customHeight="1">
      <c r="B636" s="34">
        <v>289</v>
      </c>
      <c r="C636" s="823"/>
      <c r="D636" s="792"/>
      <c r="E636" s="35" t="s">
        <v>10</v>
      </c>
      <c r="F636" s="36" t="str">
        <f t="shared" si="20"/>
        <v>IB11221</v>
      </c>
      <c r="G636" s="302" t="s">
        <v>212</v>
      </c>
      <c r="H636" s="303"/>
      <c r="I636" s="303"/>
      <c r="J636" s="304"/>
      <c r="K636" s="143" t="s">
        <v>1527</v>
      </c>
      <c r="L636" s="37"/>
      <c r="M636" s="598"/>
      <c r="N636" s="35" t="s">
        <v>11</v>
      </c>
      <c r="O636" s="38" t="str">
        <f t="shared" si="21"/>
        <v>OB11221</v>
      </c>
      <c r="P636" s="83"/>
      <c r="Q636" s="84"/>
      <c r="R636" s="84"/>
      <c r="S636" s="85"/>
      <c r="T636" s="140"/>
      <c r="U636" s="142"/>
      <c r="V636" s="882"/>
      <c r="W636" s="883"/>
      <c r="X636" s="36"/>
      <c r="Y636" s="143"/>
      <c r="Z636" s="143"/>
      <c r="AA636" s="143"/>
      <c r="AB636" s="143"/>
      <c r="AC636" s="144"/>
      <c r="AD636" s="143"/>
      <c r="AE636" s="143"/>
      <c r="AF636" s="145"/>
    </row>
    <row r="637" spans="2:32" ht="17.25" customHeight="1">
      <c r="B637" s="34">
        <v>290</v>
      </c>
      <c r="C637" s="823"/>
      <c r="D637" s="792"/>
      <c r="E637" s="35" t="s">
        <v>10</v>
      </c>
      <c r="F637" s="36" t="str">
        <f t="shared" si="20"/>
        <v>IB11222</v>
      </c>
      <c r="G637" s="302" t="s">
        <v>450</v>
      </c>
      <c r="H637" s="303"/>
      <c r="I637" s="303"/>
      <c r="J637" s="304"/>
      <c r="K637" s="143" t="s">
        <v>1513</v>
      </c>
      <c r="L637" s="37"/>
      <c r="M637" s="598"/>
      <c r="N637" s="35" t="s">
        <v>11</v>
      </c>
      <c r="O637" s="38" t="str">
        <f t="shared" si="21"/>
        <v>OB11222</v>
      </c>
      <c r="P637" s="83"/>
      <c r="Q637" s="84"/>
      <c r="R637" s="84"/>
      <c r="S637" s="85"/>
      <c r="T637" s="140"/>
      <c r="U637" s="142"/>
      <c r="V637" s="882"/>
      <c r="W637" s="883"/>
      <c r="X637" s="36"/>
      <c r="Y637" s="143"/>
      <c r="Z637" s="143"/>
      <c r="AA637" s="143"/>
      <c r="AB637" s="143"/>
      <c r="AC637" s="144"/>
      <c r="AD637" s="143"/>
      <c r="AE637" s="143"/>
      <c r="AF637" s="145"/>
    </row>
    <row r="638" spans="2:32" ht="17.25" customHeight="1">
      <c r="B638" s="34">
        <v>291</v>
      </c>
      <c r="C638" s="823"/>
      <c r="D638" s="792"/>
      <c r="E638" s="35" t="s">
        <v>10</v>
      </c>
      <c r="F638" s="36" t="str">
        <f t="shared" si="20"/>
        <v>IB11223</v>
      </c>
      <c r="G638" s="302" t="s">
        <v>451</v>
      </c>
      <c r="H638" s="303"/>
      <c r="I638" s="303"/>
      <c r="J638" s="304"/>
      <c r="K638" s="143" t="s">
        <v>1513</v>
      </c>
      <c r="L638" s="37"/>
      <c r="M638" s="598"/>
      <c r="N638" s="35" t="s">
        <v>11</v>
      </c>
      <c r="O638" s="38" t="str">
        <f t="shared" si="21"/>
        <v>OB11223</v>
      </c>
      <c r="P638" s="83"/>
      <c r="Q638" s="84"/>
      <c r="R638" s="84"/>
      <c r="S638" s="85"/>
      <c r="T638" s="140"/>
      <c r="U638" s="142"/>
      <c r="V638" s="882"/>
      <c r="W638" s="883"/>
      <c r="X638" s="36"/>
      <c r="Y638" s="143"/>
      <c r="Z638" s="143"/>
      <c r="AA638" s="143"/>
      <c r="AB638" s="143"/>
      <c r="AC638" s="144"/>
      <c r="AD638" s="143"/>
      <c r="AE638" s="143"/>
      <c r="AF638" s="145"/>
    </row>
    <row r="639" spans="2:32" ht="17.25" customHeight="1">
      <c r="B639" s="34">
        <v>292</v>
      </c>
      <c r="C639" s="823"/>
      <c r="D639" s="792"/>
      <c r="E639" s="35" t="s">
        <v>10</v>
      </c>
      <c r="F639" s="36" t="str">
        <f t="shared" si="20"/>
        <v>IB11224</v>
      </c>
      <c r="G639" s="302" t="s">
        <v>213</v>
      </c>
      <c r="H639" s="303"/>
      <c r="I639" s="303"/>
      <c r="J639" s="304"/>
      <c r="K639" s="143" t="s">
        <v>1513</v>
      </c>
      <c r="L639" s="37"/>
      <c r="M639" s="598"/>
      <c r="N639" s="35" t="s">
        <v>11</v>
      </c>
      <c r="O639" s="38" t="str">
        <f t="shared" si="21"/>
        <v>OB11224</v>
      </c>
      <c r="P639" s="83"/>
      <c r="Q639" s="84"/>
      <c r="R639" s="84"/>
      <c r="S639" s="85"/>
      <c r="T639" s="140"/>
      <c r="U639" s="142"/>
      <c r="V639" s="882"/>
      <c r="W639" s="883"/>
      <c r="X639" s="36"/>
      <c r="Y639" s="143"/>
      <c r="Z639" s="143"/>
      <c r="AA639" s="143"/>
      <c r="AB639" s="143"/>
      <c r="AC639" s="144"/>
      <c r="AD639" s="143"/>
      <c r="AE639" s="143"/>
      <c r="AF639" s="145"/>
    </row>
    <row r="640" spans="2:32" ht="17.25" customHeight="1">
      <c r="B640" s="34">
        <v>293</v>
      </c>
      <c r="C640" s="823"/>
      <c r="D640" s="792"/>
      <c r="E640" s="35" t="s">
        <v>10</v>
      </c>
      <c r="F640" s="36" t="str">
        <f t="shared" si="20"/>
        <v>IB11225</v>
      </c>
      <c r="G640" s="78" t="s">
        <v>214</v>
      </c>
      <c r="H640" s="79"/>
      <c r="I640" s="79"/>
      <c r="J640" s="80"/>
      <c r="K640" s="143" t="s">
        <v>1513</v>
      </c>
      <c r="L640" s="37"/>
      <c r="M640" s="598"/>
      <c r="N640" s="35" t="s">
        <v>11</v>
      </c>
      <c r="O640" s="38" t="str">
        <f t="shared" si="21"/>
        <v>OB11225</v>
      </c>
      <c r="P640" s="83"/>
      <c r="Q640" s="84"/>
      <c r="R640" s="84"/>
      <c r="S640" s="85"/>
      <c r="T640" s="140"/>
      <c r="U640" s="142"/>
      <c r="V640" s="882"/>
      <c r="W640" s="883"/>
      <c r="X640" s="36"/>
      <c r="Y640" s="143"/>
      <c r="Z640" s="143"/>
      <c r="AA640" s="143"/>
      <c r="AB640" s="143"/>
      <c r="AC640" s="144"/>
      <c r="AD640" s="143"/>
      <c r="AE640" s="143"/>
      <c r="AF640" s="145"/>
    </row>
    <row r="641" spans="2:32" ht="17.25" customHeight="1">
      <c r="B641" s="34">
        <v>294</v>
      </c>
      <c r="C641" s="823"/>
      <c r="D641" s="792"/>
      <c r="E641" s="35" t="s">
        <v>10</v>
      </c>
      <c r="F641" s="36" t="str">
        <f t="shared" si="20"/>
        <v>IB11226</v>
      </c>
      <c r="G641" s="78" t="s">
        <v>215</v>
      </c>
      <c r="H641" s="79"/>
      <c r="I641" s="79"/>
      <c r="J641" s="80"/>
      <c r="K641" s="143" t="s">
        <v>1513</v>
      </c>
      <c r="L641" s="37"/>
      <c r="M641" s="598"/>
      <c r="N641" s="35" t="s">
        <v>11</v>
      </c>
      <c r="O641" s="38" t="str">
        <f t="shared" si="21"/>
        <v>OB11226</v>
      </c>
      <c r="P641" s="83"/>
      <c r="Q641" s="84"/>
      <c r="R641" s="84"/>
      <c r="S641" s="85"/>
      <c r="T641" s="140"/>
      <c r="U641" s="142"/>
      <c r="V641" s="882"/>
      <c r="W641" s="883"/>
      <c r="X641" s="36"/>
      <c r="Y641" s="143"/>
      <c r="Z641" s="143"/>
      <c r="AA641" s="143"/>
      <c r="AB641" s="143"/>
      <c r="AC641" s="144"/>
      <c r="AD641" s="143"/>
      <c r="AE641" s="143"/>
      <c r="AF641" s="145"/>
    </row>
    <row r="642" spans="2:32" ht="17.25" customHeight="1">
      <c r="B642" s="34">
        <v>295</v>
      </c>
      <c r="C642" s="823"/>
      <c r="D642" s="792"/>
      <c r="E642" s="35" t="s">
        <v>10</v>
      </c>
      <c r="F642" s="36" t="str">
        <f t="shared" si="20"/>
        <v>IB11227</v>
      </c>
      <c r="G642" s="78" t="s">
        <v>216</v>
      </c>
      <c r="H642" s="79"/>
      <c r="I642" s="79"/>
      <c r="J642" s="80"/>
      <c r="K642" s="143" t="s">
        <v>1513</v>
      </c>
      <c r="L642" s="37"/>
      <c r="M642" s="598"/>
      <c r="N642" s="35" t="s">
        <v>11</v>
      </c>
      <c r="O642" s="38" t="str">
        <f t="shared" si="21"/>
        <v>OB11227</v>
      </c>
      <c r="P642" s="83"/>
      <c r="Q642" s="84"/>
      <c r="R642" s="84"/>
      <c r="S642" s="85"/>
      <c r="T642" s="140"/>
      <c r="U642" s="142"/>
      <c r="V642" s="882"/>
      <c r="W642" s="883"/>
      <c r="X642" s="36"/>
      <c r="Y642" s="143"/>
      <c r="Z642" s="143"/>
      <c r="AA642" s="143"/>
      <c r="AB642" s="143"/>
      <c r="AC642" s="144"/>
      <c r="AD642" s="143"/>
      <c r="AE642" s="143"/>
      <c r="AF642" s="145"/>
    </row>
    <row r="643" spans="2:32" ht="17.25" customHeight="1">
      <c r="B643" s="34">
        <v>296</v>
      </c>
      <c r="C643" s="823"/>
      <c r="D643" s="792"/>
      <c r="E643" s="35" t="s">
        <v>10</v>
      </c>
      <c r="F643" s="36" t="str">
        <f t="shared" si="20"/>
        <v>IB11228</v>
      </c>
      <c r="G643" s="78" t="s">
        <v>217</v>
      </c>
      <c r="H643" s="79"/>
      <c r="I643" s="79"/>
      <c r="J643" s="80"/>
      <c r="K643" s="143" t="s">
        <v>1513</v>
      </c>
      <c r="L643" s="37"/>
      <c r="M643" s="598"/>
      <c r="N643" s="35" t="s">
        <v>11</v>
      </c>
      <c r="O643" s="38" t="str">
        <f t="shared" si="21"/>
        <v>OB11228</v>
      </c>
      <c r="P643" s="83"/>
      <c r="Q643" s="84"/>
      <c r="R643" s="84"/>
      <c r="S643" s="85"/>
      <c r="T643" s="140"/>
      <c r="U643" s="142"/>
      <c r="V643" s="882"/>
      <c r="W643" s="883"/>
      <c r="X643" s="36"/>
      <c r="Y643" s="143"/>
      <c r="Z643" s="143"/>
      <c r="AA643" s="143"/>
      <c r="AB643" s="143"/>
      <c r="AC643" s="144"/>
      <c r="AD643" s="143"/>
      <c r="AE643" s="143"/>
      <c r="AF643" s="145"/>
    </row>
    <row r="644" spans="2:32" ht="17.25" customHeight="1">
      <c r="B644" s="34">
        <v>297</v>
      </c>
      <c r="C644" s="823"/>
      <c r="D644" s="792"/>
      <c r="E644" s="35" t="s">
        <v>10</v>
      </c>
      <c r="F644" s="36" t="str">
        <f t="shared" si="20"/>
        <v>IB11229</v>
      </c>
      <c r="G644" s="78" t="s">
        <v>218</v>
      </c>
      <c r="H644" s="79"/>
      <c r="I644" s="79"/>
      <c r="J644" s="80"/>
      <c r="K644" s="143" t="s">
        <v>1513</v>
      </c>
      <c r="L644" s="37"/>
      <c r="M644" s="598"/>
      <c r="N644" s="35" t="s">
        <v>11</v>
      </c>
      <c r="O644" s="38" t="str">
        <f t="shared" si="21"/>
        <v>OB11229</v>
      </c>
      <c r="P644" s="83"/>
      <c r="Q644" s="84"/>
      <c r="R644" s="84"/>
      <c r="S644" s="85"/>
      <c r="T644" s="140"/>
      <c r="U644" s="142"/>
      <c r="V644" s="882"/>
      <c r="W644" s="883"/>
      <c r="X644" s="36"/>
      <c r="Y644" s="143"/>
      <c r="Z644" s="143"/>
      <c r="AA644" s="143"/>
      <c r="AB644" s="143"/>
      <c r="AC644" s="144"/>
      <c r="AD644" s="143"/>
      <c r="AE644" s="143"/>
      <c r="AF644" s="145"/>
    </row>
    <row r="645" spans="2:32" ht="17.25" customHeight="1">
      <c r="B645" s="34">
        <v>298</v>
      </c>
      <c r="C645" s="823"/>
      <c r="D645" s="792"/>
      <c r="E645" s="35" t="s">
        <v>10</v>
      </c>
      <c r="F645" s="36" t="str">
        <f t="shared" si="20"/>
        <v>IB1122A</v>
      </c>
      <c r="G645" s="302"/>
      <c r="H645" s="303"/>
      <c r="I645" s="303"/>
      <c r="J645" s="304"/>
      <c r="K645" s="143"/>
      <c r="L645" s="37"/>
      <c r="M645" s="598"/>
      <c r="N645" s="35" t="s">
        <v>11</v>
      </c>
      <c r="O645" s="38" t="str">
        <f t="shared" si="21"/>
        <v>OB1122A</v>
      </c>
      <c r="P645" s="83"/>
      <c r="Q645" s="84"/>
      <c r="R645" s="84"/>
      <c r="S645" s="85"/>
      <c r="T645" s="140"/>
      <c r="U645" s="142"/>
      <c r="V645" s="882"/>
      <c r="W645" s="883"/>
      <c r="X645" s="36"/>
      <c r="Y645" s="143"/>
      <c r="Z645" s="143"/>
      <c r="AA645" s="143"/>
      <c r="AB645" s="143"/>
      <c r="AC645" s="144"/>
      <c r="AD645" s="143"/>
      <c r="AE645" s="143"/>
      <c r="AF645" s="145"/>
    </row>
    <row r="646" spans="2:32" ht="17.25" customHeight="1">
      <c r="B646" s="34">
        <v>299</v>
      </c>
      <c r="C646" s="823"/>
      <c r="D646" s="792"/>
      <c r="E646" s="35" t="s">
        <v>10</v>
      </c>
      <c r="F646" s="36" t="str">
        <f t="shared" si="20"/>
        <v>IB1122B</v>
      </c>
      <c r="G646" s="302"/>
      <c r="H646" s="303"/>
      <c r="I646" s="303"/>
      <c r="J646" s="304"/>
      <c r="K646" s="143"/>
      <c r="L646" s="37"/>
      <c r="M646" s="598"/>
      <c r="N646" s="35" t="s">
        <v>11</v>
      </c>
      <c r="O646" s="38" t="str">
        <f t="shared" si="21"/>
        <v>OB1122B</v>
      </c>
      <c r="P646" s="83"/>
      <c r="Q646" s="84"/>
      <c r="R646" s="84"/>
      <c r="S646" s="85"/>
      <c r="T646" s="140"/>
      <c r="U646" s="142"/>
      <c r="V646" s="882"/>
      <c r="W646" s="883"/>
      <c r="X646" s="36"/>
      <c r="Y646" s="143"/>
      <c r="Z646" s="143"/>
      <c r="AA646" s="143"/>
      <c r="AB646" s="143"/>
      <c r="AC646" s="144"/>
      <c r="AD646" s="143"/>
      <c r="AE646" s="143"/>
      <c r="AF646" s="145"/>
    </row>
    <row r="647" spans="2:32" ht="17.25" customHeight="1">
      <c r="B647" s="34">
        <v>300</v>
      </c>
      <c r="C647" s="823"/>
      <c r="D647" s="792"/>
      <c r="E647" s="35" t="s">
        <v>10</v>
      </c>
      <c r="F647" s="36" t="str">
        <f t="shared" si="20"/>
        <v>IB1122C</v>
      </c>
      <c r="G647" s="302"/>
      <c r="H647" s="303"/>
      <c r="I647" s="303"/>
      <c r="J647" s="304"/>
      <c r="K647" s="143"/>
      <c r="L647" s="37"/>
      <c r="M647" s="598"/>
      <c r="N647" s="35" t="s">
        <v>11</v>
      </c>
      <c r="O647" s="38" t="str">
        <f t="shared" si="21"/>
        <v>OB1122C</v>
      </c>
      <c r="P647" s="83"/>
      <c r="Q647" s="84"/>
      <c r="R647" s="84"/>
      <c r="S647" s="85"/>
      <c r="T647" s="140"/>
      <c r="U647" s="142"/>
      <c r="V647" s="882"/>
      <c r="W647" s="883"/>
      <c r="X647" s="36"/>
      <c r="Y647" s="143"/>
      <c r="Z647" s="143"/>
      <c r="AA647" s="143"/>
      <c r="AB647" s="143"/>
      <c r="AC647" s="144"/>
      <c r="AD647" s="143"/>
      <c r="AE647" s="143"/>
      <c r="AF647" s="145"/>
    </row>
    <row r="648" spans="2:32" ht="17.25" customHeight="1">
      <c r="B648" s="34">
        <v>301</v>
      </c>
      <c r="C648" s="823"/>
      <c r="D648" s="792"/>
      <c r="E648" s="35" t="s">
        <v>10</v>
      </c>
      <c r="F648" s="36" t="str">
        <f t="shared" si="20"/>
        <v>IB1122D</v>
      </c>
      <c r="G648" s="302"/>
      <c r="H648" s="303"/>
      <c r="I648" s="303"/>
      <c r="J648" s="304"/>
      <c r="K648" s="143"/>
      <c r="L648" s="37"/>
      <c r="M648" s="598"/>
      <c r="N648" s="35" t="s">
        <v>11</v>
      </c>
      <c r="O648" s="38" t="str">
        <f t="shared" si="21"/>
        <v>OB1122D</v>
      </c>
      <c r="P648" s="83"/>
      <c r="Q648" s="84"/>
      <c r="R648" s="84"/>
      <c r="S648" s="85"/>
      <c r="T648" s="140"/>
      <c r="U648" s="142"/>
      <c r="V648" s="882"/>
      <c r="W648" s="883"/>
      <c r="X648" s="36"/>
      <c r="Y648" s="143"/>
      <c r="Z648" s="143"/>
      <c r="AA648" s="143"/>
      <c r="AB648" s="143"/>
      <c r="AC648" s="144"/>
      <c r="AD648" s="143"/>
      <c r="AE648" s="143"/>
      <c r="AF648" s="145"/>
    </row>
    <row r="649" spans="2:32" ht="17.25" customHeight="1">
      <c r="B649" s="34">
        <v>302</v>
      </c>
      <c r="C649" s="823"/>
      <c r="D649" s="792"/>
      <c r="E649" s="35" t="s">
        <v>10</v>
      </c>
      <c r="F649" s="36" t="str">
        <f t="shared" si="20"/>
        <v>IB1122E</v>
      </c>
      <c r="G649" s="302"/>
      <c r="H649" s="303"/>
      <c r="I649" s="303"/>
      <c r="J649" s="304"/>
      <c r="K649" s="143"/>
      <c r="L649" s="37"/>
      <c r="M649" s="598"/>
      <c r="N649" s="35" t="s">
        <v>11</v>
      </c>
      <c r="O649" s="38" t="str">
        <f t="shared" si="21"/>
        <v>OB1122E</v>
      </c>
      <c r="P649" s="83"/>
      <c r="Q649" s="84"/>
      <c r="R649" s="84"/>
      <c r="S649" s="85"/>
      <c r="T649" s="140"/>
      <c r="U649" s="142"/>
      <c r="V649" s="882"/>
      <c r="W649" s="883"/>
      <c r="X649" s="36"/>
      <c r="Y649" s="143"/>
      <c r="Z649" s="143"/>
      <c r="AA649" s="143"/>
      <c r="AB649" s="143"/>
      <c r="AC649" s="144"/>
      <c r="AD649" s="143"/>
      <c r="AE649" s="143"/>
      <c r="AF649" s="145"/>
    </row>
    <row r="650" spans="2:32" ht="17.25" customHeight="1">
      <c r="B650" s="34">
        <v>303</v>
      </c>
      <c r="C650" s="837"/>
      <c r="D650" s="839"/>
      <c r="E650" s="35" t="s">
        <v>10</v>
      </c>
      <c r="F650" s="36" t="str">
        <f t="shared" si="20"/>
        <v>IB1122F</v>
      </c>
      <c r="G650" s="302"/>
      <c r="H650" s="303"/>
      <c r="I650" s="303"/>
      <c r="J650" s="304"/>
      <c r="K650" s="143"/>
      <c r="L650" s="37"/>
      <c r="M650" s="598"/>
      <c r="N650" s="35" t="s">
        <v>11</v>
      </c>
      <c r="O650" s="38" t="str">
        <f t="shared" si="21"/>
        <v>OB1122F</v>
      </c>
      <c r="P650" s="332"/>
      <c r="Q650" s="333"/>
      <c r="R650" s="333"/>
      <c r="S650" s="334"/>
      <c r="T650" s="140"/>
      <c r="U650" s="142"/>
      <c r="V650" s="882"/>
      <c r="W650" s="883"/>
      <c r="X650" s="36"/>
      <c r="Y650" s="143"/>
      <c r="Z650" s="143"/>
      <c r="AA650" s="143"/>
      <c r="AB650" s="143"/>
      <c r="AC650" s="144"/>
      <c r="AD650" s="143"/>
      <c r="AE650" s="143"/>
      <c r="AF650" s="145"/>
    </row>
    <row r="651" spans="2:32" ht="17.25" customHeight="1">
      <c r="B651" s="481">
        <v>304</v>
      </c>
      <c r="C651" s="892" t="s">
        <v>1588</v>
      </c>
      <c r="D651" s="893" t="s">
        <v>69</v>
      </c>
      <c r="E651" s="482" t="s">
        <v>10</v>
      </c>
      <c r="F651" s="483" t="str">
        <f t="shared" ref="F651:F714" si="22">LEFT(F650,1)&amp;DEC2HEX(HEX2DEC(MID(F650,2,LENB(F650)-1))+1,LENB(F650)-1)</f>
        <v>IB11230</v>
      </c>
      <c r="G651" s="484"/>
      <c r="H651" s="485"/>
      <c r="I651" s="485"/>
      <c r="J651" s="486"/>
      <c r="K651" s="493"/>
      <c r="L651" s="487"/>
      <c r="M651" s="602"/>
      <c r="N651" s="482" t="s">
        <v>11</v>
      </c>
      <c r="O651" s="488" t="str">
        <f t="shared" si="21"/>
        <v>OB11230</v>
      </c>
      <c r="P651" s="489"/>
      <c r="Q651" s="490"/>
      <c r="R651" s="490"/>
      <c r="S651" s="491"/>
      <c r="T651" s="602"/>
      <c r="U651" s="492"/>
      <c r="V651" s="894"/>
      <c r="W651" s="895"/>
      <c r="X651" s="483"/>
      <c r="Y651" s="493"/>
      <c r="Z651" s="493"/>
      <c r="AA651" s="493"/>
      <c r="AB651" s="493"/>
      <c r="AC651" s="494"/>
      <c r="AD651" s="493"/>
      <c r="AE651" s="493"/>
      <c r="AF651" s="495"/>
    </row>
    <row r="652" spans="2:32" ht="17.25" customHeight="1">
      <c r="B652" s="180">
        <v>305</v>
      </c>
      <c r="C652" s="763"/>
      <c r="D652" s="765"/>
      <c r="E652" s="186" t="s">
        <v>10</v>
      </c>
      <c r="F652" s="187" t="str">
        <f t="shared" si="22"/>
        <v>IB11231</v>
      </c>
      <c r="G652" s="496"/>
      <c r="H652" s="497"/>
      <c r="I652" s="497"/>
      <c r="J652" s="498"/>
      <c r="K652" s="182"/>
      <c r="L652" s="224"/>
      <c r="M652" s="190"/>
      <c r="N652" s="186" t="s">
        <v>11</v>
      </c>
      <c r="O652" s="195" t="str">
        <f t="shared" si="21"/>
        <v>OB11231</v>
      </c>
      <c r="P652" s="499" t="s">
        <v>278</v>
      </c>
      <c r="Q652" s="500"/>
      <c r="R652" s="500"/>
      <c r="S652" s="501"/>
      <c r="T652" s="190" t="s">
        <v>1513</v>
      </c>
      <c r="U652" s="502"/>
      <c r="V652" s="761"/>
      <c r="W652" s="762"/>
      <c r="X652" s="187"/>
      <c r="Y652" s="182"/>
      <c r="Z652" s="182"/>
      <c r="AA652" s="182"/>
      <c r="AB652" s="182"/>
      <c r="AC652" s="210"/>
      <c r="AD652" s="182"/>
      <c r="AE652" s="182"/>
      <c r="AF652" s="211"/>
    </row>
    <row r="653" spans="2:32" ht="17.25" customHeight="1">
      <c r="B653" s="180">
        <v>306</v>
      </c>
      <c r="C653" s="763"/>
      <c r="D653" s="765"/>
      <c r="E653" s="186" t="s">
        <v>10</v>
      </c>
      <c r="F653" s="187" t="str">
        <f t="shared" si="22"/>
        <v>IB11232</v>
      </c>
      <c r="G653" s="496"/>
      <c r="H653" s="497"/>
      <c r="I653" s="497"/>
      <c r="J653" s="498"/>
      <c r="K653" s="182"/>
      <c r="L653" s="224"/>
      <c r="M653" s="190"/>
      <c r="N653" s="186" t="s">
        <v>11</v>
      </c>
      <c r="O653" s="195" t="str">
        <f t="shared" si="21"/>
        <v>OB11232</v>
      </c>
      <c r="P653" s="499" t="s">
        <v>312</v>
      </c>
      <c r="Q653" s="500"/>
      <c r="R653" s="500"/>
      <c r="S653" s="501"/>
      <c r="T653" s="190" t="s">
        <v>1513</v>
      </c>
      <c r="U653" s="502"/>
      <c r="V653" s="761"/>
      <c r="W653" s="762"/>
      <c r="X653" s="187"/>
      <c r="Y653" s="182"/>
      <c r="Z653" s="182"/>
      <c r="AA653" s="182"/>
      <c r="AB653" s="182"/>
      <c r="AC653" s="210"/>
      <c r="AD653" s="182"/>
      <c r="AE653" s="182"/>
      <c r="AF653" s="211"/>
    </row>
    <row r="654" spans="2:32" ht="17.25" customHeight="1">
      <c r="B654" s="180">
        <v>307</v>
      </c>
      <c r="C654" s="763"/>
      <c r="D654" s="765"/>
      <c r="E654" s="186" t="s">
        <v>10</v>
      </c>
      <c r="F654" s="187" t="str">
        <f t="shared" si="22"/>
        <v>IB11233</v>
      </c>
      <c r="G654" s="496"/>
      <c r="H654" s="497"/>
      <c r="I654" s="497"/>
      <c r="J654" s="498"/>
      <c r="K654" s="190"/>
      <c r="L654" s="224"/>
      <c r="M654" s="190"/>
      <c r="N654" s="186" t="s">
        <v>11</v>
      </c>
      <c r="O654" s="195" t="str">
        <f t="shared" si="21"/>
        <v>OB11233</v>
      </c>
      <c r="P654" s="499" t="s">
        <v>279</v>
      </c>
      <c r="Q654" s="500"/>
      <c r="R654" s="500"/>
      <c r="S654" s="501"/>
      <c r="T654" s="190" t="s">
        <v>1513</v>
      </c>
      <c r="U654" s="502"/>
      <c r="V654" s="761"/>
      <c r="W654" s="762"/>
      <c r="X654" s="187"/>
      <c r="Y654" s="182"/>
      <c r="Z654" s="182"/>
      <c r="AA654" s="182"/>
      <c r="AB654" s="182"/>
      <c r="AC654" s="210"/>
      <c r="AD654" s="182"/>
      <c r="AE654" s="182"/>
      <c r="AF654" s="211"/>
    </row>
    <row r="655" spans="2:32" ht="17.25" customHeight="1">
      <c r="B655" s="180">
        <v>308</v>
      </c>
      <c r="C655" s="763"/>
      <c r="D655" s="765"/>
      <c r="E655" s="186" t="s">
        <v>10</v>
      </c>
      <c r="F655" s="187" t="str">
        <f t="shared" si="22"/>
        <v>IB11234</v>
      </c>
      <c r="G655" s="496"/>
      <c r="H655" s="497"/>
      <c r="I655" s="497"/>
      <c r="J655" s="498"/>
      <c r="K655" s="190"/>
      <c r="L655" s="224"/>
      <c r="M655" s="190"/>
      <c r="N655" s="186" t="s">
        <v>11</v>
      </c>
      <c r="O655" s="195" t="str">
        <f t="shared" si="21"/>
        <v>OB11234</v>
      </c>
      <c r="P655" s="662" t="s">
        <v>1508</v>
      </c>
      <c r="Q655" s="500"/>
      <c r="R655" s="500"/>
      <c r="S655" s="501"/>
      <c r="T655" s="190" t="s">
        <v>1513</v>
      </c>
      <c r="U655" s="657" t="s">
        <v>1573</v>
      </c>
      <c r="V655" s="761"/>
      <c r="W655" s="762"/>
      <c r="X655" s="187"/>
      <c r="Y655" s="182"/>
      <c r="Z655" s="182"/>
      <c r="AA655" s="182"/>
      <c r="AB655" s="182"/>
      <c r="AC655" s="210"/>
      <c r="AD655" s="182"/>
      <c r="AE655" s="182"/>
      <c r="AF655" s="211"/>
    </row>
    <row r="656" spans="2:32" ht="17.25" customHeight="1">
      <c r="B656" s="180">
        <v>309</v>
      </c>
      <c r="C656" s="763"/>
      <c r="D656" s="765"/>
      <c r="E656" s="186" t="s">
        <v>10</v>
      </c>
      <c r="F656" s="187" t="str">
        <f t="shared" si="22"/>
        <v>IB11235</v>
      </c>
      <c r="G656" s="496"/>
      <c r="H656" s="497"/>
      <c r="I656" s="497"/>
      <c r="J656" s="498"/>
      <c r="K656" s="190"/>
      <c r="L656" s="224"/>
      <c r="M656" s="190"/>
      <c r="N656" s="186" t="s">
        <v>11</v>
      </c>
      <c r="O656" s="195" t="str">
        <f t="shared" si="21"/>
        <v>OB11235</v>
      </c>
      <c r="P656" s="499"/>
      <c r="Q656" s="500"/>
      <c r="R656" s="500"/>
      <c r="S656" s="501"/>
      <c r="T656" s="190"/>
      <c r="U656" s="502"/>
      <c r="V656" s="761"/>
      <c r="W656" s="762"/>
      <c r="X656" s="187"/>
      <c r="Y656" s="182"/>
      <c r="Z656" s="182"/>
      <c r="AA656" s="182"/>
      <c r="AB656" s="182"/>
      <c r="AC656" s="210"/>
      <c r="AD656" s="182"/>
      <c r="AE656" s="182"/>
      <c r="AF656" s="211"/>
    </row>
    <row r="657" spans="2:32" ht="17.25" customHeight="1">
      <c r="B657" s="180">
        <v>310</v>
      </c>
      <c r="C657" s="763"/>
      <c r="D657" s="765"/>
      <c r="E657" s="186" t="s">
        <v>10</v>
      </c>
      <c r="F657" s="187" t="str">
        <f t="shared" si="22"/>
        <v>IB11236</v>
      </c>
      <c r="G657" s="496"/>
      <c r="H657" s="497"/>
      <c r="I657" s="497"/>
      <c r="J657" s="498"/>
      <c r="K657" s="190"/>
      <c r="L657" s="224"/>
      <c r="M657" s="190"/>
      <c r="N657" s="186" t="s">
        <v>11</v>
      </c>
      <c r="O657" s="195" t="str">
        <f t="shared" si="21"/>
        <v>OB11236</v>
      </c>
      <c r="P657" s="499"/>
      <c r="Q657" s="500"/>
      <c r="R657" s="500"/>
      <c r="S657" s="501"/>
      <c r="T657" s="190"/>
      <c r="U657" s="502"/>
      <c r="V657" s="761"/>
      <c r="W657" s="762"/>
      <c r="X657" s="187"/>
      <c r="Y657" s="182"/>
      <c r="Z657" s="182"/>
      <c r="AA657" s="182"/>
      <c r="AB657" s="182"/>
      <c r="AC657" s="210"/>
      <c r="AD657" s="182"/>
      <c r="AE657" s="182"/>
      <c r="AF657" s="211"/>
    </row>
    <row r="658" spans="2:32" ht="17.25" customHeight="1">
      <c r="B658" s="180">
        <v>311</v>
      </c>
      <c r="C658" s="763"/>
      <c r="D658" s="765"/>
      <c r="E658" s="186" t="s">
        <v>10</v>
      </c>
      <c r="F658" s="187" t="str">
        <f t="shared" si="22"/>
        <v>IB11237</v>
      </c>
      <c r="G658" s="496"/>
      <c r="H658" s="497"/>
      <c r="I658" s="497"/>
      <c r="J658" s="498"/>
      <c r="K658" s="190"/>
      <c r="L658" s="224"/>
      <c r="M658" s="190"/>
      <c r="N658" s="186" t="s">
        <v>11</v>
      </c>
      <c r="O658" s="195" t="str">
        <f t="shared" si="21"/>
        <v>OB11237</v>
      </c>
      <c r="P658" s="499"/>
      <c r="Q658" s="500"/>
      <c r="R658" s="500"/>
      <c r="S658" s="501"/>
      <c r="T658" s="190"/>
      <c r="U658" s="502"/>
      <c r="V658" s="761"/>
      <c r="W658" s="762"/>
      <c r="X658" s="187"/>
      <c r="Y658" s="182"/>
      <c r="Z658" s="182"/>
      <c r="AA658" s="182"/>
      <c r="AB658" s="182"/>
      <c r="AC658" s="210"/>
      <c r="AD658" s="182"/>
      <c r="AE658" s="182"/>
      <c r="AF658" s="211"/>
    </row>
    <row r="659" spans="2:32" ht="17.25" customHeight="1">
      <c r="B659" s="180">
        <v>312</v>
      </c>
      <c r="C659" s="763"/>
      <c r="D659" s="765"/>
      <c r="E659" s="186" t="s">
        <v>10</v>
      </c>
      <c r="F659" s="187" t="str">
        <f t="shared" si="22"/>
        <v>IB11238</v>
      </c>
      <c r="G659" s="496"/>
      <c r="H659" s="497"/>
      <c r="I659" s="497"/>
      <c r="J659" s="498"/>
      <c r="K659" s="190"/>
      <c r="L659" s="224"/>
      <c r="M659" s="190"/>
      <c r="N659" s="186" t="s">
        <v>11</v>
      </c>
      <c r="O659" s="195" t="str">
        <f t="shared" si="21"/>
        <v>OB11238</v>
      </c>
      <c r="P659" s="499" t="s">
        <v>124</v>
      </c>
      <c r="Q659" s="500"/>
      <c r="R659" s="500"/>
      <c r="S659" s="501"/>
      <c r="T659" s="190" t="s">
        <v>1513</v>
      </c>
      <c r="U659" s="502"/>
      <c r="V659" s="761"/>
      <c r="W659" s="762"/>
      <c r="X659" s="187"/>
      <c r="Y659" s="182"/>
      <c r="Z659" s="182"/>
      <c r="AA659" s="182"/>
      <c r="AB659" s="182"/>
      <c r="AC659" s="210"/>
      <c r="AD659" s="182"/>
      <c r="AE659" s="182"/>
      <c r="AF659" s="211"/>
    </row>
    <row r="660" spans="2:32" ht="17.25" customHeight="1">
      <c r="B660" s="180">
        <v>313</v>
      </c>
      <c r="C660" s="763"/>
      <c r="D660" s="765"/>
      <c r="E660" s="186" t="s">
        <v>10</v>
      </c>
      <c r="F660" s="187" t="str">
        <f t="shared" si="22"/>
        <v>IB11239</v>
      </c>
      <c r="G660" s="496"/>
      <c r="H660" s="497"/>
      <c r="I660" s="497"/>
      <c r="J660" s="498"/>
      <c r="K660" s="190"/>
      <c r="L660" s="224"/>
      <c r="M660" s="190"/>
      <c r="N660" s="186" t="s">
        <v>11</v>
      </c>
      <c r="O660" s="195" t="str">
        <f t="shared" si="21"/>
        <v>OB11239</v>
      </c>
      <c r="P660" s="499" t="s">
        <v>125</v>
      </c>
      <c r="Q660" s="500"/>
      <c r="R660" s="500"/>
      <c r="S660" s="501"/>
      <c r="T660" s="190" t="s">
        <v>1513</v>
      </c>
      <c r="U660" s="502"/>
      <c r="V660" s="761"/>
      <c r="W660" s="762"/>
      <c r="X660" s="187"/>
      <c r="Y660" s="182"/>
      <c r="Z660" s="182"/>
      <c r="AA660" s="182"/>
      <c r="AB660" s="182"/>
      <c r="AC660" s="210"/>
      <c r="AD660" s="182"/>
      <c r="AE660" s="182"/>
      <c r="AF660" s="211"/>
    </row>
    <row r="661" spans="2:32" ht="17.25" customHeight="1">
      <c r="B661" s="180">
        <v>314</v>
      </c>
      <c r="C661" s="763"/>
      <c r="D661" s="765"/>
      <c r="E661" s="186" t="s">
        <v>10</v>
      </c>
      <c r="F661" s="187" t="str">
        <f t="shared" si="22"/>
        <v>IB1123A</v>
      </c>
      <c r="G661" s="496"/>
      <c r="H661" s="497"/>
      <c r="I661" s="497"/>
      <c r="J661" s="498"/>
      <c r="K661" s="190"/>
      <c r="L661" s="224"/>
      <c r="M661" s="190"/>
      <c r="N661" s="186" t="s">
        <v>11</v>
      </c>
      <c r="O661" s="195" t="str">
        <f t="shared" si="21"/>
        <v>OB1123A</v>
      </c>
      <c r="P661" s="499" t="s">
        <v>126</v>
      </c>
      <c r="Q661" s="500"/>
      <c r="R661" s="500"/>
      <c r="S661" s="501"/>
      <c r="T661" s="190" t="s">
        <v>1513</v>
      </c>
      <c r="U661" s="502"/>
      <c r="V661" s="761"/>
      <c r="W661" s="762"/>
      <c r="X661" s="187"/>
      <c r="Y661" s="182"/>
      <c r="Z661" s="182"/>
      <c r="AA661" s="182"/>
      <c r="AB661" s="182"/>
      <c r="AC661" s="210"/>
      <c r="AD661" s="182"/>
      <c r="AE661" s="182"/>
      <c r="AF661" s="211"/>
    </row>
    <row r="662" spans="2:32" ht="17.25" customHeight="1">
      <c r="B662" s="180">
        <v>315</v>
      </c>
      <c r="C662" s="763"/>
      <c r="D662" s="765"/>
      <c r="E662" s="186" t="s">
        <v>10</v>
      </c>
      <c r="F662" s="187" t="str">
        <f t="shared" si="22"/>
        <v>IB1123B</v>
      </c>
      <c r="G662" s="496"/>
      <c r="H662" s="497"/>
      <c r="I662" s="497"/>
      <c r="J662" s="498"/>
      <c r="K662" s="190"/>
      <c r="L662" s="224"/>
      <c r="M662" s="190"/>
      <c r="N662" s="186" t="s">
        <v>11</v>
      </c>
      <c r="O662" s="195" t="str">
        <f t="shared" si="21"/>
        <v>OB1123B</v>
      </c>
      <c r="P662" s="499" t="s">
        <v>127</v>
      </c>
      <c r="Q662" s="500"/>
      <c r="R662" s="500"/>
      <c r="S662" s="501"/>
      <c r="T662" s="190" t="s">
        <v>1513</v>
      </c>
      <c r="U662" s="502"/>
      <c r="V662" s="761"/>
      <c r="W662" s="762"/>
      <c r="X662" s="187"/>
      <c r="Y662" s="182"/>
      <c r="Z662" s="182"/>
      <c r="AA662" s="182"/>
      <c r="AB662" s="182"/>
      <c r="AC662" s="210"/>
      <c r="AD662" s="182"/>
      <c r="AE662" s="182"/>
      <c r="AF662" s="211"/>
    </row>
    <row r="663" spans="2:32" ht="17.25" customHeight="1">
      <c r="B663" s="180">
        <v>316</v>
      </c>
      <c r="C663" s="763"/>
      <c r="D663" s="765"/>
      <c r="E663" s="186" t="s">
        <v>10</v>
      </c>
      <c r="F663" s="187" t="str">
        <f t="shared" si="22"/>
        <v>IB1123C</v>
      </c>
      <c r="G663" s="496"/>
      <c r="H663" s="497"/>
      <c r="I663" s="497"/>
      <c r="J663" s="498"/>
      <c r="K663" s="190"/>
      <c r="L663" s="224"/>
      <c r="M663" s="190"/>
      <c r="N663" s="186" t="s">
        <v>11</v>
      </c>
      <c r="O663" s="195" t="str">
        <f t="shared" si="21"/>
        <v>OB1123C</v>
      </c>
      <c r="P663" s="499" t="s">
        <v>128</v>
      </c>
      <c r="Q663" s="500"/>
      <c r="R663" s="500"/>
      <c r="S663" s="501"/>
      <c r="T663" s="143" t="s">
        <v>1527</v>
      </c>
      <c r="U663" s="502" t="s">
        <v>1543</v>
      </c>
      <c r="V663" s="761"/>
      <c r="W663" s="762"/>
      <c r="X663" s="187"/>
      <c r="Y663" s="182"/>
      <c r="Z663" s="182"/>
      <c r="AA663" s="182"/>
      <c r="AB663" s="182"/>
      <c r="AC663" s="210"/>
      <c r="AD663" s="182"/>
      <c r="AE663" s="182"/>
      <c r="AF663" s="211"/>
    </row>
    <row r="664" spans="2:32" ht="17.25" customHeight="1">
      <c r="B664" s="180">
        <v>317</v>
      </c>
      <c r="C664" s="763"/>
      <c r="D664" s="765"/>
      <c r="E664" s="186" t="s">
        <v>10</v>
      </c>
      <c r="F664" s="187" t="str">
        <f t="shared" si="22"/>
        <v>IB1123D</v>
      </c>
      <c r="G664" s="496"/>
      <c r="H664" s="497"/>
      <c r="I664" s="497"/>
      <c r="J664" s="498"/>
      <c r="K664" s="182"/>
      <c r="L664" s="503"/>
      <c r="M664" s="633"/>
      <c r="N664" s="186" t="s">
        <v>11</v>
      </c>
      <c r="O664" s="195" t="str">
        <f t="shared" si="21"/>
        <v>OB1123D</v>
      </c>
      <c r="P664" s="499" t="s">
        <v>129</v>
      </c>
      <c r="Q664" s="500"/>
      <c r="R664" s="500"/>
      <c r="S664" s="501"/>
      <c r="T664" s="143" t="s">
        <v>1527</v>
      </c>
      <c r="U664" s="502" t="s">
        <v>1543</v>
      </c>
      <c r="V664" s="761"/>
      <c r="W664" s="762"/>
      <c r="X664" s="187"/>
      <c r="Y664" s="182"/>
      <c r="Z664" s="182"/>
      <c r="AA664" s="182"/>
      <c r="AB664" s="182"/>
      <c r="AC664" s="210"/>
      <c r="AD664" s="182"/>
      <c r="AE664" s="182"/>
      <c r="AF664" s="211"/>
    </row>
    <row r="665" spans="2:32" ht="17.25" customHeight="1">
      <c r="B665" s="180">
        <v>318</v>
      </c>
      <c r="C665" s="763"/>
      <c r="D665" s="765"/>
      <c r="E665" s="186" t="s">
        <v>10</v>
      </c>
      <c r="F665" s="187" t="str">
        <f t="shared" si="22"/>
        <v>IB1123E</v>
      </c>
      <c r="G665" s="496"/>
      <c r="H665" s="497"/>
      <c r="I665" s="497"/>
      <c r="J665" s="498"/>
      <c r="K665" s="182"/>
      <c r="L665" s="503"/>
      <c r="M665" s="633"/>
      <c r="N665" s="186" t="s">
        <v>11</v>
      </c>
      <c r="O665" s="195" t="str">
        <f t="shared" si="21"/>
        <v>OB1123E</v>
      </c>
      <c r="P665" s="499" t="s">
        <v>130</v>
      </c>
      <c r="Q665" s="500"/>
      <c r="R665" s="500"/>
      <c r="S665" s="501"/>
      <c r="T665" s="143" t="s">
        <v>1527</v>
      </c>
      <c r="U665" s="502" t="s">
        <v>1543</v>
      </c>
      <c r="V665" s="761"/>
      <c r="W665" s="762"/>
      <c r="X665" s="187"/>
      <c r="Y665" s="182"/>
      <c r="Z665" s="182"/>
      <c r="AA665" s="182"/>
      <c r="AB665" s="182"/>
      <c r="AC665" s="210"/>
      <c r="AD665" s="182"/>
      <c r="AE665" s="182"/>
      <c r="AF665" s="211"/>
    </row>
    <row r="666" spans="2:32" ht="17.25" customHeight="1">
      <c r="B666" s="180">
        <v>319</v>
      </c>
      <c r="C666" s="763"/>
      <c r="D666" s="765"/>
      <c r="E666" s="186" t="s">
        <v>10</v>
      </c>
      <c r="F666" s="187" t="str">
        <f t="shared" si="22"/>
        <v>IB1123F</v>
      </c>
      <c r="G666" s="496"/>
      <c r="H666" s="497"/>
      <c r="I666" s="497"/>
      <c r="J666" s="498"/>
      <c r="K666" s="182"/>
      <c r="L666" s="503"/>
      <c r="M666" s="633"/>
      <c r="N666" s="186" t="s">
        <v>11</v>
      </c>
      <c r="O666" s="195" t="str">
        <f t="shared" si="21"/>
        <v>OB1123F</v>
      </c>
      <c r="P666" s="504" t="s">
        <v>131</v>
      </c>
      <c r="Q666" s="505"/>
      <c r="R666" s="505"/>
      <c r="S666" s="506"/>
      <c r="T666" s="143" t="s">
        <v>1527</v>
      </c>
      <c r="U666" s="502" t="s">
        <v>1543</v>
      </c>
      <c r="V666" s="761"/>
      <c r="W666" s="762"/>
      <c r="X666" s="187"/>
      <c r="Y666" s="182"/>
      <c r="Z666" s="182"/>
      <c r="AA666" s="182"/>
      <c r="AB666" s="182"/>
      <c r="AC666" s="210"/>
      <c r="AD666" s="182"/>
      <c r="AE666" s="182"/>
      <c r="AF666" s="211"/>
    </row>
    <row r="667" spans="2:32" ht="17.25" customHeight="1">
      <c r="B667" s="180">
        <v>240</v>
      </c>
      <c r="C667" s="896" t="s">
        <v>258</v>
      </c>
      <c r="D667" s="765" t="s">
        <v>219</v>
      </c>
      <c r="E667" s="186" t="s">
        <v>10</v>
      </c>
      <c r="F667" s="187" t="str">
        <f t="shared" si="22"/>
        <v>IB11240</v>
      </c>
      <c r="G667" s="499" t="s">
        <v>233</v>
      </c>
      <c r="H667" s="500"/>
      <c r="I667" s="500"/>
      <c r="J667" s="501"/>
      <c r="K667" s="182" t="s">
        <v>1518</v>
      </c>
      <c r="L667" s="507"/>
      <c r="M667" s="634"/>
      <c r="N667" s="186" t="s">
        <v>11</v>
      </c>
      <c r="O667" s="195" t="str">
        <f t="shared" si="21"/>
        <v>OB11240</v>
      </c>
      <c r="P667" s="496"/>
      <c r="Q667" s="497"/>
      <c r="R667" s="497"/>
      <c r="S667" s="498"/>
      <c r="T667" s="190"/>
      <c r="U667" s="502"/>
      <c r="V667" s="761"/>
      <c r="W667" s="762"/>
      <c r="X667" s="187"/>
      <c r="Y667" s="182"/>
      <c r="Z667" s="182"/>
      <c r="AA667" s="182"/>
      <c r="AB667" s="182"/>
      <c r="AC667" s="210"/>
      <c r="AD667" s="182"/>
      <c r="AE667" s="182"/>
      <c r="AF667" s="211"/>
    </row>
    <row r="668" spans="2:32" ht="17.25" customHeight="1">
      <c r="B668" s="180">
        <v>241</v>
      </c>
      <c r="C668" s="896"/>
      <c r="D668" s="765"/>
      <c r="E668" s="186" t="s">
        <v>10</v>
      </c>
      <c r="F668" s="187" t="str">
        <f t="shared" si="22"/>
        <v>IB11241</v>
      </c>
      <c r="G668" s="499" t="s">
        <v>234</v>
      </c>
      <c r="H668" s="500"/>
      <c r="I668" s="500"/>
      <c r="J668" s="501"/>
      <c r="K668" s="143" t="s">
        <v>1527</v>
      </c>
      <c r="L668" s="503"/>
      <c r="M668" s="633"/>
      <c r="N668" s="186" t="s">
        <v>11</v>
      </c>
      <c r="O668" s="195" t="str">
        <f t="shared" si="21"/>
        <v>OB11241</v>
      </c>
      <c r="P668" s="496"/>
      <c r="Q668" s="497"/>
      <c r="R668" s="497"/>
      <c r="S668" s="498"/>
      <c r="T668" s="190"/>
      <c r="U668" s="502"/>
      <c r="V668" s="761"/>
      <c r="W668" s="762"/>
      <c r="X668" s="187"/>
      <c r="Y668" s="182"/>
      <c r="Z668" s="182"/>
      <c r="AA668" s="182"/>
      <c r="AB668" s="182"/>
      <c r="AC668" s="210"/>
      <c r="AD668" s="182"/>
      <c r="AE668" s="182"/>
      <c r="AF668" s="211"/>
    </row>
    <row r="669" spans="2:32" ht="17.25" customHeight="1">
      <c r="B669" s="180">
        <v>242</v>
      </c>
      <c r="C669" s="896"/>
      <c r="D669" s="765"/>
      <c r="E669" s="186" t="s">
        <v>10</v>
      </c>
      <c r="F669" s="187" t="str">
        <f t="shared" si="22"/>
        <v>IB11242</v>
      </c>
      <c r="G669" s="499" t="s">
        <v>448</v>
      </c>
      <c r="H669" s="500"/>
      <c r="I669" s="500"/>
      <c r="J669" s="501"/>
      <c r="K669" s="182" t="s">
        <v>1513</v>
      </c>
      <c r="L669" s="507"/>
      <c r="M669" s="634"/>
      <c r="N669" s="186" t="s">
        <v>11</v>
      </c>
      <c r="O669" s="195" t="str">
        <f t="shared" ref="O669:O732" si="23">LEFT(O668,1)&amp;DEC2HEX(HEX2DEC(MID(O668,2,LENB(O668)-1))+1,LENB(O668)-1)</f>
        <v>OB11242</v>
      </c>
      <c r="P669" s="496"/>
      <c r="Q669" s="497"/>
      <c r="R669" s="497"/>
      <c r="S669" s="498"/>
      <c r="T669" s="190"/>
      <c r="U669" s="502"/>
      <c r="V669" s="761"/>
      <c r="W669" s="762"/>
      <c r="X669" s="187"/>
      <c r="Y669" s="182"/>
      <c r="Z669" s="182"/>
      <c r="AA669" s="182"/>
      <c r="AB669" s="182"/>
      <c r="AC669" s="210"/>
      <c r="AD669" s="182"/>
      <c r="AE669" s="182"/>
      <c r="AF669" s="211"/>
    </row>
    <row r="670" spans="2:32" ht="17.25" customHeight="1">
      <c r="B670" s="180">
        <v>243</v>
      </c>
      <c r="C670" s="896"/>
      <c r="D670" s="765"/>
      <c r="E670" s="186" t="s">
        <v>10</v>
      </c>
      <c r="F670" s="187" t="str">
        <f t="shared" si="22"/>
        <v>IB11243</v>
      </c>
      <c r="G670" s="499" t="s">
        <v>449</v>
      </c>
      <c r="H670" s="500"/>
      <c r="I670" s="500"/>
      <c r="J670" s="501"/>
      <c r="K670" s="182" t="s">
        <v>1513</v>
      </c>
      <c r="L670" s="503"/>
      <c r="M670" s="633"/>
      <c r="N670" s="186" t="s">
        <v>11</v>
      </c>
      <c r="O670" s="195" t="str">
        <f t="shared" si="23"/>
        <v>OB11243</v>
      </c>
      <c r="P670" s="496"/>
      <c r="Q670" s="497"/>
      <c r="R670" s="497"/>
      <c r="S670" s="498"/>
      <c r="T670" s="190"/>
      <c r="U670" s="502"/>
      <c r="V670" s="761"/>
      <c r="W670" s="762"/>
      <c r="X670" s="187"/>
      <c r="Y670" s="182"/>
      <c r="Z670" s="182"/>
      <c r="AA670" s="182"/>
      <c r="AB670" s="182"/>
      <c r="AC670" s="210"/>
      <c r="AD670" s="182"/>
      <c r="AE670" s="182"/>
      <c r="AF670" s="211"/>
    </row>
    <row r="671" spans="2:32" ht="17.25" customHeight="1">
      <c r="B671" s="180">
        <v>244</v>
      </c>
      <c r="C671" s="896"/>
      <c r="D671" s="765"/>
      <c r="E671" s="186" t="s">
        <v>10</v>
      </c>
      <c r="F671" s="187" t="str">
        <f t="shared" si="22"/>
        <v>IB11244</v>
      </c>
      <c r="G671" s="499" t="s">
        <v>235</v>
      </c>
      <c r="H671" s="500"/>
      <c r="I671" s="500"/>
      <c r="J671" s="501"/>
      <c r="K671" s="182" t="s">
        <v>1513</v>
      </c>
      <c r="L671" s="503"/>
      <c r="M671" s="633"/>
      <c r="N671" s="186" t="s">
        <v>11</v>
      </c>
      <c r="O671" s="195" t="str">
        <f t="shared" si="23"/>
        <v>OB11244</v>
      </c>
      <c r="P671" s="496"/>
      <c r="Q671" s="497"/>
      <c r="R671" s="497"/>
      <c r="S671" s="498"/>
      <c r="T671" s="190"/>
      <c r="U671" s="502"/>
      <c r="V671" s="761"/>
      <c r="W671" s="762"/>
      <c r="X671" s="187"/>
      <c r="Y671" s="182"/>
      <c r="Z671" s="182"/>
      <c r="AA671" s="182"/>
      <c r="AB671" s="182"/>
      <c r="AC671" s="210"/>
      <c r="AD671" s="182"/>
      <c r="AE671" s="182"/>
      <c r="AF671" s="211"/>
    </row>
    <row r="672" spans="2:32" ht="17.25" customHeight="1">
      <c r="B672" s="180">
        <v>245</v>
      </c>
      <c r="C672" s="896"/>
      <c r="D672" s="765"/>
      <c r="E672" s="186" t="s">
        <v>10</v>
      </c>
      <c r="F672" s="187" t="str">
        <f t="shared" si="22"/>
        <v>IB11245</v>
      </c>
      <c r="G672" s="508" t="s">
        <v>236</v>
      </c>
      <c r="H672" s="509"/>
      <c r="I672" s="509"/>
      <c r="J672" s="510"/>
      <c r="K672" s="182" t="s">
        <v>1513</v>
      </c>
      <c r="L672" s="503"/>
      <c r="M672" s="633"/>
      <c r="N672" s="186" t="s">
        <v>11</v>
      </c>
      <c r="O672" s="195" t="str">
        <f t="shared" si="23"/>
        <v>OB11245</v>
      </c>
      <c r="P672" s="496"/>
      <c r="Q672" s="497"/>
      <c r="R672" s="497"/>
      <c r="S672" s="498"/>
      <c r="T672" s="190"/>
      <c r="U672" s="502"/>
      <c r="V672" s="761"/>
      <c r="W672" s="762"/>
      <c r="X672" s="187"/>
      <c r="Y672" s="182"/>
      <c r="Z672" s="182"/>
      <c r="AA672" s="182"/>
      <c r="AB672" s="182"/>
      <c r="AC672" s="210"/>
      <c r="AD672" s="182"/>
      <c r="AE672" s="182"/>
      <c r="AF672" s="211"/>
    </row>
    <row r="673" spans="2:32" ht="17.25" customHeight="1">
      <c r="B673" s="180">
        <v>246</v>
      </c>
      <c r="C673" s="896"/>
      <c r="D673" s="765"/>
      <c r="E673" s="186" t="s">
        <v>10</v>
      </c>
      <c r="F673" s="187" t="str">
        <f t="shared" si="22"/>
        <v>IB11246</v>
      </c>
      <c r="G673" s="508" t="s">
        <v>237</v>
      </c>
      <c r="H673" s="509"/>
      <c r="I673" s="509"/>
      <c r="J673" s="510"/>
      <c r="K673" s="182" t="s">
        <v>1513</v>
      </c>
      <c r="L673" s="503"/>
      <c r="M673" s="633"/>
      <c r="N673" s="186" t="s">
        <v>11</v>
      </c>
      <c r="O673" s="195" t="str">
        <f t="shared" si="23"/>
        <v>OB11246</v>
      </c>
      <c r="P673" s="496"/>
      <c r="Q673" s="497"/>
      <c r="R673" s="497"/>
      <c r="S673" s="498"/>
      <c r="T673" s="190"/>
      <c r="U673" s="502"/>
      <c r="V673" s="761"/>
      <c r="W673" s="762"/>
      <c r="X673" s="187"/>
      <c r="Y673" s="182"/>
      <c r="Z673" s="182"/>
      <c r="AA673" s="182"/>
      <c r="AB673" s="182"/>
      <c r="AC673" s="210"/>
      <c r="AD673" s="182"/>
      <c r="AE673" s="182"/>
      <c r="AF673" s="211"/>
    </row>
    <row r="674" spans="2:32" ht="17.25" customHeight="1">
      <c r="B674" s="180">
        <v>247</v>
      </c>
      <c r="C674" s="896"/>
      <c r="D674" s="765"/>
      <c r="E674" s="186" t="s">
        <v>10</v>
      </c>
      <c r="F674" s="187" t="str">
        <f t="shared" si="22"/>
        <v>IB11247</v>
      </c>
      <c r="G674" s="508" t="s">
        <v>238</v>
      </c>
      <c r="H674" s="509"/>
      <c r="I674" s="509"/>
      <c r="J674" s="510"/>
      <c r="K674" s="182" t="s">
        <v>1513</v>
      </c>
      <c r="L674" s="503"/>
      <c r="M674" s="633"/>
      <c r="N674" s="186" t="s">
        <v>11</v>
      </c>
      <c r="O674" s="195" t="str">
        <f t="shared" si="23"/>
        <v>OB11247</v>
      </c>
      <c r="P674" s="496"/>
      <c r="Q674" s="497"/>
      <c r="R674" s="497"/>
      <c r="S674" s="498"/>
      <c r="T674" s="190"/>
      <c r="U674" s="502"/>
      <c r="V674" s="761"/>
      <c r="W674" s="762"/>
      <c r="X674" s="187"/>
      <c r="Y674" s="182"/>
      <c r="Z674" s="182"/>
      <c r="AA674" s="182"/>
      <c r="AB674" s="182"/>
      <c r="AC674" s="210"/>
      <c r="AD674" s="182"/>
      <c r="AE674" s="182"/>
      <c r="AF674" s="211"/>
    </row>
    <row r="675" spans="2:32" ht="17.25" customHeight="1">
      <c r="B675" s="180">
        <v>248</v>
      </c>
      <c r="C675" s="896"/>
      <c r="D675" s="765"/>
      <c r="E675" s="186" t="s">
        <v>10</v>
      </c>
      <c r="F675" s="187" t="str">
        <f t="shared" si="22"/>
        <v>IB11248</v>
      </c>
      <c r="G675" s="499"/>
      <c r="H675" s="500"/>
      <c r="I675" s="500"/>
      <c r="J675" s="501"/>
      <c r="K675" s="182"/>
      <c r="L675" s="503"/>
      <c r="M675" s="633"/>
      <c r="N675" s="186" t="s">
        <v>11</v>
      </c>
      <c r="O675" s="195" t="str">
        <f t="shared" si="23"/>
        <v>OB11248</v>
      </c>
      <c r="P675" s="496"/>
      <c r="Q675" s="497"/>
      <c r="R675" s="497"/>
      <c r="S675" s="498"/>
      <c r="T675" s="190"/>
      <c r="U675" s="502"/>
      <c r="V675" s="761"/>
      <c r="W675" s="762"/>
      <c r="X675" s="187"/>
      <c r="Y675" s="182"/>
      <c r="Z675" s="182"/>
      <c r="AA675" s="182"/>
      <c r="AB675" s="182"/>
      <c r="AC675" s="210"/>
      <c r="AD675" s="182"/>
      <c r="AE675" s="182"/>
      <c r="AF675" s="211"/>
    </row>
    <row r="676" spans="2:32" ht="17.25" customHeight="1">
      <c r="B676" s="180">
        <v>249</v>
      </c>
      <c r="C676" s="896"/>
      <c r="D676" s="765"/>
      <c r="E676" s="186" t="s">
        <v>10</v>
      </c>
      <c r="F676" s="187" t="str">
        <f t="shared" si="22"/>
        <v>IB11249</v>
      </c>
      <c r="G676" s="499" t="s">
        <v>297</v>
      </c>
      <c r="H676" s="500"/>
      <c r="I676" s="500"/>
      <c r="J676" s="501"/>
      <c r="K676" s="182" t="s">
        <v>1513</v>
      </c>
      <c r="L676" s="503"/>
      <c r="M676" s="633"/>
      <c r="N676" s="186" t="s">
        <v>11</v>
      </c>
      <c r="O676" s="195" t="str">
        <f t="shared" si="23"/>
        <v>OB11249</v>
      </c>
      <c r="P676" s="496"/>
      <c r="Q676" s="497"/>
      <c r="R676" s="497"/>
      <c r="S676" s="498"/>
      <c r="T676" s="190"/>
      <c r="U676" s="502"/>
      <c r="V676" s="761"/>
      <c r="W676" s="762"/>
      <c r="X676" s="187"/>
      <c r="Y676" s="182"/>
      <c r="Z676" s="182"/>
      <c r="AA676" s="182"/>
      <c r="AB676" s="182"/>
      <c r="AC676" s="210"/>
      <c r="AD676" s="182"/>
      <c r="AE676" s="182"/>
      <c r="AF676" s="211"/>
    </row>
    <row r="677" spans="2:32" ht="17.25" customHeight="1">
      <c r="B677" s="180">
        <v>250</v>
      </c>
      <c r="C677" s="896"/>
      <c r="D677" s="765"/>
      <c r="E677" s="186" t="s">
        <v>10</v>
      </c>
      <c r="F677" s="187" t="str">
        <f t="shared" si="22"/>
        <v>IB1124A</v>
      </c>
      <c r="G677" s="499"/>
      <c r="H677" s="500"/>
      <c r="I677" s="500"/>
      <c r="J677" s="501"/>
      <c r="K677" s="182"/>
      <c r="L677" s="503"/>
      <c r="M677" s="633"/>
      <c r="N677" s="186" t="s">
        <v>11</v>
      </c>
      <c r="O677" s="195" t="str">
        <f t="shared" si="23"/>
        <v>OB1124A</v>
      </c>
      <c r="P677" s="496"/>
      <c r="Q677" s="497"/>
      <c r="R677" s="497"/>
      <c r="S677" s="498"/>
      <c r="T677" s="190"/>
      <c r="U677" s="502"/>
      <c r="V677" s="761"/>
      <c r="W677" s="762"/>
      <c r="X677" s="187"/>
      <c r="Y677" s="182"/>
      <c r="Z677" s="182"/>
      <c r="AA677" s="182"/>
      <c r="AB677" s="182"/>
      <c r="AC677" s="210"/>
      <c r="AD677" s="182"/>
      <c r="AE677" s="182"/>
      <c r="AF677" s="211"/>
    </row>
    <row r="678" spans="2:32" ht="17.25" customHeight="1">
      <c r="B678" s="180">
        <v>251</v>
      </c>
      <c r="C678" s="896"/>
      <c r="D678" s="765"/>
      <c r="E678" s="186" t="s">
        <v>10</v>
      </c>
      <c r="F678" s="187" t="str">
        <f t="shared" si="22"/>
        <v>IB1124B</v>
      </c>
      <c r="G678" s="499"/>
      <c r="H678" s="500"/>
      <c r="I678" s="500"/>
      <c r="J678" s="501"/>
      <c r="K678" s="182"/>
      <c r="L678" s="503"/>
      <c r="M678" s="633"/>
      <c r="N678" s="186" t="s">
        <v>11</v>
      </c>
      <c r="O678" s="195" t="str">
        <f t="shared" si="23"/>
        <v>OB1124B</v>
      </c>
      <c r="P678" s="496"/>
      <c r="Q678" s="497"/>
      <c r="R678" s="497"/>
      <c r="S678" s="498"/>
      <c r="T678" s="190"/>
      <c r="U678" s="502"/>
      <c r="V678" s="761"/>
      <c r="W678" s="762"/>
      <c r="X678" s="187"/>
      <c r="Y678" s="182"/>
      <c r="Z678" s="182"/>
      <c r="AA678" s="182"/>
      <c r="AB678" s="182"/>
      <c r="AC678" s="210"/>
      <c r="AD678" s="182"/>
      <c r="AE678" s="182"/>
      <c r="AF678" s="211"/>
    </row>
    <row r="679" spans="2:32" ht="17.25" customHeight="1">
      <c r="B679" s="180">
        <v>252</v>
      </c>
      <c r="C679" s="896"/>
      <c r="D679" s="765"/>
      <c r="E679" s="186" t="s">
        <v>10</v>
      </c>
      <c r="F679" s="187" t="str">
        <f t="shared" si="22"/>
        <v>IB1124C</v>
      </c>
      <c r="G679" s="499"/>
      <c r="H679" s="500"/>
      <c r="I679" s="500"/>
      <c r="J679" s="501"/>
      <c r="K679" s="182"/>
      <c r="L679" s="503"/>
      <c r="M679" s="633"/>
      <c r="N679" s="186" t="s">
        <v>11</v>
      </c>
      <c r="O679" s="195" t="str">
        <f t="shared" si="23"/>
        <v>OB1124C</v>
      </c>
      <c r="P679" s="496"/>
      <c r="Q679" s="497"/>
      <c r="R679" s="497"/>
      <c r="S679" s="498"/>
      <c r="T679" s="190"/>
      <c r="U679" s="502"/>
      <c r="V679" s="761"/>
      <c r="W679" s="762"/>
      <c r="X679" s="187"/>
      <c r="Y679" s="182"/>
      <c r="Z679" s="182"/>
      <c r="AA679" s="182"/>
      <c r="AB679" s="182"/>
      <c r="AC679" s="210"/>
      <c r="AD679" s="182"/>
      <c r="AE679" s="182"/>
      <c r="AF679" s="211"/>
    </row>
    <row r="680" spans="2:32" ht="17.25" customHeight="1">
      <c r="B680" s="180">
        <v>253</v>
      </c>
      <c r="C680" s="896"/>
      <c r="D680" s="765"/>
      <c r="E680" s="186" t="s">
        <v>10</v>
      </c>
      <c r="F680" s="187" t="str">
        <f t="shared" si="22"/>
        <v>IB1124D</v>
      </c>
      <c r="G680" s="499"/>
      <c r="H680" s="500"/>
      <c r="I680" s="500"/>
      <c r="J680" s="501"/>
      <c r="K680" s="182"/>
      <c r="L680" s="503"/>
      <c r="M680" s="633"/>
      <c r="N680" s="186" t="s">
        <v>11</v>
      </c>
      <c r="O680" s="195" t="str">
        <f t="shared" si="23"/>
        <v>OB1124D</v>
      </c>
      <c r="P680" s="496"/>
      <c r="Q680" s="497"/>
      <c r="R680" s="497"/>
      <c r="S680" s="498"/>
      <c r="T680" s="190"/>
      <c r="U680" s="502"/>
      <c r="V680" s="761"/>
      <c r="W680" s="762"/>
      <c r="X680" s="187"/>
      <c r="Y680" s="182"/>
      <c r="Z680" s="182"/>
      <c r="AA680" s="182"/>
      <c r="AB680" s="182"/>
      <c r="AC680" s="210"/>
      <c r="AD680" s="182"/>
      <c r="AE680" s="182"/>
      <c r="AF680" s="211"/>
    </row>
    <row r="681" spans="2:32" ht="17.25" customHeight="1">
      <c r="B681" s="180">
        <v>254</v>
      </c>
      <c r="C681" s="896"/>
      <c r="D681" s="765"/>
      <c r="E681" s="186" t="s">
        <v>10</v>
      </c>
      <c r="F681" s="187" t="str">
        <f t="shared" si="22"/>
        <v>IB1124E</v>
      </c>
      <c r="G681" s="499"/>
      <c r="H681" s="500"/>
      <c r="I681" s="500"/>
      <c r="J681" s="501"/>
      <c r="K681" s="182"/>
      <c r="L681" s="503"/>
      <c r="M681" s="633"/>
      <c r="N681" s="186" t="s">
        <v>11</v>
      </c>
      <c r="O681" s="195" t="str">
        <f t="shared" si="23"/>
        <v>OB1124E</v>
      </c>
      <c r="P681" s="496"/>
      <c r="Q681" s="497"/>
      <c r="R681" s="497"/>
      <c r="S681" s="498"/>
      <c r="T681" s="190"/>
      <c r="U681" s="502"/>
      <c r="V681" s="761"/>
      <c r="W681" s="762"/>
      <c r="X681" s="187"/>
      <c r="Y681" s="182"/>
      <c r="Z681" s="182"/>
      <c r="AA681" s="182"/>
      <c r="AB681" s="182"/>
      <c r="AC681" s="210"/>
      <c r="AD681" s="182"/>
      <c r="AE681" s="182"/>
      <c r="AF681" s="211"/>
    </row>
    <row r="682" spans="2:32" ht="17.25" customHeight="1">
      <c r="B682" s="511">
        <v>255</v>
      </c>
      <c r="C682" s="897"/>
      <c r="D682" s="898"/>
      <c r="E682" s="512" t="s">
        <v>10</v>
      </c>
      <c r="F682" s="513" t="str">
        <f t="shared" si="22"/>
        <v>IB1124F</v>
      </c>
      <c r="G682" s="514"/>
      <c r="H682" s="515"/>
      <c r="I682" s="515"/>
      <c r="J682" s="516"/>
      <c r="K682" s="522"/>
      <c r="L682" s="566"/>
      <c r="M682" s="635"/>
      <c r="N682" s="512" t="s">
        <v>11</v>
      </c>
      <c r="O682" s="517" t="str">
        <f t="shared" si="23"/>
        <v>OB1124F</v>
      </c>
      <c r="P682" s="518"/>
      <c r="Q682" s="519"/>
      <c r="R682" s="519"/>
      <c r="S682" s="520"/>
      <c r="T682" s="603"/>
      <c r="U682" s="521"/>
      <c r="V682" s="899"/>
      <c r="W682" s="900"/>
      <c r="X682" s="513"/>
      <c r="Y682" s="522"/>
      <c r="Z682" s="522"/>
      <c r="AA682" s="522"/>
      <c r="AB682" s="522"/>
      <c r="AC682" s="523"/>
      <c r="AD682" s="522"/>
      <c r="AE682" s="522"/>
      <c r="AF682" s="524"/>
    </row>
    <row r="683" spans="2:32" ht="17.25" customHeight="1">
      <c r="B683" s="34">
        <v>240</v>
      </c>
      <c r="C683" s="836" t="s">
        <v>280</v>
      </c>
      <c r="D683" s="791" t="s">
        <v>219</v>
      </c>
      <c r="E683" s="35" t="s">
        <v>10</v>
      </c>
      <c r="F683" s="36" t="str">
        <f t="shared" si="22"/>
        <v>IB11250</v>
      </c>
      <c r="G683" s="302" t="s">
        <v>453</v>
      </c>
      <c r="H683" s="303"/>
      <c r="I683" s="303"/>
      <c r="J683" s="304"/>
      <c r="K683" s="143" t="s">
        <v>1516</v>
      </c>
      <c r="L683" s="37" t="s">
        <v>1516</v>
      </c>
      <c r="M683" s="598"/>
      <c r="N683" s="35" t="s">
        <v>11</v>
      </c>
      <c r="O683" s="38" t="str">
        <f t="shared" si="23"/>
        <v>OB11250</v>
      </c>
      <c r="P683" s="317"/>
      <c r="Q683" s="318"/>
      <c r="R683" s="318"/>
      <c r="S683" s="319" t="s">
        <v>1489</v>
      </c>
      <c r="T683" s="140"/>
      <c r="U683" s="142"/>
      <c r="V683" s="882"/>
      <c r="W683" s="883"/>
      <c r="X683" s="36"/>
      <c r="Y683" s="143"/>
      <c r="Z683" s="143"/>
      <c r="AA683" s="143"/>
      <c r="AB683" s="143"/>
      <c r="AC683" s="144"/>
      <c r="AD683" s="143"/>
      <c r="AE683" s="143"/>
      <c r="AF683" s="145"/>
    </row>
    <row r="684" spans="2:32" ht="17.25" customHeight="1">
      <c r="B684" s="34">
        <v>241</v>
      </c>
      <c r="C684" s="823"/>
      <c r="D684" s="792"/>
      <c r="E684" s="35" t="s">
        <v>10</v>
      </c>
      <c r="F684" s="36" t="str">
        <f t="shared" si="22"/>
        <v>IB11251</v>
      </c>
      <c r="G684" s="302" t="s">
        <v>1491</v>
      </c>
      <c r="H684" s="303"/>
      <c r="I684" s="303"/>
      <c r="J684" s="304"/>
      <c r="K684" s="143" t="s">
        <v>1516</v>
      </c>
      <c r="L684" s="37" t="s">
        <v>1535</v>
      </c>
      <c r="M684" s="598"/>
      <c r="N684" s="35" t="s">
        <v>11</v>
      </c>
      <c r="O684" s="38" t="str">
        <f t="shared" si="23"/>
        <v>OB11251</v>
      </c>
      <c r="P684" s="83"/>
      <c r="Q684" s="84"/>
      <c r="R684" s="84"/>
      <c r="S684" s="85"/>
      <c r="T684" s="140"/>
      <c r="U684" s="142"/>
      <c r="V684" s="882"/>
      <c r="W684" s="883"/>
      <c r="X684" s="36"/>
      <c r="Y684" s="143"/>
      <c r="Z684" s="143"/>
      <c r="AA684" s="143"/>
      <c r="AB684" s="143"/>
      <c r="AC684" s="144"/>
      <c r="AD684" s="143"/>
      <c r="AE684" s="143"/>
      <c r="AF684" s="145"/>
    </row>
    <row r="685" spans="2:32" ht="17.25" customHeight="1">
      <c r="B685" s="34">
        <v>242</v>
      </c>
      <c r="C685" s="823"/>
      <c r="D685" s="792"/>
      <c r="E685" s="35" t="s">
        <v>10</v>
      </c>
      <c r="F685" s="36" t="str">
        <f t="shared" si="22"/>
        <v>IB11252</v>
      </c>
      <c r="G685" s="302" t="s">
        <v>1490</v>
      </c>
      <c r="H685" s="303"/>
      <c r="I685" s="303"/>
      <c r="J685" s="304"/>
      <c r="K685" s="143" t="s">
        <v>1516</v>
      </c>
      <c r="L685" s="37" t="s">
        <v>1535</v>
      </c>
      <c r="M685" s="598"/>
      <c r="N685" s="35" t="s">
        <v>11</v>
      </c>
      <c r="O685" s="38" t="str">
        <f t="shared" si="23"/>
        <v>OB11252</v>
      </c>
      <c r="P685" s="83"/>
      <c r="Q685" s="84"/>
      <c r="R685" s="84"/>
      <c r="S685" s="85"/>
      <c r="T685" s="140"/>
      <c r="U685" s="142"/>
      <c r="V685" s="882"/>
      <c r="W685" s="883"/>
      <c r="X685" s="36"/>
      <c r="Y685" s="143"/>
      <c r="Z685" s="143"/>
      <c r="AA685" s="143"/>
      <c r="AB685" s="143"/>
      <c r="AC685" s="144"/>
      <c r="AD685" s="143"/>
      <c r="AE685" s="143"/>
      <c r="AF685" s="145"/>
    </row>
    <row r="686" spans="2:32" ht="17.25" customHeight="1">
      <c r="B686" s="34">
        <v>243</v>
      </c>
      <c r="C686" s="823"/>
      <c r="D686" s="792"/>
      <c r="E686" s="35" t="s">
        <v>10</v>
      </c>
      <c r="F686" s="36" t="str">
        <f t="shared" si="22"/>
        <v>IB11253</v>
      </c>
      <c r="G686" s="302" t="s">
        <v>1493</v>
      </c>
      <c r="H686" s="303"/>
      <c r="I686" s="303"/>
      <c r="J686" s="304"/>
      <c r="K686" s="143" t="s">
        <v>1516</v>
      </c>
      <c r="L686" s="37" t="s">
        <v>1535</v>
      </c>
      <c r="M686" s="598"/>
      <c r="N686" s="35" t="s">
        <v>11</v>
      </c>
      <c r="O686" s="38" t="str">
        <f t="shared" si="23"/>
        <v>OB11253</v>
      </c>
      <c r="P686" s="83"/>
      <c r="Q686" s="84"/>
      <c r="R686" s="84"/>
      <c r="S686" s="85"/>
      <c r="T686" s="140"/>
      <c r="U686" s="142"/>
      <c r="V686" s="882"/>
      <c r="W686" s="883"/>
      <c r="X686" s="36"/>
      <c r="Y686" s="143"/>
      <c r="Z686" s="143"/>
      <c r="AA686" s="143"/>
      <c r="AB686" s="143"/>
      <c r="AC686" s="144"/>
      <c r="AD686" s="143"/>
      <c r="AE686" s="143"/>
      <c r="AF686" s="145"/>
    </row>
    <row r="687" spans="2:32" ht="17.25" customHeight="1">
      <c r="B687" s="34">
        <v>244</v>
      </c>
      <c r="C687" s="823"/>
      <c r="D687" s="792"/>
      <c r="E687" s="35" t="s">
        <v>10</v>
      </c>
      <c r="F687" s="36" t="str">
        <f t="shared" si="22"/>
        <v>IB11254</v>
      </c>
      <c r="G687" s="302" t="s">
        <v>1494</v>
      </c>
      <c r="H687" s="303"/>
      <c r="I687" s="303"/>
      <c r="J687" s="304"/>
      <c r="K687" s="143" t="s">
        <v>1516</v>
      </c>
      <c r="L687" s="37" t="s">
        <v>1535</v>
      </c>
      <c r="M687" s="598"/>
      <c r="N687" s="35" t="s">
        <v>11</v>
      </c>
      <c r="O687" s="38" t="str">
        <f t="shared" si="23"/>
        <v>OB11254</v>
      </c>
      <c r="P687" s="83"/>
      <c r="Q687" s="84"/>
      <c r="R687" s="84"/>
      <c r="S687" s="85"/>
      <c r="T687" s="140"/>
      <c r="U687" s="142"/>
      <c r="V687" s="882"/>
      <c r="W687" s="883"/>
      <c r="X687" s="36"/>
      <c r="Y687" s="143"/>
      <c r="Z687" s="143"/>
      <c r="AA687" s="143"/>
      <c r="AB687" s="143"/>
      <c r="AC687" s="144"/>
      <c r="AD687" s="143"/>
      <c r="AE687" s="143"/>
      <c r="AF687" s="145"/>
    </row>
    <row r="688" spans="2:32" ht="17.25" customHeight="1">
      <c r="B688" s="34">
        <v>245</v>
      </c>
      <c r="C688" s="823"/>
      <c r="D688" s="792"/>
      <c r="E688" s="35" t="s">
        <v>10</v>
      </c>
      <c r="F688" s="36" t="str">
        <f t="shared" si="22"/>
        <v>IB11255</v>
      </c>
      <c r="G688" s="302" t="s">
        <v>1492</v>
      </c>
      <c r="H688" s="79"/>
      <c r="I688" s="79"/>
      <c r="J688" s="80"/>
      <c r="K688" s="143" t="s">
        <v>1516</v>
      </c>
      <c r="L688" s="37" t="s">
        <v>1535</v>
      </c>
      <c r="M688" s="598"/>
      <c r="N688" s="35" t="s">
        <v>11</v>
      </c>
      <c r="O688" s="38" t="str">
        <f t="shared" si="23"/>
        <v>OB11255</v>
      </c>
      <c r="P688" s="83"/>
      <c r="Q688" s="84"/>
      <c r="R688" s="84"/>
      <c r="S688" s="85"/>
      <c r="T688" s="140"/>
      <c r="U688" s="142"/>
      <c r="V688" s="882"/>
      <c r="W688" s="883"/>
      <c r="X688" s="36"/>
      <c r="Y688" s="143"/>
      <c r="Z688" s="143"/>
      <c r="AA688" s="143"/>
      <c r="AB688" s="143"/>
      <c r="AC688" s="144"/>
      <c r="AD688" s="143"/>
      <c r="AE688" s="143"/>
      <c r="AF688" s="145"/>
    </row>
    <row r="689" spans="2:32" ht="17.25" customHeight="1">
      <c r="B689" s="34">
        <v>246</v>
      </c>
      <c r="C689" s="823"/>
      <c r="D689" s="792"/>
      <c r="E689" s="35" t="s">
        <v>10</v>
      </c>
      <c r="F689" s="36" t="str">
        <f t="shared" si="22"/>
        <v>IB11256</v>
      </c>
      <c r="G689" s="302" t="s">
        <v>454</v>
      </c>
      <c r="H689" s="79"/>
      <c r="I689" s="79"/>
      <c r="J689" s="80"/>
      <c r="K689" s="143" t="s">
        <v>1516</v>
      </c>
      <c r="L689" s="37" t="s">
        <v>1535</v>
      </c>
      <c r="M689" s="598"/>
      <c r="N689" s="35" t="s">
        <v>11</v>
      </c>
      <c r="O689" s="38" t="str">
        <f t="shared" si="23"/>
        <v>OB11256</v>
      </c>
      <c r="P689" s="83"/>
      <c r="Q689" s="84"/>
      <c r="R689" s="84"/>
      <c r="S689" s="85"/>
      <c r="T689" s="140"/>
      <c r="U689" s="142"/>
      <c r="V689" s="882"/>
      <c r="W689" s="883"/>
      <c r="X689" s="36"/>
      <c r="Y689" s="143"/>
      <c r="Z689" s="143"/>
      <c r="AA689" s="143"/>
      <c r="AB689" s="143"/>
      <c r="AC689" s="144"/>
      <c r="AD689" s="143"/>
      <c r="AE689" s="143"/>
      <c r="AF689" s="145"/>
    </row>
    <row r="690" spans="2:32" ht="17.25" customHeight="1">
      <c r="B690" s="34">
        <v>247</v>
      </c>
      <c r="C690" s="823"/>
      <c r="D690" s="792"/>
      <c r="E690" s="35" t="s">
        <v>10</v>
      </c>
      <c r="F690" s="36" t="str">
        <f t="shared" si="22"/>
        <v>IB11257</v>
      </c>
      <c r="G690" s="302" t="s">
        <v>1495</v>
      </c>
      <c r="H690" s="79"/>
      <c r="I690" s="79"/>
      <c r="J690" s="80"/>
      <c r="K690" s="143" t="s">
        <v>1516</v>
      </c>
      <c r="L690" s="37" t="s">
        <v>1535</v>
      </c>
      <c r="M690" s="598"/>
      <c r="N690" s="35" t="s">
        <v>11</v>
      </c>
      <c r="O690" s="38" t="str">
        <f t="shared" si="23"/>
        <v>OB11257</v>
      </c>
      <c r="P690" s="83"/>
      <c r="Q690" s="84"/>
      <c r="R690" s="84"/>
      <c r="S690" s="85"/>
      <c r="T690" s="140"/>
      <c r="U690" s="142"/>
      <c r="V690" s="882"/>
      <c r="W690" s="883"/>
      <c r="X690" s="36"/>
      <c r="Y690" s="143"/>
      <c r="Z690" s="143"/>
      <c r="AA690" s="143"/>
      <c r="AB690" s="143"/>
      <c r="AC690" s="144"/>
      <c r="AD690" s="143"/>
      <c r="AE690" s="143"/>
      <c r="AF690" s="145"/>
    </row>
    <row r="691" spans="2:32" ht="17.25" customHeight="1">
      <c r="B691" s="34">
        <v>248</v>
      </c>
      <c r="C691" s="823"/>
      <c r="D691" s="792"/>
      <c r="E691" s="35" t="s">
        <v>10</v>
      </c>
      <c r="F691" s="36" t="str">
        <f t="shared" si="22"/>
        <v>IB11258</v>
      </c>
      <c r="G691" s="302" t="s">
        <v>452</v>
      </c>
      <c r="H691" s="303"/>
      <c r="I691" s="303"/>
      <c r="J691" s="304"/>
      <c r="K691" s="143" t="s">
        <v>1516</v>
      </c>
      <c r="L691" s="37" t="s">
        <v>1535</v>
      </c>
      <c r="M691" s="598"/>
      <c r="N691" s="35" t="s">
        <v>11</v>
      </c>
      <c r="O691" s="38" t="str">
        <f t="shared" si="23"/>
        <v>OB11258</v>
      </c>
      <c r="P691" s="83"/>
      <c r="Q691" s="84"/>
      <c r="R691" s="84"/>
      <c r="S691" s="85"/>
      <c r="T691" s="140"/>
      <c r="U691" s="142"/>
      <c r="V691" s="882"/>
      <c r="W691" s="883"/>
      <c r="X691" s="36"/>
      <c r="Y691" s="143"/>
      <c r="Z691" s="143"/>
      <c r="AA691" s="143"/>
      <c r="AB691" s="143"/>
      <c r="AC691" s="144"/>
      <c r="AD691" s="143"/>
      <c r="AE691" s="143"/>
      <c r="AF691" s="145"/>
    </row>
    <row r="692" spans="2:32" ht="17.25" customHeight="1">
      <c r="B692" s="34">
        <v>249</v>
      </c>
      <c r="C692" s="823"/>
      <c r="D692" s="792"/>
      <c r="E692" s="35" t="s">
        <v>10</v>
      </c>
      <c r="F692" s="36" t="str">
        <f t="shared" si="22"/>
        <v>IB11259</v>
      </c>
      <c r="G692" s="302"/>
      <c r="H692" s="303"/>
      <c r="I692" s="303"/>
      <c r="J692" s="304"/>
      <c r="K692" s="143"/>
      <c r="L692" s="37"/>
      <c r="M692" s="598"/>
      <c r="N692" s="35" t="s">
        <v>11</v>
      </c>
      <c r="O692" s="38" t="str">
        <f t="shared" si="23"/>
        <v>OB11259</v>
      </c>
      <c r="P692" s="83"/>
      <c r="Q692" s="84"/>
      <c r="R692" s="84"/>
      <c r="S692" s="85"/>
      <c r="T692" s="140"/>
      <c r="U692" s="142"/>
      <c r="V692" s="882"/>
      <c r="W692" s="883"/>
      <c r="X692" s="36"/>
      <c r="Y692" s="143"/>
      <c r="Z692" s="143"/>
      <c r="AA692" s="143"/>
      <c r="AB692" s="143"/>
      <c r="AC692" s="144"/>
      <c r="AD692" s="143"/>
      <c r="AE692" s="143"/>
      <c r="AF692" s="145"/>
    </row>
    <row r="693" spans="2:32" ht="17.25" customHeight="1">
      <c r="B693" s="34">
        <v>250</v>
      </c>
      <c r="C693" s="823"/>
      <c r="D693" s="792"/>
      <c r="E693" s="35" t="s">
        <v>10</v>
      </c>
      <c r="F693" s="36" t="str">
        <f t="shared" si="22"/>
        <v>IB1125A</v>
      </c>
      <c r="G693" s="302"/>
      <c r="H693" s="303"/>
      <c r="I693" s="303"/>
      <c r="J693" s="304"/>
      <c r="K693" s="143"/>
      <c r="L693" s="37"/>
      <c r="M693" s="598"/>
      <c r="N693" s="35" t="s">
        <v>11</v>
      </c>
      <c r="O693" s="38" t="str">
        <f t="shared" si="23"/>
        <v>OB1125A</v>
      </c>
      <c r="P693" s="83"/>
      <c r="Q693" s="84"/>
      <c r="R693" s="84"/>
      <c r="S693" s="85"/>
      <c r="T693" s="140"/>
      <c r="U693" s="142"/>
      <c r="V693" s="882"/>
      <c r="W693" s="883"/>
      <c r="X693" s="36"/>
      <c r="Y693" s="143"/>
      <c r="Z693" s="143"/>
      <c r="AA693" s="143"/>
      <c r="AB693" s="143"/>
      <c r="AC693" s="144"/>
      <c r="AD693" s="143"/>
      <c r="AE693" s="143"/>
      <c r="AF693" s="145"/>
    </row>
    <row r="694" spans="2:32" ht="17.25" customHeight="1">
      <c r="B694" s="34">
        <v>251</v>
      </c>
      <c r="C694" s="823"/>
      <c r="D694" s="792"/>
      <c r="E694" s="35" t="s">
        <v>10</v>
      </c>
      <c r="F694" s="36" t="str">
        <f t="shared" si="22"/>
        <v>IB1125B</v>
      </c>
      <c r="G694" s="302"/>
      <c r="H694" s="303"/>
      <c r="I694" s="303"/>
      <c r="J694" s="304"/>
      <c r="K694" s="143"/>
      <c r="L694" s="37"/>
      <c r="M694" s="598"/>
      <c r="N694" s="35" t="s">
        <v>11</v>
      </c>
      <c r="O694" s="38" t="str">
        <f t="shared" si="23"/>
        <v>OB1125B</v>
      </c>
      <c r="P694" s="83"/>
      <c r="Q694" s="84"/>
      <c r="R694" s="84"/>
      <c r="S694" s="85"/>
      <c r="T694" s="140"/>
      <c r="U694" s="142"/>
      <c r="V694" s="882"/>
      <c r="W694" s="883"/>
      <c r="X694" s="36"/>
      <c r="Y694" s="143"/>
      <c r="Z694" s="143"/>
      <c r="AA694" s="143"/>
      <c r="AB694" s="143"/>
      <c r="AC694" s="144"/>
      <c r="AD694" s="143"/>
      <c r="AE694" s="143"/>
      <c r="AF694" s="145"/>
    </row>
    <row r="695" spans="2:32" ht="17.25" customHeight="1">
      <c r="B695" s="34">
        <v>252</v>
      </c>
      <c r="C695" s="823"/>
      <c r="D695" s="792"/>
      <c r="E695" s="35" t="s">
        <v>10</v>
      </c>
      <c r="F695" s="36" t="str">
        <f t="shared" si="22"/>
        <v>IB1125C</v>
      </c>
      <c r="G695" s="302"/>
      <c r="H695" s="303"/>
      <c r="I695" s="303"/>
      <c r="J695" s="304"/>
      <c r="K695" s="143"/>
      <c r="L695" s="37"/>
      <c r="M695" s="598"/>
      <c r="N695" s="35" t="s">
        <v>11</v>
      </c>
      <c r="O695" s="38" t="str">
        <f t="shared" si="23"/>
        <v>OB1125C</v>
      </c>
      <c r="P695" s="83"/>
      <c r="Q695" s="84"/>
      <c r="R695" s="84"/>
      <c r="S695" s="85"/>
      <c r="T695" s="140"/>
      <c r="U695" s="142"/>
      <c r="V695" s="882"/>
      <c r="W695" s="883"/>
      <c r="X695" s="36"/>
      <c r="Y695" s="143"/>
      <c r="Z695" s="143"/>
      <c r="AA695" s="143"/>
      <c r="AB695" s="143"/>
      <c r="AC695" s="144"/>
      <c r="AD695" s="143"/>
      <c r="AE695" s="143"/>
      <c r="AF695" s="145"/>
    </row>
    <row r="696" spans="2:32" ht="17.25" customHeight="1">
      <c r="B696" s="34">
        <v>253</v>
      </c>
      <c r="C696" s="823"/>
      <c r="D696" s="792"/>
      <c r="E696" s="35" t="s">
        <v>10</v>
      </c>
      <c r="F696" s="36" t="str">
        <f t="shared" si="22"/>
        <v>IB1125D</v>
      </c>
      <c r="G696" s="302"/>
      <c r="H696" s="303"/>
      <c r="I696" s="303"/>
      <c r="J696" s="304"/>
      <c r="K696" s="143"/>
      <c r="L696" s="37"/>
      <c r="M696" s="598"/>
      <c r="N696" s="35" t="s">
        <v>11</v>
      </c>
      <c r="O696" s="38" t="str">
        <f t="shared" si="23"/>
        <v>OB1125D</v>
      </c>
      <c r="P696" s="83"/>
      <c r="Q696" s="84"/>
      <c r="R696" s="84"/>
      <c r="S696" s="85"/>
      <c r="T696" s="140"/>
      <c r="U696" s="142"/>
      <c r="V696" s="882"/>
      <c r="W696" s="883"/>
      <c r="X696" s="36"/>
      <c r="Y696" s="143"/>
      <c r="Z696" s="143"/>
      <c r="AA696" s="143"/>
      <c r="AB696" s="143"/>
      <c r="AC696" s="144"/>
      <c r="AD696" s="143"/>
      <c r="AE696" s="143"/>
      <c r="AF696" s="145"/>
    </row>
    <row r="697" spans="2:32" ht="17.25" customHeight="1">
      <c r="B697" s="34">
        <v>254</v>
      </c>
      <c r="C697" s="823"/>
      <c r="D697" s="792"/>
      <c r="E697" s="35" t="s">
        <v>10</v>
      </c>
      <c r="F697" s="36" t="str">
        <f t="shared" si="22"/>
        <v>IB1125E</v>
      </c>
      <c r="G697" s="302"/>
      <c r="H697" s="303"/>
      <c r="I697" s="303"/>
      <c r="J697" s="304"/>
      <c r="K697" s="143"/>
      <c r="L697" s="37"/>
      <c r="M697" s="598"/>
      <c r="N697" s="35" t="s">
        <v>11</v>
      </c>
      <c r="O697" s="38" t="str">
        <f t="shared" si="23"/>
        <v>OB1125E</v>
      </c>
      <c r="P697" s="83"/>
      <c r="Q697" s="84"/>
      <c r="R697" s="84"/>
      <c r="S697" s="85"/>
      <c r="T697" s="140"/>
      <c r="U697" s="142"/>
      <c r="V697" s="882"/>
      <c r="W697" s="883"/>
      <c r="X697" s="36"/>
      <c r="Y697" s="143"/>
      <c r="Z697" s="143"/>
      <c r="AA697" s="143"/>
      <c r="AB697" s="143"/>
      <c r="AC697" s="144"/>
      <c r="AD697" s="143"/>
      <c r="AE697" s="143"/>
      <c r="AF697" s="145"/>
    </row>
    <row r="698" spans="2:32" ht="17.25" customHeight="1">
      <c r="B698" s="34">
        <v>255</v>
      </c>
      <c r="C698" s="837"/>
      <c r="D698" s="839"/>
      <c r="E698" s="35" t="s">
        <v>10</v>
      </c>
      <c r="F698" s="36" t="str">
        <f t="shared" si="22"/>
        <v>IB1125F</v>
      </c>
      <c r="G698" s="302" t="s">
        <v>1520</v>
      </c>
      <c r="H698" s="303"/>
      <c r="I698" s="303"/>
      <c r="J698" s="304"/>
      <c r="K698" s="143" t="s">
        <v>1513</v>
      </c>
      <c r="L698" s="37"/>
      <c r="M698" s="598"/>
      <c r="N698" s="35" t="s">
        <v>11</v>
      </c>
      <c r="O698" s="38" t="str">
        <f t="shared" si="23"/>
        <v>OB1125F</v>
      </c>
      <c r="P698" s="332"/>
      <c r="Q698" s="333"/>
      <c r="R698" s="333"/>
      <c r="S698" s="334"/>
      <c r="T698" s="140"/>
      <c r="U698" s="142"/>
      <c r="V698" s="882"/>
      <c r="W698" s="883"/>
      <c r="X698" s="36"/>
      <c r="Y698" s="143"/>
      <c r="Z698" s="143"/>
      <c r="AA698" s="143"/>
      <c r="AB698" s="143"/>
      <c r="AC698" s="144"/>
      <c r="AD698" s="143"/>
      <c r="AE698" s="143"/>
      <c r="AF698" s="145"/>
    </row>
    <row r="699" spans="2:32" ht="17.25" customHeight="1">
      <c r="B699" s="34">
        <v>304</v>
      </c>
      <c r="C699" s="841" t="s">
        <v>281</v>
      </c>
      <c r="D699" s="791" t="s">
        <v>219</v>
      </c>
      <c r="E699" s="35" t="s">
        <v>10</v>
      </c>
      <c r="F699" s="36" t="str">
        <f t="shared" si="22"/>
        <v>IB11260</v>
      </c>
      <c r="G699" s="317"/>
      <c r="H699" s="318"/>
      <c r="I699" s="318"/>
      <c r="J699" s="319"/>
      <c r="K699" s="140"/>
      <c r="L699" s="141"/>
      <c r="M699" s="140"/>
      <c r="N699" s="35" t="s">
        <v>11</v>
      </c>
      <c r="O699" s="38" t="str">
        <f t="shared" si="23"/>
        <v>OB11260</v>
      </c>
      <c r="P699" s="302" t="s">
        <v>455</v>
      </c>
      <c r="Q699" s="303"/>
      <c r="R699" s="303"/>
      <c r="S699" s="304"/>
      <c r="T699" s="140" t="s">
        <v>1516</v>
      </c>
      <c r="U699" s="37" t="s">
        <v>1535</v>
      </c>
      <c r="V699" s="882"/>
      <c r="W699" s="883"/>
      <c r="X699" s="36"/>
      <c r="Y699" s="143"/>
      <c r="Z699" s="143"/>
      <c r="AA699" s="143"/>
      <c r="AB699" s="143"/>
      <c r="AC699" s="144"/>
      <c r="AD699" s="143"/>
      <c r="AE699" s="143"/>
      <c r="AF699" s="145"/>
    </row>
    <row r="700" spans="2:32" ht="17.25" customHeight="1">
      <c r="B700" s="34">
        <v>305</v>
      </c>
      <c r="C700" s="819"/>
      <c r="D700" s="792"/>
      <c r="E700" s="35" t="s">
        <v>10</v>
      </c>
      <c r="F700" s="36" t="str">
        <f t="shared" si="22"/>
        <v>IB11261</v>
      </c>
      <c r="G700" s="83"/>
      <c r="H700" s="84"/>
      <c r="I700" s="84"/>
      <c r="J700" s="85"/>
      <c r="K700" s="140"/>
      <c r="L700" s="141"/>
      <c r="M700" s="140"/>
      <c r="N700" s="35" t="s">
        <v>11</v>
      </c>
      <c r="O700" s="38" t="str">
        <f t="shared" si="23"/>
        <v>OB11261</v>
      </c>
      <c r="P700" s="302" t="s">
        <v>465</v>
      </c>
      <c r="Q700" s="303"/>
      <c r="R700" s="303"/>
      <c r="S700" s="304"/>
      <c r="T700" s="140" t="s">
        <v>1516</v>
      </c>
      <c r="U700" s="37" t="s">
        <v>1535</v>
      </c>
      <c r="V700" s="882"/>
      <c r="W700" s="883"/>
      <c r="X700" s="36"/>
      <c r="Y700" s="143"/>
      <c r="Z700" s="143"/>
      <c r="AA700" s="143"/>
      <c r="AB700" s="143"/>
      <c r="AC700" s="144"/>
      <c r="AD700" s="143"/>
      <c r="AE700" s="143"/>
      <c r="AF700" s="145"/>
    </row>
    <row r="701" spans="2:32" ht="17.25" customHeight="1">
      <c r="B701" s="34">
        <v>306</v>
      </c>
      <c r="C701" s="819"/>
      <c r="D701" s="792"/>
      <c r="E701" s="35" t="s">
        <v>10</v>
      </c>
      <c r="F701" s="36" t="str">
        <f t="shared" si="22"/>
        <v>IB11262</v>
      </c>
      <c r="G701" s="83"/>
      <c r="H701" s="84"/>
      <c r="I701" s="84"/>
      <c r="J701" s="85"/>
      <c r="K701" s="140"/>
      <c r="L701" s="141"/>
      <c r="M701" s="140"/>
      <c r="N701" s="35" t="s">
        <v>11</v>
      </c>
      <c r="O701" s="38" t="str">
        <f t="shared" si="23"/>
        <v>OB11262</v>
      </c>
      <c r="P701" s="302" t="s">
        <v>466</v>
      </c>
      <c r="Q701" s="303"/>
      <c r="R701" s="303"/>
      <c r="S701" s="304"/>
      <c r="T701" s="140" t="s">
        <v>1516</v>
      </c>
      <c r="U701" s="37" t="s">
        <v>1535</v>
      </c>
      <c r="V701" s="882"/>
      <c r="W701" s="883"/>
      <c r="X701" s="36"/>
      <c r="Y701" s="143"/>
      <c r="Z701" s="143"/>
      <c r="AA701" s="143"/>
      <c r="AB701" s="143"/>
      <c r="AC701" s="144"/>
      <c r="AD701" s="143"/>
      <c r="AE701" s="143"/>
      <c r="AF701" s="145"/>
    </row>
    <row r="702" spans="2:32" ht="17.25" customHeight="1">
      <c r="B702" s="34">
        <v>307</v>
      </c>
      <c r="C702" s="819"/>
      <c r="D702" s="792"/>
      <c r="E702" s="35" t="s">
        <v>10</v>
      </c>
      <c r="F702" s="36" t="str">
        <f t="shared" si="22"/>
        <v>IB11263</v>
      </c>
      <c r="G702" s="83"/>
      <c r="H702" s="84"/>
      <c r="I702" s="84"/>
      <c r="J702" s="85"/>
      <c r="K702" s="140"/>
      <c r="L702" s="141"/>
      <c r="M702" s="140"/>
      <c r="N702" s="35" t="s">
        <v>11</v>
      </c>
      <c r="O702" s="38" t="str">
        <f t="shared" si="23"/>
        <v>OB11263</v>
      </c>
      <c r="P702" s="302" t="s">
        <v>467</v>
      </c>
      <c r="Q702" s="303"/>
      <c r="R702" s="303"/>
      <c r="S702" s="304"/>
      <c r="T702" s="140" t="s">
        <v>1516</v>
      </c>
      <c r="U702" s="37" t="s">
        <v>1535</v>
      </c>
      <c r="V702" s="882"/>
      <c r="W702" s="883"/>
      <c r="X702" s="36"/>
      <c r="Y702" s="143"/>
      <c r="Z702" s="143"/>
      <c r="AA702" s="143"/>
      <c r="AB702" s="143"/>
      <c r="AC702" s="144"/>
      <c r="AD702" s="143"/>
      <c r="AE702" s="143"/>
      <c r="AF702" s="145"/>
    </row>
    <row r="703" spans="2:32" ht="17.25" customHeight="1">
      <c r="B703" s="34">
        <v>308</v>
      </c>
      <c r="C703" s="819"/>
      <c r="D703" s="792"/>
      <c r="E703" s="35" t="s">
        <v>10</v>
      </c>
      <c r="F703" s="36" t="str">
        <f t="shared" si="22"/>
        <v>IB11264</v>
      </c>
      <c r="G703" s="83"/>
      <c r="H703" s="84"/>
      <c r="I703" s="84"/>
      <c r="J703" s="85"/>
      <c r="K703" s="140"/>
      <c r="L703" s="141"/>
      <c r="M703" s="140"/>
      <c r="N703" s="35" t="s">
        <v>11</v>
      </c>
      <c r="O703" s="38" t="str">
        <f t="shared" si="23"/>
        <v>OB11264</v>
      </c>
      <c r="P703" s="302"/>
      <c r="Q703" s="303"/>
      <c r="R703" s="303"/>
      <c r="S703" s="304"/>
      <c r="T703" s="140"/>
      <c r="U703" s="142"/>
      <c r="V703" s="882"/>
      <c r="W703" s="883"/>
      <c r="X703" s="36"/>
      <c r="Y703" s="143"/>
      <c r="Z703" s="143"/>
      <c r="AA703" s="143"/>
      <c r="AB703" s="143"/>
      <c r="AC703" s="144"/>
      <c r="AD703" s="143"/>
      <c r="AE703" s="143"/>
      <c r="AF703" s="145"/>
    </row>
    <row r="704" spans="2:32" ht="17.25" customHeight="1">
      <c r="B704" s="34">
        <v>309</v>
      </c>
      <c r="C704" s="819"/>
      <c r="D704" s="792"/>
      <c r="E704" s="35" t="s">
        <v>10</v>
      </c>
      <c r="F704" s="36" t="str">
        <f t="shared" si="22"/>
        <v>IB11265</v>
      </c>
      <c r="G704" s="83"/>
      <c r="H704" s="84"/>
      <c r="I704" s="84"/>
      <c r="J704" s="85"/>
      <c r="K704" s="140"/>
      <c r="L704" s="141"/>
      <c r="M704" s="140"/>
      <c r="N704" s="35" t="s">
        <v>11</v>
      </c>
      <c r="O704" s="38" t="str">
        <f t="shared" si="23"/>
        <v>OB11265</v>
      </c>
      <c r="P704" s="302"/>
      <c r="Q704" s="303"/>
      <c r="R704" s="303"/>
      <c r="S704" s="304"/>
      <c r="T704" s="140"/>
      <c r="U704" s="142"/>
      <c r="V704" s="882"/>
      <c r="W704" s="883"/>
      <c r="X704" s="36"/>
      <c r="Y704" s="143"/>
      <c r="Z704" s="143"/>
      <c r="AA704" s="143"/>
      <c r="AB704" s="143"/>
      <c r="AC704" s="144"/>
      <c r="AD704" s="143"/>
      <c r="AE704" s="143"/>
      <c r="AF704" s="145"/>
    </row>
    <row r="705" spans="2:32" ht="17.25" customHeight="1">
      <c r="B705" s="34">
        <v>310</v>
      </c>
      <c r="C705" s="819"/>
      <c r="D705" s="792"/>
      <c r="E705" s="35" t="s">
        <v>10</v>
      </c>
      <c r="F705" s="36" t="str">
        <f t="shared" si="22"/>
        <v>IB11266</v>
      </c>
      <c r="G705" s="83"/>
      <c r="H705" s="84"/>
      <c r="I705" s="84"/>
      <c r="J705" s="85"/>
      <c r="K705" s="140"/>
      <c r="L705" s="141"/>
      <c r="M705" s="140"/>
      <c r="N705" s="35" t="s">
        <v>11</v>
      </c>
      <c r="O705" s="38" t="str">
        <f t="shared" si="23"/>
        <v>OB11266</v>
      </c>
      <c r="P705" s="302"/>
      <c r="Q705" s="303"/>
      <c r="R705" s="303"/>
      <c r="S705" s="304"/>
      <c r="T705" s="140"/>
      <c r="U705" s="142"/>
      <c r="V705" s="882"/>
      <c r="W705" s="883"/>
      <c r="X705" s="36"/>
      <c r="Y705" s="143"/>
      <c r="Z705" s="143"/>
      <c r="AA705" s="143"/>
      <c r="AB705" s="143"/>
      <c r="AC705" s="144"/>
      <c r="AD705" s="143"/>
      <c r="AE705" s="143"/>
      <c r="AF705" s="145"/>
    </row>
    <row r="706" spans="2:32" ht="17.25" customHeight="1">
      <c r="B706" s="34">
        <v>311</v>
      </c>
      <c r="C706" s="819"/>
      <c r="D706" s="792"/>
      <c r="E706" s="35" t="s">
        <v>10</v>
      </c>
      <c r="F706" s="36" t="str">
        <f t="shared" si="22"/>
        <v>IB11267</v>
      </c>
      <c r="G706" s="83"/>
      <c r="H706" s="84"/>
      <c r="I706" s="84"/>
      <c r="J706" s="85"/>
      <c r="K706" s="140"/>
      <c r="L706" s="141"/>
      <c r="M706" s="140"/>
      <c r="N706" s="35" t="s">
        <v>11</v>
      </c>
      <c r="O706" s="38" t="str">
        <f t="shared" si="23"/>
        <v>OB11267</v>
      </c>
      <c r="P706" s="302"/>
      <c r="Q706" s="303"/>
      <c r="R706" s="303"/>
      <c r="S706" s="304"/>
      <c r="T706" s="140"/>
      <c r="U706" s="142"/>
      <c r="V706" s="882"/>
      <c r="W706" s="883"/>
      <c r="X706" s="36"/>
      <c r="Y706" s="143"/>
      <c r="Z706" s="143"/>
      <c r="AA706" s="143"/>
      <c r="AB706" s="143"/>
      <c r="AC706" s="144"/>
      <c r="AD706" s="143"/>
      <c r="AE706" s="143"/>
      <c r="AF706" s="145"/>
    </row>
    <row r="707" spans="2:32" ht="17.25" customHeight="1">
      <c r="B707" s="34">
        <v>312</v>
      </c>
      <c r="C707" s="819"/>
      <c r="D707" s="792"/>
      <c r="E707" s="35" t="s">
        <v>10</v>
      </c>
      <c r="F707" s="36" t="str">
        <f t="shared" si="22"/>
        <v>IB11268</v>
      </c>
      <c r="G707" s="83"/>
      <c r="H707" s="84"/>
      <c r="I707" s="84"/>
      <c r="J707" s="85"/>
      <c r="K707" s="140"/>
      <c r="L707" s="141"/>
      <c r="M707" s="140"/>
      <c r="N707" s="35" t="s">
        <v>11</v>
      </c>
      <c r="O707" s="38" t="str">
        <f t="shared" si="23"/>
        <v>OB11268</v>
      </c>
      <c r="P707" s="302"/>
      <c r="Q707" s="303"/>
      <c r="R707" s="303"/>
      <c r="S707" s="304"/>
      <c r="T707" s="140"/>
      <c r="U707" s="142"/>
      <c r="V707" s="882"/>
      <c r="W707" s="883"/>
      <c r="X707" s="36"/>
      <c r="Y707" s="143"/>
      <c r="Z707" s="143"/>
      <c r="AA707" s="143"/>
      <c r="AB707" s="143"/>
      <c r="AC707" s="144"/>
      <c r="AD707" s="143"/>
      <c r="AE707" s="143"/>
      <c r="AF707" s="145"/>
    </row>
    <row r="708" spans="2:32" ht="17.25" customHeight="1">
      <c r="B708" s="34">
        <v>313</v>
      </c>
      <c r="C708" s="819"/>
      <c r="D708" s="792"/>
      <c r="E708" s="35" t="s">
        <v>10</v>
      </c>
      <c r="F708" s="36" t="str">
        <f t="shared" si="22"/>
        <v>IB11269</v>
      </c>
      <c r="G708" s="83"/>
      <c r="H708" s="84"/>
      <c r="I708" s="84"/>
      <c r="J708" s="85"/>
      <c r="K708" s="140"/>
      <c r="L708" s="141"/>
      <c r="M708" s="140"/>
      <c r="N708" s="35" t="s">
        <v>11</v>
      </c>
      <c r="O708" s="38" t="str">
        <f t="shared" si="23"/>
        <v>OB11269</v>
      </c>
      <c r="P708" s="302"/>
      <c r="Q708" s="303"/>
      <c r="R708" s="303"/>
      <c r="S708" s="304"/>
      <c r="T708" s="140"/>
      <c r="U708" s="142"/>
      <c r="V708" s="882"/>
      <c r="W708" s="883"/>
      <c r="X708" s="36"/>
      <c r="Y708" s="143"/>
      <c r="Z708" s="143"/>
      <c r="AA708" s="143"/>
      <c r="AB708" s="143"/>
      <c r="AC708" s="144"/>
      <c r="AD708" s="143"/>
      <c r="AE708" s="143"/>
      <c r="AF708" s="145"/>
    </row>
    <row r="709" spans="2:32" ht="17.25" customHeight="1">
      <c r="B709" s="34">
        <v>314</v>
      </c>
      <c r="C709" s="819"/>
      <c r="D709" s="792"/>
      <c r="E709" s="35" t="s">
        <v>10</v>
      </c>
      <c r="F709" s="36" t="str">
        <f t="shared" si="22"/>
        <v>IB1126A</v>
      </c>
      <c r="G709" s="83"/>
      <c r="H709" s="84"/>
      <c r="I709" s="84"/>
      <c r="J709" s="85"/>
      <c r="K709" s="140"/>
      <c r="L709" s="141"/>
      <c r="M709" s="140"/>
      <c r="N709" s="35" t="s">
        <v>11</v>
      </c>
      <c r="O709" s="38" t="str">
        <f t="shared" si="23"/>
        <v>OB1126A</v>
      </c>
      <c r="P709" s="302"/>
      <c r="Q709" s="303"/>
      <c r="R709" s="303"/>
      <c r="S709" s="304"/>
      <c r="T709" s="140"/>
      <c r="U709" s="142"/>
      <c r="V709" s="882"/>
      <c r="W709" s="883"/>
      <c r="X709" s="36"/>
      <c r="Y709" s="143"/>
      <c r="Z709" s="143"/>
      <c r="AA709" s="143"/>
      <c r="AB709" s="143"/>
      <c r="AC709" s="144"/>
      <c r="AD709" s="143"/>
      <c r="AE709" s="143"/>
      <c r="AF709" s="145"/>
    </row>
    <row r="710" spans="2:32" ht="17.25" customHeight="1">
      <c r="B710" s="34">
        <v>315</v>
      </c>
      <c r="C710" s="819"/>
      <c r="D710" s="792"/>
      <c r="E710" s="35" t="s">
        <v>10</v>
      </c>
      <c r="F710" s="36" t="str">
        <f t="shared" si="22"/>
        <v>IB1126B</v>
      </c>
      <c r="G710" s="83"/>
      <c r="H710" s="84"/>
      <c r="I710" s="84"/>
      <c r="J710" s="85"/>
      <c r="K710" s="140"/>
      <c r="L710" s="141"/>
      <c r="M710" s="140"/>
      <c r="N710" s="35" t="s">
        <v>11</v>
      </c>
      <c r="O710" s="38" t="str">
        <f t="shared" si="23"/>
        <v>OB1126B</v>
      </c>
      <c r="P710" s="302"/>
      <c r="Q710" s="303"/>
      <c r="R710" s="303"/>
      <c r="S710" s="304"/>
      <c r="T710" s="140"/>
      <c r="U710" s="142"/>
      <c r="V710" s="882"/>
      <c r="W710" s="883"/>
      <c r="X710" s="36"/>
      <c r="Y710" s="143"/>
      <c r="Z710" s="143"/>
      <c r="AA710" s="143"/>
      <c r="AB710" s="143"/>
      <c r="AC710" s="144"/>
      <c r="AD710" s="143"/>
      <c r="AE710" s="143"/>
      <c r="AF710" s="145"/>
    </row>
    <row r="711" spans="2:32" ht="17.25" customHeight="1">
      <c r="B711" s="34">
        <v>316</v>
      </c>
      <c r="C711" s="819"/>
      <c r="D711" s="792"/>
      <c r="E711" s="35" t="s">
        <v>10</v>
      </c>
      <c r="F711" s="36" t="str">
        <f t="shared" si="22"/>
        <v>IB1126C</v>
      </c>
      <c r="G711" s="83"/>
      <c r="H711" s="84"/>
      <c r="I711" s="84"/>
      <c r="J711" s="85"/>
      <c r="K711" s="140"/>
      <c r="L711" s="141"/>
      <c r="M711" s="140"/>
      <c r="N711" s="35" t="s">
        <v>11</v>
      </c>
      <c r="O711" s="38" t="str">
        <f t="shared" si="23"/>
        <v>OB1126C</v>
      </c>
      <c r="P711" s="302"/>
      <c r="Q711" s="303"/>
      <c r="R711" s="303"/>
      <c r="S711" s="304"/>
      <c r="T711" s="140"/>
      <c r="U711" s="142"/>
      <c r="V711" s="882"/>
      <c r="W711" s="883"/>
      <c r="X711" s="36"/>
      <c r="Y711" s="143"/>
      <c r="Z711" s="143"/>
      <c r="AA711" s="143"/>
      <c r="AB711" s="143"/>
      <c r="AC711" s="144"/>
      <c r="AD711" s="143"/>
      <c r="AE711" s="143"/>
      <c r="AF711" s="145"/>
    </row>
    <row r="712" spans="2:32" ht="17.25" customHeight="1">
      <c r="B712" s="34">
        <v>317</v>
      </c>
      <c r="C712" s="819"/>
      <c r="D712" s="792"/>
      <c r="E712" s="35" t="s">
        <v>10</v>
      </c>
      <c r="F712" s="36" t="str">
        <f t="shared" si="22"/>
        <v>IB1126D</v>
      </c>
      <c r="G712" s="83"/>
      <c r="H712" s="84"/>
      <c r="I712" s="84"/>
      <c r="J712" s="85"/>
      <c r="K712" s="143"/>
      <c r="L712" s="37"/>
      <c r="M712" s="598"/>
      <c r="N712" s="35" t="s">
        <v>11</v>
      </c>
      <c r="O712" s="38" t="str">
        <f t="shared" si="23"/>
        <v>OB1126D</v>
      </c>
      <c r="P712" s="302"/>
      <c r="Q712" s="303"/>
      <c r="R712" s="303"/>
      <c r="S712" s="304"/>
      <c r="T712" s="140"/>
      <c r="U712" s="142"/>
      <c r="V712" s="882"/>
      <c r="W712" s="883"/>
      <c r="X712" s="36"/>
      <c r="Y712" s="143"/>
      <c r="Z712" s="143"/>
      <c r="AA712" s="143"/>
      <c r="AB712" s="143"/>
      <c r="AC712" s="144"/>
      <c r="AD712" s="143"/>
      <c r="AE712" s="143"/>
      <c r="AF712" s="145"/>
    </row>
    <row r="713" spans="2:32" ht="17.25" customHeight="1">
      <c r="B713" s="34">
        <v>318</v>
      </c>
      <c r="C713" s="819"/>
      <c r="D713" s="792"/>
      <c r="E713" s="35" t="s">
        <v>10</v>
      </c>
      <c r="F713" s="36" t="str">
        <f t="shared" si="22"/>
        <v>IB1126E</v>
      </c>
      <c r="G713" s="83"/>
      <c r="H713" s="84"/>
      <c r="I713" s="84"/>
      <c r="J713" s="85"/>
      <c r="K713" s="143"/>
      <c r="L713" s="37"/>
      <c r="M713" s="598"/>
      <c r="N713" s="35" t="s">
        <v>11</v>
      </c>
      <c r="O713" s="38" t="str">
        <f t="shared" si="23"/>
        <v>OB1126E</v>
      </c>
      <c r="P713" s="302"/>
      <c r="Q713" s="303"/>
      <c r="R713" s="303"/>
      <c r="S713" s="304"/>
      <c r="T713" s="140"/>
      <c r="U713" s="142"/>
      <c r="V713" s="882"/>
      <c r="W713" s="883"/>
      <c r="X713" s="36"/>
      <c r="Y713" s="143"/>
      <c r="Z713" s="143"/>
      <c r="AA713" s="143"/>
      <c r="AB713" s="143"/>
      <c r="AC713" s="144"/>
      <c r="AD713" s="143"/>
      <c r="AE713" s="143"/>
      <c r="AF713" s="145"/>
    </row>
    <row r="714" spans="2:32" ht="17.25" customHeight="1">
      <c r="B714" s="283">
        <v>319</v>
      </c>
      <c r="C714" s="819"/>
      <c r="D714" s="839"/>
      <c r="E714" s="284" t="s">
        <v>10</v>
      </c>
      <c r="F714" s="285" t="str">
        <f t="shared" si="22"/>
        <v>IB1126F</v>
      </c>
      <c r="G714" s="335"/>
      <c r="H714" s="336"/>
      <c r="I714" s="336"/>
      <c r="J714" s="337"/>
      <c r="K714" s="287"/>
      <c r="L714" s="562"/>
      <c r="M714" s="631"/>
      <c r="N714" s="284" t="s">
        <v>11</v>
      </c>
      <c r="O714" s="286" t="str">
        <f t="shared" si="23"/>
        <v>OB1126F</v>
      </c>
      <c r="P714" s="352" t="s">
        <v>1421</v>
      </c>
      <c r="Q714" s="353"/>
      <c r="R714" s="353"/>
      <c r="S714" s="354"/>
      <c r="T714" s="600" t="s">
        <v>1513</v>
      </c>
      <c r="U714" s="427"/>
      <c r="V714" s="886"/>
      <c r="W714" s="887"/>
      <c r="X714" s="285"/>
      <c r="Y714" s="287"/>
      <c r="Z714" s="287"/>
      <c r="AA714" s="287"/>
      <c r="AB714" s="287"/>
      <c r="AC714" s="288"/>
      <c r="AD714" s="287"/>
      <c r="AE714" s="287"/>
      <c r="AF714" s="289"/>
    </row>
    <row r="715" spans="2:32" ht="17.25" customHeight="1">
      <c r="B715" s="180">
        <v>320</v>
      </c>
      <c r="C715" s="763" t="s">
        <v>283</v>
      </c>
      <c r="D715" s="764" t="s">
        <v>1485</v>
      </c>
      <c r="E715" s="186" t="s">
        <v>10</v>
      </c>
      <c r="F715" s="187" t="str">
        <f t="shared" ref="F715:F762" si="24">LEFT(F714,1)&amp;DEC2HEX(HEX2DEC(MID(F714,2,LENB(F714)-1))+1,LENB(F714)-1)</f>
        <v>IB11270</v>
      </c>
      <c r="G715" s="499" t="s">
        <v>75</v>
      </c>
      <c r="H715" s="500"/>
      <c r="I715" s="500"/>
      <c r="J715" s="501"/>
      <c r="K715" s="190" t="s">
        <v>1513</v>
      </c>
      <c r="L715" s="224"/>
      <c r="M715" s="190"/>
      <c r="N715" s="186" t="s">
        <v>11</v>
      </c>
      <c r="O715" s="195" t="str">
        <f t="shared" si="23"/>
        <v>OB11270</v>
      </c>
      <c r="P715" s="496"/>
      <c r="Q715" s="497"/>
      <c r="R715" s="497"/>
      <c r="S715" s="498"/>
      <c r="T715" s="190"/>
      <c r="U715" s="502"/>
      <c r="V715" s="761"/>
      <c r="W715" s="762"/>
      <c r="X715" s="187"/>
      <c r="Y715" s="182"/>
      <c r="Z715" s="182"/>
      <c r="AA715" s="182"/>
      <c r="AB715" s="182"/>
      <c r="AC715" s="210"/>
      <c r="AD715" s="182"/>
      <c r="AE715" s="182"/>
      <c r="AF715" s="211"/>
    </row>
    <row r="716" spans="2:32" ht="17.25" customHeight="1">
      <c r="B716" s="180">
        <v>321</v>
      </c>
      <c r="C716" s="763"/>
      <c r="D716" s="765"/>
      <c r="E716" s="186" t="s">
        <v>10</v>
      </c>
      <c r="F716" s="187" t="str">
        <f t="shared" si="24"/>
        <v>IB11271</v>
      </c>
      <c r="G716" s="499"/>
      <c r="H716" s="500"/>
      <c r="I716" s="500"/>
      <c r="J716" s="501"/>
      <c r="K716" s="190"/>
      <c r="L716" s="224"/>
      <c r="M716" s="190"/>
      <c r="N716" s="186" t="s">
        <v>11</v>
      </c>
      <c r="O716" s="195" t="str">
        <f t="shared" si="23"/>
        <v>OB11271</v>
      </c>
      <c r="P716" s="496"/>
      <c r="Q716" s="497"/>
      <c r="R716" s="497"/>
      <c r="S716" s="498"/>
      <c r="T716" s="190"/>
      <c r="U716" s="502"/>
      <c r="V716" s="761"/>
      <c r="W716" s="762"/>
      <c r="X716" s="187"/>
      <c r="Y716" s="182"/>
      <c r="Z716" s="182"/>
      <c r="AA716" s="182"/>
      <c r="AB716" s="182"/>
      <c r="AC716" s="210"/>
      <c r="AD716" s="182"/>
      <c r="AE716" s="182"/>
      <c r="AF716" s="211"/>
    </row>
    <row r="717" spans="2:32" ht="17.25" customHeight="1">
      <c r="B717" s="180">
        <v>322</v>
      </c>
      <c r="C717" s="763"/>
      <c r="D717" s="765"/>
      <c r="E717" s="186" t="s">
        <v>10</v>
      </c>
      <c r="F717" s="187" t="str">
        <f t="shared" si="24"/>
        <v>IB11272</v>
      </c>
      <c r="G717" s="499"/>
      <c r="H717" s="500"/>
      <c r="I717" s="500"/>
      <c r="J717" s="501"/>
      <c r="K717" s="190"/>
      <c r="L717" s="224"/>
      <c r="M717" s="190"/>
      <c r="N717" s="186" t="s">
        <v>11</v>
      </c>
      <c r="O717" s="195" t="str">
        <f t="shared" si="23"/>
        <v>OB11272</v>
      </c>
      <c r="P717" s="496"/>
      <c r="Q717" s="497"/>
      <c r="R717" s="497"/>
      <c r="S717" s="498"/>
      <c r="T717" s="190"/>
      <c r="U717" s="502"/>
      <c r="V717" s="761"/>
      <c r="W717" s="762"/>
      <c r="X717" s="187"/>
      <c r="Y717" s="182"/>
      <c r="Z717" s="182"/>
      <c r="AA717" s="182"/>
      <c r="AB717" s="182"/>
      <c r="AC717" s="210"/>
      <c r="AD717" s="182"/>
      <c r="AE717" s="182"/>
      <c r="AF717" s="211"/>
    </row>
    <row r="718" spans="2:32" ht="17.25" customHeight="1">
      <c r="B718" s="180">
        <v>323</v>
      </c>
      <c r="C718" s="763"/>
      <c r="D718" s="765"/>
      <c r="E718" s="186" t="s">
        <v>10</v>
      </c>
      <c r="F718" s="187" t="str">
        <f t="shared" si="24"/>
        <v>IB11273</v>
      </c>
      <c r="H718" s="500"/>
      <c r="I718" s="500"/>
      <c r="J718" s="501"/>
      <c r="K718" s="190"/>
      <c r="L718" s="224"/>
      <c r="M718" s="190"/>
      <c r="N718" s="186" t="s">
        <v>11</v>
      </c>
      <c r="O718" s="195" t="str">
        <f t="shared" si="23"/>
        <v>OB11273</v>
      </c>
      <c r="P718" s="496"/>
      <c r="Q718" s="497"/>
      <c r="R718" s="497"/>
      <c r="S718" s="498"/>
      <c r="T718" s="190"/>
      <c r="U718" s="502"/>
      <c r="V718" s="761"/>
      <c r="W718" s="762"/>
      <c r="X718" s="187"/>
      <c r="Y718" s="182"/>
      <c r="Z718" s="182"/>
      <c r="AA718" s="182"/>
      <c r="AB718" s="182"/>
      <c r="AC718" s="210"/>
      <c r="AD718" s="182"/>
      <c r="AE718" s="182"/>
      <c r="AF718" s="211"/>
    </row>
    <row r="719" spans="2:32" ht="17.25" customHeight="1">
      <c r="B719" s="180">
        <v>324</v>
      </c>
      <c r="C719" s="763"/>
      <c r="D719" s="765"/>
      <c r="E719" s="186" t="s">
        <v>10</v>
      </c>
      <c r="F719" s="187" t="str">
        <f t="shared" si="24"/>
        <v>IB11274</v>
      </c>
      <c r="G719" s="499" t="s">
        <v>1521</v>
      </c>
      <c r="H719" s="500"/>
      <c r="I719" s="500"/>
      <c r="J719" s="501"/>
      <c r="K719" s="190" t="s">
        <v>1513</v>
      </c>
      <c r="L719" s="224"/>
      <c r="M719" s="190"/>
      <c r="N719" s="186" t="s">
        <v>11</v>
      </c>
      <c r="O719" s="195" t="str">
        <f t="shared" si="23"/>
        <v>OB11274</v>
      </c>
      <c r="P719" s="496"/>
      <c r="Q719" s="497"/>
      <c r="R719" s="497"/>
      <c r="S719" s="498"/>
      <c r="T719" s="190"/>
      <c r="U719" s="502"/>
      <c r="V719" s="761"/>
      <c r="W719" s="762"/>
      <c r="X719" s="187"/>
      <c r="Y719" s="182"/>
      <c r="Z719" s="182"/>
      <c r="AA719" s="182"/>
      <c r="AB719" s="182"/>
      <c r="AC719" s="210"/>
      <c r="AD719" s="182"/>
      <c r="AE719" s="182"/>
      <c r="AF719" s="211"/>
    </row>
    <row r="720" spans="2:32" ht="17.25" customHeight="1">
      <c r="B720" s="180">
        <v>325</v>
      </c>
      <c r="C720" s="763"/>
      <c r="D720" s="765"/>
      <c r="E720" s="186" t="s">
        <v>10</v>
      </c>
      <c r="F720" s="187" t="str">
        <f t="shared" si="24"/>
        <v>IB11275</v>
      </c>
      <c r="G720" s="499"/>
      <c r="H720" s="500"/>
      <c r="I720" s="500"/>
      <c r="J720" s="501"/>
      <c r="K720" s="190"/>
      <c r="L720" s="224"/>
      <c r="M720" s="190"/>
      <c r="N720" s="186" t="s">
        <v>11</v>
      </c>
      <c r="O720" s="195" t="str">
        <f t="shared" si="23"/>
        <v>OB11275</v>
      </c>
      <c r="P720" s="496"/>
      <c r="Q720" s="497"/>
      <c r="R720" s="497"/>
      <c r="S720" s="498"/>
      <c r="T720" s="190"/>
      <c r="U720" s="502"/>
      <c r="V720" s="761"/>
      <c r="W720" s="762"/>
      <c r="X720" s="187"/>
      <c r="Y720" s="182"/>
      <c r="Z720" s="182"/>
      <c r="AA720" s="182"/>
      <c r="AB720" s="182"/>
      <c r="AC720" s="210"/>
      <c r="AD720" s="182"/>
      <c r="AE720" s="182"/>
      <c r="AF720" s="211"/>
    </row>
    <row r="721" spans="2:32" ht="17.25" customHeight="1">
      <c r="B721" s="180">
        <v>326</v>
      </c>
      <c r="C721" s="763"/>
      <c r="D721" s="765"/>
      <c r="E721" s="186" t="s">
        <v>10</v>
      </c>
      <c r="F721" s="187" t="str">
        <f t="shared" si="24"/>
        <v>IB11276</v>
      </c>
      <c r="G721" s="499"/>
      <c r="H721" s="500"/>
      <c r="I721" s="500"/>
      <c r="J721" s="501"/>
      <c r="K721" s="190"/>
      <c r="L721" s="224"/>
      <c r="M721" s="190"/>
      <c r="N721" s="186" t="s">
        <v>11</v>
      </c>
      <c r="O721" s="195" t="str">
        <f t="shared" si="23"/>
        <v>OB11276</v>
      </c>
      <c r="P721" s="496"/>
      <c r="Q721" s="497"/>
      <c r="R721" s="497"/>
      <c r="S721" s="498"/>
      <c r="T721" s="190"/>
      <c r="U721" s="502"/>
      <c r="V721" s="761"/>
      <c r="W721" s="762"/>
      <c r="X721" s="187"/>
      <c r="Y721" s="182"/>
      <c r="Z721" s="182"/>
      <c r="AA721" s="182"/>
      <c r="AB721" s="182"/>
      <c r="AC721" s="210"/>
      <c r="AD721" s="182"/>
      <c r="AE721" s="182"/>
      <c r="AF721" s="211"/>
    </row>
    <row r="722" spans="2:32" ht="17.25" customHeight="1">
      <c r="B722" s="180">
        <v>327</v>
      </c>
      <c r="C722" s="763"/>
      <c r="D722" s="765"/>
      <c r="E722" s="186" t="s">
        <v>10</v>
      </c>
      <c r="F722" s="187" t="str">
        <f t="shared" si="24"/>
        <v>IB11277</v>
      </c>
      <c r="G722" s="499"/>
      <c r="H722" s="500"/>
      <c r="I722" s="500"/>
      <c r="J722" s="501"/>
      <c r="K722" s="190"/>
      <c r="L722" s="224"/>
      <c r="M722" s="190"/>
      <c r="N722" s="186" t="s">
        <v>11</v>
      </c>
      <c r="O722" s="195" t="str">
        <f t="shared" si="23"/>
        <v>OB11277</v>
      </c>
      <c r="P722" s="496"/>
      <c r="Q722" s="497"/>
      <c r="R722" s="497"/>
      <c r="S722" s="498"/>
      <c r="T722" s="190"/>
      <c r="U722" s="502"/>
      <c r="V722" s="761"/>
      <c r="W722" s="762"/>
      <c r="X722" s="187"/>
      <c r="Y722" s="182"/>
      <c r="Z722" s="182"/>
      <c r="AA722" s="182"/>
      <c r="AB722" s="182"/>
      <c r="AC722" s="210"/>
      <c r="AD722" s="182"/>
      <c r="AE722" s="182"/>
      <c r="AF722" s="211"/>
    </row>
    <row r="723" spans="2:32" ht="17.25" customHeight="1">
      <c r="B723" s="180">
        <v>328</v>
      </c>
      <c r="C723" s="763"/>
      <c r="D723" s="765"/>
      <c r="E723" s="186" t="s">
        <v>10</v>
      </c>
      <c r="F723" s="187" t="str">
        <f t="shared" si="24"/>
        <v>IB11278</v>
      </c>
      <c r="G723" s="496"/>
      <c r="H723" s="497"/>
      <c r="I723" s="497"/>
      <c r="J723" s="498"/>
      <c r="K723" s="190"/>
      <c r="L723" s="224"/>
      <c r="M723" s="190"/>
      <c r="N723" s="186" t="s">
        <v>11</v>
      </c>
      <c r="O723" s="195" t="str">
        <f t="shared" si="23"/>
        <v>OB11278</v>
      </c>
      <c r="P723" s="499" t="s">
        <v>464</v>
      </c>
      <c r="Q723" s="500"/>
      <c r="R723" s="500"/>
      <c r="S723" s="501"/>
      <c r="T723" s="190" t="s">
        <v>1516</v>
      </c>
      <c r="U723" s="502" t="s">
        <v>1513</v>
      </c>
      <c r="V723" s="761"/>
      <c r="W723" s="762"/>
      <c r="X723" s="187"/>
      <c r="Y723" s="182"/>
      <c r="Z723" s="182"/>
      <c r="AA723" s="182"/>
      <c r="AB723" s="182"/>
      <c r="AC723" s="210"/>
      <c r="AD723" s="182"/>
      <c r="AE723" s="182"/>
      <c r="AF723" s="211"/>
    </row>
    <row r="724" spans="2:32" ht="17.25" customHeight="1">
      <c r="B724" s="180">
        <v>329</v>
      </c>
      <c r="C724" s="763"/>
      <c r="D724" s="765"/>
      <c r="E724" s="186" t="s">
        <v>10</v>
      </c>
      <c r="F724" s="187" t="str">
        <f t="shared" si="24"/>
        <v>IB11279</v>
      </c>
      <c r="G724" s="496"/>
      <c r="H724" s="497"/>
      <c r="I724" s="497"/>
      <c r="J724" s="498"/>
      <c r="K724" s="190"/>
      <c r="L724" s="224"/>
      <c r="M724" s="190"/>
      <c r="N724" s="186" t="s">
        <v>11</v>
      </c>
      <c r="O724" s="195" t="str">
        <f t="shared" si="23"/>
        <v>OB11279</v>
      </c>
      <c r="P724" s="302" t="s">
        <v>108</v>
      </c>
      <c r="Q724" s="500"/>
      <c r="R724" s="500"/>
      <c r="S724" s="501"/>
      <c r="T724" s="140" t="s">
        <v>1528</v>
      </c>
      <c r="U724" s="502" t="s">
        <v>1513</v>
      </c>
      <c r="V724" s="761" t="s">
        <v>1549</v>
      </c>
      <c r="W724" s="762"/>
      <c r="X724" s="187"/>
      <c r="Y724" s="182"/>
      <c r="Z724" s="182"/>
      <c r="AA724" s="182"/>
      <c r="AB724" s="182"/>
      <c r="AC724" s="210"/>
      <c r="AD724" s="182"/>
      <c r="AE724" s="182"/>
      <c r="AF724" s="211"/>
    </row>
    <row r="725" spans="2:32" ht="17.25" customHeight="1">
      <c r="B725" s="180">
        <v>330</v>
      </c>
      <c r="C725" s="763"/>
      <c r="D725" s="765"/>
      <c r="E725" s="186" t="s">
        <v>10</v>
      </c>
      <c r="F725" s="187" t="str">
        <f t="shared" si="24"/>
        <v>IB1127A</v>
      </c>
      <c r="G725" s="496"/>
      <c r="H725" s="497"/>
      <c r="I725" s="497"/>
      <c r="J725" s="498"/>
      <c r="K725" s="190"/>
      <c r="L725" s="224"/>
      <c r="M725" s="190"/>
      <c r="N725" s="186" t="s">
        <v>11</v>
      </c>
      <c r="O725" s="195" t="str">
        <f t="shared" si="23"/>
        <v>OB1127A</v>
      </c>
      <c r="P725" s="499"/>
      <c r="Q725" s="500"/>
      <c r="R725" s="500"/>
      <c r="S725" s="501"/>
      <c r="T725" s="190"/>
      <c r="U725" s="502"/>
      <c r="V725" s="761"/>
      <c r="W725" s="762"/>
      <c r="X725" s="187"/>
      <c r="Y725" s="182"/>
      <c r="Z725" s="182"/>
      <c r="AA725" s="182"/>
      <c r="AB725" s="182"/>
      <c r="AC725" s="210"/>
      <c r="AD725" s="182"/>
      <c r="AE725" s="182"/>
      <c r="AF725" s="211"/>
    </row>
    <row r="726" spans="2:32" ht="17.25" customHeight="1">
      <c r="B726" s="180">
        <v>331</v>
      </c>
      <c r="C726" s="763"/>
      <c r="D726" s="765"/>
      <c r="E726" s="186" t="s">
        <v>10</v>
      </c>
      <c r="F726" s="187" t="str">
        <f t="shared" si="24"/>
        <v>IB1127B</v>
      </c>
      <c r="G726" s="496"/>
      <c r="H726" s="497"/>
      <c r="I726" s="497"/>
      <c r="J726" s="498"/>
      <c r="K726" s="190"/>
      <c r="L726" s="224"/>
      <c r="M726" s="190"/>
      <c r="N726" s="186" t="s">
        <v>11</v>
      </c>
      <c r="O726" s="195" t="str">
        <f t="shared" si="23"/>
        <v>OB1127B</v>
      </c>
      <c r="P726" s="499" t="s">
        <v>1420</v>
      </c>
      <c r="Q726" s="500"/>
      <c r="R726" s="500"/>
      <c r="S726" s="501"/>
      <c r="T726" s="190" t="s">
        <v>1513</v>
      </c>
      <c r="U726" s="502"/>
      <c r="V726" s="761"/>
      <c r="W726" s="762"/>
      <c r="X726" s="187"/>
      <c r="Y726" s="182"/>
      <c r="Z726" s="182"/>
      <c r="AA726" s="182"/>
      <c r="AB726" s="182"/>
      <c r="AC726" s="210"/>
      <c r="AD726" s="182"/>
      <c r="AE726" s="182"/>
      <c r="AF726" s="211"/>
    </row>
    <row r="727" spans="2:32" ht="17.25" customHeight="1">
      <c r="B727" s="180">
        <v>332</v>
      </c>
      <c r="C727" s="763"/>
      <c r="D727" s="765"/>
      <c r="E727" s="186" t="s">
        <v>10</v>
      </c>
      <c r="F727" s="187" t="str">
        <f t="shared" si="24"/>
        <v>IB1127C</v>
      </c>
      <c r="G727" s="496"/>
      <c r="H727" s="497"/>
      <c r="I727" s="497"/>
      <c r="J727" s="498"/>
      <c r="K727" s="190"/>
      <c r="L727" s="224"/>
      <c r="M727" s="190"/>
      <c r="N727" s="186" t="s">
        <v>11</v>
      </c>
      <c r="O727" s="195" t="str">
        <f t="shared" si="23"/>
        <v>OB1127C</v>
      </c>
      <c r="P727" s="499" t="s">
        <v>1417</v>
      </c>
      <c r="Q727" s="500"/>
      <c r="R727" s="500"/>
      <c r="S727" s="501"/>
      <c r="T727" s="190" t="s">
        <v>1513</v>
      </c>
      <c r="U727" s="502"/>
      <c r="V727" s="761"/>
      <c r="W727" s="762"/>
      <c r="X727" s="187"/>
      <c r="Y727" s="182"/>
      <c r="Z727" s="182"/>
      <c r="AA727" s="182"/>
      <c r="AB727" s="182"/>
      <c r="AC727" s="210"/>
      <c r="AD727" s="182"/>
      <c r="AE727" s="182"/>
      <c r="AF727" s="211"/>
    </row>
    <row r="728" spans="2:32" ht="17.25" customHeight="1">
      <c r="B728" s="180">
        <v>333</v>
      </c>
      <c r="C728" s="763"/>
      <c r="D728" s="765"/>
      <c r="E728" s="186" t="s">
        <v>10</v>
      </c>
      <c r="F728" s="187" t="str">
        <f t="shared" si="24"/>
        <v>IB1127D</v>
      </c>
      <c r="G728" s="496"/>
      <c r="H728" s="497"/>
      <c r="I728" s="497"/>
      <c r="J728" s="498"/>
      <c r="K728" s="182"/>
      <c r="L728" s="503"/>
      <c r="M728" s="633"/>
      <c r="N728" s="186" t="s">
        <v>11</v>
      </c>
      <c r="O728" s="195" t="str">
        <f t="shared" si="23"/>
        <v>OB1127D</v>
      </c>
      <c r="P728" s="499" t="s">
        <v>1418</v>
      </c>
      <c r="Q728" s="500"/>
      <c r="R728" s="500"/>
      <c r="S728" s="501"/>
      <c r="T728" s="190" t="s">
        <v>1513</v>
      </c>
      <c r="U728" s="502"/>
      <c r="V728" s="761"/>
      <c r="W728" s="762"/>
      <c r="X728" s="187"/>
      <c r="Y728" s="182"/>
      <c r="Z728" s="182"/>
      <c r="AA728" s="182"/>
      <c r="AB728" s="182"/>
      <c r="AC728" s="210"/>
      <c r="AD728" s="182"/>
      <c r="AE728" s="182"/>
      <c r="AF728" s="211"/>
    </row>
    <row r="729" spans="2:32" ht="17.25" customHeight="1">
      <c r="B729" s="180">
        <v>334</v>
      </c>
      <c r="C729" s="763"/>
      <c r="D729" s="765"/>
      <c r="E729" s="186" t="s">
        <v>10</v>
      </c>
      <c r="F729" s="187" t="str">
        <f t="shared" si="24"/>
        <v>IB1127E</v>
      </c>
      <c r="G729" s="496"/>
      <c r="H729" s="497"/>
      <c r="I729" s="497"/>
      <c r="J729" s="498"/>
      <c r="K729" s="182"/>
      <c r="L729" s="503"/>
      <c r="M729" s="633"/>
      <c r="N729" s="186" t="s">
        <v>11</v>
      </c>
      <c r="O729" s="195" t="str">
        <f t="shared" si="23"/>
        <v>OB1127E</v>
      </c>
      <c r="P729" s="499" t="s">
        <v>1419</v>
      </c>
      <c r="Q729" s="500"/>
      <c r="R729" s="500"/>
      <c r="S729" s="501"/>
      <c r="T729" s="140" t="s">
        <v>1528</v>
      </c>
      <c r="U729" s="502" t="s">
        <v>1513</v>
      </c>
      <c r="V729" s="761"/>
      <c r="W729" s="762"/>
      <c r="X729" s="187"/>
      <c r="Y729" s="182"/>
      <c r="Z729" s="182"/>
      <c r="AA729" s="182"/>
      <c r="AB729" s="182"/>
      <c r="AC729" s="210"/>
      <c r="AD729" s="182"/>
      <c r="AE729" s="182"/>
      <c r="AF729" s="211"/>
    </row>
    <row r="730" spans="2:32" ht="17.25" customHeight="1">
      <c r="B730" s="180">
        <v>335</v>
      </c>
      <c r="C730" s="763"/>
      <c r="D730" s="765"/>
      <c r="E730" s="186" t="s">
        <v>10</v>
      </c>
      <c r="F730" s="187" t="str">
        <f t="shared" si="24"/>
        <v>IB1127F</v>
      </c>
      <c r="G730" s="496"/>
      <c r="H730" s="497"/>
      <c r="I730" s="497"/>
      <c r="J730" s="498"/>
      <c r="K730" s="182"/>
      <c r="L730" s="503"/>
      <c r="M730" s="633"/>
      <c r="N730" s="186" t="s">
        <v>11</v>
      </c>
      <c r="O730" s="195" t="str">
        <f t="shared" si="23"/>
        <v>OB1127F</v>
      </c>
      <c r="P730" s="499" t="s">
        <v>107</v>
      </c>
      <c r="Q730" s="500"/>
      <c r="R730" s="500"/>
      <c r="S730" s="501"/>
      <c r="T730" s="140" t="s">
        <v>1528</v>
      </c>
      <c r="U730" s="502" t="s">
        <v>1513</v>
      </c>
      <c r="V730" s="761"/>
      <c r="W730" s="762"/>
      <c r="X730" s="187"/>
      <c r="Y730" s="182"/>
      <c r="Z730" s="182"/>
      <c r="AA730" s="182"/>
      <c r="AB730" s="182"/>
      <c r="AC730" s="210"/>
      <c r="AD730" s="182"/>
      <c r="AE730" s="182"/>
      <c r="AF730" s="211"/>
    </row>
    <row r="731" spans="2:32" ht="13.5" customHeight="1">
      <c r="B731" s="180">
        <v>336</v>
      </c>
      <c r="C731" s="836" t="s">
        <v>1391</v>
      </c>
      <c r="D731" s="901" t="s">
        <v>1404</v>
      </c>
      <c r="E731" s="186" t="s">
        <v>10</v>
      </c>
      <c r="F731" s="187" t="str">
        <f t="shared" si="24"/>
        <v>IB11280</v>
      </c>
      <c r="G731" s="328" t="s">
        <v>1392</v>
      </c>
      <c r="H731" s="329"/>
      <c r="I731" s="329"/>
      <c r="J731" s="585"/>
      <c r="K731" s="182" t="s">
        <v>1513</v>
      </c>
      <c r="L731" s="224"/>
      <c r="M731" s="190"/>
      <c r="N731" s="186" t="s">
        <v>11</v>
      </c>
      <c r="O731" s="195" t="str">
        <f t="shared" si="23"/>
        <v>OB11280</v>
      </c>
      <c r="P731" s="496"/>
      <c r="Q731" s="497"/>
      <c r="R731" s="497"/>
      <c r="S731" s="498"/>
      <c r="T731" s="190"/>
      <c r="U731" s="224"/>
      <c r="V731" s="761"/>
      <c r="W731" s="762"/>
      <c r="X731" s="187"/>
      <c r="Y731" s="182"/>
      <c r="Z731" s="182"/>
      <c r="AA731" s="182"/>
      <c r="AB731" s="182"/>
      <c r="AC731" s="210"/>
      <c r="AD731" s="182"/>
      <c r="AE731" s="182"/>
      <c r="AF731" s="211"/>
    </row>
    <row r="732" spans="2:32" ht="13.5" customHeight="1">
      <c r="B732" s="180">
        <v>337</v>
      </c>
      <c r="C732" s="823"/>
      <c r="D732" s="765"/>
      <c r="E732" s="186" t="s">
        <v>10</v>
      </c>
      <c r="F732" s="187" t="str">
        <f t="shared" si="24"/>
        <v>IB11281</v>
      </c>
      <c r="G732" s="328" t="s">
        <v>1393</v>
      </c>
      <c r="H732" s="329"/>
      <c r="I732" s="329"/>
      <c r="J732" s="585"/>
      <c r="K732" s="182" t="s">
        <v>1513</v>
      </c>
      <c r="L732" s="224"/>
      <c r="M732" s="190"/>
      <c r="N732" s="186" t="s">
        <v>11</v>
      </c>
      <c r="O732" s="195" t="str">
        <f t="shared" si="23"/>
        <v>OB11281</v>
      </c>
      <c r="P732" s="496"/>
      <c r="Q732" s="497"/>
      <c r="R732" s="497"/>
      <c r="S732" s="498"/>
      <c r="T732" s="190"/>
      <c r="U732" s="224"/>
      <c r="V732" s="761"/>
      <c r="W732" s="762"/>
      <c r="X732" s="187"/>
      <c r="Y732" s="182"/>
      <c r="Z732" s="182"/>
      <c r="AA732" s="182"/>
      <c r="AB732" s="182"/>
      <c r="AC732" s="210"/>
      <c r="AD732" s="182"/>
      <c r="AE732" s="182"/>
      <c r="AF732" s="211"/>
    </row>
    <row r="733" spans="2:32" ht="13.5" customHeight="1">
      <c r="B733" s="180">
        <v>338</v>
      </c>
      <c r="C733" s="823"/>
      <c r="D733" s="765"/>
      <c r="E733" s="186" t="s">
        <v>10</v>
      </c>
      <c r="F733" s="187" t="str">
        <f t="shared" si="24"/>
        <v>IB11282</v>
      </c>
      <c r="G733" s="328" t="s">
        <v>1394</v>
      </c>
      <c r="H733" s="329"/>
      <c r="I733" s="329"/>
      <c r="J733" s="585"/>
      <c r="K733" s="182" t="s">
        <v>1513</v>
      </c>
      <c r="L733" s="224"/>
      <c r="M733" s="190"/>
      <c r="N733" s="186" t="s">
        <v>11</v>
      </c>
      <c r="O733" s="195" t="str">
        <f t="shared" ref="O733:O762" si="25">LEFT(O732,1)&amp;DEC2HEX(HEX2DEC(MID(O732,2,LENB(O732)-1))+1,LENB(O732)-1)</f>
        <v>OB11282</v>
      </c>
      <c r="P733" s="496"/>
      <c r="Q733" s="497"/>
      <c r="R733" s="497"/>
      <c r="S733" s="498"/>
      <c r="T733" s="190"/>
      <c r="U733" s="224"/>
      <c r="V733" s="761"/>
      <c r="W733" s="762"/>
      <c r="X733" s="187"/>
      <c r="Y733" s="182"/>
      <c r="Z733" s="182"/>
      <c r="AA733" s="182"/>
      <c r="AB733" s="182"/>
      <c r="AC733" s="210"/>
      <c r="AD733" s="182"/>
      <c r="AE733" s="182"/>
      <c r="AF733" s="211"/>
    </row>
    <row r="734" spans="2:32" ht="13.5" customHeight="1">
      <c r="B734" s="180">
        <v>339</v>
      </c>
      <c r="C734" s="823"/>
      <c r="D734" s="765"/>
      <c r="E734" s="186" t="s">
        <v>10</v>
      </c>
      <c r="F734" s="187" t="str">
        <f t="shared" si="24"/>
        <v>IB11283</v>
      </c>
      <c r="G734" s="328" t="s">
        <v>1395</v>
      </c>
      <c r="H734" s="329"/>
      <c r="I734" s="329"/>
      <c r="J734" s="585"/>
      <c r="K734" s="182" t="s">
        <v>1513</v>
      </c>
      <c r="L734" s="224"/>
      <c r="M734" s="190"/>
      <c r="N734" s="186" t="s">
        <v>11</v>
      </c>
      <c r="O734" s="195" t="str">
        <f t="shared" si="25"/>
        <v>OB11283</v>
      </c>
      <c r="P734" s="496"/>
      <c r="Q734" s="497"/>
      <c r="R734" s="497"/>
      <c r="S734" s="498"/>
      <c r="T734" s="190"/>
      <c r="U734" s="224"/>
      <c r="V734" s="761"/>
      <c r="W734" s="762"/>
      <c r="X734" s="187"/>
      <c r="Y734" s="182"/>
      <c r="Z734" s="182"/>
      <c r="AA734" s="182"/>
      <c r="AB734" s="182"/>
      <c r="AC734" s="210"/>
      <c r="AD734" s="182"/>
      <c r="AE734" s="182"/>
      <c r="AF734" s="211"/>
    </row>
    <row r="735" spans="2:32" ht="13.5" customHeight="1">
      <c r="B735" s="180">
        <v>340</v>
      </c>
      <c r="C735" s="823"/>
      <c r="D735" s="765"/>
      <c r="E735" s="186" t="s">
        <v>10</v>
      </c>
      <c r="F735" s="187" t="str">
        <f t="shared" si="24"/>
        <v>IB11284</v>
      </c>
      <c r="G735" s="328" t="s">
        <v>1396</v>
      </c>
      <c r="H735" s="329"/>
      <c r="I735" s="329"/>
      <c r="J735" s="585"/>
      <c r="K735" s="182" t="s">
        <v>1513</v>
      </c>
      <c r="L735" s="224"/>
      <c r="M735" s="190"/>
      <c r="N735" s="186" t="s">
        <v>11</v>
      </c>
      <c r="O735" s="195" t="str">
        <f t="shared" si="25"/>
        <v>OB11284</v>
      </c>
      <c r="P735" s="496"/>
      <c r="Q735" s="497"/>
      <c r="R735" s="497"/>
      <c r="S735" s="498"/>
      <c r="T735" s="190"/>
      <c r="U735" s="224"/>
      <c r="V735" s="761"/>
      <c r="W735" s="762"/>
      <c r="X735" s="187"/>
      <c r="Y735" s="182"/>
      <c r="Z735" s="182"/>
      <c r="AA735" s="182"/>
      <c r="AB735" s="182"/>
      <c r="AC735" s="210"/>
      <c r="AD735" s="182"/>
      <c r="AE735" s="182"/>
      <c r="AF735" s="211"/>
    </row>
    <row r="736" spans="2:32" ht="13.5" customHeight="1">
      <c r="B736" s="180">
        <v>341</v>
      </c>
      <c r="C736" s="823"/>
      <c r="D736" s="765"/>
      <c r="E736" s="186" t="s">
        <v>10</v>
      </c>
      <c r="F736" s="187" t="str">
        <f t="shared" si="24"/>
        <v>IB11285</v>
      </c>
      <c r="G736" s="328" t="s">
        <v>1397</v>
      </c>
      <c r="H736" s="329"/>
      <c r="I736" s="329"/>
      <c r="J736" s="585"/>
      <c r="K736" s="182" t="s">
        <v>1513</v>
      </c>
      <c r="L736" s="224"/>
      <c r="M736" s="190"/>
      <c r="N736" s="186" t="s">
        <v>11</v>
      </c>
      <c r="O736" s="195" t="str">
        <f t="shared" si="25"/>
        <v>OB11285</v>
      </c>
      <c r="P736" s="496"/>
      <c r="Q736" s="497"/>
      <c r="R736" s="497"/>
      <c r="S736" s="498"/>
      <c r="T736" s="190"/>
      <c r="U736" s="224"/>
      <c r="V736" s="761"/>
      <c r="W736" s="762"/>
      <c r="X736" s="187"/>
      <c r="Y736" s="182"/>
      <c r="Z736" s="182"/>
      <c r="AA736" s="182"/>
      <c r="AB736" s="182"/>
      <c r="AC736" s="210"/>
      <c r="AD736" s="182"/>
      <c r="AE736" s="182"/>
      <c r="AF736" s="211"/>
    </row>
    <row r="737" spans="2:32" ht="13.5" customHeight="1">
      <c r="B737" s="180">
        <v>342</v>
      </c>
      <c r="C737" s="823"/>
      <c r="D737" s="765"/>
      <c r="E737" s="186" t="s">
        <v>10</v>
      </c>
      <c r="F737" s="187" t="str">
        <f t="shared" si="24"/>
        <v>IB11286</v>
      </c>
      <c r="G737" s="328" t="s">
        <v>1398</v>
      </c>
      <c r="H737" s="329"/>
      <c r="I737" s="329"/>
      <c r="J737" s="585"/>
      <c r="K737" s="182" t="s">
        <v>1513</v>
      </c>
      <c r="L737" s="224"/>
      <c r="M737" s="190"/>
      <c r="N737" s="186" t="s">
        <v>11</v>
      </c>
      <c r="O737" s="195" t="str">
        <f t="shared" si="25"/>
        <v>OB11286</v>
      </c>
      <c r="P737" s="496"/>
      <c r="Q737" s="497"/>
      <c r="R737" s="497"/>
      <c r="S737" s="498"/>
      <c r="T737" s="190"/>
      <c r="U737" s="224"/>
      <c r="V737" s="761"/>
      <c r="W737" s="762"/>
      <c r="X737" s="187"/>
      <c r="Y737" s="182"/>
      <c r="Z737" s="182"/>
      <c r="AA737" s="182"/>
      <c r="AB737" s="182"/>
      <c r="AC737" s="210"/>
      <c r="AD737" s="182"/>
      <c r="AE737" s="182"/>
      <c r="AF737" s="211"/>
    </row>
    <row r="738" spans="2:32" ht="13.5" customHeight="1">
      <c r="B738" s="180">
        <v>343</v>
      </c>
      <c r="C738" s="823"/>
      <c r="D738" s="765"/>
      <c r="E738" s="186" t="s">
        <v>10</v>
      </c>
      <c r="F738" s="187" t="str">
        <f t="shared" si="24"/>
        <v>IB11287</v>
      </c>
      <c r="G738" s="328" t="s">
        <v>1399</v>
      </c>
      <c r="H738" s="329"/>
      <c r="I738" s="329"/>
      <c r="J738" s="585"/>
      <c r="K738" s="182" t="s">
        <v>1513</v>
      </c>
      <c r="L738" s="224"/>
      <c r="M738" s="190"/>
      <c r="N738" s="186" t="s">
        <v>11</v>
      </c>
      <c r="O738" s="195" t="str">
        <f t="shared" si="25"/>
        <v>OB11287</v>
      </c>
      <c r="P738" s="496"/>
      <c r="Q738" s="497"/>
      <c r="R738" s="497"/>
      <c r="S738" s="498"/>
      <c r="T738" s="190"/>
      <c r="U738" s="224"/>
      <c r="V738" s="761"/>
      <c r="W738" s="762"/>
      <c r="X738" s="187"/>
      <c r="Y738" s="182"/>
      <c r="Z738" s="182"/>
      <c r="AA738" s="182"/>
      <c r="AB738" s="182"/>
      <c r="AC738" s="210"/>
      <c r="AD738" s="182"/>
      <c r="AE738" s="182"/>
      <c r="AF738" s="211"/>
    </row>
    <row r="739" spans="2:32" ht="13.5" customHeight="1">
      <c r="B739" s="180">
        <v>344</v>
      </c>
      <c r="C739" s="823"/>
      <c r="D739" s="765"/>
      <c r="E739" s="186" t="s">
        <v>10</v>
      </c>
      <c r="F739" s="187" t="str">
        <f t="shared" si="24"/>
        <v>IB11288</v>
      </c>
      <c r="G739" s="328" t="s">
        <v>1400</v>
      </c>
      <c r="H739" s="329"/>
      <c r="I739" s="329"/>
      <c r="J739" s="585"/>
      <c r="K739" s="182" t="s">
        <v>1513</v>
      </c>
      <c r="L739" s="224"/>
      <c r="M739" s="190"/>
      <c r="N739" s="186" t="s">
        <v>11</v>
      </c>
      <c r="O739" s="195" t="str">
        <f t="shared" si="25"/>
        <v>OB11288</v>
      </c>
      <c r="P739" s="496"/>
      <c r="Q739" s="497"/>
      <c r="R739" s="497"/>
      <c r="S739" s="498"/>
      <c r="T739" s="190"/>
      <c r="U739" s="224"/>
      <c r="V739" s="761"/>
      <c r="W739" s="762"/>
      <c r="X739" s="187"/>
      <c r="Y739" s="182"/>
      <c r="Z739" s="182"/>
      <c r="AA739" s="182"/>
      <c r="AB739" s="182"/>
      <c r="AC739" s="210"/>
      <c r="AD739" s="182"/>
      <c r="AE739" s="182"/>
      <c r="AF739" s="211"/>
    </row>
    <row r="740" spans="2:32" ht="13.5" customHeight="1">
      <c r="B740" s="180">
        <v>345</v>
      </c>
      <c r="C740" s="823"/>
      <c r="D740" s="765"/>
      <c r="E740" s="186" t="s">
        <v>10</v>
      </c>
      <c r="F740" s="187" t="str">
        <f t="shared" si="24"/>
        <v>IB11289</v>
      </c>
      <c r="G740" s="328" t="s">
        <v>1401</v>
      </c>
      <c r="H740" s="329"/>
      <c r="I740" s="329"/>
      <c r="J740" s="585"/>
      <c r="K740" s="182" t="s">
        <v>1513</v>
      </c>
      <c r="L740" s="224"/>
      <c r="M740" s="190"/>
      <c r="N740" s="186" t="s">
        <v>11</v>
      </c>
      <c r="O740" s="195" t="str">
        <f t="shared" si="25"/>
        <v>OB11289</v>
      </c>
      <c r="P740" s="496"/>
      <c r="Q740" s="497"/>
      <c r="R740" s="497"/>
      <c r="S740" s="498"/>
      <c r="T740" s="190"/>
      <c r="U740" s="224"/>
      <c r="V740" s="761"/>
      <c r="W740" s="762"/>
      <c r="X740" s="187"/>
      <c r="Y740" s="182"/>
      <c r="Z740" s="182"/>
      <c r="AA740" s="182"/>
      <c r="AB740" s="182"/>
      <c r="AC740" s="210"/>
      <c r="AD740" s="182"/>
      <c r="AE740" s="182"/>
      <c r="AF740" s="211"/>
    </row>
    <row r="741" spans="2:32" ht="13.5" customHeight="1">
      <c r="B741" s="180">
        <v>346</v>
      </c>
      <c r="C741" s="823"/>
      <c r="D741" s="765"/>
      <c r="E741" s="186" t="s">
        <v>10</v>
      </c>
      <c r="F741" s="187" t="str">
        <f t="shared" si="24"/>
        <v>IB1128A</v>
      </c>
      <c r="G741" s="328" t="s">
        <v>1402</v>
      </c>
      <c r="H741" s="329"/>
      <c r="I741" s="329"/>
      <c r="J741" s="585"/>
      <c r="K741" s="182" t="s">
        <v>1513</v>
      </c>
      <c r="L741" s="224"/>
      <c r="M741" s="190"/>
      <c r="N741" s="186" t="s">
        <v>11</v>
      </c>
      <c r="O741" s="195" t="str">
        <f t="shared" si="25"/>
        <v>OB1128A</v>
      </c>
      <c r="P741" s="496"/>
      <c r="Q741" s="497"/>
      <c r="R741" s="497"/>
      <c r="S741" s="498"/>
      <c r="T741" s="190"/>
      <c r="U741" s="224"/>
      <c r="V741" s="761"/>
      <c r="W741" s="762"/>
      <c r="X741" s="187"/>
      <c r="Y741" s="182"/>
      <c r="Z741" s="182"/>
      <c r="AA741" s="182"/>
      <c r="AB741" s="182"/>
      <c r="AC741" s="210"/>
      <c r="AD741" s="182"/>
      <c r="AE741" s="182"/>
      <c r="AF741" s="211"/>
    </row>
    <row r="742" spans="2:32" ht="13.5" customHeight="1">
      <c r="B742" s="180">
        <v>347</v>
      </c>
      <c r="C742" s="823"/>
      <c r="D742" s="765"/>
      <c r="E742" s="186" t="s">
        <v>10</v>
      </c>
      <c r="F742" s="187" t="str">
        <f t="shared" si="24"/>
        <v>IB1128B</v>
      </c>
      <c r="G742" s="328" t="s">
        <v>1403</v>
      </c>
      <c r="H742" s="329"/>
      <c r="I742" s="329"/>
      <c r="J742" s="585"/>
      <c r="K742" s="182" t="s">
        <v>1513</v>
      </c>
      <c r="L742" s="224"/>
      <c r="M742" s="190"/>
      <c r="N742" s="186" t="s">
        <v>11</v>
      </c>
      <c r="O742" s="195" t="str">
        <f t="shared" si="25"/>
        <v>OB1128B</v>
      </c>
      <c r="P742" s="496"/>
      <c r="Q742" s="497"/>
      <c r="R742" s="497"/>
      <c r="S742" s="498"/>
      <c r="T742" s="190"/>
      <c r="U742" s="224"/>
      <c r="V742" s="761"/>
      <c r="W742" s="762"/>
      <c r="X742" s="187"/>
      <c r="Y742" s="182"/>
      <c r="Z742" s="182"/>
      <c r="AA742" s="182"/>
      <c r="AB742" s="182"/>
      <c r="AC742" s="210"/>
      <c r="AD742" s="182"/>
      <c r="AE742" s="182"/>
      <c r="AF742" s="211"/>
    </row>
    <row r="743" spans="2:32" ht="13.5" customHeight="1">
      <c r="B743" s="180">
        <v>348</v>
      </c>
      <c r="C743" s="823"/>
      <c r="D743" s="765"/>
      <c r="E743" s="186" t="s">
        <v>10</v>
      </c>
      <c r="F743" s="187" t="str">
        <f t="shared" si="24"/>
        <v>IB1128C</v>
      </c>
      <c r="G743" s="662"/>
      <c r="H743" s="663"/>
      <c r="I743" s="663"/>
      <c r="J743" s="664"/>
      <c r="K743" s="190"/>
      <c r="L743" s="224"/>
      <c r="M743" s="190"/>
      <c r="N743" s="186" t="s">
        <v>11</v>
      </c>
      <c r="O743" s="195" t="str">
        <f t="shared" si="25"/>
        <v>OB1128C</v>
      </c>
      <c r="P743" s="496"/>
      <c r="Q743" s="497"/>
      <c r="R743" s="497"/>
      <c r="S743" s="498"/>
      <c r="T743" s="190"/>
      <c r="U743" s="224"/>
      <c r="V743" s="761"/>
      <c r="W743" s="762"/>
      <c r="X743" s="187"/>
      <c r="Y743" s="182"/>
      <c r="Z743" s="182"/>
      <c r="AA743" s="182"/>
      <c r="AB743" s="182"/>
      <c r="AC743" s="210"/>
      <c r="AD743" s="182"/>
      <c r="AE743" s="182"/>
      <c r="AF743" s="211"/>
    </row>
    <row r="744" spans="2:32" ht="13.5" customHeight="1">
      <c r="B744" s="180">
        <v>349</v>
      </c>
      <c r="C744" s="823"/>
      <c r="D744" s="765"/>
      <c r="E744" s="186" t="s">
        <v>10</v>
      </c>
      <c r="F744" s="187" t="str">
        <f t="shared" si="24"/>
        <v>IB1128D</v>
      </c>
      <c r="G744" s="662"/>
      <c r="H744" s="663"/>
      <c r="I744" s="663"/>
      <c r="J744" s="664"/>
      <c r="K744" s="182"/>
      <c r="L744" s="503"/>
      <c r="M744" s="633"/>
      <c r="N744" s="186" t="s">
        <v>11</v>
      </c>
      <c r="O744" s="195" t="str">
        <f t="shared" si="25"/>
        <v>OB1128D</v>
      </c>
      <c r="P744" s="496"/>
      <c r="Q744" s="497"/>
      <c r="R744" s="497"/>
      <c r="S744" s="498"/>
      <c r="T744" s="190"/>
      <c r="U744" s="224"/>
      <c r="V744" s="761"/>
      <c r="W744" s="762"/>
      <c r="X744" s="187"/>
      <c r="Y744" s="182"/>
      <c r="Z744" s="182"/>
      <c r="AA744" s="182"/>
      <c r="AB744" s="182"/>
      <c r="AC744" s="210"/>
      <c r="AD744" s="182"/>
      <c r="AE744" s="182"/>
      <c r="AF744" s="211"/>
    </row>
    <row r="745" spans="2:32" ht="13.5" customHeight="1">
      <c r="B745" s="180">
        <v>350</v>
      </c>
      <c r="C745" s="823"/>
      <c r="D745" s="765"/>
      <c r="E745" s="186" t="s">
        <v>10</v>
      </c>
      <c r="F745" s="187" t="str">
        <f t="shared" si="24"/>
        <v>IB1128E</v>
      </c>
      <c r="G745" s="662"/>
      <c r="H745" s="663"/>
      <c r="I745" s="663"/>
      <c r="J745" s="664"/>
      <c r="K745" s="182"/>
      <c r="L745" s="503"/>
      <c r="M745" s="633"/>
      <c r="N745" s="186" t="s">
        <v>11</v>
      </c>
      <c r="O745" s="195" t="str">
        <f t="shared" si="25"/>
        <v>OB1128E</v>
      </c>
      <c r="P745" s="496"/>
      <c r="Q745" s="497"/>
      <c r="R745" s="497"/>
      <c r="S745" s="498"/>
      <c r="T745" s="190"/>
      <c r="U745" s="224"/>
      <c r="V745" s="761"/>
      <c r="W745" s="762"/>
      <c r="X745" s="187"/>
      <c r="Y745" s="182"/>
      <c r="Z745" s="182"/>
      <c r="AA745" s="182"/>
      <c r="AB745" s="182"/>
      <c r="AC745" s="210"/>
      <c r="AD745" s="182"/>
      <c r="AE745" s="182"/>
      <c r="AF745" s="211"/>
    </row>
    <row r="746" spans="2:32" ht="13.5" customHeight="1">
      <c r="B746" s="180">
        <v>351</v>
      </c>
      <c r="C746" s="837"/>
      <c r="D746" s="765"/>
      <c r="E746" s="186" t="s">
        <v>10</v>
      </c>
      <c r="F746" s="187" t="str">
        <f t="shared" si="24"/>
        <v>IB1128F</v>
      </c>
      <c r="G746" s="662"/>
      <c r="H746" s="663"/>
      <c r="I746" s="663"/>
      <c r="J746" s="664"/>
      <c r="K746" s="182"/>
      <c r="L746" s="503"/>
      <c r="M746" s="633"/>
      <c r="N746" s="186" t="s">
        <v>11</v>
      </c>
      <c r="O746" s="195" t="str">
        <f t="shared" si="25"/>
        <v>OB1128F</v>
      </c>
      <c r="P746" s="496"/>
      <c r="Q746" s="497"/>
      <c r="R746" s="497"/>
      <c r="S746" s="498"/>
      <c r="T746" s="190"/>
      <c r="U746" s="224"/>
      <c r="V746" s="761"/>
      <c r="W746" s="762"/>
      <c r="X746" s="187"/>
      <c r="Y746" s="182"/>
      <c r="Z746" s="182"/>
      <c r="AA746" s="182"/>
      <c r="AB746" s="182"/>
      <c r="AC746" s="210"/>
      <c r="AD746" s="182"/>
      <c r="AE746" s="182"/>
      <c r="AF746" s="211"/>
    </row>
    <row r="747" spans="2:32" ht="13.5" customHeight="1">
      <c r="B747" s="180">
        <v>336</v>
      </c>
      <c r="C747" s="836" t="s">
        <v>1589</v>
      </c>
      <c r="D747" s="902" t="s">
        <v>1404</v>
      </c>
      <c r="E747" s="186" t="s">
        <v>10</v>
      </c>
      <c r="F747" s="187" t="str">
        <f t="shared" si="24"/>
        <v>IB11290</v>
      </c>
      <c r="G747" s="328" t="s">
        <v>1392</v>
      </c>
      <c r="H747" s="329"/>
      <c r="I747" s="329"/>
      <c r="J747" s="585"/>
      <c r="K747" s="182" t="s">
        <v>1513</v>
      </c>
      <c r="L747" s="224"/>
      <c r="M747" s="190"/>
      <c r="N747" s="186" t="s">
        <v>11</v>
      </c>
      <c r="O747" s="195" t="str">
        <f t="shared" si="25"/>
        <v>OB11290</v>
      </c>
      <c r="P747" s="496"/>
      <c r="Q747" s="497"/>
      <c r="R747" s="497"/>
      <c r="S747" s="498"/>
      <c r="T747" s="190"/>
      <c r="U747" s="224"/>
      <c r="V747" s="761"/>
      <c r="W747" s="762"/>
      <c r="X747" s="187"/>
      <c r="Y747" s="182"/>
      <c r="Z747" s="182"/>
      <c r="AA747" s="182"/>
      <c r="AB747" s="182"/>
      <c r="AC747" s="210"/>
      <c r="AD747" s="182"/>
      <c r="AE747" s="182"/>
      <c r="AF747" s="211"/>
    </row>
    <row r="748" spans="2:32" ht="13.5" customHeight="1">
      <c r="B748" s="180">
        <v>337</v>
      </c>
      <c r="C748" s="823"/>
      <c r="D748" s="792"/>
      <c r="E748" s="186" t="s">
        <v>10</v>
      </c>
      <c r="F748" s="187" t="str">
        <f t="shared" si="24"/>
        <v>IB11291</v>
      </c>
      <c r="G748" s="328" t="s">
        <v>1393</v>
      </c>
      <c r="H748" s="329"/>
      <c r="I748" s="329"/>
      <c r="J748" s="585"/>
      <c r="K748" s="182" t="s">
        <v>1513</v>
      </c>
      <c r="L748" s="224"/>
      <c r="M748" s="190"/>
      <c r="N748" s="186" t="s">
        <v>11</v>
      </c>
      <c r="O748" s="195" t="str">
        <f t="shared" si="25"/>
        <v>OB11291</v>
      </c>
      <c r="P748" s="496"/>
      <c r="Q748" s="497"/>
      <c r="R748" s="497"/>
      <c r="S748" s="498"/>
      <c r="T748" s="190"/>
      <c r="U748" s="224"/>
      <c r="V748" s="761"/>
      <c r="W748" s="762"/>
      <c r="X748" s="187"/>
      <c r="Y748" s="182"/>
      <c r="Z748" s="182"/>
      <c r="AA748" s="182"/>
      <c r="AB748" s="182"/>
      <c r="AC748" s="210"/>
      <c r="AD748" s="182"/>
      <c r="AE748" s="182"/>
      <c r="AF748" s="211"/>
    </row>
    <row r="749" spans="2:32" ht="13.5" customHeight="1">
      <c r="B749" s="180">
        <v>338</v>
      </c>
      <c r="C749" s="823"/>
      <c r="D749" s="792"/>
      <c r="E749" s="186" t="s">
        <v>10</v>
      </c>
      <c r="F749" s="187" t="str">
        <f t="shared" si="24"/>
        <v>IB11292</v>
      </c>
      <c r="G749" s="328" t="s">
        <v>1394</v>
      </c>
      <c r="H749" s="329"/>
      <c r="I749" s="329"/>
      <c r="J749" s="585"/>
      <c r="K749" s="182" t="s">
        <v>1513</v>
      </c>
      <c r="L749" s="224"/>
      <c r="M749" s="190"/>
      <c r="N749" s="186" t="s">
        <v>11</v>
      </c>
      <c r="O749" s="195" t="str">
        <f t="shared" si="25"/>
        <v>OB11292</v>
      </c>
      <c r="P749" s="496"/>
      <c r="Q749" s="497"/>
      <c r="R749" s="497"/>
      <c r="S749" s="498"/>
      <c r="T749" s="190"/>
      <c r="U749" s="224"/>
      <c r="V749" s="761"/>
      <c r="W749" s="762"/>
      <c r="X749" s="187"/>
      <c r="Y749" s="182"/>
      <c r="Z749" s="182"/>
      <c r="AA749" s="182"/>
      <c r="AB749" s="182"/>
      <c r="AC749" s="210"/>
      <c r="AD749" s="182"/>
      <c r="AE749" s="182"/>
      <c r="AF749" s="211"/>
    </row>
    <row r="750" spans="2:32" ht="13.5" customHeight="1">
      <c r="B750" s="180">
        <v>339</v>
      </c>
      <c r="C750" s="823"/>
      <c r="D750" s="792"/>
      <c r="E750" s="186" t="s">
        <v>10</v>
      </c>
      <c r="F750" s="187" t="str">
        <f t="shared" si="24"/>
        <v>IB11293</v>
      </c>
      <c r="G750" s="328" t="s">
        <v>1395</v>
      </c>
      <c r="H750" s="329"/>
      <c r="I750" s="329"/>
      <c r="J750" s="585"/>
      <c r="K750" s="182" t="s">
        <v>1513</v>
      </c>
      <c r="L750" s="224"/>
      <c r="M750" s="190"/>
      <c r="N750" s="186" t="s">
        <v>11</v>
      </c>
      <c r="O750" s="195" t="str">
        <f t="shared" si="25"/>
        <v>OB11293</v>
      </c>
      <c r="P750" s="496"/>
      <c r="Q750" s="497"/>
      <c r="R750" s="497"/>
      <c r="S750" s="498"/>
      <c r="T750" s="190"/>
      <c r="U750" s="224"/>
      <c r="V750" s="761"/>
      <c r="W750" s="762"/>
      <c r="X750" s="187"/>
      <c r="Y750" s="182"/>
      <c r="Z750" s="182"/>
      <c r="AA750" s="182"/>
      <c r="AB750" s="182"/>
      <c r="AC750" s="210"/>
      <c r="AD750" s="182"/>
      <c r="AE750" s="182"/>
      <c r="AF750" s="211"/>
    </row>
    <row r="751" spans="2:32" ht="13.5" customHeight="1">
      <c r="B751" s="180">
        <v>340</v>
      </c>
      <c r="C751" s="823"/>
      <c r="D751" s="792"/>
      <c r="E751" s="186" t="s">
        <v>10</v>
      </c>
      <c r="F751" s="187" t="str">
        <f t="shared" si="24"/>
        <v>IB11294</v>
      </c>
      <c r="G751" s="328" t="s">
        <v>1396</v>
      </c>
      <c r="H751" s="329"/>
      <c r="I751" s="329"/>
      <c r="J751" s="585"/>
      <c r="K751" s="182" t="s">
        <v>1513</v>
      </c>
      <c r="L751" s="224"/>
      <c r="M751" s="190"/>
      <c r="N751" s="186" t="s">
        <v>11</v>
      </c>
      <c r="O751" s="195" t="str">
        <f t="shared" si="25"/>
        <v>OB11294</v>
      </c>
      <c r="P751" s="496"/>
      <c r="Q751" s="497"/>
      <c r="R751" s="497"/>
      <c r="S751" s="498"/>
      <c r="T751" s="190"/>
      <c r="U751" s="224"/>
      <c r="V751" s="761"/>
      <c r="W751" s="762"/>
      <c r="X751" s="187"/>
      <c r="Y751" s="182"/>
      <c r="Z751" s="182"/>
      <c r="AA751" s="182"/>
      <c r="AB751" s="182"/>
      <c r="AC751" s="210"/>
      <c r="AD751" s="182"/>
      <c r="AE751" s="182"/>
      <c r="AF751" s="211"/>
    </row>
    <row r="752" spans="2:32" ht="13.5" customHeight="1">
      <c r="B752" s="180">
        <v>341</v>
      </c>
      <c r="C752" s="823"/>
      <c r="D752" s="792"/>
      <c r="E752" s="186" t="s">
        <v>10</v>
      </c>
      <c r="F752" s="187" t="str">
        <f t="shared" si="24"/>
        <v>IB11295</v>
      </c>
      <c r="G752" s="328" t="s">
        <v>1397</v>
      </c>
      <c r="H752" s="329"/>
      <c r="I752" s="329"/>
      <c r="J752" s="585"/>
      <c r="K752" s="182" t="s">
        <v>1513</v>
      </c>
      <c r="L752" s="224"/>
      <c r="M752" s="190"/>
      <c r="N752" s="186" t="s">
        <v>11</v>
      </c>
      <c r="O752" s="195" t="str">
        <f t="shared" si="25"/>
        <v>OB11295</v>
      </c>
      <c r="P752" s="496"/>
      <c r="Q752" s="497"/>
      <c r="R752" s="497"/>
      <c r="S752" s="498"/>
      <c r="T752" s="190"/>
      <c r="U752" s="224"/>
      <c r="V752" s="761"/>
      <c r="W752" s="762"/>
      <c r="X752" s="187"/>
      <c r="Y752" s="182"/>
      <c r="Z752" s="182"/>
      <c r="AA752" s="182"/>
      <c r="AB752" s="182"/>
      <c r="AC752" s="210"/>
      <c r="AD752" s="182"/>
      <c r="AE752" s="182"/>
      <c r="AF752" s="211"/>
    </row>
    <row r="753" spans="2:32" ht="13.5" customHeight="1">
      <c r="B753" s="180">
        <v>342</v>
      </c>
      <c r="C753" s="823"/>
      <c r="D753" s="792"/>
      <c r="E753" s="186" t="s">
        <v>10</v>
      </c>
      <c r="F753" s="187" t="str">
        <f t="shared" si="24"/>
        <v>IB11296</v>
      </c>
      <c r="G753" s="328" t="s">
        <v>1398</v>
      </c>
      <c r="H753" s="329"/>
      <c r="I753" s="329"/>
      <c r="J753" s="585"/>
      <c r="K753" s="182" t="s">
        <v>1513</v>
      </c>
      <c r="L753" s="224"/>
      <c r="M753" s="190"/>
      <c r="N753" s="186" t="s">
        <v>11</v>
      </c>
      <c r="O753" s="195" t="str">
        <f t="shared" si="25"/>
        <v>OB11296</v>
      </c>
      <c r="P753" s="496"/>
      <c r="Q753" s="497"/>
      <c r="R753" s="497"/>
      <c r="S753" s="498"/>
      <c r="T753" s="190"/>
      <c r="U753" s="224"/>
      <c r="V753" s="761"/>
      <c r="W753" s="762"/>
      <c r="X753" s="187"/>
      <c r="Y753" s="182"/>
      <c r="Z753" s="182"/>
      <c r="AA753" s="182"/>
      <c r="AB753" s="182"/>
      <c r="AC753" s="210"/>
      <c r="AD753" s="182"/>
      <c r="AE753" s="182"/>
      <c r="AF753" s="211"/>
    </row>
    <row r="754" spans="2:32" ht="13.5" customHeight="1">
      <c r="B754" s="180">
        <v>343</v>
      </c>
      <c r="C754" s="823"/>
      <c r="D754" s="792"/>
      <c r="E754" s="186" t="s">
        <v>10</v>
      </c>
      <c r="F754" s="187" t="str">
        <f t="shared" si="24"/>
        <v>IB11297</v>
      </c>
      <c r="G754" s="328" t="s">
        <v>1399</v>
      </c>
      <c r="H754" s="665"/>
      <c r="I754" s="665"/>
      <c r="J754" s="585"/>
      <c r="K754" s="182" t="s">
        <v>1513</v>
      </c>
      <c r="L754" s="224"/>
      <c r="M754" s="190"/>
      <c r="N754" s="186" t="s">
        <v>11</v>
      </c>
      <c r="O754" s="195" t="str">
        <f t="shared" si="25"/>
        <v>OB11297</v>
      </c>
      <c r="P754" s="496"/>
      <c r="Q754" s="497"/>
      <c r="R754" s="497"/>
      <c r="S754" s="498"/>
      <c r="T754" s="190"/>
      <c r="U754" s="224"/>
      <c r="V754" s="761"/>
      <c r="W754" s="762"/>
      <c r="X754" s="187"/>
      <c r="Y754" s="182"/>
      <c r="Z754" s="182"/>
      <c r="AA754" s="182"/>
      <c r="AB754" s="182"/>
      <c r="AC754" s="210"/>
      <c r="AD754" s="182"/>
      <c r="AE754" s="182"/>
      <c r="AF754" s="211"/>
    </row>
    <row r="755" spans="2:32" ht="13.5" customHeight="1">
      <c r="B755" s="180">
        <v>344</v>
      </c>
      <c r="C755" s="823"/>
      <c r="D755" s="792"/>
      <c r="E755" s="186" t="s">
        <v>10</v>
      </c>
      <c r="F755" s="187" t="str">
        <f t="shared" si="24"/>
        <v>IB11298</v>
      </c>
      <c r="G755" s="328" t="s">
        <v>1400</v>
      </c>
      <c r="H755" s="329"/>
      <c r="I755" s="329"/>
      <c r="J755" s="585"/>
      <c r="K755" s="182" t="s">
        <v>1513</v>
      </c>
      <c r="L755" s="224"/>
      <c r="M755" s="190"/>
      <c r="N755" s="186" t="s">
        <v>11</v>
      </c>
      <c r="O755" s="195" t="str">
        <f t="shared" si="25"/>
        <v>OB11298</v>
      </c>
      <c r="P755" s="496"/>
      <c r="Q755" s="497"/>
      <c r="R755" s="497"/>
      <c r="S755" s="498"/>
      <c r="T755" s="190"/>
      <c r="U755" s="224"/>
      <c r="V755" s="761"/>
      <c r="W755" s="762"/>
      <c r="X755" s="187"/>
      <c r="Y755" s="182"/>
      <c r="Z755" s="182"/>
      <c r="AA755" s="182"/>
      <c r="AB755" s="182"/>
      <c r="AC755" s="210"/>
      <c r="AD755" s="182"/>
      <c r="AE755" s="182"/>
      <c r="AF755" s="211"/>
    </row>
    <row r="756" spans="2:32" ht="13.5" customHeight="1">
      <c r="B756" s="180">
        <v>345</v>
      </c>
      <c r="C756" s="823"/>
      <c r="D756" s="792"/>
      <c r="E756" s="186" t="s">
        <v>10</v>
      </c>
      <c r="F756" s="187" t="str">
        <f t="shared" si="24"/>
        <v>IB11299</v>
      </c>
      <c r="G756" s="328" t="s">
        <v>1401</v>
      </c>
      <c r="H756" s="329"/>
      <c r="I756" s="329"/>
      <c r="J756" s="585"/>
      <c r="K756" s="182" t="s">
        <v>1513</v>
      </c>
      <c r="L756" s="224"/>
      <c r="M756" s="190"/>
      <c r="N756" s="186" t="s">
        <v>11</v>
      </c>
      <c r="O756" s="195" t="str">
        <f t="shared" si="25"/>
        <v>OB11299</v>
      </c>
      <c r="P756" s="496"/>
      <c r="Q756" s="497"/>
      <c r="R756" s="497"/>
      <c r="S756" s="498"/>
      <c r="T756" s="190"/>
      <c r="U756" s="224"/>
      <c r="V756" s="761"/>
      <c r="W756" s="762"/>
      <c r="X756" s="187"/>
      <c r="Y756" s="182"/>
      <c r="Z756" s="182"/>
      <c r="AA756" s="182"/>
      <c r="AB756" s="182"/>
      <c r="AC756" s="210"/>
      <c r="AD756" s="182"/>
      <c r="AE756" s="182"/>
      <c r="AF756" s="211"/>
    </row>
    <row r="757" spans="2:32" ht="13.5" customHeight="1">
      <c r="B757" s="180">
        <v>346</v>
      </c>
      <c r="C757" s="823"/>
      <c r="D757" s="792"/>
      <c r="E757" s="186" t="s">
        <v>10</v>
      </c>
      <c r="F757" s="187" t="str">
        <f t="shared" si="24"/>
        <v>IB1129A</v>
      </c>
      <c r="G757" s="328" t="s">
        <v>1402</v>
      </c>
      <c r="H757" s="329"/>
      <c r="I757" s="329"/>
      <c r="J757" s="585"/>
      <c r="K757" s="182" t="s">
        <v>1513</v>
      </c>
      <c r="L757" s="224"/>
      <c r="M757" s="190"/>
      <c r="N757" s="186" t="s">
        <v>11</v>
      </c>
      <c r="O757" s="195" t="str">
        <f t="shared" si="25"/>
        <v>OB1129A</v>
      </c>
      <c r="P757" s="496"/>
      <c r="Q757" s="497"/>
      <c r="R757" s="497"/>
      <c r="S757" s="498"/>
      <c r="T757" s="190"/>
      <c r="U757" s="224"/>
      <c r="V757" s="761"/>
      <c r="W757" s="762"/>
      <c r="X757" s="187"/>
      <c r="Y757" s="182"/>
      <c r="Z757" s="182"/>
      <c r="AA757" s="182"/>
      <c r="AB757" s="182"/>
      <c r="AC757" s="210"/>
      <c r="AD757" s="182"/>
      <c r="AE757" s="182"/>
      <c r="AF757" s="211"/>
    </row>
    <row r="758" spans="2:32" ht="13.5" customHeight="1">
      <c r="B758" s="180">
        <v>347</v>
      </c>
      <c r="C758" s="823"/>
      <c r="D758" s="792"/>
      <c r="E758" s="186" t="s">
        <v>10</v>
      </c>
      <c r="F758" s="187" t="str">
        <f t="shared" si="24"/>
        <v>IB1129B</v>
      </c>
      <c r="G758" s="328" t="s">
        <v>1403</v>
      </c>
      <c r="H758" s="329"/>
      <c r="I758" s="329"/>
      <c r="J758" s="585"/>
      <c r="K758" s="182" t="s">
        <v>1513</v>
      </c>
      <c r="L758" s="224"/>
      <c r="M758" s="190"/>
      <c r="N758" s="186" t="s">
        <v>11</v>
      </c>
      <c r="O758" s="195" t="str">
        <f t="shared" si="25"/>
        <v>OB1129B</v>
      </c>
      <c r="P758" s="496"/>
      <c r="Q758" s="497"/>
      <c r="R758" s="497"/>
      <c r="S758" s="498"/>
      <c r="T758" s="190"/>
      <c r="U758" s="224"/>
      <c r="V758" s="761"/>
      <c r="W758" s="762"/>
      <c r="X758" s="187"/>
      <c r="Y758" s="182"/>
      <c r="Z758" s="182"/>
      <c r="AA758" s="182"/>
      <c r="AB758" s="182"/>
      <c r="AC758" s="210"/>
      <c r="AD758" s="182"/>
      <c r="AE758" s="182"/>
      <c r="AF758" s="211"/>
    </row>
    <row r="759" spans="2:32" ht="13.5" customHeight="1">
      <c r="B759" s="180">
        <v>348</v>
      </c>
      <c r="C759" s="823"/>
      <c r="D759" s="792"/>
      <c r="E759" s="186" t="s">
        <v>10</v>
      </c>
      <c r="F759" s="187" t="str">
        <f t="shared" si="24"/>
        <v>IB1129C</v>
      </c>
      <c r="G759" s="499"/>
      <c r="H759" s="500"/>
      <c r="I759" s="500"/>
      <c r="J759" s="501"/>
      <c r="K759" s="190"/>
      <c r="L759" s="224"/>
      <c r="M759" s="190"/>
      <c r="N759" s="186" t="s">
        <v>11</v>
      </c>
      <c r="O759" s="195" t="str">
        <f t="shared" si="25"/>
        <v>OB1129C</v>
      </c>
      <c r="P759" s="496"/>
      <c r="Q759" s="497"/>
      <c r="R759" s="497"/>
      <c r="S759" s="498"/>
      <c r="T759" s="190"/>
      <c r="U759" s="224"/>
      <c r="V759" s="761"/>
      <c r="W759" s="762"/>
      <c r="X759" s="187"/>
      <c r="Y759" s="182"/>
      <c r="Z759" s="182"/>
      <c r="AA759" s="182"/>
      <c r="AB759" s="182"/>
      <c r="AC759" s="210"/>
      <c r="AD759" s="182"/>
      <c r="AE759" s="182"/>
      <c r="AF759" s="211"/>
    </row>
    <row r="760" spans="2:32" ht="13.5" customHeight="1">
      <c r="B760" s="180">
        <v>349</v>
      </c>
      <c r="C760" s="823"/>
      <c r="D760" s="792"/>
      <c r="E760" s="186" t="s">
        <v>10</v>
      </c>
      <c r="F760" s="187" t="str">
        <f t="shared" si="24"/>
        <v>IB1129D</v>
      </c>
      <c r="G760" s="499"/>
      <c r="H760" s="500"/>
      <c r="I760" s="500"/>
      <c r="J760" s="501"/>
      <c r="K760" s="182"/>
      <c r="L760" s="503"/>
      <c r="M760" s="633"/>
      <c r="N760" s="186" t="s">
        <v>11</v>
      </c>
      <c r="O760" s="195" t="str">
        <f t="shared" si="25"/>
        <v>OB1129D</v>
      </c>
      <c r="P760" s="496"/>
      <c r="Q760" s="497"/>
      <c r="R760" s="497"/>
      <c r="S760" s="498"/>
      <c r="T760" s="190"/>
      <c r="U760" s="224"/>
      <c r="V760" s="761"/>
      <c r="W760" s="762"/>
      <c r="X760" s="187"/>
      <c r="Y760" s="182"/>
      <c r="Z760" s="182"/>
      <c r="AA760" s="182"/>
      <c r="AB760" s="182"/>
      <c r="AC760" s="210"/>
      <c r="AD760" s="182"/>
      <c r="AE760" s="182"/>
      <c r="AF760" s="211"/>
    </row>
    <row r="761" spans="2:32" ht="13.5" customHeight="1">
      <c r="B761" s="180">
        <v>350</v>
      </c>
      <c r="C761" s="823"/>
      <c r="D761" s="792"/>
      <c r="E761" s="186" t="s">
        <v>10</v>
      </c>
      <c r="F761" s="187" t="str">
        <f t="shared" si="24"/>
        <v>IB1129E</v>
      </c>
      <c r="G761" s="499"/>
      <c r="H761" s="500"/>
      <c r="I761" s="500"/>
      <c r="J761" s="501"/>
      <c r="K761" s="182"/>
      <c r="L761" s="503"/>
      <c r="M761" s="633"/>
      <c r="N761" s="186" t="s">
        <v>11</v>
      </c>
      <c r="O761" s="195" t="str">
        <f t="shared" si="25"/>
        <v>OB1129E</v>
      </c>
      <c r="P761" s="496"/>
      <c r="Q761" s="497"/>
      <c r="R761" s="497"/>
      <c r="S761" s="498"/>
      <c r="T761" s="190"/>
      <c r="U761" s="224"/>
      <c r="V761" s="761"/>
      <c r="W761" s="762"/>
      <c r="X761" s="187"/>
      <c r="Y761" s="182"/>
      <c r="Z761" s="182"/>
      <c r="AA761" s="182"/>
      <c r="AB761" s="182"/>
      <c r="AC761" s="210"/>
      <c r="AD761" s="182"/>
      <c r="AE761" s="182"/>
      <c r="AF761" s="211"/>
    </row>
    <row r="762" spans="2:32" ht="13.5" customHeight="1" thickBot="1">
      <c r="B762" s="197">
        <v>351</v>
      </c>
      <c r="C762" s="834"/>
      <c r="D762" s="793"/>
      <c r="E762" s="198" t="s">
        <v>10</v>
      </c>
      <c r="F762" s="199" t="str">
        <f t="shared" si="24"/>
        <v>IB1129F</v>
      </c>
      <c r="G762" s="525"/>
      <c r="H762" s="526"/>
      <c r="I762" s="526"/>
      <c r="J762" s="527"/>
      <c r="K762" s="200"/>
      <c r="L762" s="567"/>
      <c r="M762" s="636"/>
      <c r="N762" s="198" t="s">
        <v>11</v>
      </c>
      <c r="O762" s="202" t="str">
        <f t="shared" si="25"/>
        <v>OB1129F</v>
      </c>
      <c r="P762" s="528"/>
      <c r="Q762" s="529"/>
      <c r="R762" s="529"/>
      <c r="S762" s="530"/>
      <c r="T762" s="203"/>
      <c r="U762" s="531"/>
      <c r="V762" s="903"/>
      <c r="W762" s="904"/>
      <c r="X762" s="199"/>
      <c r="Y762" s="200"/>
      <c r="Z762" s="200"/>
      <c r="AA762" s="200"/>
      <c r="AB762" s="200"/>
      <c r="AC762" s="222"/>
      <c r="AD762" s="200"/>
      <c r="AE762" s="200"/>
      <c r="AF762" s="223"/>
    </row>
  </sheetData>
  <mergeCells count="1161">
    <mergeCell ref="P128:S128"/>
    <mergeCell ref="P129:S129"/>
    <mergeCell ref="P130:S130"/>
    <mergeCell ref="P131:S131"/>
    <mergeCell ref="P132:S132"/>
    <mergeCell ref="G119:J119"/>
    <mergeCell ref="G120:J120"/>
    <mergeCell ref="G121:J121"/>
    <mergeCell ref="G122:J122"/>
    <mergeCell ref="G123:J123"/>
    <mergeCell ref="G124:J124"/>
    <mergeCell ref="P125:S125"/>
    <mergeCell ref="P126:S126"/>
    <mergeCell ref="P127:S127"/>
    <mergeCell ref="C747:C762"/>
    <mergeCell ref="D747:D762"/>
    <mergeCell ref="V747:W747"/>
    <mergeCell ref="V748:W748"/>
    <mergeCell ref="V749:W749"/>
    <mergeCell ref="V750:W750"/>
    <mergeCell ref="V751:W751"/>
    <mergeCell ref="V752:W752"/>
    <mergeCell ref="V753:W753"/>
    <mergeCell ref="V754:W754"/>
    <mergeCell ref="V755:W755"/>
    <mergeCell ref="V756:W756"/>
    <mergeCell ref="V757:W757"/>
    <mergeCell ref="V758:W758"/>
    <mergeCell ref="V759:W759"/>
    <mergeCell ref="V760:W760"/>
    <mergeCell ref="V761:W761"/>
    <mergeCell ref="V762:W762"/>
    <mergeCell ref="C731:C746"/>
    <mergeCell ref="D731:D746"/>
    <mergeCell ref="V731:W731"/>
    <mergeCell ref="V732:W732"/>
    <mergeCell ref="V733:W733"/>
    <mergeCell ref="V734:W734"/>
    <mergeCell ref="V735:W735"/>
    <mergeCell ref="V736:W736"/>
    <mergeCell ref="V737:W737"/>
    <mergeCell ref="V738:W738"/>
    <mergeCell ref="V739:W739"/>
    <mergeCell ref="V740:W740"/>
    <mergeCell ref="V741:W741"/>
    <mergeCell ref="V742:W742"/>
    <mergeCell ref="V743:W743"/>
    <mergeCell ref="V744:W744"/>
    <mergeCell ref="V745:W745"/>
    <mergeCell ref="V746:W746"/>
    <mergeCell ref="V711:W711"/>
    <mergeCell ref="V696:W696"/>
    <mergeCell ref="V697:W697"/>
    <mergeCell ref="V698:W698"/>
    <mergeCell ref="C699:C714"/>
    <mergeCell ref="D699:D714"/>
    <mergeCell ref="V699:W699"/>
    <mergeCell ref="V700:W700"/>
    <mergeCell ref="V701:W701"/>
    <mergeCell ref="V702:W702"/>
    <mergeCell ref="V703:W703"/>
    <mergeCell ref="V704:W704"/>
    <mergeCell ref="V712:W712"/>
    <mergeCell ref="V713:W713"/>
    <mergeCell ref="V714:W714"/>
    <mergeCell ref="V705:W705"/>
    <mergeCell ref="V706:W706"/>
    <mergeCell ref="V707:W707"/>
    <mergeCell ref="V708:W708"/>
    <mergeCell ref="V709:W709"/>
    <mergeCell ref="V710:W710"/>
    <mergeCell ref="V660:W660"/>
    <mergeCell ref="V661:W661"/>
    <mergeCell ref="V679:W679"/>
    <mergeCell ref="V680:W680"/>
    <mergeCell ref="V681:W681"/>
    <mergeCell ref="V682:W682"/>
    <mergeCell ref="C683:C698"/>
    <mergeCell ref="D683:D698"/>
    <mergeCell ref="V683:W683"/>
    <mergeCell ref="V684:W684"/>
    <mergeCell ref="V685:W685"/>
    <mergeCell ref="V686:W686"/>
    <mergeCell ref="V687:W687"/>
    <mergeCell ref="V688:W688"/>
    <mergeCell ref="V689:W689"/>
    <mergeCell ref="V690:W690"/>
    <mergeCell ref="V691:W691"/>
    <mergeCell ref="V692:W692"/>
    <mergeCell ref="V693:W693"/>
    <mergeCell ref="V694:W694"/>
    <mergeCell ref="V695:W695"/>
    <mergeCell ref="V665:W665"/>
    <mergeCell ref="V666:W666"/>
    <mergeCell ref="V631:W631"/>
    <mergeCell ref="V632:W632"/>
    <mergeCell ref="V633:W633"/>
    <mergeCell ref="V645:W645"/>
    <mergeCell ref="V634:W634"/>
    <mergeCell ref="V641:W641"/>
    <mergeCell ref="V642:W642"/>
    <mergeCell ref="V643:W643"/>
    <mergeCell ref="V644:W644"/>
    <mergeCell ref="C667:C682"/>
    <mergeCell ref="D667:D682"/>
    <mergeCell ref="V667:W667"/>
    <mergeCell ref="V668:W668"/>
    <mergeCell ref="V669:W669"/>
    <mergeCell ref="V670:W670"/>
    <mergeCell ref="V671:W671"/>
    <mergeCell ref="V672:W672"/>
    <mergeCell ref="V673:W673"/>
    <mergeCell ref="V674:W674"/>
    <mergeCell ref="V675:W675"/>
    <mergeCell ref="V676:W676"/>
    <mergeCell ref="V677:W677"/>
    <mergeCell ref="V678:W678"/>
    <mergeCell ref="V646:W646"/>
    <mergeCell ref="V647:W647"/>
    <mergeCell ref="V648:W648"/>
    <mergeCell ref="V649:W649"/>
    <mergeCell ref="V650:W650"/>
    <mergeCell ref="C619:C634"/>
    <mergeCell ref="D619:D634"/>
    <mergeCell ref="V664:W664"/>
    <mergeCell ref="V659:W659"/>
    <mergeCell ref="V619:W619"/>
    <mergeCell ref="V620:W620"/>
    <mergeCell ref="V621:W621"/>
    <mergeCell ref="V622:W622"/>
    <mergeCell ref="V623:W623"/>
    <mergeCell ref="C635:C650"/>
    <mergeCell ref="D635:D650"/>
    <mergeCell ref="V635:W635"/>
    <mergeCell ref="V636:W636"/>
    <mergeCell ref="V637:W637"/>
    <mergeCell ref="V638:W638"/>
    <mergeCell ref="V639:W639"/>
    <mergeCell ref="V640:W640"/>
    <mergeCell ref="V662:W662"/>
    <mergeCell ref="V663:W663"/>
    <mergeCell ref="V624:W624"/>
    <mergeCell ref="V625:W625"/>
    <mergeCell ref="V626:W626"/>
    <mergeCell ref="V627:W627"/>
    <mergeCell ref="V628:W628"/>
    <mergeCell ref="C651:C666"/>
    <mergeCell ref="D651:D666"/>
    <mergeCell ref="V651:W651"/>
    <mergeCell ref="V652:W652"/>
    <mergeCell ref="V653:W653"/>
    <mergeCell ref="V654:W654"/>
    <mergeCell ref="V655:W655"/>
    <mergeCell ref="V656:W656"/>
    <mergeCell ref="V657:W657"/>
    <mergeCell ref="V658:W658"/>
    <mergeCell ref="V629:W629"/>
    <mergeCell ref="V630:W630"/>
    <mergeCell ref="AP96:AS96"/>
    <mergeCell ref="C603:C618"/>
    <mergeCell ref="D603:D618"/>
    <mergeCell ref="V603:W603"/>
    <mergeCell ref="V604:W604"/>
    <mergeCell ref="V605:W605"/>
    <mergeCell ref="V606:W606"/>
    <mergeCell ref="V607:W607"/>
    <mergeCell ref="V608:W608"/>
    <mergeCell ref="V609:W609"/>
    <mergeCell ref="V610:W610"/>
    <mergeCell ref="V611:W611"/>
    <mergeCell ref="V612:W612"/>
    <mergeCell ref="V613:W613"/>
    <mergeCell ref="V614:W614"/>
    <mergeCell ref="V615:W615"/>
    <mergeCell ref="V616:W616"/>
    <mergeCell ref="V617:W617"/>
    <mergeCell ref="V618:W618"/>
    <mergeCell ref="V555:W555"/>
    <mergeCell ref="V556:W556"/>
    <mergeCell ref="V557:W557"/>
    <mergeCell ref="V558:W558"/>
    <mergeCell ref="V559:W559"/>
    <mergeCell ref="V560:W560"/>
    <mergeCell ref="V549:W549"/>
    <mergeCell ref="V550:W550"/>
    <mergeCell ref="V551:W551"/>
    <mergeCell ref="V552:W552"/>
    <mergeCell ref="V553:W553"/>
    <mergeCell ref="V554:W554"/>
    <mergeCell ref="V543:W543"/>
    <mergeCell ref="AP67:AS67"/>
    <mergeCell ref="AP68:AS68"/>
    <mergeCell ref="AP69:AS69"/>
    <mergeCell ref="AP70:AS70"/>
    <mergeCell ref="AP71:AS71"/>
    <mergeCell ref="AP72:AS72"/>
    <mergeCell ref="AP73:AS73"/>
    <mergeCell ref="AP74:AS74"/>
    <mergeCell ref="AP75:AS75"/>
    <mergeCell ref="AP76:AS76"/>
    <mergeCell ref="AP77:AS77"/>
    <mergeCell ref="AP78:AS78"/>
    <mergeCell ref="AP79:AS79"/>
    <mergeCell ref="AP97:AS97"/>
    <mergeCell ref="AP98:AS98"/>
    <mergeCell ref="AP99:AS99"/>
    <mergeCell ref="AP80:AS80"/>
    <mergeCell ref="AP81:AS81"/>
    <mergeCell ref="AP82:AS82"/>
    <mergeCell ref="AP83:AS83"/>
    <mergeCell ref="AP84:AS84"/>
    <mergeCell ref="AP85:AS85"/>
    <mergeCell ref="AP86:AS86"/>
    <mergeCell ref="AP87:AS87"/>
    <mergeCell ref="AP88:AS88"/>
    <mergeCell ref="AP89:AS89"/>
    <mergeCell ref="AP90:AS90"/>
    <mergeCell ref="AP91:AS91"/>
    <mergeCell ref="AP92:AS92"/>
    <mergeCell ref="AP93:AS93"/>
    <mergeCell ref="AP94:AS94"/>
    <mergeCell ref="AP95:AS95"/>
    <mergeCell ref="AP50:AS50"/>
    <mergeCell ref="AP51:AS51"/>
    <mergeCell ref="AP52:AS52"/>
    <mergeCell ref="AP53:AS53"/>
    <mergeCell ref="AP54:AS54"/>
    <mergeCell ref="AP55:AS55"/>
    <mergeCell ref="AP56:AS56"/>
    <mergeCell ref="AP57:AS57"/>
    <mergeCell ref="AP58:AS58"/>
    <mergeCell ref="AP59:AS59"/>
    <mergeCell ref="AP60:AS60"/>
    <mergeCell ref="AP61:AS61"/>
    <mergeCell ref="AP62:AS62"/>
    <mergeCell ref="AP63:AS63"/>
    <mergeCell ref="AP64:AS64"/>
    <mergeCell ref="AP65:AS65"/>
    <mergeCell ref="AP66:AS66"/>
    <mergeCell ref="V544:W544"/>
    <mergeCell ref="V545:W545"/>
    <mergeCell ref="V546:W546"/>
    <mergeCell ref="V547:W547"/>
    <mergeCell ref="V548:W548"/>
    <mergeCell ref="V573:W573"/>
    <mergeCell ref="V574:W574"/>
    <mergeCell ref="V575:W575"/>
    <mergeCell ref="V576:W576"/>
    <mergeCell ref="V577:W577"/>
    <mergeCell ref="V578:W578"/>
    <mergeCell ref="V567:W567"/>
    <mergeCell ref="V568:W568"/>
    <mergeCell ref="V569:W569"/>
    <mergeCell ref="V570:W570"/>
    <mergeCell ref="V571:W571"/>
    <mergeCell ref="V572:W572"/>
    <mergeCell ref="V561:W561"/>
    <mergeCell ref="V562:W562"/>
    <mergeCell ref="V563:W563"/>
    <mergeCell ref="V564:W564"/>
    <mergeCell ref="V565:W565"/>
    <mergeCell ref="V566:W566"/>
    <mergeCell ref="V600:W600"/>
    <mergeCell ref="V591:W591"/>
    <mergeCell ref="V592:W592"/>
    <mergeCell ref="V593:W593"/>
    <mergeCell ref="V594:W594"/>
    <mergeCell ref="V595:W595"/>
    <mergeCell ref="V596:W596"/>
    <mergeCell ref="V585:W585"/>
    <mergeCell ref="V586:W586"/>
    <mergeCell ref="V587:W587"/>
    <mergeCell ref="V588:W588"/>
    <mergeCell ref="V589:W589"/>
    <mergeCell ref="V590:W590"/>
    <mergeCell ref="V579:W579"/>
    <mergeCell ref="V580:W580"/>
    <mergeCell ref="V581:W581"/>
    <mergeCell ref="V582:W582"/>
    <mergeCell ref="V583:W583"/>
    <mergeCell ref="V584:W584"/>
    <mergeCell ref="V597:W597"/>
    <mergeCell ref="V598:W598"/>
    <mergeCell ref="V599:W599"/>
    <mergeCell ref="V541:W541"/>
    <mergeCell ref="V542:W542"/>
    <mergeCell ref="V531:W531"/>
    <mergeCell ref="V532:W532"/>
    <mergeCell ref="V533:W533"/>
    <mergeCell ref="V534:W534"/>
    <mergeCell ref="V535:W535"/>
    <mergeCell ref="V536:W536"/>
    <mergeCell ref="V525:W525"/>
    <mergeCell ref="V526:W526"/>
    <mergeCell ref="V527:W527"/>
    <mergeCell ref="V528:W528"/>
    <mergeCell ref="V529:W529"/>
    <mergeCell ref="V530:W530"/>
    <mergeCell ref="V519:W519"/>
    <mergeCell ref="V520:W520"/>
    <mergeCell ref="V521:W521"/>
    <mergeCell ref="V522:W522"/>
    <mergeCell ref="V523:W523"/>
    <mergeCell ref="V524:W524"/>
    <mergeCell ref="V537:W537"/>
    <mergeCell ref="V538:W538"/>
    <mergeCell ref="V539:W539"/>
    <mergeCell ref="V540:W540"/>
    <mergeCell ref="V513:W513"/>
    <mergeCell ref="V514:W514"/>
    <mergeCell ref="V515:W515"/>
    <mergeCell ref="V516:W516"/>
    <mergeCell ref="V517:W517"/>
    <mergeCell ref="V518:W518"/>
    <mergeCell ref="V507:W507"/>
    <mergeCell ref="V508:W508"/>
    <mergeCell ref="V509:W509"/>
    <mergeCell ref="V510:W510"/>
    <mergeCell ref="V511:W511"/>
    <mergeCell ref="V512:W512"/>
    <mergeCell ref="V501:W501"/>
    <mergeCell ref="V502:W502"/>
    <mergeCell ref="V503:W503"/>
    <mergeCell ref="V504:W504"/>
    <mergeCell ref="V505:W505"/>
    <mergeCell ref="V506:W506"/>
    <mergeCell ref="V495:W495"/>
    <mergeCell ref="V496:W496"/>
    <mergeCell ref="V497:W497"/>
    <mergeCell ref="V498:W498"/>
    <mergeCell ref="V499:W499"/>
    <mergeCell ref="V500:W500"/>
    <mergeCell ref="V489:W489"/>
    <mergeCell ref="V490:W490"/>
    <mergeCell ref="V491:W491"/>
    <mergeCell ref="V492:W492"/>
    <mergeCell ref="V493:W493"/>
    <mergeCell ref="V494:W494"/>
    <mergeCell ref="V483:W483"/>
    <mergeCell ref="V484:W484"/>
    <mergeCell ref="V485:W485"/>
    <mergeCell ref="V486:W486"/>
    <mergeCell ref="V487:W487"/>
    <mergeCell ref="V488:W488"/>
    <mergeCell ref="V477:W477"/>
    <mergeCell ref="V478:W478"/>
    <mergeCell ref="V479:W479"/>
    <mergeCell ref="V480:W480"/>
    <mergeCell ref="V481:W481"/>
    <mergeCell ref="V482:W482"/>
    <mergeCell ref="V471:W471"/>
    <mergeCell ref="V472:W472"/>
    <mergeCell ref="V473:W473"/>
    <mergeCell ref="V474:W474"/>
    <mergeCell ref="V475:W475"/>
    <mergeCell ref="V476:W476"/>
    <mergeCell ref="V465:W465"/>
    <mergeCell ref="V466:W466"/>
    <mergeCell ref="V467:W467"/>
    <mergeCell ref="V468:W468"/>
    <mergeCell ref="V469:W469"/>
    <mergeCell ref="V470:W470"/>
    <mergeCell ref="V459:W459"/>
    <mergeCell ref="V460:W460"/>
    <mergeCell ref="V461:W461"/>
    <mergeCell ref="V462:W462"/>
    <mergeCell ref="V463:W463"/>
    <mergeCell ref="V464:W464"/>
    <mergeCell ref="V453:W453"/>
    <mergeCell ref="V454:W454"/>
    <mergeCell ref="V455:W455"/>
    <mergeCell ref="V456:W456"/>
    <mergeCell ref="V457:W457"/>
    <mergeCell ref="V458:W458"/>
    <mergeCell ref="V447:W447"/>
    <mergeCell ref="V448:W448"/>
    <mergeCell ref="V449:W449"/>
    <mergeCell ref="V450:W450"/>
    <mergeCell ref="V451:W451"/>
    <mergeCell ref="V452:W452"/>
    <mergeCell ref="V441:W441"/>
    <mergeCell ref="V442:W442"/>
    <mergeCell ref="V443:W443"/>
    <mergeCell ref="V444:W444"/>
    <mergeCell ref="V445:W445"/>
    <mergeCell ref="V446:W446"/>
    <mergeCell ref="V435:W435"/>
    <mergeCell ref="V436:W436"/>
    <mergeCell ref="V437:W437"/>
    <mergeCell ref="V438:W438"/>
    <mergeCell ref="V439:W439"/>
    <mergeCell ref="V440:W440"/>
    <mergeCell ref="V429:W429"/>
    <mergeCell ref="V430:W430"/>
    <mergeCell ref="V431:W431"/>
    <mergeCell ref="V432:W432"/>
    <mergeCell ref="V433:W433"/>
    <mergeCell ref="V434:W434"/>
    <mergeCell ref="V423:W423"/>
    <mergeCell ref="V424:W424"/>
    <mergeCell ref="V425:W425"/>
    <mergeCell ref="V426:W426"/>
    <mergeCell ref="V427:W427"/>
    <mergeCell ref="V428:W428"/>
    <mergeCell ref="V417:W417"/>
    <mergeCell ref="V418:W418"/>
    <mergeCell ref="V419:W419"/>
    <mergeCell ref="V420:W420"/>
    <mergeCell ref="V421:W421"/>
    <mergeCell ref="V422:W422"/>
    <mergeCell ref="V411:W411"/>
    <mergeCell ref="V412:W412"/>
    <mergeCell ref="V413:W413"/>
    <mergeCell ref="V414:W414"/>
    <mergeCell ref="V415:W415"/>
    <mergeCell ref="V416:W416"/>
    <mergeCell ref="V405:W405"/>
    <mergeCell ref="V406:W406"/>
    <mergeCell ref="V407:W407"/>
    <mergeCell ref="V408:W408"/>
    <mergeCell ref="V409:W409"/>
    <mergeCell ref="V410:W410"/>
    <mergeCell ref="V399:W399"/>
    <mergeCell ref="V400:W400"/>
    <mergeCell ref="V401:W401"/>
    <mergeCell ref="V402:W402"/>
    <mergeCell ref="V403:W403"/>
    <mergeCell ref="V404:W404"/>
    <mergeCell ref="V393:W393"/>
    <mergeCell ref="V394:W394"/>
    <mergeCell ref="V395:W395"/>
    <mergeCell ref="V396:W396"/>
    <mergeCell ref="V397:W397"/>
    <mergeCell ref="V398:W398"/>
    <mergeCell ref="V387:W387"/>
    <mergeCell ref="V388:W388"/>
    <mergeCell ref="V389:W389"/>
    <mergeCell ref="V390:W390"/>
    <mergeCell ref="V391:W391"/>
    <mergeCell ref="V392:W392"/>
    <mergeCell ref="V381:W381"/>
    <mergeCell ref="V382:W382"/>
    <mergeCell ref="V383:W383"/>
    <mergeCell ref="V384:W384"/>
    <mergeCell ref="V385:W385"/>
    <mergeCell ref="V386:W386"/>
    <mergeCell ref="V375:W375"/>
    <mergeCell ref="V376:W376"/>
    <mergeCell ref="V377:W377"/>
    <mergeCell ref="V378:W378"/>
    <mergeCell ref="V379:W379"/>
    <mergeCell ref="V380:W380"/>
    <mergeCell ref="V369:W369"/>
    <mergeCell ref="V370:W370"/>
    <mergeCell ref="V371:W371"/>
    <mergeCell ref="V372:W372"/>
    <mergeCell ref="V373:W373"/>
    <mergeCell ref="V374:W374"/>
    <mergeCell ref="V363:W363"/>
    <mergeCell ref="V364:W364"/>
    <mergeCell ref="V365:W365"/>
    <mergeCell ref="V366:W366"/>
    <mergeCell ref="V367:W367"/>
    <mergeCell ref="V368:W368"/>
    <mergeCell ref="V357:W357"/>
    <mergeCell ref="V358:W358"/>
    <mergeCell ref="V359:W359"/>
    <mergeCell ref="V360:W360"/>
    <mergeCell ref="V361:W361"/>
    <mergeCell ref="V362:W362"/>
    <mergeCell ref="V351:W351"/>
    <mergeCell ref="V352:W352"/>
    <mergeCell ref="V353:W353"/>
    <mergeCell ref="V354:W354"/>
    <mergeCell ref="V355:W355"/>
    <mergeCell ref="V356:W356"/>
    <mergeCell ref="V345:W345"/>
    <mergeCell ref="V346:W346"/>
    <mergeCell ref="V347:W347"/>
    <mergeCell ref="V348:W348"/>
    <mergeCell ref="V349:W349"/>
    <mergeCell ref="V350:W350"/>
    <mergeCell ref="V339:W339"/>
    <mergeCell ref="V340:W340"/>
    <mergeCell ref="V343:W344"/>
    <mergeCell ref="X343:Z343"/>
    <mergeCell ref="AA343:AC343"/>
    <mergeCell ref="AD343:AF343"/>
    <mergeCell ref="V333:W333"/>
    <mergeCell ref="V334:W334"/>
    <mergeCell ref="V335:W335"/>
    <mergeCell ref="V336:W336"/>
    <mergeCell ref="V337:W337"/>
    <mergeCell ref="V338:W338"/>
    <mergeCell ref="V327:W327"/>
    <mergeCell ref="V328:W328"/>
    <mergeCell ref="V329:W329"/>
    <mergeCell ref="V330:W330"/>
    <mergeCell ref="V331:W331"/>
    <mergeCell ref="V332:W332"/>
    <mergeCell ref="V321:W321"/>
    <mergeCell ref="V322:W322"/>
    <mergeCell ref="V323:W323"/>
    <mergeCell ref="V324:W324"/>
    <mergeCell ref="V325:W325"/>
    <mergeCell ref="V326:W326"/>
    <mergeCell ref="V315:W315"/>
    <mergeCell ref="V316:W316"/>
    <mergeCell ref="V317:W317"/>
    <mergeCell ref="V318:W318"/>
    <mergeCell ref="V319:W319"/>
    <mergeCell ref="V320:W320"/>
    <mergeCell ref="V309:W309"/>
    <mergeCell ref="V310:W310"/>
    <mergeCell ref="V311:W311"/>
    <mergeCell ref="V312:W312"/>
    <mergeCell ref="V313:W313"/>
    <mergeCell ref="V314:W314"/>
    <mergeCell ref="V303:W303"/>
    <mergeCell ref="V304:W304"/>
    <mergeCell ref="V305:W305"/>
    <mergeCell ref="V306:W306"/>
    <mergeCell ref="V307:W307"/>
    <mergeCell ref="V308:W308"/>
    <mergeCell ref="V297:W297"/>
    <mergeCell ref="V298:W298"/>
    <mergeCell ref="V299:W299"/>
    <mergeCell ref="V300:W300"/>
    <mergeCell ref="V301:W301"/>
    <mergeCell ref="V302:W302"/>
    <mergeCell ref="V291:W291"/>
    <mergeCell ref="V292:W292"/>
    <mergeCell ref="V293:W293"/>
    <mergeCell ref="V294:W294"/>
    <mergeCell ref="V295:W295"/>
    <mergeCell ref="V296:W296"/>
    <mergeCell ref="V285:W285"/>
    <mergeCell ref="V286:W286"/>
    <mergeCell ref="V287:W287"/>
    <mergeCell ref="V288:W288"/>
    <mergeCell ref="V289:W289"/>
    <mergeCell ref="V290:W290"/>
    <mergeCell ref="V279:W279"/>
    <mergeCell ref="V280:W280"/>
    <mergeCell ref="V281:W281"/>
    <mergeCell ref="V282:W282"/>
    <mergeCell ref="V283:W283"/>
    <mergeCell ref="V284:W284"/>
    <mergeCell ref="V273:W273"/>
    <mergeCell ref="V274:W274"/>
    <mergeCell ref="V275:W275"/>
    <mergeCell ref="V276:W276"/>
    <mergeCell ref="V277:W277"/>
    <mergeCell ref="V278:W278"/>
    <mergeCell ref="V267:W267"/>
    <mergeCell ref="V268:W268"/>
    <mergeCell ref="V269:W269"/>
    <mergeCell ref="V270:W270"/>
    <mergeCell ref="V271:W271"/>
    <mergeCell ref="V272:W272"/>
    <mergeCell ref="V261:W261"/>
    <mergeCell ref="V262:W262"/>
    <mergeCell ref="V263:W263"/>
    <mergeCell ref="V264:W264"/>
    <mergeCell ref="V265:W265"/>
    <mergeCell ref="V266:W266"/>
    <mergeCell ref="V255:W255"/>
    <mergeCell ref="V256:W256"/>
    <mergeCell ref="V257:W257"/>
    <mergeCell ref="V258:W258"/>
    <mergeCell ref="V259:W259"/>
    <mergeCell ref="V260:W260"/>
    <mergeCell ref="V249:W249"/>
    <mergeCell ref="V250:W250"/>
    <mergeCell ref="V251:W251"/>
    <mergeCell ref="V252:W252"/>
    <mergeCell ref="V253:W253"/>
    <mergeCell ref="V254:W254"/>
    <mergeCell ref="V243:W243"/>
    <mergeCell ref="V244:W244"/>
    <mergeCell ref="V245:W245"/>
    <mergeCell ref="V246:W246"/>
    <mergeCell ref="V247:W247"/>
    <mergeCell ref="V248:W248"/>
    <mergeCell ref="V237:W237"/>
    <mergeCell ref="V238:W238"/>
    <mergeCell ref="V239:W239"/>
    <mergeCell ref="V240:W240"/>
    <mergeCell ref="V241:W241"/>
    <mergeCell ref="V242:W242"/>
    <mergeCell ref="V231:W231"/>
    <mergeCell ref="V232:W232"/>
    <mergeCell ref="V233:W233"/>
    <mergeCell ref="V234:W234"/>
    <mergeCell ref="V235:W235"/>
    <mergeCell ref="V236:W236"/>
    <mergeCell ref="V225:W225"/>
    <mergeCell ref="V226:W226"/>
    <mergeCell ref="V227:W227"/>
    <mergeCell ref="V228:W228"/>
    <mergeCell ref="V229:W229"/>
    <mergeCell ref="V230:W230"/>
    <mergeCell ref="V219:W219"/>
    <mergeCell ref="V220:W220"/>
    <mergeCell ref="V221:W221"/>
    <mergeCell ref="V222:W222"/>
    <mergeCell ref="V223:W223"/>
    <mergeCell ref="V224:W224"/>
    <mergeCell ref="V213:W213"/>
    <mergeCell ref="V214:W214"/>
    <mergeCell ref="V215:W215"/>
    <mergeCell ref="V216:W216"/>
    <mergeCell ref="V217:W217"/>
    <mergeCell ref="V218:W218"/>
    <mergeCell ref="V207:W207"/>
    <mergeCell ref="V208:W208"/>
    <mergeCell ref="V209:W209"/>
    <mergeCell ref="V210:W210"/>
    <mergeCell ref="V211:W211"/>
    <mergeCell ref="V212:W212"/>
    <mergeCell ref="V201:W201"/>
    <mergeCell ref="V202:W202"/>
    <mergeCell ref="V203:W203"/>
    <mergeCell ref="V204:W204"/>
    <mergeCell ref="V205:W205"/>
    <mergeCell ref="V206:W206"/>
    <mergeCell ref="V195:W195"/>
    <mergeCell ref="V196:W196"/>
    <mergeCell ref="V197:W197"/>
    <mergeCell ref="V198:W198"/>
    <mergeCell ref="V199:W199"/>
    <mergeCell ref="V200:W200"/>
    <mergeCell ref="V189:W189"/>
    <mergeCell ref="V190:W190"/>
    <mergeCell ref="V191:W191"/>
    <mergeCell ref="V192:W192"/>
    <mergeCell ref="V193:W193"/>
    <mergeCell ref="V194:W194"/>
    <mergeCell ref="V183:W183"/>
    <mergeCell ref="V184:W184"/>
    <mergeCell ref="V185:W185"/>
    <mergeCell ref="V186:W186"/>
    <mergeCell ref="V187:W187"/>
    <mergeCell ref="V188:W188"/>
    <mergeCell ref="V177:W177"/>
    <mergeCell ref="V178:W178"/>
    <mergeCell ref="V179:W179"/>
    <mergeCell ref="V180:W180"/>
    <mergeCell ref="V181:W181"/>
    <mergeCell ref="V182:W182"/>
    <mergeCell ref="V171:W171"/>
    <mergeCell ref="V172:W172"/>
    <mergeCell ref="V173:W173"/>
    <mergeCell ref="V174:W174"/>
    <mergeCell ref="V175:W175"/>
    <mergeCell ref="V176:W176"/>
    <mergeCell ref="V165:W165"/>
    <mergeCell ref="V166:W166"/>
    <mergeCell ref="V167:W167"/>
    <mergeCell ref="V168:W168"/>
    <mergeCell ref="V169:W169"/>
    <mergeCell ref="V170:W170"/>
    <mergeCell ref="V159:W159"/>
    <mergeCell ref="V160:W160"/>
    <mergeCell ref="V161:W161"/>
    <mergeCell ref="V162:W162"/>
    <mergeCell ref="V163:W163"/>
    <mergeCell ref="V164:W164"/>
    <mergeCell ref="V153:W153"/>
    <mergeCell ref="V154:W154"/>
    <mergeCell ref="V155:W155"/>
    <mergeCell ref="V156:W156"/>
    <mergeCell ref="V157:W157"/>
    <mergeCell ref="V158:W158"/>
    <mergeCell ref="V147:W147"/>
    <mergeCell ref="V148:W148"/>
    <mergeCell ref="V149:W149"/>
    <mergeCell ref="V150:W150"/>
    <mergeCell ref="V151:W151"/>
    <mergeCell ref="V152:W152"/>
    <mergeCell ref="V141:W141"/>
    <mergeCell ref="V142:W142"/>
    <mergeCell ref="V143:W143"/>
    <mergeCell ref="V144:W144"/>
    <mergeCell ref="V145:W145"/>
    <mergeCell ref="V146:W146"/>
    <mergeCell ref="V135:W135"/>
    <mergeCell ref="V136:W136"/>
    <mergeCell ref="V137:W137"/>
    <mergeCell ref="V138:W138"/>
    <mergeCell ref="V139:W139"/>
    <mergeCell ref="V140:W140"/>
    <mergeCell ref="V129:W129"/>
    <mergeCell ref="V130:W130"/>
    <mergeCell ref="V131:W131"/>
    <mergeCell ref="V132:W132"/>
    <mergeCell ref="V133:W133"/>
    <mergeCell ref="V134:W134"/>
    <mergeCell ref="V123:W123"/>
    <mergeCell ref="V124:W124"/>
    <mergeCell ref="V125:W125"/>
    <mergeCell ref="V126:W126"/>
    <mergeCell ref="V127:W127"/>
    <mergeCell ref="V128:W128"/>
    <mergeCell ref="V117:W117"/>
    <mergeCell ref="V118:W118"/>
    <mergeCell ref="V119:W119"/>
    <mergeCell ref="V120:W120"/>
    <mergeCell ref="V121:W121"/>
    <mergeCell ref="V122:W122"/>
    <mergeCell ref="V110:W110"/>
    <mergeCell ref="V111:W111"/>
    <mergeCell ref="V112:W112"/>
    <mergeCell ref="V113:W113"/>
    <mergeCell ref="V115:W115"/>
    <mergeCell ref="V116:W116"/>
    <mergeCell ref="V104:W104"/>
    <mergeCell ref="V105:W105"/>
    <mergeCell ref="V106:W106"/>
    <mergeCell ref="V107:W107"/>
    <mergeCell ref="V108:W108"/>
    <mergeCell ref="V109:W109"/>
    <mergeCell ref="V98:W98"/>
    <mergeCell ref="V99:W99"/>
    <mergeCell ref="V100:W100"/>
    <mergeCell ref="V101:W101"/>
    <mergeCell ref="V102:W102"/>
    <mergeCell ref="V103:W103"/>
    <mergeCell ref="V92:W92"/>
    <mergeCell ref="V93:W93"/>
    <mergeCell ref="V94:W94"/>
    <mergeCell ref="V95:W95"/>
    <mergeCell ref="V96:W96"/>
    <mergeCell ref="V97:W97"/>
    <mergeCell ref="V86:W86"/>
    <mergeCell ref="V87:W87"/>
    <mergeCell ref="V88:W88"/>
    <mergeCell ref="V89:W89"/>
    <mergeCell ref="V90:W90"/>
    <mergeCell ref="V91:W91"/>
    <mergeCell ref="V81:W81"/>
    <mergeCell ref="V83:W84"/>
    <mergeCell ref="X83:Z83"/>
    <mergeCell ref="AA83:AC83"/>
    <mergeCell ref="AD83:AF83"/>
    <mergeCell ref="V85:W85"/>
    <mergeCell ref="V75:W75"/>
    <mergeCell ref="V76:W76"/>
    <mergeCell ref="V77:W77"/>
    <mergeCell ref="V78:W78"/>
    <mergeCell ref="V79:W79"/>
    <mergeCell ref="V80:W80"/>
    <mergeCell ref="V69:W69"/>
    <mergeCell ref="V70:W70"/>
    <mergeCell ref="V71:W71"/>
    <mergeCell ref="V72:W72"/>
    <mergeCell ref="V73:W73"/>
    <mergeCell ref="V74:W74"/>
    <mergeCell ref="V63:W63"/>
    <mergeCell ref="V64:W64"/>
    <mergeCell ref="V65:W65"/>
    <mergeCell ref="V66:W66"/>
    <mergeCell ref="V67:W67"/>
    <mergeCell ref="V68:W68"/>
    <mergeCell ref="V57:W57"/>
    <mergeCell ref="V58:W58"/>
    <mergeCell ref="V59:W59"/>
    <mergeCell ref="V60:W60"/>
    <mergeCell ref="V61:W61"/>
    <mergeCell ref="V62:W62"/>
    <mergeCell ref="V51:W51"/>
    <mergeCell ref="V52:W52"/>
    <mergeCell ref="V53:W53"/>
    <mergeCell ref="V54:W54"/>
    <mergeCell ref="V55:W55"/>
    <mergeCell ref="V56:W56"/>
    <mergeCell ref="V50:W50"/>
    <mergeCell ref="X13:Z13"/>
    <mergeCell ref="AA13:AC13"/>
    <mergeCell ref="AD13:AF13"/>
    <mergeCell ref="R9:S9"/>
    <mergeCell ref="K10:O10"/>
    <mergeCell ref="P10:Q10"/>
    <mergeCell ref="R10:S10"/>
    <mergeCell ref="K11:O11"/>
    <mergeCell ref="P11:Q11"/>
    <mergeCell ref="R11:S11"/>
    <mergeCell ref="O48:O49"/>
    <mergeCell ref="T48:T49"/>
    <mergeCell ref="P9:Q9"/>
    <mergeCell ref="K48:K49"/>
    <mergeCell ref="N48:N49"/>
    <mergeCell ref="K9:O9"/>
    <mergeCell ref="P48:S49"/>
    <mergeCell ref="P13:S14"/>
    <mergeCell ref="T13:T14"/>
    <mergeCell ref="V13:W14"/>
    <mergeCell ref="L13:L14"/>
    <mergeCell ref="U13:U14"/>
    <mergeCell ref="V27:W27"/>
    <mergeCell ref="V28:W28"/>
    <mergeCell ref="V29:W29"/>
    <mergeCell ref="V30:W30"/>
    <mergeCell ref="V36:W36"/>
    <mergeCell ref="V32:W32"/>
    <mergeCell ref="V33:W33"/>
    <mergeCell ref="V34:W34"/>
    <mergeCell ref="V35:W35"/>
    <mergeCell ref="AD5:AE5"/>
    <mergeCell ref="K6:O6"/>
    <mergeCell ref="P6:Q6"/>
    <mergeCell ref="R6:S6"/>
    <mergeCell ref="K7:O7"/>
    <mergeCell ref="P7:Q7"/>
    <mergeCell ref="R7:S7"/>
    <mergeCell ref="K8:O8"/>
    <mergeCell ref="P8:Q8"/>
    <mergeCell ref="R8:S8"/>
    <mergeCell ref="I5:T5"/>
    <mergeCell ref="AA5:AB5"/>
    <mergeCell ref="AA12:AC12"/>
    <mergeCell ref="V48:W49"/>
    <mergeCell ref="X48:Z48"/>
    <mergeCell ref="AA48:AC48"/>
    <mergeCell ref="AD48:AF48"/>
    <mergeCell ref="V15:W15"/>
    <mergeCell ref="V16:W16"/>
    <mergeCell ref="V17:W17"/>
    <mergeCell ref="V18:W18"/>
    <mergeCell ref="V19:W19"/>
    <mergeCell ref="V20:W20"/>
    <mergeCell ref="V21:W21"/>
    <mergeCell ref="V31:W31"/>
    <mergeCell ref="V22:W22"/>
    <mergeCell ref="V23:W23"/>
    <mergeCell ref="V24:W24"/>
    <mergeCell ref="V25:W25"/>
    <mergeCell ref="V26:W26"/>
    <mergeCell ref="V43:W43"/>
    <mergeCell ref="O13:O14"/>
    <mergeCell ref="C457:C472"/>
    <mergeCell ref="D457:D472"/>
    <mergeCell ref="C473:C488"/>
    <mergeCell ref="D473:D488"/>
    <mergeCell ref="C489:C504"/>
    <mergeCell ref="D489:D504"/>
    <mergeCell ref="C505:C520"/>
    <mergeCell ref="D505:D520"/>
    <mergeCell ref="C553:C568"/>
    <mergeCell ref="D553:D568"/>
    <mergeCell ref="C537:C552"/>
    <mergeCell ref="D537:D552"/>
    <mergeCell ref="C521:C536"/>
    <mergeCell ref="D521:D536"/>
    <mergeCell ref="C585:C600"/>
    <mergeCell ref="D585:D600"/>
    <mergeCell ref="C569:C584"/>
    <mergeCell ref="D569:D584"/>
    <mergeCell ref="N343:N344"/>
    <mergeCell ref="O343:O344"/>
    <mergeCell ref="P343:S344"/>
    <mergeCell ref="T343:T344"/>
    <mergeCell ref="C345:C360"/>
    <mergeCell ref="D345:D360"/>
    <mergeCell ref="B343:B344"/>
    <mergeCell ref="C343:C344"/>
    <mergeCell ref="D343:D344"/>
    <mergeCell ref="E343:E344"/>
    <mergeCell ref="F343:F344"/>
    <mergeCell ref="G343:J344"/>
    <mergeCell ref="C377:C392"/>
    <mergeCell ref="D377:D392"/>
    <mergeCell ref="C409:C424"/>
    <mergeCell ref="C441:C456"/>
    <mergeCell ref="D441:D456"/>
    <mergeCell ref="C361:C376"/>
    <mergeCell ref="C425:C440"/>
    <mergeCell ref="D425:D440"/>
    <mergeCell ref="D409:D424"/>
    <mergeCell ref="C393:C408"/>
    <mergeCell ref="D393:D408"/>
    <mergeCell ref="D361:D376"/>
    <mergeCell ref="G345:J345"/>
    <mergeCell ref="G346:J346"/>
    <mergeCell ref="G347:J347"/>
    <mergeCell ref="G349:J349"/>
    <mergeCell ref="G350:J350"/>
    <mergeCell ref="G351:J351"/>
    <mergeCell ref="G352:J352"/>
    <mergeCell ref="G409:J409"/>
    <mergeCell ref="C229:C244"/>
    <mergeCell ref="D229:D244"/>
    <mergeCell ref="C213:C228"/>
    <mergeCell ref="D213:D228"/>
    <mergeCell ref="C261:C276"/>
    <mergeCell ref="D261:D276"/>
    <mergeCell ref="C245:C260"/>
    <mergeCell ref="D245:D260"/>
    <mergeCell ref="C309:C324"/>
    <mergeCell ref="D309:D324"/>
    <mergeCell ref="C293:C308"/>
    <mergeCell ref="D293:D308"/>
    <mergeCell ref="C277:C292"/>
    <mergeCell ref="D277:D292"/>
    <mergeCell ref="C325:C340"/>
    <mergeCell ref="D325:D340"/>
    <mergeCell ref="K343:K344"/>
    <mergeCell ref="C101:C116"/>
    <mergeCell ref="D101:D116"/>
    <mergeCell ref="C117:C132"/>
    <mergeCell ref="D117:D132"/>
    <mergeCell ref="C133:C148"/>
    <mergeCell ref="D133:D148"/>
    <mergeCell ref="C149:C164"/>
    <mergeCell ref="D149:D164"/>
    <mergeCell ref="C165:C180"/>
    <mergeCell ref="D165:D180"/>
    <mergeCell ref="C181:C196"/>
    <mergeCell ref="D181:D196"/>
    <mergeCell ref="G77:J77"/>
    <mergeCell ref="G182:J182"/>
    <mergeCell ref="P83:S84"/>
    <mergeCell ref="C197:C212"/>
    <mergeCell ref="D197:D212"/>
    <mergeCell ref="P197:S197"/>
    <mergeCell ref="P199:S199"/>
    <mergeCell ref="P200:S200"/>
    <mergeCell ref="P201:S201"/>
    <mergeCell ref="P202:S202"/>
    <mergeCell ref="P203:S203"/>
    <mergeCell ref="P204:S204"/>
    <mergeCell ref="P205:S205"/>
    <mergeCell ref="P206:S206"/>
    <mergeCell ref="P207:S207"/>
    <mergeCell ref="P208:S208"/>
    <mergeCell ref="P209:S209"/>
    <mergeCell ref="P210:S210"/>
    <mergeCell ref="G117:J117"/>
    <mergeCell ref="G118:J118"/>
    <mergeCell ref="G73:J73"/>
    <mergeCell ref="P73:S73"/>
    <mergeCell ref="G74:J74"/>
    <mergeCell ref="P74:S74"/>
    <mergeCell ref="G75:J75"/>
    <mergeCell ref="P75:S75"/>
    <mergeCell ref="G70:J70"/>
    <mergeCell ref="P70:S70"/>
    <mergeCell ref="G71:J71"/>
    <mergeCell ref="P71:S71"/>
    <mergeCell ref="G72:J72"/>
    <mergeCell ref="P72:S72"/>
    <mergeCell ref="K83:K84"/>
    <mergeCell ref="N83:N84"/>
    <mergeCell ref="O83:O84"/>
    <mergeCell ref="T83:T84"/>
    <mergeCell ref="C85:C100"/>
    <mergeCell ref="D85:D100"/>
    <mergeCell ref="G69:J69"/>
    <mergeCell ref="P69:S69"/>
    <mergeCell ref="G64:J64"/>
    <mergeCell ref="P64:S64"/>
    <mergeCell ref="G65:J65"/>
    <mergeCell ref="P65:S65"/>
    <mergeCell ref="G66:J66"/>
    <mergeCell ref="P66:S66"/>
    <mergeCell ref="G62:J62"/>
    <mergeCell ref="P62:S62"/>
    <mergeCell ref="G63:J63"/>
    <mergeCell ref="P63:S63"/>
    <mergeCell ref="G76:J76"/>
    <mergeCell ref="P76:S76"/>
    <mergeCell ref="G68:J68"/>
    <mergeCell ref="B83:B84"/>
    <mergeCell ref="C83:C84"/>
    <mergeCell ref="D83:D84"/>
    <mergeCell ref="E83:E84"/>
    <mergeCell ref="F83:F84"/>
    <mergeCell ref="G83:J84"/>
    <mergeCell ref="G79:J79"/>
    <mergeCell ref="P79:S79"/>
    <mergeCell ref="G80:J80"/>
    <mergeCell ref="P80:S80"/>
    <mergeCell ref="G81:J81"/>
    <mergeCell ref="P81:S81"/>
    <mergeCell ref="C50:C81"/>
    <mergeCell ref="D50:D81"/>
    <mergeCell ref="P77:S77"/>
    <mergeCell ref="G78:J78"/>
    <mergeCell ref="P78:S78"/>
    <mergeCell ref="G67:J67"/>
    <mergeCell ref="B9:D9"/>
    <mergeCell ref="E9:F9"/>
    <mergeCell ref="G9:H9"/>
    <mergeCell ref="I9:J9"/>
    <mergeCell ref="B8:D8"/>
    <mergeCell ref="E8:F8"/>
    <mergeCell ref="G8:H8"/>
    <mergeCell ref="I8:J8"/>
    <mergeCell ref="B13:B14"/>
    <mergeCell ref="C13:C14"/>
    <mergeCell ref="D13:D14"/>
    <mergeCell ref="E13:E14"/>
    <mergeCell ref="F13:F14"/>
    <mergeCell ref="G13:J14"/>
    <mergeCell ref="P67:S67"/>
    <mergeCell ref="P68:S68"/>
    <mergeCell ref="M13:M14"/>
    <mergeCell ref="B7:D7"/>
    <mergeCell ref="E7:F7"/>
    <mergeCell ref="G7:H7"/>
    <mergeCell ref="I7:J7"/>
    <mergeCell ref="B5:H5"/>
    <mergeCell ref="B6:D6"/>
    <mergeCell ref="E6:F6"/>
    <mergeCell ref="G6:H6"/>
    <mergeCell ref="I6:J6"/>
    <mergeCell ref="B48:B49"/>
    <mergeCell ref="C48:C49"/>
    <mergeCell ref="D48:D49"/>
    <mergeCell ref="E48:E49"/>
    <mergeCell ref="F48:F49"/>
    <mergeCell ref="G48:J49"/>
    <mergeCell ref="K13:K14"/>
    <mergeCell ref="N13:N14"/>
    <mergeCell ref="C15:C46"/>
    <mergeCell ref="D15:D46"/>
    <mergeCell ref="B11:D11"/>
    <mergeCell ref="E11:F11"/>
    <mergeCell ref="G11:H11"/>
    <mergeCell ref="I11:J11"/>
    <mergeCell ref="B10:D10"/>
    <mergeCell ref="E10:F10"/>
    <mergeCell ref="G10:H10"/>
    <mergeCell ref="I10:J10"/>
    <mergeCell ref="AP19:AS19"/>
    <mergeCell ref="AP18:AS18"/>
    <mergeCell ref="AP17:AS17"/>
    <mergeCell ref="AP16:AS16"/>
    <mergeCell ref="AP15:AS15"/>
    <mergeCell ref="AP26:AS26"/>
    <mergeCell ref="AP25:AS25"/>
    <mergeCell ref="AP24:AS24"/>
    <mergeCell ref="AP23:AS23"/>
    <mergeCell ref="AP22:AS22"/>
    <mergeCell ref="AP31:AS31"/>
    <mergeCell ref="AP30:AS30"/>
    <mergeCell ref="AP29:AS29"/>
    <mergeCell ref="AP28:AS28"/>
    <mergeCell ref="AP27:AS27"/>
    <mergeCell ref="AP21:AS21"/>
    <mergeCell ref="AP20:AS20"/>
    <mergeCell ref="AP36:AS36"/>
    <mergeCell ref="AP35:AS35"/>
    <mergeCell ref="AP34:AS34"/>
    <mergeCell ref="AP33:AS33"/>
    <mergeCell ref="AP32:AS32"/>
    <mergeCell ref="AP41:AS41"/>
    <mergeCell ref="AP40:AS40"/>
    <mergeCell ref="AP39:AS39"/>
    <mergeCell ref="AP38:AS38"/>
    <mergeCell ref="AP37:AS37"/>
    <mergeCell ref="AP46:AS46"/>
    <mergeCell ref="AP45:AS45"/>
    <mergeCell ref="AP44:AS44"/>
    <mergeCell ref="AP43:AS43"/>
    <mergeCell ref="AP42:AS42"/>
    <mergeCell ref="V44:W44"/>
    <mergeCell ref="V45:W45"/>
    <mergeCell ref="V46:W46"/>
    <mergeCell ref="V37:W37"/>
    <mergeCell ref="V38:W38"/>
    <mergeCell ref="V39:W39"/>
    <mergeCell ref="V40:W40"/>
    <mergeCell ref="V41:W41"/>
    <mergeCell ref="V42:W42"/>
    <mergeCell ref="V725:W725"/>
    <mergeCell ref="V726:W726"/>
    <mergeCell ref="V727:W727"/>
    <mergeCell ref="V728:W728"/>
    <mergeCell ref="V729:W729"/>
    <mergeCell ref="V730:W730"/>
    <mergeCell ref="C715:C730"/>
    <mergeCell ref="D715:D730"/>
    <mergeCell ref="V715:W715"/>
    <mergeCell ref="V716:W716"/>
    <mergeCell ref="V717:W717"/>
    <mergeCell ref="V718:W718"/>
    <mergeCell ref="V719:W719"/>
    <mergeCell ref="V720:W720"/>
    <mergeCell ref="V721:W721"/>
    <mergeCell ref="V722:W722"/>
    <mergeCell ref="V723:W723"/>
    <mergeCell ref="V724:W724"/>
    <mergeCell ref="G410:J410"/>
    <mergeCell ref="G411:J411"/>
    <mergeCell ref="G412:J412"/>
    <mergeCell ref="G413:J413"/>
    <mergeCell ref="G414:J414"/>
    <mergeCell ref="G415:J415"/>
    <mergeCell ref="G416:J416"/>
    <mergeCell ref="G455:J455"/>
    <mergeCell ref="G456:J456"/>
    <mergeCell ref="G473:J473"/>
    <mergeCell ref="G474:J474"/>
    <mergeCell ref="G475:J475"/>
    <mergeCell ref="G476:J476"/>
    <mergeCell ref="G477:J477"/>
    <mergeCell ref="G478:J478"/>
    <mergeCell ref="G481:J481"/>
    <mergeCell ref="G505:J505"/>
    <mergeCell ref="G506:J506"/>
    <mergeCell ref="G507:J507"/>
    <mergeCell ref="G508:J508"/>
    <mergeCell ref="G509:J509"/>
    <mergeCell ref="G510:J510"/>
    <mergeCell ref="G511:J511"/>
    <mergeCell ref="G512:J512"/>
    <mergeCell ref="G516:J516"/>
    <mergeCell ref="G517:J517"/>
    <mergeCell ref="G519:J519"/>
    <mergeCell ref="P491:S491"/>
    <mergeCell ref="P492:S492"/>
    <mergeCell ref="P493:S493"/>
    <mergeCell ref="P494:S494"/>
    <mergeCell ref="P495:S495"/>
    <mergeCell ref="P496:S496"/>
    <mergeCell ref="P497:S497"/>
    <mergeCell ref="P498:S498"/>
    <mergeCell ref="P499:S499"/>
    <mergeCell ref="P500:S500"/>
    <mergeCell ref="P501:S501"/>
    <mergeCell ref="P502:S502"/>
    <mergeCell ref="P503:S503"/>
    <mergeCell ref="P463:S463"/>
    <mergeCell ref="P464:S464"/>
    <mergeCell ref="P465:S465"/>
    <mergeCell ref="P466:S466"/>
    <mergeCell ref="P457:S457"/>
    <mergeCell ref="P427:S427"/>
    <mergeCell ref="P429:S429"/>
    <mergeCell ref="P425:S425"/>
    <mergeCell ref="P361:S361"/>
    <mergeCell ref="P362:S362"/>
    <mergeCell ref="P363:S363"/>
    <mergeCell ref="P364:S364"/>
    <mergeCell ref="P365:S365"/>
    <mergeCell ref="P366:S366"/>
    <mergeCell ref="P369:S369"/>
    <mergeCell ref="P370:S370"/>
    <mergeCell ref="P371:S371"/>
    <mergeCell ref="P372:S372"/>
    <mergeCell ref="P393:S393"/>
    <mergeCell ref="P394:S394"/>
    <mergeCell ref="P395:S395"/>
    <mergeCell ref="P396:S396"/>
    <mergeCell ref="P397:S397"/>
    <mergeCell ref="P398:S398"/>
    <mergeCell ref="P459:S459"/>
    <mergeCell ref="P460:S460"/>
    <mergeCell ref="P461:S461"/>
    <mergeCell ref="P462:S462"/>
  </mergeCells>
  <phoneticPr fontId="1" type="noConversion"/>
  <dataValidations disablePrompts="1" count="2">
    <dataValidation type="list" allowBlank="1" showInputMessage="1" showErrorMessage="1" sqref="AA203:AA342 AB50:AB82 AE50:AE82 AD173:AD200 Z51:Z52 AA85:AA160 AD203:AD342 AA173:AA200 Z19:Z44 AD85:AD160 X329:X342 X120 X137:X138 X175:X177 X188:X196 X108 X199:X200 X203:X204 X208 X210:X212 X244 X111:X112 X249:X252 X236 X283:X284 X291:X292 X301:X312 X316:X324 X276 X261:X268 X155:X156 X144:X148 X218 Z82 Z54:Z79 AB15:AB46 AE15:AE46 Z16:Z17 AD345:AD762 X345:X762 AA345:AA762" xr:uid="{AA8FB7B2-3A66-40F1-99F2-2878A8B04239}">
      <formula1>$T$10:$T$11</formula1>
    </dataValidation>
    <dataValidation type="list" allowBlank="1" showInputMessage="1" showErrorMessage="1" sqref="AB85:AB342 AE85:AE342 Y85:Y342 Y15:Y46 Y50:Y82 AB345:AB762 AE345:AE762 Y345:Y762" xr:uid="{D38C889F-6984-4750-9146-90F0057ACC0C}">
      <formula1>"OK, NG, SKIP"</formula1>
    </dataValidation>
  </dataValidations>
  <pageMargins left="0.39" right="0.39" top="0.59" bottom="0.59" header="0.12" footer="0.31"/>
  <pageSetup paperSize="9" scale="32" orientation="landscape" horizontalDpi="300" verticalDpi="300" r:id="rId1"/>
  <headerFooter alignWithMargins="0">
    <oddHeader>&amp;L&amp;G&amp;R&amp;8&amp;A</oddHeader>
    <oddFooter>&amp;LRev.0&amp;C&amp;9&amp;[&amp;P</oddFooter>
  </headerFooter>
  <rowBreaks count="8" manualBreakCount="8">
    <brk id="81" max="18" man="1"/>
    <brk id="148" max="18" man="1"/>
    <brk id="212" max="18" man="1"/>
    <brk id="276" max="18" man="1"/>
    <brk id="341" max="18" man="1"/>
    <brk id="424" max="18" man="1"/>
    <brk id="472" max="18" man="1"/>
    <brk id="536" max="18" man="1"/>
  </rowBreaks>
  <colBreaks count="1" manualBreakCount="1">
    <brk id="1" max="1085" man="1"/>
  </colBreaks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EEDB-156D-40BC-925A-10DB0DFB9810}">
  <sheetPr>
    <tabColor theme="0"/>
  </sheetPr>
  <dimension ref="A1:AF748"/>
  <sheetViews>
    <sheetView showGridLines="0" zoomScale="85" zoomScaleNormal="85" zoomScaleSheetLayoutView="85" workbookViewId="0">
      <pane xSplit="1" ySplit="11" topLeftCell="B394" activePane="bottomRight" state="frozen"/>
      <selection activeCell="J10" sqref="J10:AV10"/>
      <selection pane="topRight" activeCell="J10" sqref="J10:AV10"/>
      <selection pane="bottomLeft" activeCell="J10" sqref="J10:AV10"/>
      <selection pane="bottomRight" activeCell="J409" sqref="J409"/>
    </sheetView>
  </sheetViews>
  <sheetFormatPr defaultColWidth="2.6640625" defaultRowHeight="13.5" customHeight="1"/>
  <cols>
    <col min="1" max="1" width="2.44140625" style="5" customWidth="1"/>
    <col min="2" max="2" width="5.77734375" style="5" customWidth="1"/>
    <col min="3" max="5" width="6.77734375" style="5" customWidth="1"/>
    <col min="6" max="6" width="11.77734375" style="5" customWidth="1"/>
    <col min="7" max="7" width="13.77734375" style="9" customWidth="1"/>
    <col min="8" max="8" width="17.44140625" style="9" customWidth="1"/>
    <col min="9" max="9" width="5.77734375" style="9" customWidth="1"/>
    <col min="10" max="10" width="22.77734375" style="9" customWidth="1"/>
    <col min="11" max="11" width="14.109375" style="26" customWidth="1"/>
    <col min="12" max="12" width="15.109375" style="157" customWidth="1"/>
    <col min="13" max="13" width="21.33203125" style="157" customWidth="1"/>
    <col min="14" max="14" width="6.77734375" style="6" customWidth="1"/>
    <col min="15" max="15" width="11.77734375" style="6" customWidth="1"/>
    <col min="16" max="16" width="7.77734375" style="6" customWidth="1"/>
    <col min="17" max="17" width="13.77734375" style="6" customWidth="1"/>
    <col min="18" max="18" width="4.77734375" style="6" customWidth="1"/>
    <col min="19" max="19" width="35.44140625" style="6" customWidth="1"/>
    <col min="20" max="20" width="15" style="7" customWidth="1"/>
    <col min="21" max="21" width="21" style="7" customWidth="1"/>
    <col min="22" max="22" width="16.44140625" style="8" customWidth="1"/>
    <col min="23" max="23" width="15.88671875" style="8" customWidth="1"/>
    <col min="24" max="25" width="8.44140625" style="5" customWidth="1"/>
    <col min="26" max="26" width="22.109375" style="5" customWidth="1"/>
    <col min="27" max="28" width="8.44140625" style="5" customWidth="1"/>
    <col min="29" max="29" width="22.109375" style="5" customWidth="1"/>
    <col min="30" max="31" width="8.44140625" style="5" customWidth="1"/>
    <col min="32" max="32" width="22.109375" style="5" customWidth="1"/>
    <col min="33" max="33" width="5.109375" style="5" customWidth="1"/>
    <col min="34" max="34" width="2.6640625" style="5"/>
    <col min="35" max="35" width="3.21875" style="5" customWidth="1"/>
    <col min="36" max="16384" width="2.6640625" style="5"/>
  </cols>
  <sheetData>
    <row r="1" spans="1:32" ht="9" customHeight="1">
      <c r="Z1" s="9"/>
    </row>
    <row r="2" spans="1:32" ht="14.7" customHeight="1" thickBot="1">
      <c r="A2" s="5" t="s">
        <v>701</v>
      </c>
    </row>
    <row r="3" spans="1:32" ht="9" customHeight="1" thickTop="1" thickBot="1">
      <c r="A3" s="10"/>
      <c r="B3" s="10"/>
      <c r="C3" s="10"/>
      <c r="D3" s="10"/>
      <c r="E3" s="10"/>
      <c r="F3" s="10"/>
      <c r="G3" s="604"/>
      <c r="H3" s="604"/>
      <c r="I3" s="604"/>
      <c r="J3" s="604"/>
      <c r="K3" s="558"/>
      <c r="L3" s="158"/>
      <c r="M3" s="158"/>
      <c r="N3" s="11"/>
      <c r="O3" s="11"/>
      <c r="P3" s="11"/>
      <c r="Q3" s="11"/>
      <c r="R3" s="11"/>
      <c r="S3" s="11"/>
      <c r="T3" s="12"/>
      <c r="U3" s="12"/>
      <c r="V3" s="13"/>
      <c r="W3" s="13"/>
      <c r="X3" s="10"/>
      <c r="Y3" s="10"/>
      <c r="Z3" s="10"/>
      <c r="AA3" s="10"/>
      <c r="AB3" s="10"/>
      <c r="AC3" s="10"/>
      <c r="AD3" s="10"/>
      <c r="AE3" s="10"/>
      <c r="AF3" s="10"/>
    </row>
    <row r="4" spans="1:32" ht="12" customHeight="1" thickTop="1">
      <c r="B4" s="14" t="s">
        <v>702</v>
      </c>
    </row>
    <row r="5" spans="1:32" ht="9" customHeight="1">
      <c r="B5" s="943" t="s">
        <v>76</v>
      </c>
      <c r="C5" s="943"/>
      <c r="D5" s="943"/>
      <c r="E5" s="943"/>
      <c r="F5" s="943"/>
      <c r="G5" s="943"/>
      <c r="H5" s="943"/>
      <c r="I5" s="849" t="s">
        <v>77</v>
      </c>
      <c r="J5" s="850"/>
      <c r="K5" s="850"/>
      <c r="L5" s="850"/>
      <c r="M5" s="850"/>
      <c r="N5" s="850"/>
      <c r="O5" s="850"/>
      <c r="P5" s="850"/>
      <c r="Q5" s="850"/>
      <c r="R5" s="850"/>
      <c r="S5" s="850"/>
      <c r="T5" s="850"/>
      <c r="U5" s="15"/>
      <c r="V5" s="16"/>
      <c r="W5" s="16"/>
      <c r="X5" s="16"/>
      <c r="Y5" s="17" t="s">
        <v>27</v>
      </c>
      <c r="AA5" s="947"/>
      <c r="AB5" s="947"/>
      <c r="AC5" s="18"/>
      <c r="AD5" s="947"/>
      <c r="AE5" s="947"/>
      <c r="AF5" s="18" t="s">
        <v>1408</v>
      </c>
    </row>
    <row r="6" spans="1:32" ht="9" customHeight="1">
      <c r="B6" s="943" t="s">
        <v>78</v>
      </c>
      <c r="C6" s="943"/>
      <c r="D6" s="943"/>
      <c r="E6" s="948" t="str">
        <f>IF((E7+E8+E9)=E10,"체크정상","체크이상")</f>
        <v>체크이상</v>
      </c>
      <c r="F6" s="948"/>
      <c r="G6" s="774" t="s">
        <v>79</v>
      </c>
      <c r="H6" s="776"/>
      <c r="I6" s="776" t="str">
        <f>IF((I7+I8+I9)=I10,"체크정상","체크이상")</f>
        <v>체크이상</v>
      </c>
      <c r="J6" s="775"/>
      <c r="K6" s="944" t="s">
        <v>78</v>
      </c>
      <c r="L6" s="944"/>
      <c r="M6" s="944"/>
      <c r="N6" s="944"/>
      <c r="O6" s="944"/>
      <c r="P6" s="777" t="str">
        <f>IF((P7+P8+P9+E7)=P10,"체크정상","체크이상")</f>
        <v>체크이상</v>
      </c>
      <c r="Q6" s="949"/>
      <c r="R6" s="776" t="s">
        <v>79</v>
      </c>
      <c r="S6" s="775"/>
      <c r="T6" s="19" t="str">
        <f>IF((T7+T8+T9+I7)=T10,"체크정상","체크이상")</f>
        <v>체크이상</v>
      </c>
      <c r="U6" s="20"/>
      <c r="W6" s="18" t="s">
        <v>26</v>
      </c>
      <c r="X6" s="18">
        <f>SUM(X7:X10)</f>
        <v>41</v>
      </c>
      <c r="Y6" s="17">
        <f>COUNTIF($C$87:$C$607,"*"&amp;"SPARE"&amp;"*")</f>
        <v>0</v>
      </c>
    </row>
    <row r="7" spans="1:32" ht="9" customHeight="1">
      <c r="B7" s="944" t="s">
        <v>703</v>
      </c>
      <c r="C7" s="944"/>
      <c r="D7" s="944"/>
      <c r="E7" s="943">
        <f>COUNTIFS($F:$F,"ib*",$Y:$Y,"OK")</f>
        <v>0</v>
      </c>
      <c r="F7" s="943"/>
      <c r="G7" s="771" t="s">
        <v>703</v>
      </c>
      <c r="H7" s="772"/>
      <c r="I7" s="776">
        <f>COUNTIFS($O:$O,"Ob*",$Y:$Y,"OK")</f>
        <v>0</v>
      </c>
      <c r="J7" s="776"/>
      <c r="K7" s="944" t="s">
        <v>703</v>
      </c>
      <c r="L7" s="944"/>
      <c r="M7" s="944"/>
      <c r="N7" s="944"/>
      <c r="O7" s="944"/>
      <c r="P7" s="774">
        <f>COUNTIFS($F:$F,"ib*",$AB:$AB,"OK")</f>
        <v>0</v>
      </c>
      <c r="Q7" s="776"/>
      <c r="R7" s="772" t="s">
        <v>704</v>
      </c>
      <c r="S7" s="773"/>
      <c r="T7" s="21">
        <f>COUNTIFS($O:$O,"Ob*",$AB:$AB,"OK")</f>
        <v>0</v>
      </c>
      <c r="U7" s="15"/>
      <c r="W7" s="18" t="s">
        <v>23</v>
      </c>
      <c r="X7" s="18">
        <f>COUNTIF($C$87:$C$800,"*"&amp;"DA16A"&amp;"*")</f>
        <v>25</v>
      </c>
      <c r="Y7" s="17" t="s">
        <v>28</v>
      </c>
    </row>
    <row r="8" spans="1:32" ht="9" customHeight="1">
      <c r="B8" s="944" t="s">
        <v>705</v>
      </c>
      <c r="C8" s="944"/>
      <c r="D8" s="944"/>
      <c r="E8" s="943">
        <f>COUNTIFS($F:$F,"ib*",$Y:$Y,"NG")</f>
        <v>0</v>
      </c>
      <c r="F8" s="943"/>
      <c r="G8" s="771" t="s">
        <v>705</v>
      </c>
      <c r="H8" s="772"/>
      <c r="I8" s="776">
        <f>COUNTIFS($O:$O,"Ob*",$Y:$Y,"NG")</f>
        <v>0</v>
      </c>
      <c r="J8" s="776"/>
      <c r="K8" s="944" t="s">
        <v>705</v>
      </c>
      <c r="L8" s="944"/>
      <c r="M8" s="944"/>
      <c r="N8" s="944"/>
      <c r="O8" s="944"/>
      <c r="P8" s="774">
        <f>COUNTIFS($F:$F,"ib*",$AB:$AB,"NG")</f>
        <v>0</v>
      </c>
      <c r="Q8" s="776"/>
      <c r="R8" s="772" t="s">
        <v>706</v>
      </c>
      <c r="S8" s="773"/>
      <c r="T8" s="21">
        <f>COUNTIFS($O:$O,"Ob*",$AB:$AB,"NG")</f>
        <v>0</v>
      </c>
      <c r="U8" s="15"/>
      <c r="W8" s="18" t="s">
        <v>22</v>
      </c>
      <c r="X8" s="18">
        <f>COUNTIF($C$87:$C$800,"*"&amp;"DC16A"&amp;"*")</f>
        <v>14</v>
      </c>
      <c r="Y8" s="17">
        <f>COUNTIF($C$87:$C$607,"*"&amp;"EMPTY"&amp;"*")</f>
        <v>0</v>
      </c>
    </row>
    <row r="9" spans="1:32" ht="9" customHeight="1">
      <c r="B9" s="944" t="s">
        <v>707</v>
      </c>
      <c r="C9" s="944"/>
      <c r="D9" s="944"/>
      <c r="E9" s="943">
        <f>COUNTIFS($F:$F,"ib*",$Y:$Y,"SKIP")</f>
        <v>0</v>
      </c>
      <c r="F9" s="943"/>
      <c r="G9" s="771" t="s">
        <v>707</v>
      </c>
      <c r="H9" s="772"/>
      <c r="I9" s="776">
        <f>COUNTIFS($O:$O,"ob*",$Y:$Y,"SKIP")</f>
        <v>0</v>
      </c>
      <c r="J9" s="776"/>
      <c r="K9" s="944" t="s">
        <v>707</v>
      </c>
      <c r="L9" s="944"/>
      <c r="M9" s="944"/>
      <c r="N9" s="944"/>
      <c r="O9" s="944"/>
      <c r="P9" s="774">
        <f>COUNTIFS($F:$F,"ib*",$AB:$AB,"SKIP")</f>
        <v>0</v>
      </c>
      <c r="Q9" s="776"/>
      <c r="R9" s="772" t="s">
        <v>708</v>
      </c>
      <c r="S9" s="773"/>
      <c r="T9" s="21">
        <f>COUNTIFS($O:$O,"Ob*",$AB:$AB,"SKIP")</f>
        <v>0</v>
      </c>
      <c r="U9" s="15"/>
      <c r="W9" s="18" t="s">
        <v>24</v>
      </c>
      <c r="X9" s="18">
        <f>COUNTIF($C$87:$C$800,"*"&amp;"DAC16C"&amp;"*")</f>
        <v>2</v>
      </c>
    </row>
    <row r="10" spans="1:32" ht="9" customHeight="1">
      <c r="B10" s="944" t="s">
        <v>86</v>
      </c>
      <c r="C10" s="944"/>
      <c r="D10" s="944"/>
      <c r="E10" s="943">
        <f>COUNTIFS($F:$F,"ib*",$G:$G,"*")</f>
        <v>321</v>
      </c>
      <c r="F10" s="943"/>
      <c r="G10" s="771" t="s">
        <v>87</v>
      </c>
      <c r="H10" s="772"/>
      <c r="I10" s="776">
        <f>COUNTIFS($O:$O,"ob*",$P:$P,"*")</f>
        <v>203</v>
      </c>
      <c r="J10" s="776"/>
      <c r="K10" s="944" t="s">
        <v>86</v>
      </c>
      <c r="L10" s="944"/>
      <c r="M10" s="944"/>
      <c r="N10" s="944"/>
      <c r="O10" s="944"/>
      <c r="P10" s="774">
        <f>COUNTIFS($F:$F,"ib*",$G:$G,"*")</f>
        <v>321</v>
      </c>
      <c r="Q10" s="776"/>
      <c r="R10" s="772" t="s">
        <v>87</v>
      </c>
      <c r="S10" s="773"/>
      <c r="T10" s="21">
        <f>COUNTIFS($O:$O,"ob*",$P:$P,"*")</f>
        <v>203</v>
      </c>
      <c r="U10" s="15"/>
      <c r="W10" s="18" t="s">
        <v>25</v>
      </c>
      <c r="X10" s="18">
        <f>COUNTIF($C$87:$C$607,"*"&amp;"DAC32C"&amp;"*")</f>
        <v>0</v>
      </c>
    </row>
    <row r="11" spans="1:32" ht="9" customHeight="1">
      <c r="B11" s="944" t="s">
        <v>88</v>
      </c>
      <c r="C11" s="944"/>
      <c r="D11" s="944"/>
      <c r="E11" s="945">
        <f>(E7/E10)</f>
        <v>0</v>
      </c>
      <c r="F11" s="945"/>
      <c r="G11" s="771" t="s">
        <v>88</v>
      </c>
      <c r="H11" s="772"/>
      <c r="I11" s="946">
        <f>(I7/I10)</f>
        <v>0</v>
      </c>
      <c r="J11" s="946"/>
      <c r="K11" s="944" t="s">
        <v>89</v>
      </c>
      <c r="L11" s="944"/>
      <c r="M11" s="944"/>
      <c r="N11" s="944"/>
      <c r="O11" s="944"/>
      <c r="P11" s="794">
        <f>((P7+E7)/P10)</f>
        <v>0</v>
      </c>
      <c r="Q11" s="946"/>
      <c r="R11" s="772" t="s">
        <v>89</v>
      </c>
      <c r="S11" s="773"/>
      <c r="T11" s="22">
        <f>(T7/T10)</f>
        <v>0</v>
      </c>
      <c r="U11" s="23"/>
    </row>
    <row r="12" spans="1:32" ht="21" customHeight="1" thickBot="1">
      <c r="B12" s="24"/>
      <c r="C12" s="24"/>
      <c r="D12" s="24"/>
      <c r="E12" s="24"/>
      <c r="F12" s="24"/>
      <c r="G12" s="25"/>
      <c r="H12" s="25"/>
      <c r="I12" s="25"/>
      <c r="J12" s="25"/>
      <c r="K12" s="559"/>
      <c r="L12" s="159"/>
      <c r="M12" s="159"/>
      <c r="N12" s="24"/>
      <c r="O12" s="24"/>
      <c r="P12" s="24"/>
      <c r="Q12" s="24"/>
      <c r="R12" s="24"/>
      <c r="S12" s="24"/>
      <c r="T12" s="24"/>
      <c r="U12" s="24"/>
      <c r="V12" s="25"/>
      <c r="W12" s="25"/>
      <c r="X12" s="24"/>
      <c r="Y12" s="24"/>
      <c r="Z12" s="26"/>
      <c r="AA12" s="851" t="s">
        <v>101</v>
      </c>
      <c r="AB12" s="852"/>
      <c r="AC12" s="853"/>
    </row>
    <row r="13" spans="1:32" ht="17.25" customHeight="1">
      <c r="B13" s="929" t="s">
        <v>0</v>
      </c>
      <c r="C13" s="781" t="s">
        <v>4</v>
      </c>
      <c r="D13" s="921" t="s">
        <v>5</v>
      </c>
      <c r="E13" s="911" t="s">
        <v>90</v>
      </c>
      <c r="F13" s="911" t="s">
        <v>6</v>
      </c>
      <c r="G13" s="933" t="s">
        <v>21</v>
      </c>
      <c r="H13" s="934"/>
      <c r="I13" s="934"/>
      <c r="J13" s="935"/>
      <c r="K13" s="911" t="s">
        <v>8</v>
      </c>
      <c r="L13" s="953" t="s">
        <v>1547</v>
      </c>
      <c r="M13" s="783" t="s">
        <v>1548</v>
      </c>
      <c r="N13" s="783" t="s">
        <v>90</v>
      </c>
      <c r="O13" s="911" t="s">
        <v>6</v>
      </c>
      <c r="P13" s="913" t="s">
        <v>21</v>
      </c>
      <c r="Q13" s="914"/>
      <c r="R13" s="914"/>
      <c r="S13" s="915"/>
      <c r="T13" s="919" t="s">
        <v>8</v>
      </c>
      <c r="U13" s="953" t="s">
        <v>1547</v>
      </c>
      <c r="V13" s="911" t="s">
        <v>13</v>
      </c>
      <c r="W13" s="911"/>
      <c r="X13" s="921" t="s">
        <v>709</v>
      </c>
      <c r="Y13" s="921"/>
      <c r="Z13" s="921"/>
      <c r="AA13" s="921" t="s">
        <v>710</v>
      </c>
      <c r="AB13" s="921"/>
      <c r="AC13" s="921"/>
      <c r="AD13" s="921" t="s">
        <v>710</v>
      </c>
      <c r="AE13" s="921"/>
      <c r="AF13" s="922"/>
    </row>
    <row r="14" spans="1:32" ht="17.25" customHeight="1">
      <c r="B14" s="930"/>
      <c r="C14" s="931"/>
      <c r="D14" s="932"/>
      <c r="E14" s="912"/>
      <c r="F14" s="912"/>
      <c r="G14" s="936"/>
      <c r="H14" s="937"/>
      <c r="I14" s="937"/>
      <c r="J14" s="938"/>
      <c r="K14" s="912"/>
      <c r="L14" s="954"/>
      <c r="M14" s="942"/>
      <c r="N14" s="942"/>
      <c r="O14" s="912"/>
      <c r="P14" s="916"/>
      <c r="Q14" s="917"/>
      <c r="R14" s="917"/>
      <c r="S14" s="918"/>
      <c r="T14" s="920"/>
      <c r="U14" s="954"/>
      <c r="V14" s="912"/>
      <c r="W14" s="912"/>
      <c r="X14" s="184" t="s">
        <v>93</v>
      </c>
      <c r="Y14" s="181" t="s">
        <v>94</v>
      </c>
      <c r="Z14" s="181" t="s">
        <v>95</v>
      </c>
      <c r="AA14" s="184" t="s">
        <v>93</v>
      </c>
      <c r="AB14" s="181" t="s">
        <v>94</v>
      </c>
      <c r="AC14" s="181" t="s">
        <v>95</v>
      </c>
      <c r="AD14" s="184" t="s">
        <v>93</v>
      </c>
      <c r="AE14" s="181" t="s">
        <v>94</v>
      </c>
      <c r="AF14" s="185" t="s">
        <v>95</v>
      </c>
    </row>
    <row r="15" spans="1:32" ht="17.25" customHeight="1">
      <c r="B15" s="180">
        <v>1</v>
      </c>
      <c r="C15" s="923" t="s">
        <v>12</v>
      </c>
      <c r="D15" s="765"/>
      <c r="E15" s="186" t="s">
        <v>10</v>
      </c>
      <c r="F15" s="187" t="s">
        <v>44</v>
      </c>
      <c r="G15" s="243" t="s">
        <v>1341</v>
      </c>
      <c r="H15" s="244"/>
      <c r="I15" s="244"/>
      <c r="J15" s="245"/>
      <c r="K15" s="589"/>
      <c r="L15" s="188" t="s">
        <v>1513</v>
      </c>
      <c r="M15" s="182"/>
      <c r="N15" s="186" t="s">
        <v>11</v>
      </c>
      <c r="O15" s="189" t="s">
        <v>45</v>
      </c>
      <c r="P15" s="265" t="s">
        <v>954</v>
      </c>
      <c r="Q15" s="266"/>
      <c r="R15" s="266"/>
      <c r="S15" s="326"/>
      <c r="T15" s="589"/>
      <c r="U15" s="188" t="s">
        <v>1513</v>
      </c>
      <c r="V15" s="909"/>
      <c r="W15" s="909"/>
      <c r="X15" s="193"/>
      <c r="Y15" s="182"/>
      <c r="Z15" s="182"/>
      <c r="AA15" s="182"/>
      <c r="AB15" s="182"/>
      <c r="AC15" s="182"/>
      <c r="AD15" s="182"/>
      <c r="AE15" s="182"/>
      <c r="AF15" s="194"/>
    </row>
    <row r="16" spans="1:32" ht="17.25" customHeight="1">
      <c r="B16" s="180">
        <v>2</v>
      </c>
      <c r="C16" s="792"/>
      <c r="D16" s="765"/>
      <c r="E16" s="186" t="s">
        <v>10</v>
      </c>
      <c r="F16" s="187" t="str">
        <f>LEFT(F15,1)&amp;DEC2HEX(HEX2DEC(MID(F15,2,LENB(F15)-1))+1,LENB(F15)-1)</f>
        <v>IB20001</v>
      </c>
      <c r="G16" s="243" t="s">
        <v>955</v>
      </c>
      <c r="H16" s="244"/>
      <c r="I16" s="244"/>
      <c r="J16" s="245"/>
      <c r="K16" s="589"/>
      <c r="L16" s="188" t="s">
        <v>1513</v>
      </c>
      <c r="M16" s="182"/>
      <c r="N16" s="186" t="s">
        <v>11</v>
      </c>
      <c r="O16" s="195" t="str">
        <f>LEFT(O15,1)&amp;DEC2HEX(HEX2DEC(MID(O15,2,LENB(O15)-1))+1,LENB(O15)-1)</f>
        <v>OB20001</v>
      </c>
      <c r="P16" s="265" t="s">
        <v>953</v>
      </c>
      <c r="Q16" s="266"/>
      <c r="R16" s="266"/>
      <c r="S16" s="326"/>
      <c r="T16" s="589"/>
      <c r="U16" s="188" t="s">
        <v>1513</v>
      </c>
      <c r="V16" s="909"/>
      <c r="W16" s="909"/>
      <c r="X16" s="193"/>
      <c r="Y16" s="182"/>
      <c r="Z16" s="182"/>
      <c r="AA16" s="182"/>
      <c r="AB16" s="182"/>
      <c r="AC16" s="182"/>
      <c r="AD16" s="182"/>
      <c r="AE16" s="182"/>
      <c r="AF16" s="194"/>
    </row>
    <row r="17" spans="2:32" ht="17.25" customHeight="1">
      <c r="B17" s="180">
        <v>3</v>
      </c>
      <c r="C17" s="792"/>
      <c r="D17" s="765"/>
      <c r="E17" s="186" t="s">
        <v>10</v>
      </c>
      <c r="F17" s="187" t="str">
        <f t="shared" ref="F17:F46" si="0">LEFT(F16,1)&amp;DEC2HEX(HEX2DEC(MID(F16,2,LENB(F16)-1))+1,LENB(F16)-1)</f>
        <v>IB20002</v>
      </c>
      <c r="G17" s="243" t="s">
        <v>974</v>
      </c>
      <c r="H17" s="244"/>
      <c r="I17" s="244"/>
      <c r="J17" s="245"/>
      <c r="K17" s="589"/>
      <c r="L17" s="188" t="s">
        <v>1513</v>
      </c>
      <c r="M17" s="182"/>
      <c r="N17" s="186" t="s">
        <v>11</v>
      </c>
      <c r="O17" s="195" t="str">
        <f t="shared" ref="O17:O46" si="1">LEFT(O16,1)&amp;DEC2HEX(HEX2DEC(MID(O16,2,LENB(O16)-1))+1,LENB(O16)-1)</f>
        <v>OB20002</v>
      </c>
      <c r="P17" s="265" t="s">
        <v>952</v>
      </c>
      <c r="Q17" s="266"/>
      <c r="R17" s="266"/>
      <c r="S17" s="326"/>
      <c r="T17" s="589"/>
      <c r="U17" s="188" t="s">
        <v>1513</v>
      </c>
      <c r="V17" s="909"/>
      <c r="W17" s="909"/>
      <c r="X17" s="193"/>
      <c r="Y17" s="182"/>
      <c r="Z17" s="182"/>
      <c r="AA17" s="182"/>
      <c r="AB17" s="182"/>
      <c r="AC17" s="182"/>
      <c r="AD17" s="182"/>
      <c r="AE17" s="182"/>
      <c r="AF17" s="194"/>
    </row>
    <row r="18" spans="2:32" ht="17.25" customHeight="1">
      <c r="B18" s="180">
        <v>4</v>
      </c>
      <c r="C18" s="792"/>
      <c r="D18" s="765"/>
      <c r="E18" s="186" t="s">
        <v>10</v>
      </c>
      <c r="F18" s="187" t="str">
        <f t="shared" si="0"/>
        <v>IB20003</v>
      </c>
      <c r="G18" s="243" t="s">
        <v>975</v>
      </c>
      <c r="H18" s="244"/>
      <c r="I18" s="244"/>
      <c r="J18" s="245"/>
      <c r="K18" s="589"/>
      <c r="L18" s="188" t="s">
        <v>1513</v>
      </c>
      <c r="M18" s="182"/>
      <c r="N18" s="186" t="s">
        <v>11</v>
      </c>
      <c r="O18" s="195" t="str">
        <f t="shared" si="1"/>
        <v>OB20003</v>
      </c>
      <c r="P18" s="328" t="s">
        <v>955</v>
      </c>
      <c r="Q18" s="329"/>
      <c r="R18" s="329"/>
      <c r="S18" s="330"/>
      <c r="T18" s="589"/>
      <c r="U18" s="188" t="s">
        <v>1513</v>
      </c>
      <c r="V18" s="909"/>
      <c r="W18" s="909"/>
      <c r="X18" s="193"/>
      <c r="Y18" s="182"/>
      <c r="Z18" s="182"/>
      <c r="AA18" s="182"/>
      <c r="AB18" s="182"/>
      <c r="AC18" s="182"/>
      <c r="AD18" s="182"/>
      <c r="AE18" s="182"/>
      <c r="AF18" s="194"/>
    </row>
    <row r="19" spans="2:32" ht="17.25" customHeight="1">
      <c r="B19" s="180">
        <v>5</v>
      </c>
      <c r="C19" s="792"/>
      <c r="D19" s="765"/>
      <c r="E19" s="186" t="s">
        <v>10</v>
      </c>
      <c r="F19" s="187" t="str">
        <f t="shared" si="0"/>
        <v>IB20004</v>
      </c>
      <c r="G19" s="243" t="s">
        <v>976</v>
      </c>
      <c r="H19" s="244"/>
      <c r="I19" s="244"/>
      <c r="J19" s="245"/>
      <c r="K19" s="589"/>
      <c r="L19" s="188" t="s">
        <v>1513</v>
      </c>
      <c r="M19" s="182"/>
      <c r="N19" s="186" t="s">
        <v>11</v>
      </c>
      <c r="O19" s="195" t="str">
        <f t="shared" si="1"/>
        <v>OB20004</v>
      </c>
      <c r="P19" s="265" t="s">
        <v>951</v>
      </c>
      <c r="Q19" s="266"/>
      <c r="R19" s="266"/>
      <c r="S19" s="326"/>
      <c r="T19" s="589"/>
      <c r="U19" s="188" t="s">
        <v>1513</v>
      </c>
      <c r="V19" s="909"/>
      <c r="W19" s="909"/>
      <c r="X19" s="193"/>
      <c r="Y19" s="182"/>
      <c r="Z19" s="182"/>
      <c r="AA19" s="182"/>
      <c r="AB19" s="182"/>
      <c r="AC19" s="182"/>
      <c r="AD19" s="182"/>
      <c r="AE19" s="182"/>
      <c r="AF19" s="194"/>
    </row>
    <row r="20" spans="2:32" ht="17.25" customHeight="1">
      <c r="B20" s="180">
        <v>6</v>
      </c>
      <c r="C20" s="792"/>
      <c r="D20" s="765"/>
      <c r="E20" s="186" t="s">
        <v>10</v>
      </c>
      <c r="F20" s="187" t="str">
        <f t="shared" si="0"/>
        <v>IB20005</v>
      </c>
      <c r="G20" s="243" t="s">
        <v>977</v>
      </c>
      <c r="H20" s="244"/>
      <c r="I20" s="244"/>
      <c r="J20" s="245"/>
      <c r="K20" s="589"/>
      <c r="L20" s="188" t="s">
        <v>1513</v>
      </c>
      <c r="M20" s="182"/>
      <c r="N20" s="186" t="s">
        <v>11</v>
      </c>
      <c r="O20" s="195" t="str">
        <f t="shared" si="1"/>
        <v>OB20005</v>
      </c>
      <c r="P20" s="265" t="s">
        <v>950</v>
      </c>
      <c r="Q20" s="266"/>
      <c r="R20" s="266"/>
      <c r="S20" s="326"/>
      <c r="T20" s="589"/>
      <c r="U20" s="188" t="s">
        <v>1513</v>
      </c>
      <c r="V20" s="909"/>
      <c r="W20" s="909"/>
      <c r="X20" s="193"/>
      <c r="Y20" s="182"/>
      <c r="Z20" s="182"/>
      <c r="AA20" s="182"/>
      <c r="AB20" s="182"/>
      <c r="AC20" s="182"/>
      <c r="AD20" s="182"/>
      <c r="AE20" s="182"/>
      <c r="AF20" s="194"/>
    </row>
    <row r="21" spans="2:32" ht="17.25" customHeight="1">
      <c r="B21" s="180">
        <v>7</v>
      </c>
      <c r="C21" s="792"/>
      <c r="D21" s="765"/>
      <c r="E21" s="186" t="s">
        <v>10</v>
      </c>
      <c r="F21" s="187" t="str">
        <f t="shared" si="0"/>
        <v>IB20006</v>
      </c>
      <c r="G21" s="243" t="s">
        <v>978</v>
      </c>
      <c r="H21" s="244"/>
      <c r="I21" s="244"/>
      <c r="J21" s="245"/>
      <c r="K21" s="589"/>
      <c r="L21" s="188" t="s">
        <v>1513</v>
      </c>
      <c r="M21" s="182"/>
      <c r="N21" s="186" t="s">
        <v>11</v>
      </c>
      <c r="O21" s="195" t="str">
        <f t="shared" si="1"/>
        <v>OB20006</v>
      </c>
      <c r="P21" s="265" t="s">
        <v>956</v>
      </c>
      <c r="Q21" s="266"/>
      <c r="R21" s="266"/>
      <c r="S21" s="326"/>
      <c r="T21" s="589"/>
      <c r="U21" s="188" t="s">
        <v>1513</v>
      </c>
      <c r="V21" s="909"/>
      <c r="W21" s="909"/>
      <c r="X21" s="193"/>
      <c r="Y21" s="182"/>
      <c r="Z21" s="182"/>
      <c r="AA21" s="182"/>
      <c r="AB21" s="182"/>
      <c r="AC21" s="182"/>
      <c r="AD21" s="182"/>
      <c r="AE21" s="182"/>
      <c r="AF21" s="194"/>
    </row>
    <row r="22" spans="2:32" ht="17.25" customHeight="1">
      <c r="B22" s="180">
        <v>8</v>
      </c>
      <c r="C22" s="792"/>
      <c r="D22" s="765"/>
      <c r="E22" s="186" t="s">
        <v>10</v>
      </c>
      <c r="F22" s="187" t="str">
        <f t="shared" si="0"/>
        <v>IB20007</v>
      </c>
      <c r="G22" s="243" t="s">
        <v>979</v>
      </c>
      <c r="H22" s="244"/>
      <c r="I22" s="244"/>
      <c r="J22" s="245"/>
      <c r="K22" s="589"/>
      <c r="L22" s="188" t="s">
        <v>1513</v>
      </c>
      <c r="M22" s="182"/>
      <c r="N22" s="186" t="s">
        <v>11</v>
      </c>
      <c r="O22" s="195" t="str">
        <f t="shared" si="1"/>
        <v>OB20007</v>
      </c>
      <c r="P22" s="328" t="s">
        <v>957</v>
      </c>
      <c r="Q22" s="329"/>
      <c r="R22" s="329"/>
      <c r="S22" s="330"/>
      <c r="T22" s="589"/>
      <c r="U22" s="188" t="s">
        <v>1513</v>
      </c>
      <c r="V22" s="909"/>
      <c r="W22" s="909"/>
      <c r="X22" s="193"/>
      <c r="Y22" s="182"/>
      <c r="Z22" s="182"/>
      <c r="AA22" s="182"/>
      <c r="AB22" s="182"/>
      <c r="AC22" s="182"/>
      <c r="AD22" s="182"/>
      <c r="AE22" s="182"/>
      <c r="AF22" s="194"/>
    </row>
    <row r="23" spans="2:32" ht="17.25" customHeight="1">
      <c r="B23" s="180">
        <v>9</v>
      </c>
      <c r="C23" s="792"/>
      <c r="D23" s="765"/>
      <c r="E23" s="186" t="s">
        <v>10</v>
      </c>
      <c r="F23" s="187" t="str">
        <f t="shared" si="0"/>
        <v>IB20008</v>
      </c>
      <c r="G23" s="243" t="s">
        <v>980</v>
      </c>
      <c r="H23" s="244"/>
      <c r="I23" s="244"/>
      <c r="J23" s="245"/>
      <c r="K23" s="589"/>
      <c r="L23" s="188" t="s">
        <v>1513</v>
      </c>
      <c r="M23" s="182"/>
      <c r="N23" s="186" t="s">
        <v>11</v>
      </c>
      <c r="O23" s="195" t="str">
        <f t="shared" si="1"/>
        <v>OB20008</v>
      </c>
      <c r="P23" s="265" t="s">
        <v>958</v>
      </c>
      <c r="Q23" s="266"/>
      <c r="R23" s="266"/>
      <c r="S23" s="326"/>
      <c r="T23" s="589"/>
      <c r="U23" s="188" t="s">
        <v>1513</v>
      </c>
      <c r="V23" s="909"/>
      <c r="W23" s="909"/>
      <c r="X23" s="193"/>
      <c r="Y23" s="182"/>
      <c r="Z23" s="182"/>
      <c r="AA23" s="182"/>
      <c r="AB23" s="182"/>
      <c r="AC23" s="182"/>
      <c r="AD23" s="182"/>
      <c r="AE23" s="182"/>
      <c r="AF23" s="194"/>
    </row>
    <row r="24" spans="2:32" ht="17.25" customHeight="1">
      <c r="B24" s="180">
        <v>10</v>
      </c>
      <c r="C24" s="792"/>
      <c r="D24" s="765"/>
      <c r="E24" s="186" t="s">
        <v>10</v>
      </c>
      <c r="F24" s="187" t="str">
        <f t="shared" si="0"/>
        <v>IB20009</v>
      </c>
      <c r="G24" s="243" t="s">
        <v>981</v>
      </c>
      <c r="H24" s="244"/>
      <c r="I24" s="244"/>
      <c r="J24" s="245"/>
      <c r="K24" s="589"/>
      <c r="L24" s="188" t="s">
        <v>1513</v>
      </c>
      <c r="M24" s="182"/>
      <c r="N24" s="186" t="s">
        <v>11</v>
      </c>
      <c r="O24" s="195" t="str">
        <f t="shared" si="1"/>
        <v>OB20009</v>
      </c>
      <c r="P24" s="265" t="s">
        <v>959</v>
      </c>
      <c r="Q24" s="266"/>
      <c r="R24" s="266"/>
      <c r="S24" s="326"/>
      <c r="T24" s="589"/>
      <c r="U24" s="188" t="s">
        <v>1513</v>
      </c>
      <c r="V24" s="909"/>
      <c r="W24" s="909"/>
      <c r="X24" s="193"/>
      <c r="Y24" s="182"/>
      <c r="Z24" s="182"/>
      <c r="AA24" s="182"/>
      <c r="AB24" s="182"/>
      <c r="AC24" s="182"/>
      <c r="AD24" s="182"/>
      <c r="AE24" s="182"/>
      <c r="AF24" s="194"/>
    </row>
    <row r="25" spans="2:32" ht="17.25" customHeight="1">
      <c r="B25" s="180">
        <v>11</v>
      </c>
      <c r="C25" s="792"/>
      <c r="D25" s="765"/>
      <c r="E25" s="186" t="s">
        <v>10</v>
      </c>
      <c r="F25" s="187" t="str">
        <f t="shared" si="0"/>
        <v>IB2000A</v>
      </c>
      <c r="G25" s="243" t="s">
        <v>982</v>
      </c>
      <c r="H25" s="244"/>
      <c r="I25" s="244"/>
      <c r="J25" s="245"/>
      <c r="K25" s="589"/>
      <c r="L25" s="188" t="s">
        <v>1513</v>
      </c>
      <c r="M25" s="182"/>
      <c r="N25" s="186" t="s">
        <v>11</v>
      </c>
      <c r="O25" s="195" t="str">
        <f t="shared" si="1"/>
        <v>OB2000A</v>
      </c>
      <c r="P25" s="265" t="s">
        <v>960</v>
      </c>
      <c r="Q25" s="266"/>
      <c r="R25" s="266"/>
      <c r="S25" s="326"/>
      <c r="T25" s="589"/>
      <c r="U25" s="188" t="s">
        <v>1513</v>
      </c>
      <c r="V25" s="909"/>
      <c r="W25" s="909"/>
      <c r="X25" s="193"/>
      <c r="Y25" s="182"/>
      <c r="Z25" s="182"/>
      <c r="AA25" s="182"/>
      <c r="AB25" s="182"/>
      <c r="AC25" s="182"/>
      <c r="AD25" s="182"/>
      <c r="AE25" s="182"/>
      <c r="AF25" s="194"/>
    </row>
    <row r="26" spans="2:32" ht="17.25" customHeight="1">
      <c r="B26" s="180">
        <v>12</v>
      </c>
      <c r="C26" s="792"/>
      <c r="D26" s="765"/>
      <c r="E26" s="186" t="s">
        <v>10</v>
      </c>
      <c r="F26" s="187" t="str">
        <f t="shared" si="0"/>
        <v>IB2000B</v>
      </c>
      <c r="G26" s="243" t="s">
        <v>983</v>
      </c>
      <c r="H26" s="244"/>
      <c r="I26" s="244"/>
      <c r="J26" s="245"/>
      <c r="K26" s="589"/>
      <c r="L26" s="188" t="s">
        <v>1513</v>
      </c>
      <c r="M26" s="182"/>
      <c r="N26" s="186" t="s">
        <v>11</v>
      </c>
      <c r="O26" s="195" t="str">
        <f t="shared" si="1"/>
        <v>OB2000B</v>
      </c>
      <c r="P26" s="328" t="s">
        <v>961</v>
      </c>
      <c r="Q26" s="329"/>
      <c r="R26" s="329"/>
      <c r="S26" s="330"/>
      <c r="T26" s="589"/>
      <c r="U26" s="188" t="s">
        <v>1513</v>
      </c>
      <c r="V26" s="909"/>
      <c r="W26" s="909"/>
      <c r="X26" s="193"/>
      <c r="Y26" s="182"/>
      <c r="Z26" s="182"/>
      <c r="AA26" s="182"/>
      <c r="AB26" s="182"/>
      <c r="AC26" s="182"/>
      <c r="AD26" s="182"/>
      <c r="AE26" s="182"/>
      <c r="AF26" s="194"/>
    </row>
    <row r="27" spans="2:32" ht="17.25" customHeight="1">
      <c r="B27" s="180">
        <v>13</v>
      </c>
      <c r="C27" s="792"/>
      <c r="D27" s="765"/>
      <c r="E27" s="186" t="s">
        <v>10</v>
      </c>
      <c r="F27" s="187" t="str">
        <f t="shared" si="0"/>
        <v>IB2000C</v>
      </c>
      <c r="G27" s="243"/>
      <c r="H27" s="244"/>
      <c r="I27" s="244"/>
      <c r="J27" s="245"/>
      <c r="K27" s="589"/>
      <c r="L27" s="188"/>
      <c r="M27" s="182"/>
      <c r="N27" s="186" t="s">
        <v>11</v>
      </c>
      <c r="O27" s="195" t="str">
        <f t="shared" si="1"/>
        <v>OB2000C</v>
      </c>
      <c r="P27" s="265"/>
      <c r="Q27" s="266"/>
      <c r="R27" s="266"/>
      <c r="S27" s="326"/>
      <c r="T27" s="589"/>
      <c r="U27" s="191"/>
      <c r="V27" s="909"/>
      <c r="W27" s="909"/>
      <c r="X27" s="193"/>
      <c r="Y27" s="182"/>
      <c r="Z27" s="182"/>
      <c r="AA27" s="182"/>
      <c r="AB27" s="182"/>
      <c r="AC27" s="182"/>
      <c r="AD27" s="182"/>
      <c r="AE27" s="182"/>
      <c r="AF27" s="194"/>
    </row>
    <row r="28" spans="2:32" ht="17.25" customHeight="1">
      <c r="B28" s="180">
        <v>14</v>
      </c>
      <c r="C28" s="792"/>
      <c r="D28" s="765"/>
      <c r="E28" s="186" t="s">
        <v>10</v>
      </c>
      <c r="F28" s="187" t="str">
        <f t="shared" si="0"/>
        <v>IB2000D</v>
      </c>
      <c r="G28" s="243"/>
      <c r="H28" s="244"/>
      <c r="I28" s="244"/>
      <c r="J28" s="245"/>
      <c r="K28" s="589"/>
      <c r="L28" s="188"/>
      <c r="M28" s="182"/>
      <c r="N28" s="186" t="s">
        <v>11</v>
      </c>
      <c r="O28" s="195" t="str">
        <f t="shared" si="1"/>
        <v>OB2000D</v>
      </c>
      <c r="P28" s="265"/>
      <c r="Q28" s="266"/>
      <c r="R28" s="266"/>
      <c r="S28" s="326"/>
      <c r="T28" s="589"/>
      <c r="U28" s="191"/>
      <c r="V28" s="909"/>
      <c r="W28" s="909"/>
      <c r="X28" s="193"/>
      <c r="Y28" s="182"/>
      <c r="Z28" s="182"/>
      <c r="AA28" s="182"/>
      <c r="AB28" s="182"/>
      <c r="AC28" s="182"/>
      <c r="AD28" s="182"/>
      <c r="AE28" s="182"/>
      <c r="AF28" s="194"/>
    </row>
    <row r="29" spans="2:32" ht="17.25" customHeight="1">
      <c r="B29" s="180">
        <v>15</v>
      </c>
      <c r="C29" s="792"/>
      <c r="D29" s="765"/>
      <c r="E29" s="186" t="s">
        <v>10</v>
      </c>
      <c r="F29" s="187" t="str">
        <f t="shared" si="0"/>
        <v>IB2000E</v>
      </c>
      <c r="G29" s="243"/>
      <c r="H29" s="244"/>
      <c r="I29" s="244"/>
      <c r="J29" s="245"/>
      <c r="K29" s="589"/>
      <c r="L29" s="188"/>
      <c r="M29" s="182"/>
      <c r="N29" s="186" t="s">
        <v>11</v>
      </c>
      <c r="O29" s="195" t="str">
        <f t="shared" si="1"/>
        <v>OB2000E</v>
      </c>
      <c r="P29" s="265"/>
      <c r="Q29" s="266"/>
      <c r="R29" s="266"/>
      <c r="S29" s="326"/>
      <c r="T29" s="589"/>
      <c r="U29" s="191"/>
      <c r="V29" s="909"/>
      <c r="W29" s="909"/>
      <c r="X29" s="193"/>
      <c r="Y29" s="182"/>
      <c r="Z29" s="182"/>
      <c r="AA29" s="182"/>
      <c r="AB29" s="182"/>
      <c r="AC29" s="182"/>
      <c r="AD29" s="182"/>
      <c r="AE29" s="182"/>
      <c r="AF29" s="194"/>
    </row>
    <row r="30" spans="2:32" ht="17.25" customHeight="1">
      <c r="B30" s="180">
        <v>16</v>
      </c>
      <c r="C30" s="792"/>
      <c r="D30" s="765"/>
      <c r="E30" s="186" t="s">
        <v>10</v>
      </c>
      <c r="F30" s="187" t="str">
        <f t="shared" si="0"/>
        <v>IB2000F</v>
      </c>
      <c r="G30" s="243"/>
      <c r="H30" s="244"/>
      <c r="I30" s="244"/>
      <c r="J30" s="245"/>
      <c r="K30" s="589"/>
      <c r="L30" s="188"/>
      <c r="M30" s="182"/>
      <c r="N30" s="186" t="s">
        <v>11</v>
      </c>
      <c r="O30" s="195" t="str">
        <f t="shared" si="1"/>
        <v>OB2000F</v>
      </c>
      <c r="P30" s="328"/>
      <c r="Q30" s="329"/>
      <c r="R30" s="329"/>
      <c r="S30" s="330"/>
      <c r="T30" s="589"/>
      <c r="U30" s="191"/>
      <c r="V30" s="909"/>
      <c r="W30" s="909"/>
      <c r="X30" s="193"/>
      <c r="Y30" s="182"/>
      <c r="Z30" s="182"/>
      <c r="AA30" s="182"/>
      <c r="AB30" s="182"/>
      <c r="AC30" s="182"/>
      <c r="AD30" s="182"/>
      <c r="AE30" s="182"/>
      <c r="AF30" s="194"/>
    </row>
    <row r="31" spans="2:32" ht="17.25" customHeight="1">
      <c r="B31" s="180">
        <v>17</v>
      </c>
      <c r="C31" s="792"/>
      <c r="D31" s="765"/>
      <c r="E31" s="186" t="s">
        <v>10</v>
      </c>
      <c r="F31" s="187" t="str">
        <f t="shared" si="0"/>
        <v>IB20010</v>
      </c>
      <c r="G31" s="243" t="s">
        <v>984</v>
      </c>
      <c r="H31" s="244"/>
      <c r="I31" s="244"/>
      <c r="J31" s="245"/>
      <c r="K31" s="589"/>
      <c r="L31" s="188" t="s">
        <v>1513</v>
      </c>
      <c r="M31" s="182"/>
      <c r="N31" s="186" t="s">
        <v>11</v>
      </c>
      <c r="O31" s="195" t="str">
        <f t="shared" si="1"/>
        <v>OB20010</v>
      </c>
      <c r="P31" s="265" t="s">
        <v>962</v>
      </c>
      <c r="Q31" s="266"/>
      <c r="R31" s="266"/>
      <c r="S31" s="326"/>
      <c r="T31" s="589"/>
      <c r="U31" s="188" t="s">
        <v>1513</v>
      </c>
      <c r="V31" s="909"/>
      <c r="W31" s="909"/>
      <c r="X31" s="193"/>
      <c r="Y31" s="182"/>
      <c r="Z31" s="182"/>
      <c r="AA31" s="182"/>
      <c r="AB31" s="182"/>
      <c r="AC31" s="182"/>
      <c r="AD31" s="182"/>
      <c r="AE31" s="182"/>
      <c r="AF31" s="194"/>
    </row>
    <row r="32" spans="2:32" ht="17.25" customHeight="1">
      <c r="B32" s="180">
        <v>18</v>
      </c>
      <c r="C32" s="792"/>
      <c r="D32" s="765"/>
      <c r="E32" s="186" t="s">
        <v>10</v>
      </c>
      <c r="F32" s="187" t="str">
        <f t="shared" si="0"/>
        <v>IB20011</v>
      </c>
      <c r="G32" s="243" t="s">
        <v>985</v>
      </c>
      <c r="H32" s="244"/>
      <c r="I32" s="244"/>
      <c r="J32" s="245"/>
      <c r="K32" s="589"/>
      <c r="L32" s="188" t="s">
        <v>1513</v>
      </c>
      <c r="M32" s="182"/>
      <c r="N32" s="186" t="s">
        <v>11</v>
      </c>
      <c r="O32" s="195" t="str">
        <f t="shared" si="1"/>
        <v>OB20011</v>
      </c>
      <c r="P32" s="265" t="s">
        <v>963</v>
      </c>
      <c r="Q32" s="266"/>
      <c r="R32" s="266"/>
      <c r="S32" s="326"/>
      <c r="T32" s="589"/>
      <c r="U32" s="188" t="s">
        <v>1513</v>
      </c>
      <c r="V32" s="909"/>
      <c r="W32" s="909"/>
      <c r="X32" s="193"/>
      <c r="Y32" s="182"/>
      <c r="Z32" s="182"/>
      <c r="AA32" s="182"/>
      <c r="AB32" s="182"/>
      <c r="AC32" s="182"/>
      <c r="AD32" s="182"/>
      <c r="AE32" s="182"/>
      <c r="AF32" s="194"/>
    </row>
    <row r="33" spans="2:32" ht="17.25" customHeight="1">
      <c r="B33" s="180">
        <v>19</v>
      </c>
      <c r="C33" s="792"/>
      <c r="D33" s="765"/>
      <c r="E33" s="186" t="s">
        <v>10</v>
      </c>
      <c r="F33" s="187" t="str">
        <f t="shared" si="0"/>
        <v>IB20012</v>
      </c>
      <c r="G33" s="243" t="s">
        <v>986</v>
      </c>
      <c r="H33" s="244"/>
      <c r="I33" s="244"/>
      <c r="J33" s="245"/>
      <c r="K33" s="589"/>
      <c r="L33" s="188" t="s">
        <v>1513</v>
      </c>
      <c r="M33" s="182"/>
      <c r="N33" s="186" t="s">
        <v>11</v>
      </c>
      <c r="O33" s="195" t="str">
        <f t="shared" si="1"/>
        <v>OB20012</v>
      </c>
      <c r="P33" s="265" t="s">
        <v>964</v>
      </c>
      <c r="Q33" s="266"/>
      <c r="R33" s="266"/>
      <c r="S33" s="326"/>
      <c r="T33" s="589"/>
      <c r="U33" s="188" t="s">
        <v>1513</v>
      </c>
      <c r="V33" s="909"/>
      <c r="W33" s="909"/>
      <c r="X33" s="193"/>
      <c r="Y33" s="182"/>
      <c r="Z33" s="182"/>
      <c r="AA33" s="182"/>
      <c r="AB33" s="182"/>
      <c r="AC33" s="182"/>
      <c r="AD33" s="182"/>
      <c r="AE33" s="182"/>
      <c r="AF33" s="194"/>
    </row>
    <row r="34" spans="2:32" ht="17.25" customHeight="1">
      <c r="B34" s="180">
        <v>20</v>
      </c>
      <c r="C34" s="792"/>
      <c r="D34" s="765"/>
      <c r="E34" s="186" t="s">
        <v>10</v>
      </c>
      <c r="F34" s="187" t="str">
        <f t="shared" si="0"/>
        <v>IB20013</v>
      </c>
      <c r="G34" s="243" t="s">
        <v>988</v>
      </c>
      <c r="H34" s="244"/>
      <c r="I34" s="244"/>
      <c r="J34" s="245"/>
      <c r="K34" s="589"/>
      <c r="L34" s="188" t="s">
        <v>1513</v>
      </c>
      <c r="M34" s="182"/>
      <c r="N34" s="186" t="s">
        <v>11</v>
      </c>
      <c r="O34" s="195" t="str">
        <f t="shared" si="1"/>
        <v>OB20013</v>
      </c>
      <c r="P34" s="328" t="s">
        <v>965</v>
      </c>
      <c r="Q34" s="329"/>
      <c r="R34" s="329"/>
      <c r="S34" s="330"/>
      <c r="T34" s="589"/>
      <c r="U34" s="188" t="s">
        <v>1513</v>
      </c>
      <c r="V34" s="909"/>
      <c r="W34" s="909"/>
      <c r="X34" s="193"/>
      <c r="Y34" s="182"/>
      <c r="Z34" s="182"/>
      <c r="AA34" s="182"/>
      <c r="AB34" s="182"/>
      <c r="AC34" s="182"/>
      <c r="AD34" s="182"/>
      <c r="AE34" s="182"/>
      <c r="AF34" s="194"/>
    </row>
    <row r="35" spans="2:32" ht="17.25" customHeight="1">
      <c r="B35" s="180">
        <v>21</v>
      </c>
      <c r="C35" s="792"/>
      <c r="D35" s="765"/>
      <c r="E35" s="186" t="s">
        <v>10</v>
      </c>
      <c r="F35" s="187" t="str">
        <f t="shared" si="0"/>
        <v>IB20014</v>
      </c>
      <c r="G35" s="243" t="s">
        <v>987</v>
      </c>
      <c r="H35" s="244"/>
      <c r="I35" s="244"/>
      <c r="J35" s="245"/>
      <c r="K35" s="589"/>
      <c r="L35" s="188" t="s">
        <v>1513</v>
      </c>
      <c r="M35" s="182"/>
      <c r="N35" s="186" t="s">
        <v>11</v>
      </c>
      <c r="O35" s="195" t="str">
        <f t="shared" si="1"/>
        <v>OB20014</v>
      </c>
      <c r="P35" s="265" t="s">
        <v>966</v>
      </c>
      <c r="Q35" s="266"/>
      <c r="R35" s="266"/>
      <c r="S35" s="326"/>
      <c r="T35" s="589"/>
      <c r="U35" s="188" t="s">
        <v>1513</v>
      </c>
      <c r="V35" s="909"/>
      <c r="W35" s="909"/>
      <c r="X35" s="193"/>
      <c r="Y35" s="182"/>
      <c r="Z35" s="182"/>
      <c r="AA35" s="182"/>
      <c r="AB35" s="182"/>
      <c r="AC35" s="182"/>
      <c r="AD35" s="182"/>
      <c r="AE35" s="182"/>
      <c r="AF35" s="194"/>
    </row>
    <row r="36" spans="2:32" ht="17.25" customHeight="1">
      <c r="B36" s="180">
        <v>22</v>
      </c>
      <c r="C36" s="792"/>
      <c r="D36" s="765"/>
      <c r="E36" s="186" t="s">
        <v>10</v>
      </c>
      <c r="F36" s="187" t="str">
        <f t="shared" si="0"/>
        <v>IB20015</v>
      </c>
      <c r="G36" s="243" t="s">
        <v>969</v>
      </c>
      <c r="H36" s="244"/>
      <c r="I36" s="244"/>
      <c r="J36" s="245"/>
      <c r="K36" s="589"/>
      <c r="L36" s="188" t="s">
        <v>1513</v>
      </c>
      <c r="M36" s="182"/>
      <c r="N36" s="186" t="s">
        <v>11</v>
      </c>
      <c r="O36" s="195" t="str">
        <f t="shared" si="1"/>
        <v>OB20015</v>
      </c>
      <c r="P36" s="265" t="s">
        <v>967</v>
      </c>
      <c r="Q36" s="266"/>
      <c r="R36" s="266"/>
      <c r="S36" s="326"/>
      <c r="T36" s="589"/>
      <c r="U36" s="188" t="s">
        <v>1513</v>
      </c>
      <c r="V36" s="909"/>
      <c r="W36" s="909"/>
      <c r="X36" s="193"/>
      <c r="Y36" s="182"/>
      <c r="Z36" s="182"/>
      <c r="AA36" s="182"/>
      <c r="AB36" s="182"/>
      <c r="AC36" s="182"/>
      <c r="AD36" s="182"/>
      <c r="AE36" s="182"/>
      <c r="AF36" s="194"/>
    </row>
    <row r="37" spans="2:32" ht="17.25" customHeight="1">
      <c r="B37" s="180">
        <v>23</v>
      </c>
      <c r="C37" s="792"/>
      <c r="D37" s="765"/>
      <c r="E37" s="186" t="s">
        <v>10</v>
      </c>
      <c r="F37" s="187" t="str">
        <f t="shared" si="0"/>
        <v>IB20016</v>
      </c>
      <c r="G37" s="243" t="s">
        <v>989</v>
      </c>
      <c r="H37" s="244"/>
      <c r="I37" s="244"/>
      <c r="J37" s="245"/>
      <c r="K37" s="589"/>
      <c r="L37" s="188" t="s">
        <v>1513</v>
      </c>
      <c r="M37" s="182"/>
      <c r="N37" s="186" t="s">
        <v>11</v>
      </c>
      <c r="O37" s="195" t="str">
        <f t="shared" si="1"/>
        <v>OB20016</v>
      </c>
      <c r="P37" s="265" t="s">
        <v>968</v>
      </c>
      <c r="Q37" s="266"/>
      <c r="R37" s="266"/>
      <c r="S37" s="326"/>
      <c r="T37" s="589"/>
      <c r="U37" s="188" t="s">
        <v>1513</v>
      </c>
      <c r="V37" s="909"/>
      <c r="W37" s="909"/>
      <c r="X37" s="193"/>
      <c r="Y37" s="182"/>
      <c r="Z37" s="182"/>
      <c r="AA37" s="182"/>
      <c r="AB37" s="182"/>
      <c r="AC37" s="182"/>
      <c r="AD37" s="182"/>
      <c r="AE37" s="182"/>
      <c r="AF37" s="194"/>
    </row>
    <row r="38" spans="2:32" ht="17.25" customHeight="1">
      <c r="B38" s="180">
        <v>24</v>
      </c>
      <c r="C38" s="792"/>
      <c r="D38" s="765"/>
      <c r="E38" s="186" t="s">
        <v>10</v>
      </c>
      <c r="F38" s="187" t="str">
        <f t="shared" si="0"/>
        <v>IB20017</v>
      </c>
      <c r="G38" s="243" t="s">
        <v>990</v>
      </c>
      <c r="H38" s="244"/>
      <c r="I38" s="244"/>
      <c r="J38" s="245"/>
      <c r="K38" s="589"/>
      <c r="L38" s="188" t="s">
        <v>1513</v>
      </c>
      <c r="M38" s="182"/>
      <c r="N38" s="186" t="s">
        <v>11</v>
      </c>
      <c r="O38" s="195" t="str">
        <f t="shared" si="1"/>
        <v>OB20017</v>
      </c>
      <c r="P38" s="328" t="s">
        <v>969</v>
      </c>
      <c r="Q38" s="329"/>
      <c r="R38" s="329"/>
      <c r="S38" s="330"/>
      <c r="T38" s="589"/>
      <c r="U38" s="188" t="s">
        <v>1513</v>
      </c>
      <c r="V38" s="909"/>
      <c r="W38" s="909"/>
      <c r="X38" s="193"/>
      <c r="Y38" s="182"/>
      <c r="Z38" s="182"/>
      <c r="AA38" s="182"/>
      <c r="AB38" s="182"/>
      <c r="AC38" s="182"/>
      <c r="AD38" s="182"/>
      <c r="AE38" s="182"/>
      <c r="AF38" s="194"/>
    </row>
    <row r="39" spans="2:32" ht="17.25" customHeight="1">
      <c r="B39" s="180">
        <v>25</v>
      </c>
      <c r="C39" s="792"/>
      <c r="D39" s="765"/>
      <c r="E39" s="186" t="s">
        <v>10</v>
      </c>
      <c r="F39" s="187" t="str">
        <f t="shared" si="0"/>
        <v>IB20018</v>
      </c>
      <c r="G39" s="243" t="s">
        <v>991</v>
      </c>
      <c r="H39" s="244"/>
      <c r="I39" s="244"/>
      <c r="J39" s="245"/>
      <c r="K39" s="589"/>
      <c r="L39" s="188" t="s">
        <v>1513</v>
      </c>
      <c r="M39" s="182"/>
      <c r="N39" s="186" t="s">
        <v>11</v>
      </c>
      <c r="O39" s="195" t="str">
        <f t="shared" si="1"/>
        <v>OB20018</v>
      </c>
      <c r="P39" s="265" t="s">
        <v>970</v>
      </c>
      <c r="Q39" s="266"/>
      <c r="R39" s="266"/>
      <c r="S39" s="326"/>
      <c r="T39" s="589"/>
      <c r="U39" s="188" t="s">
        <v>1513</v>
      </c>
      <c r="V39" s="909"/>
      <c r="W39" s="909"/>
      <c r="X39" s="193"/>
      <c r="Y39" s="182"/>
      <c r="Z39" s="182"/>
      <c r="AA39" s="182"/>
      <c r="AB39" s="182"/>
      <c r="AC39" s="182"/>
      <c r="AD39" s="182"/>
      <c r="AE39" s="182"/>
      <c r="AF39" s="194"/>
    </row>
    <row r="40" spans="2:32" ht="17.25" customHeight="1">
      <c r="B40" s="180">
        <v>26</v>
      </c>
      <c r="C40" s="792"/>
      <c r="D40" s="765"/>
      <c r="E40" s="186" t="s">
        <v>10</v>
      </c>
      <c r="F40" s="187" t="str">
        <f t="shared" si="0"/>
        <v>IB20019</v>
      </c>
      <c r="G40" s="243" t="s">
        <v>973</v>
      </c>
      <c r="H40" s="244"/>
      <c r="I40" s="244"/>
      <c r="J40" s="245"/>
      <c r="K40" s="589"/>
      <c r="L40" s="188" t="s">
        <v>1513</v>
      </c>
      <c r="M40" s="182"/>
      <c r="N40" s="186" t="s">
        <v>11</v>
      </c>
      <c r="O40" s="195" t="str">
        <f t="shared" si="1"/>
        <v>OB20019</v>
      </c>
      <c r="P40" s="265" t="s">
        <v>971</v>
      </c>
      <c r="Q40" s="266"/>
      <c r="R40" s="266"/>
      <c r="S40" s="326"/>
      <c r="T40" s="589"/>
      <c r="U40" s="188" t="s">
        <v>1513</v>
      </c>
      <c r="V40" s="909"/>
      <c r="W40" s="909"/>
      <c r="X40" s="193"/>
      <c r="Y40" s="182"/>
      <c r="Z40" s="182"/>
      <c r="AA40" s="182"/>
      <c r="AB40" s="182"/>
      <c r="AC40" s="182"/>
      <c r="AD40" s="182"/>
      <c r="AE40" s="182"/>
      <c r="AF40" s="194"/>
    </row>
    <row r="41" spans="2:32" ht="17.25" customHeight="1">
      <c r="B41" s="180">
        <v>27</v>
      </c>
      <c r="C41" s="792"/>
      <c r="D41" s="765"/>
      <c r="E41" s="186" t="s">
        <v>10</v>
      </c>
      <c r="F41" s="187" t="str">
        <f t="shared" si="0"/>
        <v>IB2001A</v>
      </c>
      <c r="G41" s="243" t="s">
        <v>992</v>
      </c>
      <c r="H41" s="244"/>
      <c r="I41" s="244"/>
      <c r="J41" s="245"/>
      <c r="K41" s="589"/>
      <c r="L41" s="188" t="s">
        <v>1513</v>
      </c>
      <c r="M41" s="182"/>
      <c r="N41" s="186" t="s">
        <v>11</v>
      </c>
      <c r="O41" s="195" t="str">
        <f t="shared" si="1"/>
        <v>OB2001A</v>
      </c>
      <c r="P41" s="265" t="s">
        <v>972</v>
      </c>
      <c r="Q41" s="266"/>
      <c r="R41" s="266"/>
      <c r="S41" s="326"/>
      <c r="T41" s="589"/>
      <c r="U41" s="188" t="s">
        <v>1513</v>
      </c>
      <c r="V41" s="909"/>
      <c r="W41" s="909"/>
      <c r="X41" s="193"/>
      <c r="Y41" s="182"/>
      <c r="Z41" s="182"/>
      <c r="AA41" s="182"/>
      <c r="AB41" s="182"/>
      <c r="AC41" s="182"/>
      <c r="AD41" s="182"/>
      <c r="AE41" s="182"/>
      <c r="AF41" s="194"/>
    </row>
    <row r="42" spans="2:32" ht="17.25" customHeight="1">
      <c r="B42" s="180">
        <v>28</v>
      </c>
      <c r="C42" s="792"/>
      <c r="D42" s="765"/>
      <c r="E42" s="186" t="s">
        <v>10</v>
      </c>
      <c r="F42" s="187" t="str">
        <f t="shared" si="0"/>
        <v>IB2001B</v>
      </c>
      <c r="G42" s="243" t="s">
        <v>993</v>
      </c>
      <c r="H42" s="244"/>
      <c r="I42" s="244"/>
      <c r="J42" s="245"/>
      <c r="K42" s="589"/>
      <c r="L42" s="188" t="s">
        <v>1513</v>
      </c>
      <c r="M42" s="182"/>
      <c r="N42" s="186" t="s">
        <v>11</v>
      </c>
      <c r="O42" s="195" t="str">
        <f t="shared" si="1"/>
        <v>OB2001B</v>
      </c>
      <c r="P42" s="328" t="s">
        <v>973</v>
      </c>
      <c r="Q42" s="329"/>
      <c r="R42" s="329"/>
      <c r="S42" s="330"/>
      <c r="T42" s="589"/>
      <c r="U42" s="188" t="s">
        <v>1513</v>
      </c>
      <c r="V42" s="909"/>
      <c r="W42" s="909"/>
      <c r="X42" s="193"/>
      <c r="Y42" s="182"/>
      <c r="Z42" s="182"/>
      <c r="AA42" s="182"/>
      <c r="AB42" s="182"/>
      <c r="AC42" s="182"/>
      <c r="AD42" s="182"/>
      <c r="AE42" s="182"/>
      <c r="AF42" s="194"/>
    </row>
    <row r="43" spans="2:32" ht="17.25" customHeight="1">
      <c r="B43" s="180">
        <v>29</v>
      </c>
      <c r="C43" s="792"/>
      <c r="D43" s="765"/>
      <c r="E43" s="186" t="s">
        <v>10</v>
      </c>
      <c r="F43" s="187" t="str">
        <f t="shared" si="0"/>
        <v>IB2001C</v>
      </c>
      <c r="G43" s="246"/>
      <c r="H43" s="247"/>
      <c r="I43" s="247"/>
      <c r="J43" s="248"/>
      <c r="K43" s="182"/>
      <c r="L43" s="188"/>
      <c r="M43" s="182"/>
      <c r="N43" s="186" t="s">
        <v>11</v>
      </c>
      <c r="O43" s="195" t="str">
        <f t="shared" si="1"/>
        <v>OB2001C</v>
      </c>
      <c r="P43" s="265"/>
      <c r="Q43" s="266"/>
      <c r="R43" s="266"/>
      <c r="S43" s="326"/>
      <c r="T43" s="190"/>
      <c r="U43" s="191"/>
      <c r="V43" s="909"/>
      <c r="W43" s="909"/>
      <c r="X43" s="193"/>
      <c r="Y43" s="182"/>
      <c r="Z43" s="182"/>
      <c r="AA43" s="182"/>
      <c r="AB43" s="182"/>
      <c r="AC43" s="182"/>
      <c r="AD43" s="182"/>
      <c r="AE43" s="182"/>
      <c r="AF43" s="194"/>
    </row>
    <row r="44" spans="2:32" ht="17.25" customHeight="1">
      <c r="B44" s="180">
        <v>30</v>
      </c>
      <c r="C44" s="792"/>
      <c r="D44" s="765"/>
      <c r="E44" s="186" t="s">
        <v>10</v>
      </c>
      <c r="F44" s="187" t="str">
        <f t="shared" si="0"/>
        <v>IB2001D</v>
      </c>
      <c r="G44" s="246"/>
      <c r="H44" s="247"/>
      <c r="I44" s="247"/>
      <c r="J44" s="248"/>
      <c r="K44" s="182"/>
      <c r="L44" s="188"/>
      <c r="M44" s="182"/>
      <c r="N44" s="186" t="s">
        <v>11</v>
      </c>
      <c r="O44" s="195" t="str">
        <f t="shared" si="1"/>
        <v>OB2001D</v>
      </c>
      <c r="P44" s="243"/>
      <c r="Q44" s="244"/>
      <c r="R44" s="244"/>
      <c r="S44" s="245"/>
      <c r="T44" s="190"/>
      <c r="U44" s="191"/>
      <c r="V44" s="909"/>
      <c r="W44" s="909"/>
      <c r="X44" s="193"/>
      <c r="Y44" s="182"/>
      <c r="Z44" s="182"/>
      <c r="AA44" s="182"/>
      <c r="AB44" s="182"/>
      <c r="AC44" s="182"/>
      <c r="AD44" s="182"/>
      <c r="AE44" s="182"/>
      <c r="AF44" s="194"/>
    </row>
    <row r="45" spans="2:32" ht="17.25" customHeight="1">
      <c r="B45" s="180">
        <v>31</v>
      </c>
      <c r="C45" s="792"/>
      <c r="D45" s="765"/>
      <c r="E45" s="186" t="s">
        <v>10</v>
      </c>
      <c r="F45" s="187" t="str">
        <f t="shared" si="0"/>
        <v>IB2001E</v>
      </c>
      <c r="G45" s="243"/>
      <c r="H45" s="244"/>
      <c r="I45" s="244"/>
      <c r="J45" s="245"/>
      <c r="K45" s="182"/>
      <c r="L45" s="188"/>
      <c r="M45" s="182"/>
      <c r="N45" s="186" t="s">
        <v>11</v>
      </c>
      <c r="O45" s="195" t="str">
        <f t="shared" si="1"/>
        <v>OB2001E</v>
      </c>
      <c r="P45" s="265"/>
      <c r="Q45" s="266"/>
      <c r="R45" s="266"/>
      <c r="S45" s="326"/>
      <c r="T45" s="196"/>
      <c r="U45" s="191"/>
      <c r="V45" s="909"/>
      <c r="W45" s="909"/>
      <c r="X45" s="193"/>
      <c r="Y45" s="182"/>
      <c r="Z45" s="182"/>
      <c r="AA45" s="182"/>
      <c r="AB45" s="182"/>
      <c r="AC45" s="182"/>
      <c r="AD45" s="182"/>
      <c r="AE45" s="182"/>
      <c r="AF45" s="194"/>
    </row>
    <row r="46" spans="2:32" ht="17.25" customHeight="1" thickBot="1">
      <c r="B46" s="197">
        <v>32</v>
      </c>
      <c r="C46" s="793"/>
      <c r="D46" s="924"/>
      <c r="E46" s="198" t="s">
        <v>10</v>
      </c>
      <c r="F46" s="199" t="str">
        <f t="shared" si="0"/>
        <v>IB2001F</v>
      </c>
      <c r="G46" s="277"/>
      <c r="H46" s="373"/>
      <c r="I46" s="373"/>
      <c r="J46" s="374"/>
      <c r="K46" s="200"/>
      <c r="L46" s="201"/>
      <c r="M46" s="200"/>
      <c r="N46" s="198" t="s">
        <v>11</v>
      </c>
      <c r="O46" s="202" t="str">
        <f t="shared" si="1"/>
        <v>OB2001F</v>
      </c>
      <c r="P46" s="277"/>
      <c r="Q46" s="373"/>
      <c r="R46" s="373"/>
      <c r="S46" s="374"/>
      <c r="T46" s="203"/>
      <c r="U46" s="204"/>
      <c r="V46" s="910"/>
      <c r="W46" s="910"/>
      <c r="X46" s="205"/>
      <c r="Y46" s="200"/>
      <c r="Z46" s="200"/>
      <c r="AA46" s="200"/>
      <c r="AB46" s="200"/>
      <c r="AC46" s="200"/>
      <c r="AD46" s="200"/>
      <c r="AE46" s="200"/>
      <c r="AF46" s="206"/>
    </row>
    <row r="47" spans="2:32" ht="17.25" customHeight="1">
      <c r="B47" s="26"/>
      <c r="C47" s="237"/>
      <c r="D47" s="237"/>
      <c r="E47" s="238"/>
      <c r="F47" s="239"/>
      <c r="G47" s="278"/>
      <c r="H47" s="278"/>
      <c r="I47" s="278"/>
      <c r="J47" s="278"/>
      <c r="L47" s="279"/>
      <c r="M47" s="26"/>
      <c r="N47" s="238"/>
      <c r="O47" s="160"/>
      <c r="P47" s="278"/>
      <c r="Q47" s="278"/>
      <c r="R47" s="278"/>
      <c r="S47" s="278"/>
      <c r="T47" s="240"/>
      <c r="U47" s="241"/>
      <c r="V47" s="242"/>
      <c r="W47" s="242"/>
      <c r="X47" s="280"/>
      <c r="Y47" s="26"/>
      <c r="Z47" s="26"/>
      <c r="AA47" s="26"/>
      <c r="AB47" s="26"/>
      <c r="AC47" s="26"/>
      <c r="AD47" s="26"/>
      <c r="AE47" s="26"/>
      <c r="AF47" s="26"/>
    </row>
    <row r="48" spans="2:32" ht="13.8" thickBot="1">
      <c r="B48" s="53"/>
      <c r="C48" s="53"/>
      <c r="D48" s="53"/>
      <c r="E48" s="53"/>
      <c r="F48" s="53"/>
      <c r="G48" s="55"/>
      <c r="H48" s="55"/>
      <c r="I48" s="55"/>
      <c r="J48" s="55"/>
      <c r="K48" s="560"/>
      <c r="L48" s="161"/>
      <c r="M48" s="160"/>
      <c r="N48" s="53"/>
      <c r="O48" s="53"/>
      <c r="P48" s="53"/>
      <c r="Q48" s="53"/>
      <c r="R48" s="53"/>
      <c r="S48" s="53"/>
      <c r="T48" s="53"/>
      <c r="U48" s="162"/>
      <c r="V48" s="55"/>
      <c r="W48" s="55"/>
      <c r="X48" s="53"/>
      <c r="Y48" s="53"/>
      <c r="Z48" s="26"/>
      <c r="AA48" s="57"/>
      <c r="AB48" s="57"/>
      <c r="AC48" s="57"/>
    </row>
    <row r="49" spans="2:32" ht="17.25" customHeight="1">
      <c r="B49" s="929" t="s">
        <v>0</v>
      </c>
      <c r="C49" s="781" t="s">
        <v>4</v>
      </c>
      <c r="D49" s="921" t="s">
        <v>5</v>
      </c>
      <c r="E49" s="911" t="s">
        <v>90</v>
      </c>
      <c r="F49" s="911" t="s">
        <v>6</v>
      </c>
      <c r="G49" s="933" t="s">
        <v>21</v>
      </c>
      <c r="H49" s="934"/>
      <c r="I49" s="934"/>
      <c r="J49" s="935"/>
      <c r="K49" s="911" t="s">
        <v>8</v>
      </c>
      <c r="L49" s="207"/>
      <c r="M49" s="611"/>
      <c r="N49" s="911" t="s">
        <v>90</v>
      </c>
      <c r="O49" s="911" t="s">
        <v>6</v>
      </c>
      <c r="P49" s="913" t="s">
        <v>21</v>
      </c>
      <c r="Q49" s="914"/>
      <c r="R49" s="914"/>
      <c r="S49" s="915"/>
      <c r="T49" s="919" t="s">
        <v>8</v>
      </c>
      <c r="U49" s="179"/>
      <c r="V49" s="911" t="s">
        <v>13</v>
      </c>
      <c r="W49" s="911"/>
      <c r="X49" s="921" t="s">
        <v>709</v>
      </c>
      <c r="Y49" s="921"/>
      <c r="Z49" s="921"/>
      <c r="AA49" s="921" t="s">
        <v>710</v>
      </c>
      <c r="AB49" s="921"/>
      <c r="AC49" s="921"/>
      <c r="AD49" s="921" t="s">
        <v>710</v>
      </c>
      <c r="AE49" s="921"/>
      <c r="AF49" s="922"/>
    </row>
    <row r="50" spans="2:32" ht="17.25" customHeight="1">
      <c r="B50" s="930"/>
      <c r="C50" s="931"/>
      <c r="D50" s="932"/>
      <c r="E50" s="912"/>
      <c r="F50" s="912"/>
      <c r="G50" s="936"/>
      <c r="H50" s="937"/>
      <c r="I50" s="937"/>
      <c r="J50" s="938"/>
      <c r="K50" s="912"/>
      <c r="L50" s="208"/>
      <c r="M50" s="612"/>
      <c r="N50" s="912"/>
      <c r="O50" s="912"/>
      <c r="P50" s="916"/>
      <c r="Q50" s="917"/>
      <c r="R50" s="917"/>
      <c r="S50" s="918"/>
      <c r="T50" s="920"/>
      <c r="U50" s="183"/>
      <c r="V50" s="912"/>
      <c r="W50" s="912"/>
      <c r="X50" s="184" t="s">
        <v>93</v>
      </c>
      <c r="Y50" s="181" t="s">
        <v>94</v>
      </c>
      <c r="Z50" s="181" t="s">
        <v>95</v>
      </c>
      <c r="AA50" s="184" t="s">
        <v>93</v>
      </c>
      <c r="AB50" s="181" t="s">
        <v>94</v>
      </c>
      <c r="AC50" s="181" t="s">
        <v>95</v>
      </c>
      <c r="AD50" s="184" t="s">
        <v>93</v>
      </c>
      <c r="AE50" s="181" t="s">
        <v>94</v>
      </c>
      <c r="AF50" s="185" t="s">
        <v>95</v>
      </c>
    </row>
    <row r="51" spans="2:32" ht="17.25" customHeight="1">
      <c r="B51" s="180">
        <v>1</v>
      </c>
      <c r="C51" s="923" t="s">
        <v>12</v>
      </c>
      <c r="D51" s="765"/>
      <c r="E51" s="186" t="s">
        <v>10</v>
      </c>
      <c r="F51" s="187" t="s">
        <v>44</v>
      </c>
      <c r="G51" s="243"/>
      <c r="H51" s="244"/>
      <c r="I51" s="244"/>
      <c r="J51" s="245"/>
      <c r="K51" s="182"/>
      <c r="L51" s="188"/>
      <c r="M51" s="182"/>
      <c r="N51" s="186" t="s">
        <v>11</v>
      </c>
      <c r="O51" s="189" t="s">
        <v>45</v>
      </c>
      <c r="P51" s="265"/>
      <c r="Q51" s="266"/>
      <c r="R51" s="266"/>
      <c r="S51" s="326"/>
      <c r="T51" s="190"/>
      <c r="U51" s="191"/>
      <c r="V51" s="909"/>
      <c r="W51" s="909"/>
      <c r="X51" s="193"/>
      <c r="Y51" s="182"/>
      <c r="Z51" s="182"/>
      <c r="AA51" s="182"/>
      <c r="AB51" s="182"/>
      <c r="AC51" s="182"/>
      <c r="AD51" s="182"/>
      <c r="AE51" s="182"/>
      <c r="AF51" s="194"/>
    </row>
    <row r="52" spans="2:32" ht="17.25" customHeight="1">
      <c r="B52" s="180">
        <v>2</v>
      </c>
      <c r="C52" s="792"/>
      <c r="D52" s="765"/>
      <c r="E52" s="186" t="s">
        <v>10</v>
      </c>
      <c r="F52" s="187" t="str">
        <f>LEFT(F51,1)&amp;DEC2HEX(HEX2DEC(MID(F51,2,LENB(F51)-1))+1,LENB(F51)-1)</f>
        <v>IB20001</v>
      </c>
      <c r="G52" s="243"/>
      <c r="H52" s="244"/>
      <c r="I52" s="244"/>
      <c r="J52" s="245"/>
      <c r="K52" s="182"/>
      <c r="L52" s="188"/>
      <c r="M52" s="182"/>
      <c r="N52" s="186" t="s">
        <v>11</v>
      </c>
      <c r="O52" s="195" t="str">
        <f>LEFT(O51,1)&amp;DEC2HEX(HEX2DEC(MID(O51,2,LENB(O51)-1))+1,LENB(O51)-1)</f>
        <v>OB20001</v>
      </c>
      <c r="P52" s="265"/>
      <c r="Q52" s="266"/>
      <c r="R52" s="266"/>
      <c r="S52" s="326"/>
      <c r="T52" s="196"/>
      <c r="U52" s="191"/>
      <c r="V52" s="909"/>
      <c r="W52" s="909"/>
      <c r="X52" s="193"/>
      <c r="Y52" s="182"/>
      <c r="Z52" s="182"/>
      <c r="AA52" s="182"/>
      <c r="AB52" s="182"/>
      <c r="AC52" s="182"/>
      <c r="AD52" s="182"/>
      <c r="AE52" s="182"/>
      <c r="AF52" s="194"/>
    </row>
    <row r="53" spans="2:32" ht="17.25" customHeight="1">
      <c r="B53" s="180">
        <v>3</v>
      </c>
      <c r="C53" s="792"/>
      <c r="D53" s="765"/>
      <c r="E53" s="186" t="s">
        <v>10</v>
      </c>
      <c r="F53" s="187" t="str">
        <f t="shared" ref="F53:F82" si="2">LEFT(F52,1)&amp;DEC2HEX(HEX2DEC(MID(F52,2,LENB(F52)-1))+1,LENB(F52)-1)</f>
        <v>IB20002</v>
      </c>
      <c r="G53" s="243"/>
      <c r="H53" s="244"/>
      <c r="I53" s="244"/>
      <c r="J53" s="245"/>
      <c r="K53" s="182"/>
      <c r="L53" s="188"/>
      <c r="M53" s="182"/>
      <c r="N53" s="186" t="s">
        <v>11</v>
      </c>
      <c r="O53" s="195" t="str">
        <f t="shared" ref="O53:O82" si="3">LEFT(O52,1)&amp;DEC2HEX(HEX2DEC(MID(O52,2,LENB(O52)-1))+1,LENB(O52)-1)</f>
        <v>OB20002</v>
      </c>
      <c r="P53" s="265"/>
      <c r="Q53" s="266"/>
      <c r="R53" s="266"/>
      <c r="S53" s="326"/>
      <c r="T53" s="196"/>
      <c r="U53" s="191"/>
      <c r="V53" s="909"/>
      <c r="W53" s="909"/>
      <c r="X53" s="193"/>
      <c r="Y53" s="182"/>
      <c r="Z53" s="182"/>
      <c r="AA53" s="182"/>
      <c r="AB53" s="182"/>
      <c r="AC53" s="182"/>
      <c r="AD53" s="182"/>
      <c r="AE53" s="182"/>
      <c r="AF53" s="194"/>
    </row>
    <row r="54" spans="2:32" ht="17.25" customHeight="1">
      <c r="B54" s="180">
        <v>4</v>
      </c>
      <c r="C54" s="792"/>
      <c r="D54" s="765"/>
      <c r="E54" s="186" t="s">
        <v>10</v>
      </c>
      <c r="F54" s="187" t="str">
        <f t="shared" si="2"/>
        <v>IB20003</v>
      </c>
      <c r="G54" s="243"/>
      <c r="H54" s="244"/>
      <c r="I54" s="244"/>
      <c r="J54" s="245"/>
      <c r="K54" s="182"/>
      <c r="L54" s="188"/>
      <c r="M54" s="182"/>
      <c r="N54" s="186" t="s">
        <v>11</v>
      </c>
      <c r="O54" s="195" t="str">
        <f t="shared" si="3"/>
        <v>OB20003</v>
      </c>
      <c r="P54" s="265"/>
      <c r="Q54" s="266"/>
      <c r="R54" s="266"/>
      <c r="S54" s="326"/>
      <c r="T54" s="196"/>
      <c r="U54" s="191"/>
      <c r="V54" s="909"/>
      <c r="W54" s="909"/>
      <c r="X54" s="193"/>
      <c r="Y54" s="182"/>
      <c r="Z54" s="182"/>
      <c r="AA54" s="182"/>
      <c r="AB54" s="182"/>
      <c r="AC54" s="182"/>
      <c r="AD54" s="182"/>
      <c r="AE54" s="182"/>
      <c r="AF54" s="194"/>
    </row>
    <row r="55" spans="2:32" ht="17.25" customHeight="1">
      <c r="B55" s="180">
        <v>5</v>
      </c>
      <c r="C55" s="792"/>
      <c r="D55" s="765"/>
      <c r="E55" s="186" t="s">
        <v>10</v>
      </c>
      <c r="F55" s="187" t="str">
        <f t="shared" si="2"/>
        <v>IB20004</v>
      </c>
      <c r="G55" s="243"/>
      <c r="H55" s="244"/>
      <c r="I55" s="244"/>
      <c r="J55" s="245"/>
      <c r="K55" s="182"/>
      <c r="L55" s="188"/>
      <c r="M55" s="182"/>
      <c r="N55" s="186" t="s">
        <v>11</v>
      </c>
      <c r="O55" s="195" t="str">
        <f t="shared" si="3"/>
        <v>OB20004</v>
      </c>
      <c r="P55" s="243"/>
      <c r="Q55" s="244"/>
      <c r="R55" s="244"/>
      <c r="S55" s="245"/>
      <c r="T55" s="190"/>
      <c r="U55" s="191"/>
      <c r="V55" s="909"/>
      <c r="W55" s="909"/>
      <c r="X55" s="193"/>
      <c r="Y55" s="182"/>
      <c r="Z55" s="182"/>
      <c r="AA55" s="182"/>
      <c r="AB55" s="182"/>
      <c r="AC55" s="182"/>
      <c r="AD55" s="182"/>
      <c r="AE55" s="182"/>
      <c r="AF55" s="194"/>
    </row>
    <row r="56" spans="2:32" ht="17.25" customHeight="1">
      <c r="B56" s="180">
        <v>6</v>
      </c>
      <c r="C56" s="792"/>
      <c r="D56" s="765"/>
      <c r="E56" s="186" t="s">
        <v>10</v>
      </c>
      <c r="F56" s="187" t="str">
        <f t="shared" si="2"/>
        <v>IB20005</v>
      </c>
      <c r="G56" s="243"/>
      <c r="H56" s="244"/>
      <c r="I56" s="244"/>
      <c r="J56" s="245"/>
      <c r="K56" s="182"/>
      <c r="L56" s="188"/>
      <c r="M56" s="182"/>
      <c r="N56" s="186" t="s">
        <v>11</v>
      </c>
      <c r="O56" s="195" t="str">
        <f t="shared" si="3"/>
        <v>OB20005</v>
      </c>
      <c r="P56" s="243"/>
      <c r="Q56" s="244"/>
      <c r="R56" s="244"/>
      <c r="S56" s="245"/>
      <c r="T56" s="190"/>
      <c r="U56" s="191"/>
      <c r="V56" s="909"/>
      <c r="W56" s="909"/>
      <c r="X56" s="193"/>
      <c r="Y56" s="182"/>
      <c r="Z56" s="182"/>
      <c r="AA56" s="182"/>
      <c r="AB56" s="182"/>
      <c r="AC56" s="182"/>
      <c r="AD56" s="182"/>
      <c r="AE56" s="182"/>
      <c r="AF56" s="194"/>
    </row>
    <row r="57" spans="2:32" ht="17.25" customHeight="1">
      <c r="B57" s="180">
        <v>7</v>
      </c>
      <c r="C57" s="792"/>
      <c r="D57" s="765"/>
      <c r="E57" s="186" t="s">
        <v>10</v>
      </c>
      <c r="F57" s="187" t="str">
        <f t="shared" si="2"/>
        <v>IB20006</v>
      </c>
      <c r="G57" s="243"/>
      <c r="H57" s="244"/>
      <c r="I57" s="244"/>
      <c r="J57" s="245"/>
      <c r="K57" s="182"/>
      <c r="L57" s="188"/>
      <c r="M57" s="182"/>
      <c r="N57" s="186" t="s">
        <v>11</v>
      </c>
      <c r="O57" s="195" t="str">
        <f t="shared" si="3"/>
        <v>OB20006</v>
      </c>
      <c r="P57" s="265"/>
      <c r="Q57" s="266"/>
      <c r="R57" s="266"/>
      <c r="S57" s="326"/>
      <c r="T57" s="190"/>
      <c r="U57" s="191"/>
      <c r="V57" s="909"/>
      <c r="W57" s="909"/>
      <c r="X57" s="193"/>
      <c r="Y57" s="182"/>
      <c r="Z57" s="182"/>
      <c r="AA57" s="182"/>
      <c r="AB57" s="182"/>
      <c r="AC57" s="182"/>
      <c r="AD57" s="182"/>
      <c r="AE57" s="182"/>
      <c r="AF57" s="194"/>
    </row>
    <row r="58" spans="2:32" ht="17.25" customHeight="1">
      <c r="B58" s="180">
        <v>8</v>
      </c>
      <c r="C58" s="792"/>
      <c r="D58" s="765"/>
      <c r="E58" s="186" t="s">
        <v>10</v>
      </c>
      <c r="F58" s="187" t="str">
        <f t="shared" si="2"/>
        <v>IB20007</v>
      </c>
      <c r="G58" s="243"/>
      <c r="H58" s="244"/>
      <c r="I58" s="244"/>
      <c r="J58" s="245"/>
      <c r="K58" s="182"/>
      <c r="L58" s="188"/>
      <c r="M58" s="182"/>
      <c r="N58" s="186" t="s">
        <v>11</v>
      </c>
      <c r="O58" s="195" t="str">
        <f t="shared" si="3"/>
        <v>OB20007</v>
      </c>
      <c r="P58" s="265"/>
      <c r="Q58" s="266"/>
      <c r="R58" s="266"/>
      <c r="S58" s="326"/>
      <c r="T58" s="190"/>
      <c r="U58" s="191"/>
      <c r="V58" s="909"/>
      <c r="W58" s="909"/>
      <c r="X58" s="193"/>
      <c r="Y58" s="182"/>
      <c r="Z58" s="182"/>
      <c r="AA58" s="182"/>
      <c r="AB58" s="182"/>
      <c r="AC58" s="182"/>
      <c r="AD58" s="182"/>
      <c r="AE58" s="182"/>
      <c r="AF58" s="194"/>
    </row>
    <row r="59" spans="2:32" ht="17.25" customHeight="1">
      <c r="B59" s="180">
        <v>9</v>
      </c>
      <c r="C59" s="792"/>
      <c r="D59" s="765"/>
      <c r="E59" s="186" t="s">
        <v>10</v>
      </c>
      <c r="F59" s="187" t="str">
        <f t="shared" si="2"/>
        <v>IB20008</v>
      </c>
      <c r="G59" s="243"/>
      <c r="H59" s="244"/>
      <c r="I59" s="244"/>
      <c r="J59" s="245"/>
      <c r="K59" s="182"/>
      <c r="L59" s="188"/>
      <c r="M59" s="182"/>
      <c r="N59" s="186" t="s">
        <v>11</v>
      </c>
      <c r="O59" s="195" t="str">
        <f t="shared" si="3"/>
        <v>OB20008</v>
      </c>
      <c r="P59" s="265"/>
      <c r="Q59" s="266"/>
      <c r="R59" s="266"/>
      <c r="S59" s="326"/>
      <c r="T59" s="190"/>
      <c r="U59" s="191"/>
      <c r="V59" s="909"/>
      <c r="W59" s="909"/>
      <c r="X59" s="193"/>
      <c r="Y59" s="182"/>
      <c r="Z59" s="182"/>
      <c r="AA59" s="182"/>
      <c r="AB59" s="182"/>
      <c r="AC59" s="182"/>
      <c r="AD59" s="182"/>
      <c r="AE59" s="182"/>
      <c r="AF59" s="194"/>
    </row>
    <row r="60" spans="2:32" ht="17.25" customHeight="1">
      <c r="B60" s="180">
        <v>10</v>
      </c>
      <c r="C60" s="792"/>
      <c r="D60" s="765"/>
      <c r="E60" s="186" t="s">
        <v>10</v>
      </c>
      <c r="F60" s="187" t="str">
        <f t="shared" si="2"/>
        <v>IB20009</v>
      </c>
      <c r="G60" s="243"/>
      <c r="H60" s="244"/>
      <c r="I60" s="244"/>
      <c r="J60" s="245"/>
      <c r="K60" s="182"/>
      <c r="L60" s="188"/>
      <c r="M60" s="182"/>
      <c r="N60" s="186" t="s">
        <v>11</v>
      </c>
      <c r="O60" s="195" t="str">
        <f t="shared" si="3"/>
        <v>OB20009</v>
      </c>
      <c r="P60" s="265"/>
      <c r="Q60" s="266"/>
      <c r="R60" s="266"/>
      <c r="S60" s="326"/>
      <c r="T60" s="190"/>
      <c r="U60" s="191"/>
      <c r="V60" s="909"/>
      <c r="W60" s="909"/>
      <c r="X60" s="193"/>
      <c r="Y60" s="182"/>
      <c r="Z60" s="182"/>
      <c r="AA60" s="182"/>
      <c r="AB60" s="182"/>
      <c r="AC60" s="182"/>
      <c r="AD60" s="182"/>
      <c r="AE60" s="182"/>
      <c r="AF60" s="194"/>
    </row>
    <row r="61" spans="2:32" ht="17.25" customHeight="1">
      <c r="B61" s="180">
        <v>11</v>
      </c>
      <c r="C61" s="792"/>
      <c r="D61" s="765"/>
      <c r="E61" s="186" t="s">
        <v>10</v>
      </c>
      <c r="F61" s="187" t="str">
        <f t="shared" si="2"/>
        <v>IB2000A</v>
      </c>
      <c r="G61" s="243"/>
      <c r="H61" s="244"/>
      <c r="I61" s="244"/>
      <c r="J61" s="245"/>
      <c r="K61" s="182"/>
      <c r="L61" s="188"/>
      <c r="M61" s="182"/>
      <c r="N61" s="186" t="s">
        <v>11</v>
      </c>
      <c r="O61" s="195" t="str">
        <f t="shared" si="3"/>
        <v>OB2000A</v>
      </c>
      <c r="P61" s="265"/>
      <c r="Q61" s="266"/>
      <c r="R61" s="266"/>
      <c r="S61" s="326"/>
      <c r="T61" s="190"/>
      <c r="U61" s="191"/>
      <c r="V61" s="909"/>
      <c r="W61" s="909"/>
      <c r="X61" s="193"/>
      <c r="Y61" s="182"/>
      <c r="Z61" s="182"/>
      <c r="AA61" s="182"/>
      <c r="AB61" s="182"/>
      <c r="AC61" s="182"/>
      <c r="AD61" s="182"/>
      <c r="AE61" s="182"/>
      <c r="AF61" s="194"/>
    </row>
    <row r="62" spans="2:32" ht="17.25" customHeight="1">
      <c r="B62" s="180">
        <v>12</v>
      </c>
      <c r="C62" s="792"/>
      <c r="D62" s="765"/>
      <c r="E62" s="186" t="s">
        <v>10</v>
      </c>
      <c r="F62" s="187" t="str">
        <f t="shared" si="2"/>
        <v>IB2000B</v>
      </c>
      <c r="G62" s="243"/>
      <c r="H62" s="244"/>
      <c r="I62" s="244"/>
      <c r="J62" s="245"/>
      <c r="K62" s="182"/>
      <c r="L62" s="188"/>
      <c r="M62" s="182"/>
      <c r="N62" s="186" t="s">
        <v>11</v>
      </c>
      <c r="O62" s="195" t="str">
        <f t="shared" si="3"/>
        <v>OB2000B</v>
      </c>
      <c r="P62" s="265"/>
      <c r="Q62" s="266"/>
      <c r="R62" s="266"/>
      <c r="S62" s="326"/>
      <c r="T62" s="190"/>
      <c r="U62" s="191"/>
      <c r="V62" s="909"/>
      <c r="W62" s="909"/>
      <c r="X62" s="193"/>
      <c r="Y62" s="182"/>
      <c r="Z62" s="182"/>
      <c r="AA62" s="182"/>
      <c r="AB62" s="182"/>
      <c r="AC62" s="182"/>
      <c r="AD62" s="182"/>
      <c r="AE62" s="182"/>
      <c r="AF62" s="194"/>
    </row>
    <row r="63" spans="2:32" ht="17.25" customHeight="1">
      <c r="B63" s="180">
        <v>13</v>
      </c>
      <c r="C63" s="792"/>
      <c r="D63" s="765"/>
      <c r="E63" s="186" t="s">
        <v>10</v>
      </c>
      <c r="F63" s="187" t="str">
        <f t="shared" si="2"/>
        <v>IB2000C</v>
      </c>
      <c r="G63" s="243"/>
      <c r="H63" s="244"/>
      <c r="I63" s="244"/>
      <c r="J63" s="245"/>
      <c r="K63" s="182"/>
      <c r="L63" s="188"/>
      <c r="M63" s="182"/>
      <c r="N63" s="186" t="s">
        <v>11</v>
      </c>
      <c r="O63" s="195" t="str">
        <f t="shared" si="3"/>
        <v>OB2000C</v>
      </c>
      <c r="P63" s="265"/>
      <c r="Q63" s="266"/>
      <c r="R63" s="266"/>
      <c r="S63" s="326"/>
      <c r="T63" s="190"/>
      <c r="U63" s="191"/>
      <c r="V63" s="909"/>
      <c r="W63" s="909"/>
      <c r="X63" s="193"/>
      <c r="Y63" s="182"/>
      <c r="Z63" s="182"/>
      <c r="AA63" s="182"/>
      <c r="AB63" s="182"/>
      <c r="AC63" s="182"/>
      <c r="AD63" s="182"/>
      <c r="AE63" s="182"/>
      <c r="AF63" s="194"/>
    </row>
    <row r="64" spans="2:32" ht="17.25" customHeight="1">
      <c r="B64" s="180">
        <v>14</v>
      </c>
      <c r="C64" s="792"/>
      <c r="D64" s="765"/>
      <c r="E64" s="186" t="s">
        <v>10</v>
      </c>
      <c r="F64" s="187" t="str">
        <f t="shared" si="2"/>
        <v>IB2000D</v>
      </c>
      <c r="G64" s="243"/>
      <c r="H64" s="244"/>
      <c r="I64" s="244"/>
      <c r="J64" s="245"/>
      <c r="K64" s="182"/>
      <c r="L64" s="188"/>
      <c r="M64" s="182"/>
      <c r="N64" s="186" t="s">
        <v>11</v>
      </c>
      <c r="O64" s="195" t="str">
        <f t="shared" si="3"/>
        <v>OB2000D</v>
      </c>
      <c r="P64" s="265"/>
      <c r="Q64" s="266"/>
      <c r="R64" s="266"/>
      <c r="S64" s="326"/>
      <c r="T64" s="190"/>
      <c r="U64" s="191"/>
      <c r="V64" s="909"/>
      <c r="W64" s="909"/>
      <c r="X64" s="193"/>
      <c r="Y64" s="182"/>
      <c r="Z64" s="182"/>
      <c r="AA64" s="182"/>
      <c r="AB64" s="182"/>
      <c r="AC64" s="182"/>
      <c r="AD64" s="182"/>
      <c r="AE64" s="182"/>
      <c r="AF64" s="194"/>
    </row>
    <row r="65" spans="2:32" ht="17.25" customHeight="1">
      <c r="B65" s="180">
        <v>15</v>
      </c>
      <c r="C65" s="792"/>
      <c r="D65" s="765"/>
      <c r="E65" s="186" t="s">
        <v>10</v>
      </c>
      <c r="F65" s="187" t="str">
        <f t="shared" si="2"/>
        <v>IB2000E</v>
      </c>
      <c r="G65" s="243"/>
      <c r="H65" s="244"/>
      <c r="I65" s="244"/>
      <c r="J65" s="245"/>
      <c r="K65" s="182"/>
      <c r="L65" s="188"/>
      <c r="M65" s="182"/>
      <c r="N65" s="186" t="s">
        <v>11</v>
      </c>
      <c r="O65" s="195" t="str">
        <f t="shared" si="3"/>
        <v>OB2000E</v>
      </c>
      <c r="P65" s="265"/>
      <c r="Q65" s="266"/>
      <c r="R65" s="266"/>
      <c r="S65" s="326"/>
      <c r="T65" s="190"/>
      <c r="U65" s="191"/>
      <c r="V65" s="909"/>
      <c r="W65" s="909"/>
      <c r="X65" s="193"/>
      <c r="Y65" s="182"/>
      <c r="Z65" s="182"/>
      <c r="AA65" s="182"/>
      <c r="AB65" s="182"/>
      <c r="AC65" s="182"/>
      <c r="AD65" s="182"/>
      <c r="AE65" s="182"/>
      <c r="AF65" s="194"/>
    </row>
    <row r="66" spans="2:32" ht="17.25" customHeight="1">
      <c r="B66" s="180">
        <v>16</v>
      </c>
      <c r="C66" s="792"/>
      <c r="D66" s="765"/>
      <c r="E66" s="186" t="s">
        <v>10</v>
      </c>
      <c r="F66" s="187" t="str">
        <f t="shared" si="2"/>
        <v>IB2000F</v>
      </c>
      <c r="G66" s="243"/>
      <c r="H66" s="244"/>
      <c r="I66" s="244"/>
      <c r="J66" s="245"/>
      <c r="K66" s="182"/>
      <c r="L66" s="188"/>
      <c r="M66" s="182"/>
      <c r="N66" s="186" t="s">
        <v>11</v>
      </c>
      <c r="O66" s="195" t="str">
        <f t="shared" si="3"/>
        <v>OB2000F</v>
      </c>
      <c r="P66" s="265"/>
      <c r="Q66" s="266"/>
      <c r="R66" s="266"/>
      <c r="S66" s="326"/>
      <c r="T66" s="190"/>
      <c r="U66" s="191"/>
      <c r="V66" s="909"/>
      <c r="W66" s="909"/>
      <c r="X66" s="193"/>
      <c r="Y66" s="182"/>
      <c r="Z66" s="182"/>
      <c r="AA66" s="182"/>
      <c r="AB66" s="182"/>
      <c r="AC66" s="182"/>
      <c r="AD66" s="182"/>
      <c r="AE66" s="182"/>
      <c r="AF66" s="194"/>
    </row>
    <row r="67" spans="2:32" ht="17.25" customHeight="1">
      <c r="B67" s="180">
        <v>17</v>
      </c>
      <c r="C67" s="792"/>
      <c r="D67" s="765"/>
      <c r="E67" s="186" t="s">
        <v>10</v>
      </c>
      <c r="F67" s="187" t="str">
        <f t="shared" si="2"/>
        <v>IB20010</v>
      </c>
      <c r="G67" s="243"/>
      <c r="H67" s="244"/>
      <c r="I67" s="244"/>
      <c r="J67" s="245"/>
      <c r="K67" s="182"/>
      <c r="L67" s="188"/>
      <c r="M67" s="182"/>
      <c r="N67" s="186" t="s">
        <v>11</v>
      </c>
      <c r="O67" s="195" t="str">
        <f t="shared" si="3"/>
        <v>OB20010</v>
      </c>
      <c r="P67" s="243"/>
      <c r="Q67" s="244"/>
      <c r="R67" s="244"/>
      <c r="S67" s="245"/>
      <c r="T67" s="190"/>
      <c r="U67" s="191"/>
      <c r="V67" s="909"/>
      <c r="W67" s="909"/>
      <c r="X67" s="193"/>
      <c r="Y67" s="182"/>
      <c r="Z67" s="182"/>
      <c r="AA67" s="182"/>
      <c r="AB67" s="182"/>
      <c r="AC67" s="182"/>
      <c r="AD67" s="182"/>
      <c r="AE67" s="182"/>
      <c r="AF67" s="194"/>
    </row>
    <row r="68" spans="2:32" ht="17.25" customHeight="1">
      <c r="B68" s="180">
        <v>18</v>
      </c>
      <c r="C68" s="792"/>
      <c r="D68" s="765"/>
      <c r="E68" s="186" t="s">
        <v>10</v>
      </c>
      <c r="F68" s="187" t="str">
        <f t="shared" si="2"/>
        <v>IB20011</v>
      </c>
      <c r="G68" s="243"/>
      <c r="H68" s="244"/>
      <c r="I68" s="244"/>
      <c r="J68" s="245"/>
      <c r="K68" s="182"/>
      <c r="L68" s="188"/>
      <c r="M68" s="182"/>
      <c r="N68" s="186" t="s">
        <v>11</v>
      </c>
      <c r="O68" s="195" t="str">
        <f t="shared" si="3"/>
        <v>OB20011</v>
      </c>
      <c r="P68" s="243"/>
      <c r="Q68" s="244"/>
      <c r="R68" s="244"/>
      <c r="S68" s="245"/>
      <c r="T68" s="190"/>
      <c r="U68" s="191"/>
      <c r="V68" s="909"/>
      <c r="W68" s="909"/>
      <c r="X68" s="193"/>
      <c r="Y68" s="182"/>
      <c r="Z68" s="182"/>
      <c r="AA68" s="182"/>
      <c r="AB68" s="182"/>
      <c r="AC68" s="182"/>
      <c r="AD68" s="182"/>
      <c r="AE68" s="182"/>
      <c r="AF68" s="194"/>
    </row>
    <row r="69" spans="2:32" ht="17.25" customHeight="1">
      <c r="B69" s="180">
        <v>19</v>
      </c>
      <c r="C69" s="792"/>
      <c r="D69" s="765"/>
      <c r="E69" s="186" t="s">
        <v>10</v>
      </c>
      <c r="F69" s="187" t="str">
        <f t="shared" si="2"/>
        <v>IB20012</v>
      </c>
      <c r="G69" s="243"/>
      <c r="H69" s="244"/>
      <c r="I69" s="244"/>
      <c r="J69" s="245"/>
      <c r="K69" s="182"/>
      <c r="L69" s="188"/>
      <c r="M69" s="182"/>
      <c r="N69" s="186" t="s">
        <v>11</v>
      </c>
      <c r="O69" s="195" t="str">
        <f t="shared" si="3"/>
        <v>OB20012</v>
      </c>
      <c r="P69" s="243"/>
      <c r="Q69" s="244"/>
      <c r="R69" s="244"/>
      <c r="S69" s="245"/>
      <c r="T69" s="190"/>
      <c r="U69" s="191"/>
      <c r="V69" s="909"/>
      <c r="W69" s="909"/>
      <c r="X69" s="193"/>
      <c r="Y69" s="182"/>
      <c r="Z69" s="182"/>
      <c r="AA69" s="182"/>
      <c r="AB69" s="182"/>
      <c r="AC69" s="182"/>
      <c r="AD69" s="182"/>
      <c r="AE69" s="182"/>
      <c r="AF69" s="194"/>
    </row>
    <row r="70" spans="2:32" ht="17.25" customHeight="1">
      <c r="B70" s="180">
        <v>20</v>
      </c>
      <c r="C70" s="792"/>
      <c r="D70" s="765"/>
      <c r="E70" s="186" t="s">
        <v>10</v>
      </c>
      <c r="F70" s="187" t="str">
        <f t="shared" si="2"/>
        <v>IB20013</v>
      </c>
      <c r="G70" s="243"/>
      <c r="H70" s="244"/>
      <c r="I70" s="244"/>
      <c r="J70" s="245"/>
      <c r="K70" s="182"/>
      <c r="L70" s="188"/>
      <c r="M70" s="182"/>
      <c r="N70" s="186" t="s">
        <v>11</v>
      </c>
      <c r="O70" s="195" t="str">
        <f t="shared" si="3"/>
        <v>OB20013</v>
      </c>
      <c r="P70" s="243"/>
      <c r="Q70" s="244"/>
      <c r="R70" s="244"/>
      <c r="S70" s="245"/>
      <c r="T70" s="190"/>
      <c r="U70" s="191"/>
      <c r="V70" s="909"/>
      <c r="W70" s="909"/>
      <c r="X70" s="193"/>
      <c r="Y70" s="182"/>
      <c r="Z70" s="182"/>
      <c r="AA70" s="182"/>
      <c r="AB70" s="182"/>
      <c r="AC70" s="182"/>
      <c r="AD70" s="182"/>
      <c r="AE70" s="182"/>
      <c r="AF70" s="194"/>
    </row>
    <row r="71" spans="2:32" ht="17.25" customHeight="1">
      <c r="B71" s="180">
        <v>21</v>
      </c>
      <c r="C71" s="792"/>
      <c r="D71" s="765"/>
      <c r="E71" s="186" t="s">
        <v>10</v>
      </c>
      <c r="F71" s="187" t="str">
        <f t="shared" si="2"/>
        <v>IB20014</v>
      </c>
      <c r="G71" s="243"/>
      <c r="H71" s="244"/>
      <c r="I71" s="244"/>
      <c r="J71" s="245"/>
      <c r="K71" s="182"/>
      <c r="L71" s="188"/>
      <c r="M71" s="182"/>
      <c r="N71" s="186" t="s">
        <v>11</v>
      </c>
      <c r="O71" s="195" t="str">
        <f t="shared" si="3"/>
        <v>OB20014</v>
      </c>
      <c r="P71" s="243"/>
      <c r="Q71" s="244"/>
      <c r="R71" s="244"/>
      <c r="S71" s="245"/>
      <c r="T71" s="190"/>
      <c r="U71" s="191"/>
      <c r="V71" s="909"/>
      <c r="W71" s="909"/>
      <c r="X71" s="193"/>
      <c r="Y71" s="182"/>
      <c r="Z71" s="182"/>
      <c r="AA71" s="182"/>
      <c r="AB71" s="182"/>
      <c r="AC71" s="182"/>
      <c r="AD71" s="182"/>
      <c r="AE71" s="182"/>
      <c r="AF71" s="194"/>
    </row>
    <row r="72" spans="2:32" ht="17.25" customHeight="1">
      <c r="B72" s="180">
        <v>22</v>
      </c>
      <c r="C72" s="792"/>
      <c r="D72" s="765"/>
      <c r="E72" s="186" t="s">
        <v>10</v>
      </c>
      <c r="F72" s="187" t="str">
        <f t="shared" si="2"/>
        <v>IB20015</v>
      </c>
      <c r="G72" s="243"/>
      <c r="H72" s="244"/>
      <c r="I72" s="244"/>
      <c r="J72" s="245"/>
      <c r="K72" s="182"/>
      <c r="L72" s="188"/>
      <c r="M72" s="182"/>
      <c r="N72" s="186" t="s">
        <v>11</v>
      </c>
      <c r="O72" s="195" t="str">
        <f t="shared" si="3"/>
        <v>OB20015</v>
      </c>
      <c r="P72" s="243"/>
      <c r="Q72" s="244"/>
      <c r="R72" s="244"/>
      <c r="S72" s="245"/>
      <c r="T72" s="190"/>
      <c r="U72" s="191"/>
      <c r="V72" s="909"/>
      <c r="W72" s="909"/>
      <c r="X72" s="193"/>
      <c r="Y72" s="182"/>
      <c r="Z72" s="182"/>
      <c r="AA72" s="182"/>
      <c r="AB72" s="182"/>
      <c r="AC72" s="182"/>
      <c r="AD72" s="182"/>
      <c r="AE72" s="182"/>
      <c r="AF72" s="194"/>
    </row>
    <row r="73" spans="2:32" ht="17.25" customHeight="1">
      <c r="B73" s="180">
        <v>23</v>
      </c>
      <c r="C73" s="792"/>
      <c r="D73" s="765"/>
      <c r="E73" s="186" t="s">
        <v>10</v>
      </c>
      <c r="F73" s="187" t="str">
        <f t="shared" si="2"/>
        <v>IB20016</v>
      </c>
      <c r="G73" s="243"/>
      <c r="H73" s="244"/>
      <c r="I73" s="244"/>
      <c r="J73" s="245"/>
      <c r="K73" s="182"/>
      <c r="L73" s="188"/>
      <c r="M73" s="182"/>
      <c r="N73" s="186" t="s">
        <v>11</v>
      </c>
      <c r="O73" s="195" t="str">
        <f t="shared" si="3"/>
        <v>OB20016</v>
      </c>
      <c r="P73" s="243"/>
      <c r="Q73" s="244"/>
      <c r="R73" s="244"/>
      <c r="S73" s="245"/>
      <c r="T73" s="190"/>
      <c r="U73" s="191"/>
      <c r="V73" s="909"/>
      <c r="W73" s="909"/>
      <c r="X73" s="193"/>
      <c r="Y73" s="182"/>
      <c r="Z73" s="182"/>
      <c r="AA73" s="182"/>
      <c r="AB73" s="182"/>
      <c r="AC73" s="182"/>
      <c r="AD73" s="182"/>
      <c r="AE73" s="182"/>
      <c r="AF73" s="194"/>
    </row>
    <row r="74" spans="2:32" ht="17.25" customHeight="1">
      <c r="B74" s="180">
        <v>24</v>
      </c>
      <c r="C74" s="792"/>
      <c r="D74" s="765"/>
      <c r="E74" s="186" t="s">
        <v>10</v>
      </c>
      <c r="F74" s="187" t="str">
        <f t="shared" si="2"/>
        <v>IB20017</v>
      </c>
      <c r="G74" s="243"/>
      <c r="H74" s="244"/>
      <c r="I74" s="244"/>
      <c r="J74" s="245"/>
      <c r="K74" s="182"/>
      <c r="L74" s="188"/>
      <c r="M74" s="182"/>
      <c r="N74" s="186" t="s">
        <v>11</v>
      </c>
      <c r="O74" s="195" t="str">
        <f t="shared" si="3"/>
        <v>OB20017</v>
      </c>
      <c r="P74" s="243"/>
      <c r="Q74" s="244"/>
      <c r="R74" s="244"/>
      <c r="S74" s="245"/>
      <c r="T74" s="190"/>
      <c r="U74" s="191"/>
      <c r="V74" s="909"/>
      <c r="W74" s="909"/>
      <c r="X74" s="193"/>
      <c r="Y74" s="182"/>
      <c r="Z74" s="182"/>
      <c r="AA74" s="182"/>
      <c r="AB74" s="182"/>
      <c r="AC74" s="182"/>
      <c r="AD74" s="182"/>
      <c r="AE74" s="182"/>
      <c r="AF74" s="194"/>
    </row>
    <row r="75" spans="2:32" ht="17.25" customHeight="1">
      <c r="B75" s="180">
        <v>25</v>
      </c>
      <c r="C75" s="792"/>
      <c r="D75" s="765"/>
      <c r="E75" s="186" t="s">
        <v>10</v>
      </c>
      <c r="F75" s="187" t="str">
        <f t="shared" si="2"/>
        <v>IB20018</v>
      </c>
      <c r="G75" s="246"/>
      <c r="H75" s="247"/>
      <c r="I75" s="247"/>
      <c r="J75" s="248"/>
      <c r="K75" s="182"/>
      <c r="L75" s="188"/>
      <c r="M75" s="182"/>
      <c r="N75" s="186" t="s">
        <v>11</v>
      </c>
      <c r="O75" s="195" t="str">
        <f t="shared" si="3"/>
        <v>OB20018</v>
      </c>
      <c r="P75" s="243"/>
      <c r="Q75" s="244"/>
      <c r="R75" s="244"/>
      <c r="S75" s="245"/>
      <c r="T75" s="190"/>
      <c r="U75" s="191"/>
      <c r="V75" s="909"/>
      <c r="W75" s="909"/>
      <c r="X75" s="193"/>
      <c r="Y75" s="182"/>
      <c r="Z75" s="182"/>
      <c r="AA75" s="182"/>
      <c r="AB75" s="182"/>
      <c r="AC75" s="182"/>
      <c r="AD75" s="182"/>
      <c r="AE75" s="182"/>
      <c r="AF75" s="194"/>
    </row>
    <row r="76" spans="2:32" ht="17.25" customHeight="1">
      <c r="B76" s="180">
        <v>26</v>
      </c>
      <c r="C76" s="792"/>
      <c r="D76" s="765"/>
      <c r="E76" s="186" t="s">
        <v>10</v>
      </c>
      <c r="F76" s="187" t="str">
        <f t="shared" si="2"/>
        <v>IB20019</v>
      </c>
      <c r="G76" s="246"/>
      <c r="H76" s="247"/>
      <c r="I76" s="247"/>
      <c r="J76" s="248"/>
      <c r="K76" s="182"/>
      <c r="L76" s="188"/>
      <c r="M76" s="182"/>
      <c r="N76" s="186" t="s">
        <v>11</v>
      </c>
      <c r="O76" s="195" t="str">
        <f t="shared" si="3"/>
        <v>OB20019</v>
      </c>
      <c r="P76" s="243"/>
      <c r="Q76" s="244"/>
      <c r="R76" s="244"/>
      <c r="S76" s="245"/>
      <c r="T76" s="190"/>
      <c r="U76" s="191"/>
      <c r="V76" s="909"/>
      <c r="W76" s="909"/>
      <c r="X76" s="193"/>
      <c r="Y76" s="182"/>
      <c r="Z76" s="182"/>
      <c r="AA76" s="182"/>
      <c r="AB76" s="182"/>
      <c r="AC76" s="182"/>
      <c r="AD76" s="182"/>
      <c r="AE76" s="182"/>
      <c r="AF76" s="194"/>
    </row>
    <row r="77" spans="2:32" ht="17.25" customHeight="1">
      <c r="B77" s="180">
        <v>27</v>
      </c>
      <c r="C77" s="792"/>
      <c r="D77" s="765"/>
      <c r="E77" s="186" t="s">
        <v>10</v>
      </c>
      <c r="F77" s="187" t="str">
        <f t="shared" si="2"/>
        <v>IB2001A</v>
      </c>
      <c r="G77" s="246"/>
      <c r="H77" s="247"/>
      <c r="I77" s="247"/>
      <c r="J77" s="248"/>
      <c r="K77" s="182"/>
      <c r="L77" s="188"/>
      <c r="M77" s="182"/>
      <c r="N77" s="186" t="s">
        <v>11</v>
      </c>
      <c r="O77" s="195" t="str">
        <f t="shared" si="3"/>
        <v>OB2001A</v>
      </c>
      <c r="P77" s="243"/>
      <c r="Q77" s="244"/>
      <c r="R77" s="244"/>
      <c r="S77" s="245"/>
      <c r="T77" s="190"/>
      <c r="U77" s="191"/>
      <c r="V77" s="909"/>
      <c r="W77" s="909"/>
      <c r="X77" s="193"/>
      <c r="Y77" s="182"/>
      <c r="Z77" s="182"/>
      <c r="AA77" s="182"/>
      <c r="AB77" s="182"/>
      <c r="AC77" s="182"/>
      <c r="AD77" s="182"/>
      <c r="AE77" s="182"/>
      <c r="AF77" s="194"/>
    </row>
    <row r="78" spans="2:32" ht="17.25" customHeight="1">
      <c r="B78" s="180">
        <v>28</v>
      </c>
      <c r="C78" s="792"/>
      <c r="D78" s="765"/>
      <c r="E78" s="186" t="s">
        <v>10</v>
      </c>
      <c r="F78" s="187" t="str">
        <f t="shared" si="2"/>
        <v>IB2001B</v>
      </c>
      <c r="G78" s="246"/>
      <c r="H78" s="247"/>
      <c r="I78" s="247"/>
      <c r="J78" s="248"/>
      <c r="K78" s="182"/>
      <c r="L78" s="188"/>
      <c r="M78" s="182"/>
      <c r="N78" s="186" t="s">
        <v>11</v>
      </c>
      <c r="O78" s="195" t="str">
        <f t="shared" si="3"/>
        <v>OB2001B</v>
      </c>
      <c r="P78" s="243"/>
      <c r="Q78" s="244"/>
      <c r="R78" s="244"/>
      <c r="S78" s="245"/>
      <c r="T78" s="190"/>
      <c r="U78" s="191"/>
      <c r="V78" s="909"/>
      <c r="W78" s="909"/>
      <c r="X78" s="193"/>
      <c r="Y78" s="182"/>
      <c r="Z78" s="182"/>
      <c r="AA78" s="182"/>
      <c r="AB78" s="182"/>
      <c r="AC78" s="182"/>
      <c r="AD78" s="182"/>
      <c r="AE78" s="182"/>
      <c r="AF78" s="194"/>
    </row>
    <row r="79" spans="2:32" ht="17.25" customHeight="1">
      <c r="B79" s="180">
        <v>29</v>
      </c>
      <c r="C79" s="792"/>
      <c r="D79" s="765"/>
      <c r="E79" s="186" t="s">
        <v>10</v>
      </c>
      <c r="F79" s="187" t="str">
        <f t="shared" si="2"/>
        <v>IB2001C</v>
      </c>
      <c r="G79" s="246"/>
      <c r="H79" s="247"/>
      <c r="I79" s="247"/>
      <c r="J79" s="248"/>
      <c r="K79" s="182"/>
      <c r="L79" s="188"/>
      <c r="M79" s="182"/>
      <c r="N79" s="186" t="s">
        <v>11</v>
      </c>
      <c r="O79" s="195" t="str">
        <f t="shared" si="3"/>
        <v>OB2001C</v>
      </c>
      <c r="P79" s="265"/>
      <c r="Q79" s="266"/>
      <c r="R79" s="266"/>
      <c r="S79" s="326"/>
      <c r="T79" s="190"/>
      <c r="U79" s="191"/>
      <c r="V79" s="909"/>
      <c r="W79" s="909"/>
      <c r="X79" s="193"/>
      <c r="Y79" s="182"/>
      <c r="Z79" s="182"/>
      <c r="AA79" s="182"/>
      <c r="AB79" s="182"/>
      <c r="AC79" s="182"/>
      <c r="AD79" s="182"/>
      <c r="AE79" s="182"/>
      <c r="AF79" s="194"/>
    </row>
    <row r="80" spans="2:32" ht="17.25" customHeight="1">
      <c r="B80" s="180">
        <v>30</v>
      </c>
      <c r="C80" s="792"/>
      <c r="D80" s="765"/>
      <c r="E80" s="186" t="s">
        <v>10</v>
      </c>
      <c r="F80" s="187" t="str">
        <f t="shared" si="2"/>
        <v>IB2001D</v>
      </c>
      <c r="G80" s="246"/>
      <c r="H80" s="247"/>
      <c r="I80" s="247"/>
      <c r="J80" s="248"/>
      <c r="K80" s="182"/>
      <c r="L80" s="188"/>
      <c r="M80" s="182"/>
      <c r="N80" s="186" t="s">
        <v>11</v>
      </c>
      <c r="O80" s="195" t="str">
        <f t="shared" si="3"/>
        <v>OB2001D</v>
      </c>
      <c r="P80" s="243"/>
      <c r="Q80" s="244"/>
      <c r="R80" s="244"/>
      <c r="S80" s="245"/>
      <c r="T80" s="190"/>
      <c r="U80" s="191"/>
      <c r="V80" s="909"/>
      <c r="W80" s="909"/>
      <c r="X80" s="193"/>
      <c r="Y80" s="182"/>
      <c r="Z80" s="182"/>
      <c r="AA80" s="182"/>
      <c r="AB80" s="182"/>
      <c r="AC80" s="182"/>
      <c r="AD80" s="182"/>
      <c r="AE80" s="182"/>
      <c r="AF80" s="194"/>
    </row>
    <row r="81" spans="2:32" ht="17.25" customHeight="1">
      <c r="B81" s="180">
        <v>31</v>
      </c>
      <c r="C81" s="792"/>
      <c r="D81" s="765"/>
      <c r="E81" s="186" t="s">
        <v>10</v>
      </c>
      <c r="F81" s="187" t="str">
        <f t="shared" si="2"/>
        <v>IB2001E</v>
      </c>
      <c r="G81" s="243"/>
      <c r="H81" s="244"/>
      <c r="I81" s="244"/>
      <c r="J81" s="245"/>
      <c r="K81" s="182"/>
      <c r="L81" s="188"/>
      <c r="M81" s="182"/>
      <c r="N81" s="186" t="s">
        <v>11</v>
      </c>
      <c r="O81" s="195" t="str">
        <f t="shared" si="3"/>
        <v>OB2001E</v>
      </c>
      <c r="P81" s="265"/>
      <c r="Q81" s="266"/>
      <c r="R81" s="266"/>
      <c r="S81" s="326"/>
      <c r="T81" s="196"/>
      <c r="U81" s="191"/>
      <c r="V81" s="909"/>
      <c r="W81" s="909"/>
      <c r="X81" s="193"/>
      <c r="Y81" s="182"/>
      <c r="Z81" s="182"/>
      <c r="AA81" s="182"/>
      <c r="AB81" s="182"/>
      <c r="AC81" s="182"/>
      <c r="AD81" s="182"/>
      <c r="AE81" s="182"/>
      <c r="AF81" s="194"/>
    </row>
    <row r="82" spans="2:32" ht="17.25" customHeight="1" thickBot="1">
      <c r="B82" s="197">
        <v>32</v>
      </c>
      <c r="C82" s="793"/>
      <c r="D82" s="924"/>
      <c r="E82" s="198" t="s">
        <v>10</v>
      </c>
      <c r="F82" s="199" t="str">
        <f t="shared" si="2"/>
        <v>IB2001F</v>
      </c>
      <c r="G82" s="277"/>
      <c r="H82" s="373"/>
      <c r="I82" s="373"/>
      <c r="J82" s="374"/>
      <c r="K82" s="200"/>
      <c r="L82" s="201"/>
      <c r="M82" s="200"/>
      <c r="N82" s="198" t="s">
        <v>11</v>
      </c>
      <c r="O82" s="202" t="str">
        <f t="shared" si="3"/>
        <v>OB2001F</v>
      </c>
      <c r="P82" s="277"/>
      <c r="Q82" s="373"/>
      <c r="R82" s="373"/>
      <c r="S82" s="374"/>
      <c r="T82" s="203"/>
      <c r="U82" s="204"/>
      <c r="V82" s="910"/>
      <c r="W82" s="910"/>
      <c r="X82" s="205"/>
      <c r="Y82" s="200"/>
      <c r="Z82" s="200"/>
      <c r="AA82" s="200"/>
      <c r="AB82" s="200"/>
      <c r="AC82" s="200"/>
      <c r="AD82" s="200"/>
      <c r="AE82" s="200"/>
      <c r="AF82" s="206"/>
    </row>
    <row r="83" spans="2:32" ht="17.25" customHeight="1">
      <c r="B83" s="26"/>
      <c r="C83" s="237"/>
      <c r="D83" s="237"/>
      <c r="E83" s="238"/>
      <c r="F83" s="239"/>
      <c r="G83" s="278"/>
      <c r="H83" s="278"/>
      <c r="I83" s="278"/>
      <c r="J83" s="278"/>
      <c r="L83" s="279"/>
      <c r="M83" s="26"/>
      <c r="N83" s="238"/>
      <c r="O83" s="160"/>
      <c r="P83" s="278"/>
      <c r="Q83" s="278"/>
      <c r="R83" s="278"/>
      <c r="S83" s="278"/>
      <c r="T83" s="240"/>
      <c r="U83" s="241"/>
      <c r="V83" s="242"/>
      <c r="W83" s="242"/>
      <c r="X83" s="280"/>
      <c r="Y83" s="26"/>
      <c r="Z83" s="26"/>
      <c r="AA83" s="26"/>
      <c r="AB83" s="26"/>
      <c r="AC83" s="26"/>
      <c r="AD83" s="26"/>
      <c r="AE83" s="26"/>
      <c r="AF83" s="26"/>
    </row>
    <row r="84" spans="2:32" ht="17.25" customHeight="1" thickBot="1">
      <c r="B84" s="71"/>
      <c r="C84" s="64"/>
      <c r="D84" s="64"/>
      <c r="E84" s="65"/>
      <c r="F84" s="66"/>
      <c r="G84" s="605"/>
      <c r="H84" s="605"/>
      <c r="I84" s="605"/>
      <c r="J84" s="605"/>
      <c r="K84" s="71"/>
      <c r="L84" s="163"/>
      <c r="M84" s="638"/>
      <c r="N84" s="67"/>
      <c r="O84" s="67"/>
      <c r="P84" s="67"/>
      <c r="Q84" s="67"/>
      <c r="R84" s="67"/>
      <c r="S84" s="67"/>
      <c r="T84" s="68"/>
      <c r="U84" s="164"/>
      <c r="V84" s="69"/>
      <c r="W84" s="69"/>
      <c r="X84" s="70"/>
      <c r="Y84" s="71"/>
      <c r="Z84" s="71"/>
      <c r="AA84" s="71"/>
      <c r="AB84" s="71"/>
      <c r="AC84" s="71"/>
      <c r="AD84" s="71"/>
      <c r="AE84" s="71"/>
      <c r="AF84" s="71"/>
    </row>
    <row r="85" spans="2:32" ht="16.5" customHeight="1">
      <c r="B85" s="929" t="s">
        <v>0</v>
      </c>
      <c r="C85" s="781" t="s">
        <v>4</v>
      </c>
      <c r="D85" s="921" t="s">
        <v>5</v>
      </c>
      <c r="E85" s="911" t="s">
        <v>90</v>
      </c>
      <c r="F85" s="911" t="s">
        <v>6</v>
      </c>
      <c r="G85" s="933" t="s">
        <v>7</v>
      </c>
      <c r="H85" s="934"/>
      <c r="I85" s="934"/>
      <c r="J85" s="935"/>
      <c r="K85" s="911" t="s">
        <v>8</v>
      </c>
      <c r="L85" s="207"/>
      <c r="M85" s="611"/>
      <c r="N85" s="911" t="s">
        <v>90</v>
      </c>
      <c r="O85" s="911" t="s">
        <v>6</v>
      </c>
      <c r="P85" s="913" t="s">
        <v>21</v>
      </c>
      <c r="Q85" s="914"/>
      <c r="R85" s="914"/>
      <c r="S85" s="915"/>
      <c r="T85" s="919" t="s">
        <v>8</v>
      </c>
      <c r="U85" s="179"/>
      <c r="V85" s="911" t="s">
        <v>13</v>
      </c>
      <c r="W85" s="911"/>
      <c r="X85" s="921" t="s">
        <v>709</v>
      </c>
      <c r="Y85" s="921"/>
      <c r="Z85" s="921"/>
      <c r="AA85" s="921" t="s">
        <v>710</v>
      </c>
      <c r="AB85" s="921"/>
      <c r="AC85" s="921"/>
      <c r="AD85" s="921" t="s">
        <v>711</v>
      </c>
      <c r="AE85" s="921"/>
      <c r="AF85" s="922"/>
    </row>
    <row r="86" spans="2:32" ht="17.25" customHeight="1">
      <c r="B86" s="930"/>
      <c r="C86" s="931"/>
      <c r="D86" s="932"/>
      <c r="E86" s="912"/>
      <c r="F86" s="912"/>
      <c r="G86" s="936"/>
      <c r="H86" s="937"/>
      <c r="I86" s="937"/>
      <c r="J86" s="938"/>
      <c r="K86" s="912"/>
      <c r="L86" s="208"/>
      <c r="M86" s="612"/>
      <c r="N86" s="912"/>
      <c r="O86" s="912"/>
      <c r="P86" s="916"/>
      <c r="Q86" s="917"/>
      <c r="R86" s="917"/>
      <c r="S86" s="918"/>
      <c r="T86" s="920"/>
      <c r="U86" s="183"/>
      <c r="V86" s="912"/>
      <c r="W86" s="912"/>
      <c r="X86" s="184" t="s">
        <v>93</v>
      </c>
      <c r="Y86" s="181" t="s">
        <v>94</v>
      </c>
      <c r="Z86" s="181" t="s">
        <v>95</v>
      </c>
      <c r="AA86" s="184" t="s">
        <v>93</v>
      </c>
      <c r="AB86" s="181" t="s">
        <v>94</v>
      </c>
      <c r="AC86" s="181" t="s">
        <v>95</v>
      </c>
      <c r="AD86" s="184" t="s">
        <v>93</v>
      </c>
      <c r="AE86" s="181" t="s">
        <v>94</v>
      </c>
      <c r="AF86" s="185" t="s">
        <v>95</v>
      </c>
    </row>
    <row r="87" spans="2:32" ht="17.25" customHeight="1">
      <c r="B87" s="180">
        <v>0</v>
      </c>
      <c r="C87" s="927" t="s">
        <v>1512</v>
      </c>
      <c r="D87" s="901" t="s">
        <v>1406</v>
      </c>
      <c r="E87" s="186" t="s">
        <v>10</v>
      </c>
      <c r="F87" s="187" t="s">
        <v>34</v>
      </c>
      <c r="G87" s="243" t="s">
        <v>1445</v>
      </c>
      <c r="H87" s="244"/>
      <c r="I87" s="244"/>
      <c r="J87" s="245"/>
      <c r="K87" s="190" t="s">
        <v>1513</v>
      </c>
      <c r="L87" s="209"/>
      <c r="M87" s="190"/>
      <c r="N87" s="186" t="s">
        <v>11</v>
      </c>
      <c r="O87" s="195" t="s">
        <v>35</v>
      </c>
      <c r="P87" s="254"/>
      <c r="Q87" s="255"/>
      <c r="R87" s="255"/>
      <c r="S87" s="256"/>
      <c r="T87" s="190"/>
      <c r="U87" s="191"/>
      <c r="V87" s="909"/>
      <c r="W87" s="909"/>
      <c r="X87" s="193"/>
      <c r="Y87" s="182"/>
      <c r="Z87" s="182"/>
      <c r="AA87" s="182"/>
      <c r="AB87" s="182"/>
      <c r="AC87" s="210"/>
      <c r="AD87" s="182"/>
      <c r="AE87" s="182"/>
      <c r="AF87" s="211"/>
    </row>
    <row r="88" spans="2:32" ht="17.25" customHeight="1">
      <c r="B88" s="180">
        <v>1</v>
      </c>
      <c r="C88" s="811"/>
      <c r="D88" s="765"/>
      <c r="E88" s="186" t="s">
        <v>10</v>
      </c>
      <c r="F88" s="187" t="str">
        <f>LEFT(F87,1)&amp;DEC2HEX(HEX2DEC(MID(F87,2,LENB(F87)-1))+1,LENB(F87)-1)</f>
        <v>IB21001</v>
      </c>
      <c r="G88" s="243" t="s">
        <v>1446</v>
      </c>
      <c r="H88" s="244"/>
      <c r="I88" s="244"/>
      <c r="J88" s="245"/>
      <c r="K88" s="190" t="s">
        <v>1513</v>
      </c>
      <c r="L88" s="209"/>
      <c r="M88" s="190"/>
      <c r="N88" s="186" t="s">
        <v>11</v>
      </c>
      <c r="O88" s="195" t="str">
        <f>LEFT(O87,1)&amp;DEC2HEX(HEX2DEC(MID(O87,2,LENB(O87)-1))+1,LENB(O87)-1)</f>
        <v>OB21001</v>
      </c>
      <c r="P88" s="254"/>
      <c r="Q88" s="255"/>
      <c r="R88" s="255"/>
      <c r="S88" s="256"/>
      <c r="T88" s="190"/>
      <c r="U88" s="191"/>
      <c r="V88" s="909"/>
      <c r="W88" s="909"/>
      <c r="X88" s="193"/>
      <c r="Y88" s="182"/>
      <c r="Z88" s="182"/>
      <c r="AA88" s="182"/>
      <c r="AB88" s="182"/>
      <c r="AC88" s="210"/>
      <c r="AD88" s="182"/>
      <c r="AE88" s="182"/>
      <c r="AF88" s="211"/>
    </row>
    <row r="89" spans="2:32" ht="17.25" customHeight="1">
      <c r="B89" s="180">
        <v>2</v>
      </c>
      <c r="C89" s="811"/>
      <c r="D89" s="765"/>
      <c r="E89" s="186" t="s">
        <v>10</v>
      </c>
      <c r="F89" s="187" t="str">
        <f t="shared" ref="F89:F152" si="4">LEFT(F88,1)&amp;DEC2HEX(HEX2DEC(MID(F88,2,LENB(F88)-1))+1,LENB(F88)-1)</f>
        <v>IB21002</v>
      </c>
      <c r="G89" s="243" t="s">
        <v>1447</v>
      </c>
      <c r="H89" s="244"/>
      <c r="I89" s="244"/>
      <c r="J89" s="245"/>
      <c r="K89" s="190" t="s">
        <v>1513</v>
      </c>
      <c r="L89" s="191"/>
      <c r="M89" s="609"/>
      <c r="N89" s="186" t="s">
        <v>11</v>
      </c>
      <c r="O89" s="195" t="str">
        <f t="shared" ref="O89:O135" si="5">LEFT(O88,1)&amp;DEC2HEX(HEX2DEC(MID(O88,2,LENB(O88)-1))+1,LENB(O88)-1)</f>
        <v>OB21002</v>
      </c>
      <c r="P89" s="254"/>
      <c r="Q89" s="255"/>
      <c r="R89" s="255"/>
      <c r="S89" s="256"/>
      <c r="T89" s="190"/>
      <c r="U89" s="191"/>
      <c r="V89" s="909"/>
      <c r="W89" s="909"/>
      <c r="X89" s="193"/>
      <c r="Y89" s="182"/>
      <c r="Z89" s="182"/>
      <c r="AA89" s="182"/>
      <c r="AB89" s="182"/>
      <c r="AC89" s="210"/>
      <c r="AD89" s="182"/>
      <c r="AE89" s="182"/>
      <c r="AF89" s="211"/>
    </row>
    <row r="90" spans="2:32" ht="17.25" customHeight="1">
      <c r="B90" s="180">
        <v>3</v>
      </c>
      <c r="C90" s="811"/>
      <c r="D90" s="765"/>
      <c r="E90" s="186" t="s">
        <v>10</v>
      </c>
      <c r="F90" s="187" t="str">
        <f t="shared" si="4"/>
        <v>IB21003</v>
      </c>
      <c r="G90" s="243" t="s">
        <v>1448</v>
      </c>
      <c r="H90" s="244"/>
      <c r="I90" s="244"/>
      <c r="J90" s="245"/>
      <c r="K90" s="190" t="s">
        <v>1513</v>
      </c>
      <c r="L90" s="209"/>
      <c r="M90" s="190"/>
      <c r="N90" s="186" t="s">
        <v>11</v>
      </c>
      <c r="O90" s="195" t="str">
        <f t="shared" si="5"/>
        <v>OB21003</v>
      </c>
      <c r="P90" s="254"/>
      <c r="Q90" s="255"/>
      <c r="R90" s="255"/>
      <c r="S90" s="256"/>
      <c r="T90" s="190"/>
      <c r="U90" s="191"/>
      <c r="V90" s="909"/>
      <c r="W90" s="909"/>
      <c r="X90" s="193"/>
      <c r="Y90" s="182"/>
      <c r="Z90" s="182"/>
      <c r="AA90" s="182"/>
      <c r="AB90" s="182"/>
      <c r="AC90" s="210"/>
      <c r="AD90" s="182"/>
      <c r="AE90" s="182"/>
      <c r="AF90" s="211"/>
    </row>
    <row r="91" spans="2:32" ht="17.25" customHeight="1">
      <c r="B91" s="180">
        <v>4</v>
      </c>
      <c r="C91" s="811"/>
      <c r="D91" s="765"/>
      <c r="E91" s="186" t="s">
        <v>10</v>
      </c>
      <c r="F91" s="187" t="str">
        <f t="shared" si="4"/>
        <v>IB21004</v>
      </c>
      <c r="G91" s="243" t="s">
        <v>1449</v>
      </c>
      <c r="H91" s="244"/>
      <c r="I91" s="244"/>
      <c r="J91" s="245"/>
      <c r="K91" s="190" t="s">
        <v>1513</v>
      </c>
      <c r="L91" s="209"/>
      <c r="M91" s="190"/>
      <c r="N91" s="186" t="s">
        <v>11</v>
      </c>
      <c r="O91" s="195" t="str">
        <f t="shared" si="5"/>
        <v>OB21004</v>
      </c>
      <c r="P91" s="254"/>
      <c r="Q91" s="255"/>
      <c r="R91" s="255"/>
      <c r="S91" s="256"/>
      <c r="T91" s="190"/>
      <c r="U91" s="191"/>
      <c r="V91" s="909"/>
      <c r="W91" s="909"/>
      <c r="X91" s="193"/>
      <c r="Y91" s="182"/>
      <c r="Z91" s="182"/>
      <c r="AA91" s="182"/>
      <c r="AB91" s="182"/>
      <c r="AC91" s="210"/>
      <c r="AD91" s="182"/>
      <c r="AE91" s="182"/>
      <c r="AF91" s="211"/>
    </row>
    <row r="92" spans="2:32" ht="17.25" customHeight="1">
      <c r="B92" s="180">
        <v>5</v>
      </c>
      <c r="C92" s="811"/>
      <c r="D92" s="765"/>
      <c r="E92" s="186" t="s">
        <v>10</v>
      </c>
      <c r="F92" s="187" t="str">
        <f t="shared" si="4"/>
        <v>IB21005</v>
      </c>
      <c r="G92" s="243" t="s">
        <v>168</v>
      </c>
      <c r="H92" s="244"/>
      <c r="I92" s="244"/>
      <c r="J92" s="245"/>
      <c r="K92" s="190" t="s">
        <v>1513</v>
      </c>
      <c r="L92" s="209"/>
      <c r="M92" s="190"/>
      <c r="N92" s="186" t="s">
        <v>11</v>
      </c>
      <c r="O92" s="195" t="str">
        <f t="shared" si="5"/>
        <v>OB21005</v>
      </c>
      <c r="P92" s="254"/>
      <c r="Q92" s="255"/>
      <c r="R92" s="255"/>
      <c r="S92" s="256"/>
      <c r="T92" s="190"/>
      <c r="U92" s="191"/>
      <c r="V92" s="909"/>
      <c r="W92" s="909"/>
      <c r="X92" s="193"/>
      <c r="Y92" s="182"/>
      <c r="Z92" s="182"/>
      <c r="AA92" s="182"/>
      <c r="AB92" s="182"/>
      <c r="AC92" s="210"/>
      <c r="AD92" s="182"/>
      <c r="AE92" s="182"/>
      <c r="AF92" s="211"/>
    </row>
    <row r="93" spans="2:32" ht="17.25" customHeight="1">
      <c r="B93" s="180">
        <v>6</v>
      </c>
      <c r="C93" s="811"/>
      <c r="D93" s="765"/>
      <c r="E93" s="186" t="s">
        <v>10</v>
      </c>
      <c r="F93" s="187" t="str">
        <f t="shared" si="4"/>
        <v>IB21006</v>
      </c>
      <c r="G93" s="246"/>
      <c r="H93" s="247"/>
      <c r="I93" s="247"/>
      <c r="J93" s="248"/>
      <c r="K93" s="190"/>
      <c r="L93" s="191"/>
      <c r="M93" s="609"/>
      <c r="N93" s="186" t="s">
        <v>11</v>
      </c>
      <c r="O93" s="195" t="str">
        <f t="shared" si="5"/>
        <v>OB21006</v>
      </c>
      <c r="P93" s="254"/>
      <c r="Q93" s="255"/>
      <c r="R93" s="255"/>
      <c r="S93" s="256"/>
      <c r="T93" s="190"/>
      <c r="U93" s="191"/>
      <c r="V93" s="909"/>
      <c r="W93" s="909"/>
      <c r="X93" s="193"/>
      <c r="Y93" s="182"/>
      <c r="Z93" s="182"/>
      <c r="AA93" s="182"/>
      <c r="AB93" s="182"/>
      <c r="AC93" s="210"/>
      <c r="AD93" s="182"/>
      <c r="AE93" s="182"/>
      <c r="AF93" s="211"/>
    </row>
    <row r="94" spans="2:32" ht="17.25" customHeight="1">
      <c r="B94" s="180">
        <v>7</v>
      </c>
      <c r="C94" s="811"/>
      <c r="D94" s="765"/>
      <c r="E94" s="186" t="s">
        <v>10</v>
      </c>
      <c r="F94" s="187" t="str">
        <f t="shared" si="4"/>
        <v>IB21007</v>
      </c>
      <c r="G94" s="243"/>
      <c r="H94" s="244"/>
      <c r="I94" s="244"/>
      <c r="J94" s="245"/>
      <c r="K94" s="190"/>
      <c r="L94" s="209"/>
      <c r="M94" s="190"/>
      <c r="N94" s="186" t="s">
        <v>11</v>
      </c>
      <c r="O94" s="195" t="str">
        <f t="shared" si="5"/>
        <v>OB21007</v>
      </c>
      <c r="P94" s="254"/>
      <c r="Q94" s="255"/>
      <c r="R94" s="255"/>
      <c r="S94" s="256"/>
      <c r="T94" s="190"/>
      <c r="U94" s="191"/>
      <c r="V94" s="909"/>
      <c r="W94" s="909"/>
      <c r="X94" s="193"/>
      <c r="Y94" s="182"/>
      <c r="Z94" s="182"/>
      <c r="AA94" s="182"/>
      <c r="AB94" s="182"/>
      <c r="AC94" s="210"/>
      <c r="AD94" s="182"/>
      <c r="AE94" s="182"/>
      <c r="AF94" s="211"/>
    </row>
    <row r="95" spans="2:32" ht="17.25" customHeight="1">
      <c r="B95" s="180">
        <v>8</v>
      </c>
      <c r="C95" s="811"/>
      <c r="D95" s="765"/>
      <c r="E95" s="186" t="s">
        <v>10</v>
      </c>
      <c r="F95" s="187" t="str">
        <f t="shared" si="4"/>
        <v>IB21008</v>
      </c>
      <c r="G95" s="243"/>
      <c r="H95" s="244"/>
      <c r="I95" s="244"/>
      <c r="J95" s="245"/>
      <c r="K95" s="190"/>
      <c r="L95" s="209"/>
      <c r="M95" s="190"/>
      <c r="N95" s="186" t="s">
        <v>11</v>
      </c>
      <c r="O95" s="195" t="str">
        <f t="shared" si="5"/>
        <v>OB21008</v>
      </c>
      <c r="P95" s="254"/>
      <c r="Q95" s="255"/>
      <c r="R95" s="255"/>
      <c r="S95" s="256"/>
      <c r="T95" s="190"/>
      <c r="U95" s="191"/>
      <c r="V95" s="909"/>
      <c r="W95" s="909"/>
      <c r="X95" s="193"/>
      <c r="Y95" s="182"/>
      <c r="Z95" s="182"/>
      <c r="AA95" s="182"/>
      <c r="AB95" s="182"/>
      <c r="AC95" s="210"/>
      <c r="AD95" s="182"/>
      <c r="AE95" s="182"/>
      <c r="AF95" s="211"/>
    </row>
    <row r="96" spans="2:32" ht="17.25" customHeight="1">
      <c r="B96" s="180">
        <v>9</v>
      </c>
      <c r="C96" s="811"/>
      <c r="D96" s="765"/>
      <c r="E96" s="186" t="s">
        <v>10</v>
      </c>
      <c r="F96" s="187" t="str">
        <f t="shared" si="4"/>
        <v>IB21009</v>
      </c>
      <c r="G96" s="243"/>
      <c r="H96" s="244"/>
      <c r="I96" s="244"/>
      <c r="J96" s="245"/>
      <c r="K96" s="190"/>
      <c r="L96" s="209"/>
      <c r="M96" s="190"/>
      <c r="N96" s="186" t="s">
        <v>11</v>
      </c>
      <c r="O96" s="195" t="str">
        <f t="shared" si="5"/>
        <v>OB21009</v>
      </c>
      <c r="P96" s="254"/>
      <c r="Q96" s="255"/>
      <c r="R96" s="255"/>
      <c r="S96" s="256"/>
      <c r="T96" s="190"/>
      <c r="U96" s="191"/>
      <c r="V96" s="909"/>
      <c r="W96" s="909"/>
      <c r="X96" s="193"/>
      <c r="Y96" s="182"/>
      <c r="Z96" s="182"/>
      <c r="AA96" s="182"/>
      <c r="AB96" s="182"/>
      <c r="AC96" s="210"/>
      <c r="AD96" s="182"/>
      <c r="AE96" s="182"/>
      <c r="AF96" s="211"/>
    </row>
    <row r="97" spans="2:32" ht="17.25" customHeight="1">
      <c r="B97" s="180">
        <v>10</v>
      </c>
      <c r="C97" s="811"/>
      <c r="D97" s="765"/>
      <c r="E97" s="186" t="s">
        <v>10</v>
      </c>
      <c r="F97" s="187" t="str">
        <f t="shared" si="4"/>
        <v>IB2100A</v>
      </c>
      <c r="G97" s="243"/>
      <c r="H97" s="244"/>
      <c r="I97" s="244"/>
      <c r="J97" s="245"/>
      <c r="K97" s="190"/>
      <c r="L97" s="209"/>
      <c r="M97" s="190"/>
      <c r="N97" s="186" t="s">
        <v>11</v>
      </c>
      <c r="O97" s="195" t="str">
        <f t="shared" si="5"/>
        <v>OB2100A</v>
      </c>
      <c r="P97" s="254"/>
      <c r="Q97" s="255"/>
      <c r="R97" s="255"/>
      <c r="S97" s="256"/>
      <c r="T97" s="190"/>
      <c r="U97" s="191"/>
      <c r="V97" s="909"/>
      <c r="W97" s="909"/>
      <c r="X97" s="193"/>
      <c r="Y97" s="182"/>
      <c r="Z97" s="182"/>
      <c r="AA97" s="182"/>
      <c r="AB97" s="182"/>
      <c r="AC97" s="210"/>
      <c r="AD97" s="182"/>
      <c r="AE97" s="182"/>
      <c r="AF97" s="211"/>
    </row>
    <row r="98" spans="2:32" ht="17.25" customHeight="1">
      <c r="B98" s="180">
        <v>11</v>
      </c>
      <c r="C98" s="811"/>
      <c r="D98" s="765"/>
      <c r="E98" s="186" t="s">
        <v>10</v>
      </c>
      <c r="F98" s="187" t="str">
        <f t="shared" si="4"/>
        <v>IB2100B</v>
      </c>
      <c r="G98" s="243"/>
      <c r="H98" s="244"/>
      <c r="I98" s="244"/>
      <c r="J98" s="245"/>
      <c r="K98" s="190"/>
      <c r="L98" s="209"/>
      <c r="M98" s="190"/>
      <c r="N98" s="186" t="s">
        <v>11</v>
      </c>
      <c r="O98" s="195" t="str">
        <f t="shared" si="5"/>
        <v>OB2100B</v>
      </c>
      <c r="P98" s="254"/>
      <c r="Q98" s="255"/>
      <c r="R98" s="255"/>
      <c r="S98" s="256"/>
      <c r="T98" s="190"/>
      <c r="U98" s="191"/>
      <c r="V98" s="909"/>
      <c r="W98" s="909"/>
      <c r="X98" s="193"/>
      <c r="Y98" s="182"/>
      <c r="Z98" s="182"/>
      <c r="AA98" s="182"/>
      <c r="AB98" s="182"/>
      <c r="AC98" s="210"/>
      <c r="AD98" s="182"/>
      <c r="AE98" s="182"/>
      <c r="AF98" s="211"/>
    </row>
    <row r="99" spans="2:32" ht="17.25" customHeight="1">
      <c r="B99" s="180">
        <v>12</v>
      </c>
      <c r="C99" s="811"/>
      <c r="D99" s="765"/>
      <c r="E99" s="186" t="s">
        <v>10</v>
      </c>
      <c r="F99" s="187" t="str">
        <f t="shared" si="4"/>
        <v>IB2100C</v>
      </c>
      <c r="G99" s="243"/>
      <c r="H99" s="244"/>
      <c r="I99" s="244"/>
      <c r="J99" s="245"/>
      <c r="K99" s="190"/>
      <c r="L99" s="209"/>
      <c r="M99" s="190"/>
      <c r="N99" s="186" t="s">
        <v>11</v>
      </c>
      <c r="O99" s="195" t="str">
        <f t="shared" si="5"/>
        <v>OB2100C</v>
      </c>
      <c r="P99" s="254"/>
      <c r="Q99" s="255"/>
      <c r="R99" s="255"/>
      <c r="S99" s="256"/>
      <c r="T99" s="190"/>
      <c r="U99" s="191"/>
      <c r="V99" s="909"/>
      <c r="W99" s="909"/>
      <c r="X99" s="193"/>
      <c r="Y99" s="182"/>
      <c r="Z99" s="182"/>
      <c r="AA99" s="182"/>
      <c r="AB99" s="182"/>
      <c r="AC99" s="210"/>
      <c r="AD99" s="182"/>
      <c r="AE99" s="182"/>
      <c r="AF99" s="211"/>
    </row>
    <row r="100" spans="2:32" ht="17.25" customHeight="1">
      <c r="B100" s="180">
        <v>13</v>
      </c>
      <c r="C100" s="811"/>
      <c r="D100" s="765"/>
      <c r="E100" s="186" t="s">
        <v>10</v>
      </c>
      <c r="F100" s="187" t="str">
        <f t="shared" si="4"/>
        <v>IB2100D</v>
      </c>
      <c r="G100" s="243"/>
      <c r="H100" s="244"/>
      <c r="I100" s="244"/>
      <c r="J100" s="245"/>
      <c r="K100" s="182"/>
      <c r="L100" s="188"/>
      <c r="M100" s="182"/>
      <c r="N100" s="186" t="s">
        <v>11</v>
      </c>
      <c r="O100" s="195" t="str">
        <f t="shared" si="5"/>
        <v>OB2100D</v>
      </c>
      <c r="P100" s="254"/>
      <c r="Q100" s="255"/>
      <c r="R100" s="255"/>
      <c r="S100" s="256"/>
      <c r="T100" s="190"/>
      <c r="U100" s="191"/>
      <c r="V100" s="909"/>
      <c r="W100" s="909"/>
      <c r="X100" s="193"/>
      <c r="Y100" s="182"/>
      <c r="Z100" s="182"/>
      <c r="AA100" s="182"/>
      <c r="AB100" s="182"/>
      <c r="AC100" s="210"/>
      <c r="AD100" s="182"/>
      <c r="AE100" s="182"/>
      <c r="AF100" s="211"/>
    </row>
    <row r="101" spans="2:32" ht="17.25" customHeight="1">
      <c r="B101" s="180">
        <v>14</v>
      </c>
      <c r="C101" s="811"/>
      <c r="D101" s="765"/>
      <c r="E101" s="186" t="s">
        <v>10</v>
      </c>
      <c r="F101" s="187" t="str">
        <f t="shared" si="4"/>
        <v>IB2100E</v>
      </c>
      <c r="G101" s="243"/>
      <c r="H101" s="244"/>
      <c r="I101" s="244"/>
      <c r="J101" s="245"/>
      <c r="K101" s="182"/>
      <c r="L101" s="212"/>
      <c r="M101" s="639"/>
      <c r="N101" s="186" t="s">
        <v>11</v>
      </c>
      <c r="O101" s="195" t="str">
        <f t="shared" si="5"/>
        <v>OB2100E</v>
      </c>
      <c r="P101" s="254"/>
      <c r="Q101" s="255"/>
      <c r="R101" s="255"/>
      <c r="S101" s="256"/>
      <c r="T101" s="190"/>
      <c r="U101" s="191"/>
      <c r="V101" s="909"/>
      <c r="W101" s="909"/>
      <c r="X101" s="193"/>
      <c r="Y101" s="182"/>
      <c r="Z101" s="182"/>
      <c r="AA101" s="182"/>
      <c r="AB101" s="182"/>
      <c r="AC101" s="210"/>
      <c r="AD101" s="182"/>
      <c r="AE101" s="182"/>
      <c r="AF101" s="211"/>
    </row>
    <row r="102" spans="2:32" ht="17.25" customHeight="1">
      <c r="B102" s="180">
        <v>15</v>
      </c>
      <c r="C102" s="928"/>
      <c r="D102" s="765"/>
      <c r="E102" s="186" t="s">
        <v>10</v>
      </c>
      <c r="F102" s="187" t="str">
        <f t="shared" si="4"/>
        <v>IB2100F</v>
      </c>
      <c r="G102" s="243"/>
      <c r="H102" s="244"/>
      <c r="I102" s="244"/>
      <c r="J102" s="245"/>
      <c r="K102" s="182"/>
      <c r="L102" s="212"/>
      <c r="M102" s="639"/>
      <c r="N102" s="186" t="s">
        <v>11</v>
      </c>
      <c r="O102" s="195" t="str">
        <f t="shared" si="5"/>
        <v>OB2100F</v>
      </c>
      <c r="P102" s="254"/>
      <c r="Q102" s="255"/>
      <c r="R102" s="255"/>
      <c r="S102" s="256"/>
      <c r="T102" s="190"/>
      <c r="U102" s="191"/>
      <c r="V102" s="909"/>
      <c r="W102" s="909"/>
      <c r="X102" s="193"/>
      <c r="Y102" s="182"/>
      <c r="Z102" s="182"/>
      <c r="AA102" s="182"/>
      <c r="AB102" s="182"/>
      <c r="AC102" s="210"/>
      <c r="AD102" s="182"/>
      <c r="AE102" s="182"/>
      <c r="AF102" s="211"/>
    </row>
    <row r="103" spans="2:32" ht="17.25" customHeight="1">
      <c r="B103" s="180">
        <v>16</v>
      </c>
      <c r="C103" s="925" t="s">
        <v>1560</v>
      </c>
      <c r="D103" s="901" t="s">
        <v>1406</v>
      </c>
      <c r="E103" s="186" t="s">
        <v>10</v>
      </c>
      <c r="F103" s="187" t="str">
        <f t="shared" si="4"/>
        <v>IB21010</v>
      </c>
      <c r="G103" s="254"/>
      <c r="H103" s="255"/>
      <c r="I103" s="255"/>
      <c r="J103" s="256"/>
      <c r="K103" s="190"/>
      <c r="L103" s="209"/>
      <c r="M103" s="190"/>
      <c r="N103" s="186" t="s">
        <v>11</v>
      </c>
      <c r="O103" s="195" t="str">
        <f t="shared" si="5"/>
        <v>OB21010</v>
      </c>
      <c r="P103" s="243"/>
      <c r="Q103" s="244"/>
      <c r="R103" s="244"/>
      <c r="S103" s="245"/>
      <c r="T103" s="190"/>
      <c r="U103" s="191"/>
      <c r="V103" s="909"/>
      <c r="W103" s="909"/>
      <c r="X103" s="193"/>
      <c r="Y103" s="182"/>
      <c r="Z103" s="182"/>
      <c r="AA103" s="182"/>
      <c r="AB103" s="182"/>
      <c r="AC103" s="210"/>
      <c r="AD103" s="182"/>
      <c r="AE103" s="182"/>
      <c r="AF103" s="211"/>
    </row>
    <row r="104" spans="2:32" ht="17.25" customHeight="1">
      <c r="B104" s="180">
        <v>17</v>
      </c>
      <c r="C104" s="816"/>
      <c r="D104" s="765"/>
      <c r="E104" s="186" t="s">
        <v>10</v>
      </c>
      <c r="F104" s="187" t="str">
        <f t="shared" si="4"/>
        <v>IB21011</v>
      </c>
      <c r="G104" s="254"/>
      <c r="H104" s="255"/>
      <c r="I104" s="255"/>
      <c r="J104" s="256"/>
      <c r="K104" s="190"/>
      <c r="L104" s="209"/>
      <c r="M104" s="190"/>
      <c r="N104" s="186" t="s">
        <v>11</v>
      </c>
      <c r="O104" s="195" t="str">
        <f t="shared" si="5"/>
        <v>OB21011</v>
      </c>
      <c r="P104" s="243"/>
      <c r="Q104" s="244"/>
      <c r="R104" s="244"/>
      <c r="S104" s="245"/>
      <c r="T104" s="190"/>
      <c r="U104" s="191"/>
      <c r="V104" s="909"/>
      <c r="W104" s="909"/>
      <c r="X104" s="193"/>
      <c r="Y104" s="182"/>
      <c r="Z104" s="182"/>
      <c r="AA104" s="182"/>
      <c r="AB104" s="182"/>
      <c r="AC104" s="210"/>
      <c r="AD104" s="182"/>
      <c r="AE104" s="182"/>
      <c r="AF104" s="211"/>
    </row>
    <row r="105" spans="2:32" ht="17.25" customHeight="1">
      <c r="B105" s="180">
        <v>18</v>
      </c>
      <c r="C105" s="816"/>
      <c r="D105" s="765"/>
      <c r="E105" s="186" t="s">
        <v>10</v>
      </c>
      <c r="F105" s="187" t="str">
        <f t="shared" si="4"/>
        <v>IB21012</v>
      </c>
      <c r="G105" s="254"/>
      <c r="H105" s="255"/>
      <c r="I105" s="255"/>
      <c r="J105" s="256"/>
      <c r="K105" s="190"/>
      <c r="L105" s="209"/>
      <c r="M105" s="190"/>
      <c r="N105" s="186" t="s">
        <v>11</v>
      </c>
      <c r="O105" s="195" t="str">
        <f t="shared" si="5"/>
        <v>OB21012</v>
      </c>
      <c r="P105" s="243"/>
      <c r="Q105" s="244"/>
      <c r="R105" s="244"/>
      <c r="S105" s="245"/>
      <c r="T105" s="190"/>
      <c r="U105" s="191"/>
      <c r="V105" s="909"/>
      <c r="W105" s="909"/>
      <c r="X105" s="193"/>
      <c r="Y105" s="182"/>
      <c r="Z105" s="182"/>
      <c r="AA105" s="182"/>
      <c r="AB105" s="182"/>
      <c r="AC105" s="210"/>
      <c r="AD105" s="182"/>
      <c r="AE105" s="182"/>
      <c r="AF105" s="211"/>
    </row>
    <row r="106" spans="2:32" ht="17.25" customHeight="1">
      <c r="B106" s="180">
        <v>19</v>
      </c>
      <c r="C106" s="816"/>
      <c r="D106" s="765"/>
      <c r="E106" s="182" t="s">
        <v>10</v>
      </c>
      <c r="F106" s="187" t="str">
        <f t="shared" si="4"/>
        <v>IB21013</v>
      </c>
      <c r="G106" s="254"/>
      <c r="H106" s="255"/>
      <c r="I106" s="255"/>
      <c r="J106" s="256"/>
      <c r="K106" s="190"/>
      <c r="L106" s="209"/>
      <c r="M106" s="190"/>
      <c r="N106" s="186" t="s">
        <v>11</v>
      </c>
      <c r="O106" s="195" t="str">
        <f t="shared" si="5"/>
        <v>OB21013</v>
      </c>
      <c r="P106" s="243" t="s">
        <v>1450</v>
      </c>
      <c r="Q106" s="244"/>
      <c r="R106" s="244"/>
      <c r="S106" s="245"/>
      <c r="T106" s="190" t="s">
        <v>1513</v>
      </c>
      <c r="U106" s="191"/>
      <c r="V106" s="909"/>
      <c r="W106" s="909"/>
      <c r="X106" s="193"/>
      <c r="Y106" s="182"/>
      <c r="Z106" s="182"/>
      <c r="AA106" s="182"/>
      <c r="AB106" s="182"/>
      <c r="AC106" s="210"/>
      <c r="AD106" s="182"/>
      <c r="AE106" s="182"/>
      <c r="AF106" s="211"/>
    </row>
    <row r="107" spans="2:32" ht="17.25" customHeight="1">
      <c r="B107" s="180">
        <v>20</v>
      </c>
      <c r="C107" s="816"/>
      <c r="D107" s="765"/>
      <c r="E107" s="186" t="s">
        <v>10</v>
      </c>
      <c r="F107" s="187" t="str">
        <f t="shared" si="4"/>
        <v>IB21014</v>
      </c>
      <c r="G107" s="254"/>
      <c r="H107" s="255"/>
      <c r="I107" s="255"/>
      <c r="J107" s="256"/>
      <c r="K107" s="190"/>
      <c r="L107" s="209"/>
      <c r="M107" s="190"/>
      <c r="N107" s="186" t="s">
        <v>11</v>
      </c>
      <c r="O107" s="195" t="str">
        <f t="shared" si="5"/>
        <v>OB21014</v>
      </c>
      <c r="P107" s="243" t="s">
        <v>1451</v>
      </c>
      <c r="Q107" s="244"/>
      <c r="R107" s="244"/>
      <c r="S107" s="245"/>
      <c r="T107" s="190" t="s">
        <v>1513</v>
      </c>
      <c r="U107" s="191"/>
      <c r="V107" s="909"/>
      <c r="W107" s="909"/>
      <c r="X107" s="193"/>
      <c r="Y107" s="182"/>
      <c r="Z107" s="182"/>
      <c r="AA107" s="182"/>
      <c r="AB107" s="182"/>
      <c r="AC107" s="210"/>
      <c r="AD107" s="182"/>
      <c r="AE107" s="182"/>
      <c r="AF107" s="211"/>
    </row>
    <row r="108" spans="2:32" ht="17.25" customHeight="1">
      <c r="B108" s="180">
        <v>21</v>
      </c>
      <c r="C108" s="816"/>
      <c r="D108" s="765"/>
      <c r="E108" s="186" t="s">
        <v>10</v>
      </c>
      <c r="F108" s="187" t="str">
        <f t="shared" si="4"/>
        <v>IB21015</v>
      </c>
      <c r="G108" s="254"/>
      <c r="H108" s="255"/>
      <c r="I108" s="255"/>
      <c r="J108" s="256"/>
      <c r="K108" s="190"/>
      <c r="L108" s="209"/>
      <c r="M108" s="190"/>
      <c r="N108" s="186" t="s">
        <v>11</v>
      </c>
      <c r="O108" s="195" t="str">
        <f t="shared" si="5"/>
        <v>OB21015</v>
      </c>
      <c r="P108" s="243" t="s">
        <v>1444</v>
      </c>
      <c r="Q108" s="244"/>
      <c r="R108" s="244"/>
      <c r="S108" s="245"/>
      <c r="T108" s="190" t="s">
        <v>1513</v>
      </c>
      <c r="U108" s="191"/>
      <c r="V108" s="909"/>
      <c r="W108" s="909"/>
      <c r="X108" s="193"/>
      <c r="Y108" s="182"/>
      <c r="Z108" s="182"/>
      <c r="AA108" s="182"/>
      <c r="AB108" s="182"/>
      <c r="AC108" s="210"/>
      <c r="AD108" s="182"/>
      <c r="AE108" s="182"/>
      <c r="AF108" s="211"/>
    </row>
    <row r="109" spans="2:32" ht="17.25" customHeight="1">
      <c r="B109" s="180">
        <v>22</v>
      </c>
      <c r="C109" s="816"/>
      <c r="D109" s="765"/>
      <c r="E109" s="186" t="s">
        <v>10</v>
      </c>
      <c r="F109" s="187" t="str">
        <f t="shared" si="4"/>
        <v>IB21016</v>
      </c>
      <c r="G109" s="254"/>
      <c r="H109" s="255"/>
      <c r="I109" s="255"/>
      <c r="J109" s="256"/>
      <c r="K109" s="190"/>
      <c r="L109" s="209"/>
      <c r="M109" s="190"/>
      <c r="N109" s="186" t="s">
        <v>11</v>
      </c>
      <c r="O109" s="195" t="str">
        <f t="shared" si="5"/>
        <v>OB21016</v>
      </c>
      <c r="P109" s="243"/>
      <c r="Q109" s="244"/>
      <c r="R109" s="244"/>
      <c r="S109" s="245"/>
      <c r="T109" s="190"/>
      <c r="U109" s="191"/>
      <c r="V109" s="909"/>
      <c r="W109" s="909"/>
      <c r="X109" s="193"/>
      <c r="Y109" s="182"/>
      <c r="Z109" s="182"/>
      <c r="AA109" s="182"/>
      <c r="AB109" s="182"/>
      <c r="AC109" s="210"/>
      <c r="AD109" s="182"/>
      <c r="AE109" s="182"/>
      <c r="AF109" s="211"/>
    </row>
    <row r="110" spans="2:32" ht="17.25" customHeight="1">
      <c r="B110" s="180">
        <v>23</v>
      </c>
      <c r="C110" s="816"/>
      <c r="D110" s="765"/>
      <c r="E110" s="186" t="s">
        <v>10</v>
      </c>
      <c r="F110" s="187" t="str">
        <f t="shared" si="4"/>
        <v>IB21017</v>
      </c>
      <c r="G110" s="254"/>
      <c r="H110" s="255"/>
      <c r="I110" s="255"/>
      <c r="J110" s="256"/>
      <c r="K110" s="190"/>
      <c r="L110" s="209"/>
      <c r="M110" s="190"/>
      <c r="N110" s="186" t="s">
        <v>11</v>
      </c>
      <c r="O110" s="195" t="str">
        <f t="shared" si="5"/>
        <v>OB21017</v>
      </c>
      <c r="P110" s="243"/>
      <c r="Q110" s="244"/>
      <c r="R110" s="244"/>
      <c r="S110" s="245"/>
      <c r="T110" s="190"/>
      <c r="U110" s="191"/>
      <c r="V110" s="909"/>
      <c r="W110" s="909"/>
      <c r="X110" s="182"/>
      <c r="Y110" s="182"/>
      <c r="Z110" s="182"/>
      <c r="AA110" s="182"/>
      <c r="AB110" s="182"/>
      <c r="AC110" s="210"/>
      <c r="AD110" s="182"/>
      <c r="AE110" s="182"/>
      <c r="AF110" s="211"/>
    </row>
    <row r="111" spans="2:32" ht="17.25" customHeight="1">
      <c r="B111" s="180">
        <v>24</v>
      </c>
      <c r="C111" s="816"/>
      <c r="D111" s="765"/>
      <c r="E111" s="186" t="s">
        <v>10</v>
      </c>
      <c r="F111" s="187" t="str">
        <f t="shared" si="4"/>
        <v>IB21018</v>
      </c>
      <c r="G111" s="254"/>
      <c r="H111" s="255"/>
      <c r="I111" s="255"/>
      <c r="J111" s="256"/>
      <c r="K111" s="190"/>
      <c r="L111" s="209"/>
      <c r="M111" s="190"/>
      <c r="N111" s="186" t="s">
        <v>11</v>
      </c>
      <c r="O111" s="195" t="str">
        <f t="shared" si="5"/>
        <v>OB21018</v>
      </c>
      <c r="P111" s="243"/>
      <c r="Q111" s="244"/>
      <c r="R111" s="244"/>
      <c r="S111" s="245"/>
      <c r="T111" s="190"/>
      <c r="U111" s="191"/>
      <c r="V111" s="909"/>
      <c r="W111" s="909"/>
      <c r="X111" s="193"/>
      <c r="Y111" s="182"/>
      <c r="Z111" s="182"/>
      <c r="AA111" s="182"/>
      <c r="AB111" s="182"/>
      <c r="AC111" s="210"/>
      <c r="AD111" s="182"/>
      <c r="AE111" s="182"/>
      <c r="AF111" s="211"/>
    </row>
    <row r="112" spans="2:32" ht="17.25" customHeight="1">
      <c r="B112" s="180">
        <v>25</v>
      </c>
      <c r="C112" s="816"/>
      <c r="D112" s="765"/>
      <c r="E112" s="186" t="s">
        <v>10</v>
      </c>
      <c r="F112" s="187" t="str">
        <f t="shared" si="4"/>
        <v>IB21019</v>
      </c>
      <c r="G112" s="254"/>
      <c r="H112" s="255"/>
      <c r="I112" s="255"/>
      <c r="J112" s="256"/>
      <c r="K112" s="182"/>
      <c r="L112" s="212"/>
      <c r="M112" s="639"/>
      <c r="N112" s="186" t="s">
        <v>11</v>
      </c>
      <c r="O112" s="195" t="str">
        <f t="shared" si="5"/>
        <v>OB21019</v>
      </c>
      <c r="P112" s="243"/>
      <c r="Q112" s="244"/>
      <c r="R112" s="244"/>
      <c r="S112" s="245"/>
      <c r="T112" s="190"/>
      <c r="U112" s="191"/>
      <c r="V112" s="909"/>
      <c r="W112" s="909"/>
      <c r="X112" s="193"/>
      <c r="Y112" s="182"/>
      <c r="Z112" s="182"/>
      <c r="AA112" s="182"/>
      <c r="AB112" s="182"/>
      <c r="AC112" s="210"/>
      <c r="AD112" s="182"/>
      <c r="AE112" s="182"/>
      <c r="AF112" s="211"/>
    </row>
    <row r="113" spans="2:32" ht="17.25" customHeight="1">
      <c r="B113" s="180">
        <v>26</v>
      </c>
      <c r="C113" s="816"/>
      <c r="D113" s="765"/>
      <c r="E113" s="186" t="s">
        <v>10</v>
      </c>
      <c r="F113" s="187" t="str">
        <f t="shared" si="4"/>
        <v>IB2101A</v>
      </c>
      <c r="G113" s="254"/>
      <c r="H113" s="255"/>
      <c r="I113" s="255"/>
      <c r="J113" s="256"/>
      <c r="K113" s="182"/>
      <c r="L113" s="212"/>
      <c r="M113" s="639"/>
      <c r="N113" s="186" t="s">
        <v>11</v>
      </c>
      <c r="O113" s="195" t="str">
        <f t="shared" si="5"/>
        <v>OB2101A</v>
      </c>
      <c r="P113" s="243"/>
      <c r="Q113" s="244"/>
      <c r="R113" s="244"/>
      <c r="S113" s="245"/>
      <c r="T113" s="190"/>
      <c r="U113" s="191"/>
      <c r="V113" s="909"/>
      <c r="W113" s="909"/>
      <c r="X113" s="182"/>
      <c r="Y113" s="182"/>
      <c r="Z113" s="182"/>
      <c r="AA113" s="182"/>
      <c r="AB113" s="182"/>
      <c r="AC113" s="210"/>
      <c r="AD113" s="182"/>
      <c r="AE113" s="182"/>
      <c r="AF113" s="211"/>
    </row>
    <row r="114" spans="2:32" ht="17.25" customHeight="1">
      <c r="B114" s="180">
        <v>27</v>
      </c>
      <c r="C114" s="816"/>
      <c r="D114" s="765"/>
      <c r="E114" s="186" t="s">
        <v>10</v>
      </c>
      <c r="F114" s="187" t="str">
        <f t="shared" si="4"/>
        <v>IB2101B</v>
      </c>
      <c r="G114" s="254"/>
      <c r="H114" s="255"/>
      <c r="I114" s="255"/>
      <c r="J114" s="256"/>
      <c r="K114" s="182"/>
      <c r="L114" s="212"/>
      <c r="M114" s="639"/>
      <c r="N114" s="186" t="s">
        <v>11</v>
      </c>
      <c r="O114" s="195" t="str">
        <f t="shared" si="5"/>
        <v>OB2101B</v>
      </c>
      <c r="P114" s="243"/>
      <c r="Q114" s="244"/>
      <c r="R114" s="244"/>
      <c r="S114" s="245"/>
      <c r="T114" s="190"/>
      <c r="U114" s="191"/>
      <c r="V114" s="909"/>
      <c r="W114" s="909"/>
      <c r="X114" s="182"/>
      <c r="Y114" s="182"/>
      <c r="Z114" s="182"/>
      <c r="AA114" s="182"/>
      <c r="AB114" s="182"/>
      <c r="AC114" s="210"/>
      <c r="AD114" s="182"/>
      <c r="AE114" s="182"/>
      <c r="AF114" s="211"/>
    </row>
    <row r="115" spans="2:32" ht="17.25" customHeight="1">
      <c r="B115" s="180">
        <v>28</v>
      </c>
      <c r="C115" s="816"/>
      <c r="D115" s="765"/>
      <c r="E115" s="186" t="s">
        <v>10</v>
      </c>
      <c r="F115" s="187" t="str">
        <f t="shared" si="4"/>
        <v>IB2101C</v>
      </c>
      <c r="G115" s="254"/>
      <c r="H115" s="255"/>
      <c r="I115" s="255"/>
      <c r="J115" s="256"/>
      <c r="K115" s="182"/>
      <c r="L115" s="212"/>
      <c r="M115" s="639"/>
      <c r="N115" s="186" t="s">
        <v>11</v>
      </c>
      <c r="O115" s="195" t="str">
        <f t="shared" si="5"/>
        <v>OB2101C</v>
      </c>
      <c r="P115" s="243"/>
      <c r="Q115" s="244"/>
      <c r="R115" s="244"/>
      <c r="S115" s="245"/>
      <c r="T115" s="190"/>
      <c r="U115" s="191"/>
      <c r="V115" s="909"/>
      <c r="W115" s="909"/>
      <c r="X115" s="193"/>
      <c r="Y115" s="182"/>
      <c r="Z115" s="182"/>
      <c r="AA115" s="182"/>
      <c r="AB115" s="182"/>
      <c r="AC115" s="210"/>
      <c r="AD115" s="182"/>
      <c r="AE115" s="182"/>
      <c r="AF115" s="211"/>
    </row>
    <row r="116" spans="2:32" ht="17.25" customHeight="1">
      <c r="B116" s="180">
        <v>29</v>
      </c>
      <c r="C116" s="816"/>
      <c r="D116" s="765"/>
      <c r="E116" s="186" t="s">
        <v>10</v>
      </c>
      <c r="F116" s="187" t="str">
        <f t="shared" si="4"/>
        <v>IB2101D</v>
      </c>
      <c r="G116" s="254"/>
      <c r="H116" s="255"/>
      <c r="I116" s="255"/>
      <c r="J116" s="256"/>
      <c r="K116" s="182"/>
      <c r="L116" s="212"/>
      <c r="M116" s="639"/>
      <c r="N116" s="186" t="s">
        <v>11</v>
      </c>
      <c r="O116" s="195" t="str">
        <f t="shared" si="5"/>
        <v>OB2101D</v>
      </c>
      <c r="P116" s="243"/>
      <c r="Q116" s="244"/>
      <c r="R116" s="244"/>
      <c r="S116" s="245"/>
      <c r="T116" s="190"/>
      <c r="U116" s="191"/>
      <c r="V116" s="192"/>
      <c r="W116" s="192"/>
      <c r="X116" s="193"/>
      <c r="Y116" s="182"/>
      <c r="Z116" s="182"/>
      <c r="AA116" s="182"/>
      <c r="AB116" s="182"/>
      <c r="AC116" s="210"/>
      <c r="AD116" s="182"/>
      <c r="AE116" s="182"/>
      <c r="AF116" s="211"/>
    </row>
    <row r="117" spans="2:32" ht="17.25" customHeight="1">
      <c r="B117" s="180">
        <v>30</v>
      </c>
      <c r="C117" s="816"/>
      <c r="D117" s="765"/>
      <c r="E117" s="186" t="s">
        <v>10</v>
      </c>
      <c r="F117" s="187" t="str">
        <f t="shared" si="4"/>
        <v>IB2101E</v>
      </c>
      <c r="G117" s="254"/>
      <c r="H117" s="255"/>
      <c r="I117" s="255"/>
      <c r="J117" s="256"/>
      <c r="K117" s="182"/>
      <c r="L117" s="212"/>
      <c r="M117" s="639"/>
      <c r="N117" s="186" t="s">
        <v>11</v>
      </c>
      <c r="O117" s="195" t="str">
        <f t="shared" si="5"/>
        <v>OB2101E</v>
      </c>
      <c r="P117" s="243"/>
      <c r="Q117" s="244"/>
      <c r="R117" s="244"/>
      <c r="S117" s="245"/>
      <c r="T117" s="190"/>
      <c r="U117" s="191"/>
      <c r="V117" s="909"/>
      <c r="W117" s="909"/>
      <c r="X117" s="193"/>
      <c r="Y117" s="182"/>
      <c r="Z117" s="182"/>
      <c r="AA117" s="182"/>
      <c r="AB117" s="182"/>
      <c r="AC117" s="210"/>
      <c r="AD117" s="182"/>
      <c r="AE117" s="182"/>
      <c r="AF117" s="211"/>
    </row>
    <row r="118" spans="2:32" ht="17.25" customHeight="1">
      <c r="B118" s="180">
        <v>31</v>
      </c>
      <c r="C118" s="926"/>
      <c r="D118" s="765"/>
      <c r="E118" s="186" t="s">
        <v>10</v>
      </c>
      <c r="F118" s="187" t="str">
        <f t="shared" si="4"/>
        <v>IB2101F</v>
      </c>
      <c r="G118" s="254"/>
      <c r="H118" s="255"/>
      <c r="I118" s="255"/>
      <c r="J118" s="256"/>
      <c r="K118" s="182"/>
      <c r="L118" s="212"/>
      <c r="M118" s="639"/>
      <c r="N118" s="186" t="s">
        <v>11</v>
      </c>
      <c r="O118" s="195" t="str">
        <f t="shared" si="5"/>
        <v>OB2101F</v>
      </c>
      <c r="P118" s="246"/>
      <c r="Q118" s="244"/>
      <c r="R118" s="244"/>
      <c r="S118" s="245"/>
      <c r="T118" s="658"/>
      <c r="U118" s="191"/>
      <c r="V118" s="909"/>
      <c r="W118" s="909"/>
      <c r="X118" s="193"/>
      <c r="Y118" s="182"/>
      <c r="Z118" s="182"/>
      <c r="AA118" s="182"/>
      <c r="AB118" s="182"/>
      <c r="AC118" s="210"/>
      <c r="AD118" s="182"/>
      <c r="AE118" s="182"/>
      <c r="AF118" s="211"/>
    </row>
    <row r="119" spans="2:32" ht="17.25" customHeight="1">
      <c r="B119" s="180">
        <v>32</v>
      </c>
      <c r="C119" s="927" t="s">
        <v>38</v>
      </c>
      <c r="D119" s="940" t="s">
        <v>72</v>
      </c>
      <c r="E119" s="186" t="s">
        <v>10</v>
      </c>
      <c r="F119" s="187" t="str">
        <f t="shared" si="4"/>
        <v>IB21020</v>
      </c>
      <c r="G119" s="281" t="s">
        <v>169</v>
      </c>
      <c r="H119" s="581"/>
      <c r="I119" s="581"/>
      <c r="J119" s="282"/>
      <c r="K119" s="190" t="s">
        <v>1513</v>
      </c>
      <c r="L119" s="209"/>
      <c r="M119" s="190"/>
      <c r="N119" s="186" t="s">
        <v>11</v>
      </c>
      <c r="O119" s="195" t="str">
        <f t="shared" si="5"/>
        <v>OB21020</v>
      </c>
      <c r="P119" s="254"/>
      <c r="Q119" s="255"/>
      <c r="R119" s="255"/>
      <c r="S119" s="256"/>
      <c r="T119" s="190"/>
      <c r="U119" s="191"/>
      <c r="V119" s="909"/>
      <c r="W119" s="909"/>
      <c r="X119" s="193"/>
      <c r="Y119" s="182"/>
      <c r="Z119" s="182"/>
      <c r="AA119" s="182"/>
      <c r="AB119" s="182"/>
      <c r="AC119" s="210"/>
      <c r="AD119" s="182"/>
      <c r="AE119" s="182"/>
      <c r="AF119" s="211"/>
    </row>
    <row r="120" spans="2:32" ht="17.25" customHeight="1">
      <c r="B120" s="180">
        <v>33</v>
      </c>
      <c r="C120" s="811"/>
      <c r="D120" s="765"/>
      <c r="E120" s="186" t="s">
        <v>10</v>
      </c>
      <c r="F120" s="187" t="str">
        <f t="shared" si="4"/>
        <v>IB21021</v>
      </c>
      <c r="G120" s="281" t="s">
        <v>170</v>
      </c>
      <c r="H120" s="581"/>
      <c r="I120" s="581"/>
      <c r="J120" s="282"/>
      <c r="K120" s="190" t="s">
        <v>1513</v>
      </c>
      <c r="L120" s="209"/>
      <c r="M120" s="190"/>
      <c r="N120" s="186" t="s">
        <v>11</v>
      </c>
      <c r="O120" s="195" t="str">
        <f t="shared" si="5"/>
        <v>OB21021</v>
      </c>
      <c r="P120" s="254"/>
      <c r="Q120" s="255"/>
      <c r="R120" s="255"/>
      <c r="S120" s="256"/>
      <c r="T120" s="190"/>
      <c r="U120" s="191"/>
      <c r="V120" s="909"/>
      <c r="W120" s="909"/>
      <c r="X120" s="193"/>
      <c r="Y120" s="182"/>
      <c r="Z120" s="182"/>
      <c r="AA120" s="182"/>
      <c r="AB120" s="182"/>
      <c r="AC120" s="210"/>
      <c r="AD120" s="182"/>
      <c r="AE120" s="182"/>
      <c r="AF120" s="211"/>
    </row>
    <row r="121" spans="2:32" ht="17.25" customHeight="1">
      <c r="B121" s="180">
        <v>34</v>
      </c>
      <c r="C121" s="811"/>
      <c r="D121" s="765"/>
      <c r="E121" s="186" t="s">
        <v>10</v>
      </c>
      <c r="F121" s="187" t="str">
        <f t="shared" si="4"/>
        <v>IB21022</v>
      </c>
      <c r="G121" s="281" t="s">
        <v>171</v>
      </c>
      <c r="H121" s="581"/>
      <c r="I121" s="581"/>
      <c r="J121" s="282"/>
      <c r="K121" s="190" t="s">
        <v>1513</v>
      </c>
      <c r="L121" s="209"/>
      <c r="M121" s="190"/>
      <c r="N121" s="186" t="s">
        <v>11</v>
      </c>
      <c r="O121" s="195" t="str">
        <f t="shared" si="5"/>
        <v>OB21022</v>
      </c>
      <c r="P121" s="254"/>
      <c r="Q121" s="255"/>
      <c r="R121" s="255"/>
      <c r="S121" s="256"/>
      <c r="T121" s="190"/>
      <c r="U121" s="191"/>
      <c r="V121" s="909"/>
      <c r="W121" s="909"/>
      <c r="X121" s="193"/>
      <c r="Y121" s="182"/>
      <c r="Z121" s="182"/>
      <c r="AA121" s="182"/>
      <c r="AB121" s="182"/>
      <c r="AC121" s="210"/>
      <c r="AD121" s="182"/>
      <c r="AE121" s="182"/>
      <c r="AF121" s="211"/>
    </row>
    <row r="122" spans="2:32" ht="17.25" customHeight="1">
      <c r="B122" s="180">
        <v>35</v>
      </c>
      <c r="C122" s="811"/>
      <c r="D122" s="765"/>
      <c r="E122" s="186" t="s">
        <v>10</v>
      </c>
      <c r="F122" s="187" t="str">
        <f t="shared" si="4"/>
        <v>IB21023</v>
      </c>
      <c r="G122" s="281" t="s">
        <v>172</v>
      </c>
      <c r="H122" s="581"/>
      <c r="I122" s="581"/>
      <c r="J122" s="282"/>
      <c r="K122" s="190" t="s">
        <v>1513</v>
      </c>
      <c r="L122" s="209"/>
      <c r="M122" s="190"/>
      <c r="N122" s="186" t="s">
        <v>11</v>
      </c>
      <c r="O122" s="195" t="str">
        <f t="shared" si="5"/>
        <v>OB21023</v>
      </c>
      <c r="P122" s="254"/>
      <c r="Q122" s="255"/>
      <c r="R122" s="255"/>
      <c r="S122" s="256"/>
      <c r="T122" s="190"/>
      <c r="U122" s="191"/>
      <c r="V122" s="909"/>
      <c r="W122" s="909"/>
      <c r="X122" s="182"/>
      <c r="Y122" s="182"/>
      <c r="Z122" s="182"/>
      <c r="AA122" s="182"/>
      <c r="AB122" s="182"/>
      <c r="AC122" s="210"/>
      <c r="AD122" s="182"/>
      <c r="AE122" s="182"/>
      <c r="AF122" s="211"/>
    </row>
    <row r="123" spans="2:32" ht="17.25" customHeight="1">
      <c r="B123" s="180">
        <v>36</v>
      </c>
      <c r="C123" s="811"/>
      <c r="D123" s="765"/>
      <c r="E123" s="186" t="s">
        <v>10</v>
      </c>
      <c r="F123" s="187" t="str">
        <f t="shared" si="4"/>
        <v>IB21024</v>
      </c>
      <c r="G123" s="281" t="s">
        <v>173</v>
      </c>
      <c r="H123" s="581"/>
      <c r="I123" s="581"/>
      <c r="J123" s="282"/>
      <c r="K123" s="190" t="s">
        <v>1513</v>
      </c>
      <c r="L123" s="209"/>
      <c r="M123" s="190"/>
      <c r="N123" s="186" t="s">
        <v>11</v>
      </c>
      <c r="O123" s="195" t="str">
        <f t="shared" si="5"/>
        <v>OB21024</v>
      </c>
      <c r="P123" s="254"/>
      <c r="Q123" s="255"/>
      <c r="R123" s="255"/>
      <c r="S123" s="256"/>
      <c r="T123" s="190"/>
      <c r="U123" s="191"/>
      <c r="V123" s="909"/>
      <c r="W123" s="909"/>
      <c r="X123" s="193"/>
      <c r="Y123" s="182"/>
      <c r="Z123" s="182"/>
      <c r="AA123" s="182"/>
      <c r="AB123" s="182"/>
      <c r="AC123" s="210"/>
      <c r="AD123" s="182"/>
      <c r="AE123" s="182"/>
      <c r="AF123" s="211"/>
    </row>
    <row r="124" spans="2:32" ht="17.25" customHeight="1">
      <c r="B124" s="180">
        <v>37</v>
      </c>
      <c r="C124" s="811"/>
      <c r="D124" s="765"/>
      <c r="E124" s="186" t="s">
        <v>10</v>
      </c>
      <c r="F124" s="187" t="str">
        <f t="shared" si="4"/>
        <v>IB21025</v>
      </c>
      <c r="G124" s="281" t="s">
        <v>174</v>
      </c>
      <c r="H124" s="581"/>
      <c r="I124" s="581"/>
      <c r="J124" s="282"/>
      <c r="K124" s="190" t="s">
        <v>1513</v>
      </c>
      <c r="L124" s="209"/>
      <c r="M124" s="190"/>
      <c r="N124" s="186" t="s">
        <v>11</v>
      </c>
      <c r="O124" s="195" t="str">
        <f t="shared" si="5"/>
        <v>OB21025</v>
      </c>
      <c r="P124" s="254"/>
      <c r="Q124" s="255"/>
      <c r="R124" s="255"/>
      <c r="S124" s="256"/>
      <c r="T124" s="190"/>
      <c r="U124" s="191"/>
      <c r="V124" s="909"/>
      <c r="W124" s="909"/>
      <c r="X124" s="193"/>
      <c r="Y124" s="182"/>
      <c r="Z124" s="182"/>
      <c r="AA124" s="182"/>
      <c r="AB124" s="182"/>
      <c r="AC124" s="210"/>
      <c r="AD124" s="182"/>
      <c r="AE124" s="182"/>
      <c r="AF124" s="211"/>
    </row>
    <row r="125" spans="2:32" ht="17.25" customHeight="1">
      <c r="B125" s="180">
        <v>38</v>
      </c>
      <c r="C125" s="811"/>
      <c r="D125" s="765"/>
      <c r="E125" s="186" t="s">
        <v>10</v>
      </c>
      <c r="F125" s="187" t="str">
        <f t="shared" si="4"/>
        <v>IB21026</v>
      </c>
      <c r="G125" s="281" t="s">
        <v>175</v>
      </c>
      <c r="H125" s="581"/>
      <c r="I125" s="581"/>
      <c r="J125" s="282"/>
      <c r="K125" s="190" t="s">
        <v>1513</v>
      </c>
      <c r="L125" s="209"/>
      <c r="M125" s="190"/>
      <c r="N125" s="186" t="s">
        <v>11</v>
      </c>
      <c r="O125" s="195" t="str">
        <f t="shared" si="5"/>
        <v>OB21026</v>
      </c>
      <c r="P125" s="254"/>
      <c r="Q125" s="255"/>
      <c r="R125" s="255"/>
      <c r="S125" s="256"/>
      <c r="T125" s="190"/>
      <c r="U125" s="191"/>
      <c r="V125" s="909"/>
      <c r="W125" s="909"/>
      <c r="X125" s="193"/>
      <c r="Y125" s="182"/>
      <c r="Z125" s="182"/>
      <c r="AA125" s="182"/>
      <c r="AB125" s="182"/>
      <c r="AC125" s="210"/>
      <c r="AD125" s="182"/>
      <c r="AE125" s="182"/>
      <c r="AF125" s="211"/>
    </row>
    <row r="126" spans="2:32" ht="17.25" customHeight="1">
      <c r="B126" s="180">
        <v>39</v>
      </c>
      <c r="C126" s="811"/>
      <c r="D126" s="765"/>
      <c r="E126" s="186" t="s">
        <v>10</v>
      </c>
      <c r="F126" s="187" t="str">
        <f t="shared" si="4"/>
        <v>IB21027</v>
      </c>
      <c r="G126" s="243"/>
      <c r="H126" s="244"/>
      <c r="I126" s="244"/>
      <c r="J126" s="245"/>
      <c r="K126" s="190"/>
      <c r="L126" s="209"/>
      <c r="M126" s="190"/>
      <c r="N126" s="186" t="s">
        <v>11</v>
      </c>
      <c r="O126" s="195" t="str">
        <f t="shared" si="5"/>
        <v>OB21027</v>
      </c>
      <c r="P126" s="254"/>
      <c r="Q126" s="255"/>
      <c r="R126" s="255"/>
      <c r="S126" s="256"/>
      <c r="T126" s="190"/>
      <c r="U126" s="191"/>
      <c r="V126" s="909"/>
      <c r="W126" s="909"/>
      <c r="X126" s="193"/>
      <c r="Y126" s="182"/>
      <c r="Z126" s="182"/>
      <c r="AA126" s="182"/>
      <c r="AB126" s="182"/>
      <c r="AC126" s="210"/>
      <c r="AD126" s="182"/>
      <c r="AE126" s="182"/>
      <c r="AF126" s="211"/>
    </row>
    <row r="127" spans="2:32" ht="17.25" customHeight="1">
      <c r="B127" s="180">
        <v>40</v>
      </c>
      <c r="C127" s="811"/>
      <c r="D127" s="765"/>
      <c r="E127" s="186" t="s">
        <v>10</v>
      </c>
      <c r="F127" s="187" t="str">
        <f t="shared" si="4"/>
        <v>IB21028</v>
      </c>
      <c r="G127" s="243"/>
      <c r="H127" s="244"/>
      <c r="I127" s="244"/>
      <c r="J127" s="245"/>
      <c r="K127" s="190"/>
      <c r="L127" s="209"/>
      <c r="M127" s="190"/>
      <c r="N127" s="186" t="s">
        <v>11</v>
      </c>
      <c r="O127" s="195" t="str">
        <f t="shared" si="5"/>
        <v>OB21028</v>
      </c>
      <c r="P127" s="254"/>
      <c r="Q127" s="255"/>
      <c r="R127" s="255"/>
      <c r="S127" s="256"/>
      <c r="T127" s="190"/>
      <c r="U127" s="191"/>
      <c r="V127" s="909"/>
      <c r="W127" s="909"/>
      <c r="X127" s="193"/>
      <c r="Y127" s="182"/>
      <c r="Z127" s="182"/>
      <c r="AA127" s="182"/>
      <c r="AB127" s="182"/>
      <c r="AC127" s="210"/>
      <c r="AD127" s="182"/>
      <c r="AE127" s="182"/>
      <c r="AF127" s="211"/>
    </row>
    <row r="128" spans="2:32" ht="17.25" customHeight="1">
      <c r="B128" s="180">
        <v>41</v>
      </c>
      <c r="C128" s="811"/>
      <c r="D128" s="765"/>
      <c r="E128" s="186" t="s">
        <v>10</v>
      </c>
      <c r="F128" s="187" t="str">
        <f t="shared" si="4"/>
        <v>IB21029</v>
      </c>
      <c r="G128" s="243"/>
      <c r="H128" s="244"/>
      <c r="I128" s="244"/>
      <c r="J128" s="245"/>
      <c r="K128" s="190"/>
      <c r="L128" s="209"/>
      <c r="M128" s="190"/>
      <c r="N128" s="186" t="s">
        <v>11</v>
      </c>
      <c r="O128" s="195" t="str">
        <f t="shared" si="5"/>
        <v>OB21029</v>
      </c>
      <c r="P128" s="254"/>
      <c r="Q128" s="255"/>
      <c r="R128" s="255"/>
      <c r="S128" s="256"/>
      <c r="T128" s="190"/>
      <c r="U128" s="191"/>
      <c r="V128" s="909"/>
      <c r="W128" s="909"/>
      <c r="X128" s="193"/>
      <c r="Y128" s="182"/>
      <c r="Z128" s="182"/>
      <c r="AA128" s="182"/>
      <c r="AB128" s="182"/>
      <c r="AC128" s="210"/>
      <c r="AD128" s="182"/>
      <c r="AE128" s="182"/>
      <c r="AF128" s="211"/>
    </row>
    <row r="129" spans="2:32" ht="17.25" customHeight="1">
      <c r="B129" s="180">
        <v>42</v>
      </c>
      <c r="C129" s="811"/>
      <c r="D129" s="765"/>
      <c r="E129" s="186" t="s">
        <v>10</v>
      </c>
      <c r="F129" s="187" t="str">
        <f t="shared" si="4"/>
        <v>IB2102A</v>
      </c>
      <c r="G129" s="243"/>
      <c r="H129" s="244"/>
      <c r="I129" s="244"/>
      <c r="J129" s="245"/>
      <c r="K129" s="190"/>
      <c r="L129" s="209"/>
      <c r="M129" s="190"/>
      <c r="N129" s="186" t="s">
        <v>11</v>
      </c>
      <c r="O129" s="195" t="str">
        <f t="shared" si="5"/>
        <v>OB2102A</v>
      </c>
      <c r="P129" s="254"/>
      <c r="Q129" s="255"/>
      <c r="R129" s="255"/>
      <c r="S129" s="256"/>
      <c r="T129" s="190"/>
      <c r="U129" s="191"/>
      <c r="V129" s="909"/>
      <c r="W129" s="909"/>
      <c r="X129" s="193"/>
      <c r="Y129" s="182"/>
      <c r="Z129" s="182"/>
      <c r="AA129" s="182"/>
      <c r="AB129" s="182"/>
      <c r="AC129" s="210"/>
      <c r="AD129" s="182"/>
      <c r="AE129" s="182"/>
      <c r="AF129" s="211"/>
    </row>
    <row r="130" spans="2:32" ht="17.25" customHeight="1">
      <c r="B130" s="180">
        <v>43</v>
      </c>
      <c r="C130" s="811"/>
      <c r="D130" s="765"/>
      <c r="E130" s="186" t="s">
        <v>10</v>
      </c>
      <c r="F130" s="187" t="str">
        <f t="shared" si="4"/>
        <v>IB2102B</v>
      </c>
      <c r="G130" s="246"/>
      <c r="H130" s="247"/>
      <c r="I130" s="247"/>
      <c r="J130" s="248"/>
      <c r="K130" s="190"/>
      <c r="L130" s="209"/>
      <c r="M130" s="190"/>
      <c r="N130" s="186" t="s">
        <v>11</v>
      </c>
      <c r="O130" s="195" t="str">
        <f t="shared" si="5"/>
        <v>OB2102B</v>
      </c>
      <c r="P130" s="254"/>
      <c r="Q130" s="255"/>
      <c r="R130" s="255"/>
      <c r="S130" s="256"/>
      <c r="T130" s="190"/>
      <c r="U130" s="191"/>
      <c r="V130" s="909"/>
      <c r="W130" s="909"/>
      <c r="X130" s="193"/>
      <c r="Y130" s="182"/>
      <c r="Z130" s="182"/>
      <c r="AA130" s="182"/>
      <c r="AB130" s="182"/>
      <c r="AC130" s="210"/>
      <c r="AD130" s="182"/>
      <c r="AE130" s="182"/>
      <c r="AF130" s="211"/>
    </row>
    <row r="131" spans="2:32" ht="17.25" customHeight="1">
      <c r="B131" s="180">
        <v>44</v>
      </c>
      <c r="C131" s="811"/>
      <c r="D131" s="765"/>
      <c r="E131" s="186" t="s">
        <v>10</v>
      </c>
      <c r="F131" s="187" t="str">
        <f t="shared" si="4"/>
        <v>IB2102C</v>
      </c>
      <c r="G131" s="246"/>
      <c r="H131" s="247"/>
      <c r="I131" s="247"/>
      <c r="J131" s="248"/>
      <c r="K131" s="190"/>
      <c r="L131" s="209"/>
      <c r="M131" s="190"/>
      <c r="N131" s="186" t="s">
        <v>11</v>
      </c>
      <c r="O131" s="195" t="str">
        <f t="shared" si="5"/>
        <v>OB2102C</v>
      </c>
      <c r="P131" s="254"/>
      <c r="Q131" s="255"/>
      <c r="R131" s="255"/>
      <c r="S131" s="256"/>
      <c r="T131" s="190"/>
      <c r="U131" s="191"/>
      <c r="V131" s="909"/>
      <c r="W131" s="909"/>
      <c r="X131" s="193"/>
      <c r="Y131" s="182"/>
      <c r="Z131" s="182"/>
      <c r="AA131" s="182"/>
      <c r="AB131" s="182"/>
      <c r="AC131" s="210"/>
      <c r="AD131" s="182"/>
      <c r="AE131" s="182"/>
      <c r="AF131" s="211"/>
    </row>
    <row r="132" spans="2:32" ht="17.25" customHeight="1">
      <c r="B132" s="180">
        <v>45</v>
      </c>
      <c r="C132" s="811"/>
      <c r="D132" s="765"/>
      <c r="E132" s="186" t="s">
        <v>10</v>
      </c>
      <c r="F132" s="187" t="str">
        <f t="shared" si="4"/>
        <v>IB2102D</v>
      </c>
      <c r="G132" s="243"/>
      <c r="H132" s="244"/>
      <c r="I132" s="244"/>
      <c r="J132" s="245"/>
      <c r="K132" s="182"/>
      <c r="L132" s="188"/>
      <c r="M132" s="182"/>
      <c r="N132" s="186" t="s">
        <v>11</v>
      </c>
      <c r="O132" s="195" t="str">
        <f t="shared" si="5"/>
        <v>OB2102D</v>
      </c>
      <c r="P132" s="254"/>
      <c r="Q132" s="255"/>
      <c r="R132" s="255"/>
      <c r="S132" s="256"/>
      <c r="T132" s="190"/>
      <c r="U132" s="191"/>
      <c r="V132" s="909"/>
      <c r="W132" s="909"/>
      <c r="X132" s="193"/>
      <c r="Y132" s="182"/>
      <c r="Z132" s="182"/>
      <c r="AA132" s="182"/>
      <c r="AB132" s="182"/>
      <c r="AC132" s="210"/>
      <c r="AD132" s="182"/>
      <c r="AE132" s="182"/>
      <c r="AF132" s="211"/>
    </row>
    <row r="133" spans="2:32" ht="17.25" customHeight="1">
      <c r="B133" s="180">
        <v>46</v>
      </c>
      <c r="C133" s="811"/>
      <c r="D133" s="765"/>
      <c r="E133" s="186" t="s">
        <v>10</v>
      </c>
      <c r="F133" s="187" t="str">
        <f t="shared" si="4"/>
        <v>IB2102E</v>
      </c>
      <c r="G133" s="246"/>
      <c r="H133" s="247"/>
      <c r="I133" s="247"/>
      <c r="J133" s="248"/>
      <c r="K133" s="190"/>
      <c r="L133" s="209"/>
      <c r="M133" s="190"/>
      <c r="N133" s="186" t="s">
        <v>11</v>
      </c>
      <c r="O133" s="195" t="str">
        <f t="shared" si="5"/>
        <v>OB2102E</v>
      </c>
      <c r="P133" s="254"/>
      <c r="Q133" s="255"/>
      <c r="R133" s="255"/>
      <c r="S133" s="256"/>
      <c r="T133" s="190"/>
      <c r="U133" s="191"/>
      <c r="V133" s="909"/>
      <c r="W133" s="909"/>
      <c r="X133" s="193"/>
      <c r="Y133" s="182"/>
      <c r="Z133" s="182"/>
      <c r="AA133" s="182"/>
      <c r="AB133" s="182"/>
      <c r="AC133" s="210"/>
      <c r="AD133" s="182"/>
      <c r="AE133" s="182"/>
      <c r="AF133" s="211"/>
    </row>
    <row r="134" spans="2:32" ht="17.25" customHeight="1">
      <c r="B134" s="180">
        <v>47</v>
      </c>
      <c r="C134" s="928"/>
      <c r="D134" s="765"/>
      <c r="E134" s="186" t="s">
        <v>10</v>
      </c>
      <c r="F134" s="187" t="str">
        <f t="shared" si="4"/>
        <v>IB2102F</v>
      </c>
      <c r="G134" s="246"/>
      <c r="H134" s="247"/>
      <c r="I134" s="247"/>
      <c r="J134" s="248"/>
      <c r="K134" s="190"/>
      <c r="L134" s="209"/>
      <c r="M134" s="190"/>
      <c r="N134" s="186" t="s">
        <v>11</v>
      </c>
      <c r="O134" s="195" t="str">
        <f t="shared" si="5"/>
        <v>OB2102F</v>
      </c>
      <c r="P134" s="254"/>
      <c r="Q134" s="255"/>
      <c r="R134" s="255"/>
      <c r="S134" s="256"/>
      <c r="T134" s="190"/>
      <c r="U134" s="191"/>
      <c r="V134" s="909"/>
      <c r="W134" s="909"/>
      <c r="X134" s="193"/>
      <c r="Y134" s="182"/>
      <c r="Z134" s="182"/>
      <c r="AA134" s="182"/>
      <c r="AB134" s="182"/>
      <c r="AC134" s="210"/>
      <c r="AD134" s="182"/>
      <c r="AE134" s="182"/>
      <c r="AF134" s="211"/>
    </row>
    <row r="135" spans="2:32" ht="17.25" customHeight="1">
      <c r="B135" s="180">
        <v>48</v>
      </c>
      <c r="C135" s="927" t="s">
        <v>30</v>
      </c>
      <c r="D135" s="940" t="s">
        <v>72</v>
      </c>
      <c r="E135" s="186" t="s">
        <v>10</v>
      </c>
      <c r="F135" s="187" t="str">
        <f t="shared" si="4"/>
        <v>IB21030</v>
      </c>
      <c r="G135" s="87" t="s">
        <v>619</v>
      </c>
      <c r="H135" s="581"/>
      <c r="I135" s="581"/>
      <c r="J135" s="282"/>
      <c r="K135" s="190" t="s">
        <v>1513</v>
      </c>
      <c r="L135" s="209"/>
      <c r="M135" s="190"/>
      <c r="N135" s="186" t="s">
        <v>11</v>
      </c>
      <c r="O135" s="195" t="str">
        <f t="shared" si="5"/>
        <v>OB21030</v>
      </c>
      <c r="P135" s="254"/>
      <c r="Q135" s="255"/>
      <c r="R135" s="255"/>
      <c r="S135" s="256"/>
      <c r="T135" s="190"/>
      <c r="U135" s="191"/>
      <c r="V135" s="941"/>
      <c r="W135" s="909"/>
      <c r="X135" s="193"/>
      <c r="Y135" s="182"/>
      <c r="Z135" s="182"/>
      <c r="AA135" s="182"/>
      <c r="AB135" s="182"/>
      <c r="AC135" s="210"/>
      <c r="AD135" s="182"/>
      <c r="AE135" s="182"/>
      <c r="AF135" s="211"/>
    </row>
    <row r="136" spans="2:32" ht="17.25" customHeight="1">
      <c r="B136" s="180">
        <v>49</v>
      </c>
      <c r="C136" s="811"/>
      <c r="D136" s="765"/>
      <c r="E136" s="186" t="s">
        <v>10</v>
      </c>
      <c r="F136" s="187" t="str">
        <f t="shared" si="4"/>
        <v>IB21031</v>
      </c>
      <c r="G136" s="87" t="s">
        <v>620</v>
      </c>
      <c r="H136" s="581"/>
      <c r="I136" s="581"/>
      <c r="J136" s="282"/>
      <c r="K136" s="190" t="s">
        <v>1513</v>
      </c>
      <c r="L136" s="209"/>
      <c r="M136" s="190"/>
      <c r="N136" s="186" t="s">
        <v>11</v>
      </c>
      <c r="O136" s="195" t="str">
        <f>LEFT(O135,1)&amp;DEC2HEX(HEX2DEC(MID(O135,2,LENB(O135)-1))+1,LENB(O135)-1)</f>
        <v>OB21031</v>
      </c>
      <c r="P136" s="254"/>
      <c r="Q136" s="255"/>
      <c r="R136" s="255"/>
      <c r="S136" s="256"/>
      <c r="T136" s="190"/>
      <c r="U136" s="191"/>
      <c r="V136" s="909"/>
      <c r="W136" s="909"/>
      <c r="X136" s="193"/>
      <c r="Y136" s="182"/>
      <c r="Z136" s="182"/>
      <c r="AA136" s="182"/>
      <c r="AB136" s="182"/>
      <c r="AC136" s="210"/>
      <c r="AD136" s="182"/>
      <c r="AE136" s="182"/>
      <c r="AF136" s="211"/>
    </row>
    <row r="137" spans="2:32" ht="17.25" customHeight="1">
      <c r="B137" s="180">
        <v>50</v>
      </c>
      <c r="C137" s="811"/>
      <c r="D137" s="765"/>
      <c r="E137" s="186" t="s">
        <v>10</v>
      </c>
      <c r="F137" s="187" t="str">
        <f t="shared" si="4"/>
        <v>IB21032</v>
      </c>
      <c r="G137" s="87" t="s">
        <v>621</v>
      </c>
      <c r="H137" s="581"/>
      <c r="I137" s="581"/>
      <c r="J137" s="282"/>
      <c r="K137" s="190" t="s">
        <v>1513</v>
      </c>
      <c r="L137" s="209"/>
      <c r="M137" s="190"/>
      <c r="N137" s="186" t="s">
        <v>11</v>
      </c>
      <c r="O137" s="195" t="str">
        <f t="shared" ref="O137:O200" si="6">LEFT(O136,1)&amp;DEC2HEX(HEX2DEC(MID(O136,2,LENB(O136)-1))+1,LENB(O136)-1)</f>
        <v>OB21032</v>
      </c>
      <c r="P137" s="254"/>
      <c r="Q137" s="255"/>
      <c r="R137" s="255"/>
      <c r="S137" s="256"/>
      <c r="T137" s="190"/>
      <c r="U137" s="191"/>
      <c r="V137" s="909"/>
      <c r="W137" s="909"/>
      <c r="X137" s="193"/>
      <c r="Y137" s="182"/>
      <c r="Z137" s="182"/>
      <c r="AA137" s="182"/>
      <c r="AB137" s="182"/>
      <c r="AC137" s="210"/>
      <c r="AD137" s="182"/>
      <c r="AE137" s="182"/>
      <c r="AF137" s="211"/>
    </row>
    <row r="138" spans="2:32" ht="17.25" customHeight="1">
      <c r="B138" s="180">
        <v>51</v>
      </c>
      <c r="C138" s="811"/>
      <c r="D138" s="765"/>
      <c r="E138" s="186" t="s">
        <v>10</v>
      </c>
      <c r="F138" s="187" t="str">
        <f t="shared" si="4"/>
        <v>IB21033</v>
      </c>
      <c r="G138" s="87" t="s">
        <v>622</v>
      </c>
      <c r="H138" s="581"/>
      <c r="I138" s="581"/>
      <c r="J138" s="282"/>
      <c r="K138" s="190" t="s">
        <v>1513</v>
      </c>
      <c r="L138" s="209"/>
      <c r="M138" s="190"/>
      <c r="N138" s="186" t="s">
        <v>11</v>
      </c>
      <c r="O138" s="195" t="str">
        <f t="shared" si="6"/>
        <v>OB21033</v>
      </c>
      <c r="P138" s="254"/>
      <c r="Q138" s="255"/>
      <c r="R138" s="255"/>
      <c r="S138" s="256"/>
      <c r="T138" s="190"/>
      <c r="U138" s="191"/>
      <c r="V138" s="909"/>
      <c r="W138" s="909"/>
      <c r="X138" s="193"/>
      <c r="Y138" s="182"/>
      <c r="Z138" s="182"/>
      <c r="AA138" s="182"/>
      <c r="AB138" s="182"/>
      <c r="AC138" s="210"/>
      <c r="AD138" s="182"/>
      <c r="AE138" s="182"/>
      <c r="AF138" s="211"/>
    </row>
    <row r="139" spans="2:32" ht="17.25" customHeight="1">
      <c r="B139" s="180">
        <v>52</v>
      </c>
      <c r="C139" s="811"/>
      <c r="D139" s="765"/>
      <c r="E139" s="186" t="s">
        <v>10</v>
      </c>
      <c r="F139" s="187" t="str">
        <f t="shared" si="4"/>
        <v>IB21034</v>
      </c>
      <c r="G139" s="87" t="s">
        <v>623</v>
      </c>
      <c r="H139" s="581"/>
      <c r="I139" s="581"/>
      <c r="J139" s="282"/>
      <c r="K139" s="190" t="s">
        <v>1513</v>
      </c>
      <c r="L139" s="209"/>
      <c r="M139" s="190"/>
      <c r="N139" s="186" t="s">
        <v>11</v>
      </c>
      <c r="O139" s="195" t="str">
        <f t="shared" si="6"/>
        <v>OB21034</v>
      </c>
      <c r="P139" s="254"/>
      <c r="Q139" s="255"/>
      <c r="R139" s="255"/>
      <c r="S139" s="256"/>
      <c r="T139" s="190"/>
      <c r="U139" s="191"/>
      <c r="V139" s="909"/>
      <c r="W139" s="909"/>
      <c r="X139" s="182"/>
      <c r="Y139" s="182"/>
      <c r="Z139" s="182"/>
      <c r="AA139" s="182"/>
      <c r="AB139" s="182"/>
      <c r="AC139" s="210"/>
      <c r="AD139" s="182"/>
      <c r="AE139" s="182"/>
      <c r="AF139" s="211"/>
    </row>
    <row r="140" spans="2:32" ht="17.25" customHeight="1">
      <c r="B140" s="180">
        <v>53</v>
      </c>
      <c r="C140" s="811"/>
      <c r="D140" s="765"/>
      <c r="E140" s="186" t="s">
        <v>10</v>
      </c>
      <c r="F140" s="187" t="str">
        <f t="shared" si="4"/>
        <v>IB21035</v>
      </c>
      <c r="G140" s="87" t="s">
        <v>624</v>
      </c>
      <c r="H140" s="581"/>
      <c r="I140" s="581"/>
      <c r="J140" s="282"/>
      <c r="K140" s="190" t="s">
        <v>1513</v>
      </c>
      <c r="L140" s="209"/>
      <c r="M140" s="190"/>
      <c r="N140" s="186" t="s">
        <v>11</v>
      </c>
      <c r="O140" s="195" t="str">
        <f t="shared" si="6"/>
        <v>OB21035</v>
      </c>
      <c r="P140" s="254"/>
      <c r="Q140" s="255"/>
      <c r="R140" s="255"/>
      <c r="S140" s="256"/>
      <c r="T140" s="190"/>
      <c r="U140" s="191"/>
      <c r="V140" s="909"/>
      <c r="W140" s="909"/>
      <c r="X140" s="182"/>
      <c r="Y140" s="182"/>
      <c r="Z140" s="182"/>
      <c r="AA140" s="182"/>
      <c r="AB140" s="182"/>
      <c r="AC140" s="210"/>
      <c r="AD140" s="182"/>
      <c r="AE140" s="182"/>
      <c r="AF140" s="211"/>
    </row>
    <row r="141" spans="2:32" ht="17.25" customHeight="1">
      <c r="B141" s="180">
        <v>54</v>
      </c>
      <c r="C141" s="811"/>
      <c r="D141" s="765"/>
      <c r="E141" s="186" t="s">
        <v>10</v>
      </c>
      <c r="F141" s="187" t="str">
        <f t="shared" si="4"/>
        <v>IB21036</v>
      </c>
      <c r="G141" s="243"/>
      <c r="H141" s="244"/>
      <c r="I141" s="244"/>
      <c r="J141" s="245"/>
      <c r="K141" s="190"/>
      <c r="L141" s="209"/>
      <c r="M141" s="190"/>
      <c r="N141" s="186" t="s">
        <v>11</v>
      </c>
      <c r="O141" s="195" t="str">
        <f t="shared" si="6"/>
        <v>OB21036</v>
      </c>
      <c r="P141" s="254"/>
      <c r="Q141" s="255"/>
      <c r="R141" s="255"/>
      <c r="S141" s="256"/>
      <c r="T141" s="190"/>
      <c r="U141" s="191"/>
      <c r="V141" s="909"/>
      <c r="W141" s="909"/>
      <c r="X141" s="193"/>
      <c r="Y141" s="182"/>
      <c r="Z141" s="182"/>
      <c r="AA141" s="182"/>
      <c r="AB141" s="182"/>
      <c r="AC141" s="210"/>
      <c r="AD141" s="182"/>
      <c r="AE141" s="182"/>
      <c r="AF141" s="211"/>
    </row>
    <row r="142" spans="2:32" ht="17.25" customHeight="1">
      <c r="B142" s="180">
        <v>55</v>
      </c>
      <c r="C142" s="811"/>
      <c r="D142" s="765"/>
      <c r="E142" s="186" t="s">
        <v>10</v>
      </c>
      <c r="F142" s="187" t="str">
        <f t="shared" si="4"/>
        <v>IB21037</v>
      </c>
      <c r="G142" s="243"/>
      <c r="H142" s="244"/>
      <c r="I142" s="244"/>
      <c r="J142" s="245"/>
      <c r="K142" s="190"/>
      <c r="L142" s="209"/>
      <c r="M142" s="190"/>
      <c r="N142" s="186" t="s">
        <v>11</v>
      </c>
      <c r="O142" s="195" t="str">
        <f t="shared" si="6"/>
        <v>OB21037</v>
      </c>
      <c r="P142" s="254"/>
      <c r="Q142" s="255"/>
      <c r="R142" s="255"/>
      <c r="S142" s="256"/>
      <c r="T142" s="190"/>
      <c r="U142" s="191"/>
      <c r="V142" s="909"/>
      <c r="W142" s="909"/>
      <c r="X142" s="193"/>
      <c r="Y142" s="182"/>
      <c r="Z142" s="182"/>
      <c r="AA142" s="182"/>
      <c r="AB142" s="182"/>
      <c r="AC142" s="210"/>
      <c r="AD142" s="182"/>
      <c r="AE142" s="182"/>
      <c r="AF142" s="211"/>
    </row>
    <row r="143" spans="2:32" ht="17.25" customHeight="1">
      <c r="B143" s="180">
        <v>56</v>
      </c>
      <c r="C143" s="811"/>
      <c r="D143" s="765"/>
      <c r="E143" s="186" t="s">
        <v>10</v>
      </c>
      <c r="F143" s="187" t="str">
        <f t="shared" si="4"/>
        <v>IB21038</v>
      </c>
      <c r="G143" s="108" t="s">
        <v>625</v>
      </c>
      <c r="H143" s="244"/>
      <c r="I143" s="244"/>
      <c r="J143" s="245"/>
      <c r="K143" s="190" t="s">
        <v>1513</v>
      </c>
      <c r="L143" s="209"/>
      <c r="M143" s="190"/>
      <c r="N143" s="186" t="s">
        <v>11</v>
      </c>
      <c r="O143" s="195" t="str">
        <f t="shared" si="6"/>
        <v>OB21038</v>
      </c>
      <c r="P143" s="254"/>
      <c r="Q143" s="255"/>
      <c r="R143" s="255"/>
      <c r="S143" s="256"/>
      <c r="T143" s="190"/>
      <c r="U143" s="191"/>
      <c r="V143" s="909"/>
      <c r="W143" s="909"/>
      <c r="X143" s="193"/>
      <c r="Y143" s="182"/>
      <c r="Z143" s="182"/>
      <c r="AA143" s="182"/>
      <c r="AB143" s="182"/>
      <c r="AC143" s="210"/>
      <c r="AD143" s="182"/>
      <c r="AE143" s="182"/>
      <c r="AF143" s="211"/>
    </row>
    <row r="144" spans="2:32" ht="17.25" customHeight="1">
      <c r="B144" s="180">
        <v>57</v>
      </c>
      <c r="C144" s="811"/>
      <c r="D144" s="765"/>
      <c r="E144" s="186" t="s">
        <v>10</v>
      </c>
      <c r="F144" s="187" t="str">
        <f t="shared" si="4"/>
        <v>IB21039</v>
      </c>
      <c r="G144" s="243"/>
      <c r="H144" s="244"/>
      <c r="I144" s="244"/>
      <c r="J144" s="245"/>
      <c r="K144" s="190"/>
      <c r="L144" s="191"/>
      <c r="M144" s="609"/>
      <c r="N144" s="186" t="s">
        <v>11</v>
      </c>
      <c r="O144" s="195" t="str">
        <f t="shared" si="6"/>
        <v>OB21039</v>
      </c>
      <c r="P144" s="254"/>
      <c r="Q144" s="255"/>
      <c r="R144" s="255"/>
      <c r="S144" s="256"/>
      <c r="T144" s="190"/>
      <c r="U144" s="191"/>
      <c r="V144" s="909"/>
      <c r="W144" s="909"/>
      <c r="X144" s="193"/>
      <c r="Y144" s="182"/>
      <c r="Z144" s="182"/>
      <c r="AA144" s="182"/>
      <c r="AB144" s="182"/>
      <c r="AC144" s="210"/>
      <c r="AD144" s="182"/>
      <c r="AE144" s="182"/>
      <c r="AF144" s="211"/>
    </row>
    <row r="145" spans="2:32" ht="17.25" customHeight="1">
      <c r="B145" s="180">
        <v>58</v>
      </c>
      <c r="C145" s="811"/>
      <c r="D145" s="765"/>
      <c r="E145" s="186" t="s">
        <v>10</v>
      </c>
      <c r="F145" s="187" t="str">
        <f t="shared" si="4"/>
        <v>IB2103A</v>
      </c>
      <c r="G145" s="243"/>
      <c r="H145" s="244"/>
      <c r="I145" s="244"/>
      <c r="J145" s="245"/>
      <c r="K145" s="190"/>
      <c r="L145" s="191"/>
      <c r="M145" s="609"/>
      <c r="N145" s="186" t="s">
        <v>11</v>
      </c>
      <c r="O145" s="195" t="str">
        <f t="shared" si="6"/>
        <v>OB2103A</v>
      </c>
      <c r="P145" s="254"/>
      <c r="Q145" s="255"/>
      <c r="R145" s="255"/>
      <c r="S145" s="256"/>
      <c r="T145" s="190"/>
      <c r="U145" s="191"/>
      <c r="V145" s="909"/>
      <c r="W145" s="909"/>
      <c r="X145" s="193"/>
      <c r="Y145" s="182"/>
      <c r="Z145" s="182"/>
      <c r="AA145" s="182"/>
      <c r="AB145" s="182"/>
      <c r="AC145" s="210"/>
      <c r="AD145" s="182"/>
      <c r="AE145" s="182"/>
      <c r="AF145" s="211"/>
    </row>
    <row r="146" spans="2:32" ht="17.25" customHeight="1">
      <c r="B146" s="180">
        <v>59</v>
      </c>
      <c r="C146" s="811"/>
      <c r="D146" s="765"/>
      <c r="E146" s="186" t="s">
        <v>10</v>
      </c>
      <c r="F146" s="187" t="str">
        <f t="shared" si="4"/>
        <v>IB2103B</v>
      </c>
      <c r="G146" s="243"/>
      <c r="H146" s="244"/>
      <c r="I146" s="244"/>
      <c r="J146" s="245"/>
      <c r="K146" s="190"/>
      <c r="L146" s="209"/>
      <c r="M146" s="190"/>
      <c r="N146" s="186" t="s">
        <v>11</v>
      </c>
      <c r="O146" s="195" t="str">
        <f t="shared" si="6"/>
        <v>OB2103B</v>
      </c>
      <c r="P146" s="254"/>
      <c r="Q146" s="255"/>
      <c r="R146" s="255"/>
      <c r="S146" s="256"/>
      <c r="T146" s="190"/>
      <c r="U146" s="191"/>
      <c r="V146" s="909"/>
      <c r="W146" s="909"/>
      <c r="X146" s="182"/>
      <c r="Y146" s="182"/>
      <c r="Z146" s="182"/>
      <c r="AA146" s="182"/>
      <c r="AB146" s="182"/>
      <c r="AC146" s="210"/>
      <c r="AD146" s="182"/>
      <c r="AE146" s="182"/>
      <c r="AF146" s="211"/>
    </row>
    <row r="147" spans="2:32" ht="17.25" customHeight="1">
      <c r="B147" s="180">
        <v>60</v>
      </c>
      <c r="C147" s="811"/>
      <c r="D147" s="765"/>
      <c r="E147" s="186" t="s">
        <v>10</v>
      </c>
      <c r="F147" s="187" t="str">
        <f t="shared" si="4"/>
        <v>IB2103C</v>
      </c>
      <c r="G147" s="243"/>
      <c r="H147" s="244"/>
      <c r="I147" s="244"/>
      <c r="J147" s="245"/>
      <c r="K147" s="190"/>
      <c r="L147" s="209"/>
      <c r="M147" s="190"/>
      <c r="N147" s="186" t="s">
        <v>11</v>
      </c>
      <c r="O147" s="195" t="str">
        <f t="shared" si="6"/>
        <v>OB2103C</v>
      </c>
      <c r="P147" s="254"/>
      <c r="Q147" s="255"/>
      <c r="R147" s="255"/>
      <c r="S147" s="256"/>
      <c r="T147" s="190"/>
      <c r="U147" s="191"/>
      <c r="V147" s="909"/>
      <c r="W147" s="909"/>
      <c r="X147" s="182"/>
      <c r="Y147" s="182"/>
      <c r="Z147" s="182"/>
      <c r="AA147" s="182"/>
      <c r="AB147" s="182"/>
      <c r="AC147" s="210"/>
      <c r="AD147" s="182"/>
      <c r="AE147" s="182"/>
      <c r="AF147" s="211"/>
    </row>
    <row r="148" spans="2:32" ht="17.25" customHeight="1">
      <c r="B148" s="180">
        <v>61</v>
      </c>
      <c r="C148" s="811"/>
      <c r="D148" s="765"/>
      <c r="E148" s="186" t="s">
        <v>10</v>
      </c>
      <c r="F148" s="187" t="str">
        <f t="shared" si="4"/>
        <v>IB2103D</v>
      </c>
      <c r="G148" s="243"/>
      <c r="H148" s="244"/>
      <c r="I148" s="244"/>
      <c r="J148" s="245"/>
      <c r="K148" s="182"/>
      <c r="L148" s="188"/>
      <c r="M148" s="182"/>
      <c r="N148" s="186" t="s">
        <v>11</v>
      </c>
      <c r="O148" s="195" t="str">
        <f t="shared" si="6"/>
        <v>OB2103D</v>
      </c>
      <c r="P148" s="254"/>
      <c r="Q148" s="255"/>
      <c r="R148" s="255"/>
      <c r="S148" s="256"/>
      <c r="T148" s="190"/>
      <c r="U148" s="191"/>
      <c r="V148" s="909"/>
      <c r="W148" s="909"/>
      <c r="X148" s="182"/>
      <c r="Y148" s="182"/>
      <c r="Z148" s="182"/>
      <c r="AA148" s="182"/>
      <c r="AB148" s="182"/>
      <c r="AC148" s="210"/>
      <c r="AD148" s="182"/>
      <c r="AE148" s="182"/>
      <c r="AF148" s="211"/>
    </row>
    <row r="149" spans="2:32" ht="17.25" customHeight="1">
      <c r="B149" s="180">
        <v>62</v>
      </c>
      <c r="C149" s="811"/>
      <c r="D149" s="765"/>
      <c r="E149" s="186" t="s">
        <v>10</v>
      </c>
      <c r="F149" s="187" t="str">
        <f t="shared" si="4"/>
        <v>IB2103E</v>
      </c>
      <c r="G149" s="243"/>
      <c r="H149" s="244"/>
      <c r="I149" s="244"/>
      <c r="J149" s="245"/>
      <c r="K149" s="182"/>
      <c r="L149" s="212"/>
      <c r="M149" s="639"/>
      <c r="N149" s="186" t="s">
        <v>11</v>
      </c>
      <c r="O149" s="195" t="str">
        <f t="shared" si="6"/>
        <v>OB2103E</v>
      </c>
      <c r="P149" s="254"/>
      <c r="Q149" s="255"/>
      <c r="R149" s="255"/>
      <c r="S149" s="256"/>
      <c r="T149" s="190"/>
      <c r="U149" s="191"/>
      <c r="V149" s="909"/>
      <c r="W149" s="909"/>
      <c r="X149" s="182"/>
      <c r="Y149" s="182"/>
      <c r="Z149" s="182"/>
      <c r="AA149" s="182"/>
      <c r="AB149" s="182"/>
      <c r="AC149" s="210"/>
      <c r="AD149" s="182"/>
      <c r="AE149" s="182"/>
      <c r="AF149" s="211"/>
    </row>
    <row r="150" spans="2:32" ht="17.25" customHeight="1">
      <c r="B150" s="180">
        <v>63</v>
      </c>
      <c r="C150" s="928"/>
      <c r="D150" s="765"/>
      <c r="E150" s="186" t="s">
        <v>10</v>
      </c>
      <c r="F150" s="187" t="str">
        <f t="shared" si="4"/>
        <v>IB2103F</v>
      </c>
      <c r="G150" s="243"/>
      <c r="H150" s="244"/>
      <c r="I150" s="244"/>
      <c r="J150" s="245"/>
      <c r="K150" s="182"/>
      <c r="L150" s="212"/>
      <c r="M150" s="639"/>
      <c r="N150" s="186" t="s">
        <v>11</v>
      </c>
      <c r="O150" s="195" t="str">
        <f t="shared" si="6"/>
        <v>OB2103F</v>
      </c>
      <c r="P150" s="254"/>
      <c r="Q150" s="255"/>
      <c r="R150" s="255"/>
      <c r="S150" s="256"/>
      <c r="T150" s="190"/>
      <c r="U150" s="191"/>
      <c r="V150" s="909"/>
      <c r="W150" s="909"/>
      <c r="X150" s="182"/>
      <c r="Y150" s="182"/>
      <c r="Z150" s="182"/>
      <c r="AA150" s="182"/>
      <c r="AB150" s="182"/>
      <c r="AC150" s="210"/>
      <c r="AD150" s="182"/>
      <c r="AE150" s="182"/>
      <c r="AF150" s="211"/>
    </row>
    <row r="151" spans="2:32" ht="17.25" customHeight="1">
      <c r="B151" s="180">
        <v>64</v>
      </c>
      <c r="C151" s="925" t="s">
        <v>1561</v>
      </c>
      <c r="D151" s="940" t="s">
        <v>72</v>
      </c>
      <c r="E151" s="186" t="s">
        <v>10</v>
      </c>
      <c r="F151" s="187" t="str">
        <f t="shared" si="4"/>
        <v>IB21040</v>
      </c>
      <c r="G151" s="271"/>
      <c r="H151" s="272"/>
      <c r="I151" s="272"/>
      <c r="J151" s="273"/>
      <c r="K151" s="190"/>
      <c r="L151" s="209"/>
      <c r="M151" s="190"/>
      <c r="N151" s="186" t="s">
        <v>11</v>
      </c>
      <c r="O151" s="195" t="str">
        <f t="shared" si="6"/>
        <v>OB21040</v>
      </c>
      <c r="P151" s="463" t="s">
        <v>949</v>
      </c>
      <c r="Q151" s="250"/>
      <c r="R151" s="250"/>
      <c r="S151" s="251"/>
      <c r="T151" s="190" t="s">
        <v>1513</v>
      </c>
      <c r="U151" s="191"/>
      <c r="V151" s="909"/>
      <c r="W151" s="909"/>
      <c r="X151" s="193"/>
      <c r="Y151" s="182"/>
      <c r="Z151" s="182"/>
      <c r="AA151" s="182"/>
      <c r="AB151" s="182"/>
      <c r="AC151" s="210"/>
      <c r="AD151" s="182"/>
      <c r="AE151" s="182"/>
      <c r="AF151" s="211"/>
    </row>
    <row r="152" spans="2:32" ht="17.25" customHeight="1">
      <c r="B152" s="180">
        <v>65</v>
      </c>
      <c r="C152" s="816"/>
      <c r="D152" s="765"/>
      <c r="E152" s="186" t="s">
        <v>10</v>
      </c>
      <c r="F152" s="187" t="str">
        <f t="shared" si="4"/>
        <v>IB21041</v>
      </c>
      <c r="G152" s="271"/>
      <c r="H152" s="272"/>
      <c r="I152" s="272"/>
      <c r="J152" s="273"/>
      <c r="K152" s="190"/>
      <c r="L152" s="209"/>
      <c r="M152" s="190"/>
      <c r="N152" s="186" t="s">
        <v>11</v>
      </c>
      <c r="O152" s="195" t="str">
        <f t="shared" si="6"/>
        <v>OB21041</v>
      </c>
      <c r="P152" s="249"/>
      <c r="Q152" s="250"/>
      <c r="R152" s="250"/>
      <c r="S152" s="251"/>
      <c r="T152" s="190"/>
      <c r="U152" s="191"/>
      <c r="V152" s="909"/>
      <c r="W152" s="909"/>
      <c r="X152" s="193"/>
      <c r="Y152" s="182"/>
      <c r="Z152" s="182"/>
      <c r="AA152" s="182"/>
      <c r="AB152" s="182"/>
      <c r="AC152" s="210"/>
      <c r="AD152" s="182"/>
      <c r="AE152" s="182"/>
      <c r="AF152" s="211"/>
    </row>
    <row r="153" spans="2:32" ht="17.25" customHeight="1">
      <c r="B153" s="180">
        <v>66</v>
      </c>
      <c r="C153" s="816"/>
      <c r="D153" s="765"/>
      <c r="E153" s="186" t="s">
        <v>10</v>
      </c>
      <c r="F153" s="187" t="str">
        <f t="shared" ref="F153:F216" si="7">LEFT(F152,1)&amp;DEC2HEX(HEX2DEC(MID(F152,2,LENB(F152)-1))+1,LENB(F152)-1)</f>
        <v>IB21042</v>
      </c>
      <c r="G153" s="271"/>
      <c r="H153" s="272"/>
      <c r="I153" s="272"/>
      <c r="J153" s="273"/>
      <c r="K153" s="190"/>
      <c r="L153" s="209"/>
      <c r="M153" s="190"/>
      <c r="N153" s="186" t="s">
        <v>11</v>
      </c>
      <c r="O153" s="195" t="str">
        <f t="shared" si="6"/>
        <v>OB21042</v>
      </c>
      <c r="P153" s="463" t="s">
        <v>938</v>
      </c>
      <c r="Q153" s="250"/>
      <c r="R153" s="250"/>
      <c r="S153" s="251"/>
      <c r="T153" s="190" t="s">
        <v>1513</v>
      </c>
      <c r="U153" s="191"/>
      <c r="V153" s="909"/>
      <c r="W153" s="909"/>
      <c r="X153" s="193"/>
      <c r="Y153" s="182"/>
      <c r="Z153" s="182"/>
      <c r="AA153" s="182"/>
      <c r="AB153" s="182"/>
      <c r="AC153" s="210"/>
      <c r="AD153" s="182"/>
      <c r="AE153" s="182"/>
      <c r="AF153" s="211"/>
    </row>
    <row r="154" spans="2:32" ht="17.25" customHeight="1">
      <c r="B154" s="180">
        <v>67</v>
      </c>
      <c r="C154" s="816"/>
      <c r="D154" s="765"/>
      <c r="E154" s="186" t="s">
        <v>10</v>
      </c>
      <c r="F154" s="187" t="str">
        <f t="shared" si="7"/>
        <v>IB21043</v>
      </c>
      <c r="G154" s="271"/>
      <c r="H154" s="272"/>
      <c r="I154" s="272"/>
      <c r="J154" s="273"/>
      <c r="K154" s="190"/>
      <c r="L154" s="209"/>
      <c r="M154" s="190"/>
      <c r="N154" s="186" t="s">
        <v>11</v>
      </c>
      <c r="O154" s="195" t="str">
        <f t="shared" si="6"/>
        <v>OB21043</v>
      </c>
      <c r="P154" s="463" t="s">
        <v>939</v>
      </c>
      <c r="Q154" s="250"/>
      <c r="R154" s="250"/>
      <c r="S154" s="251"/>
      <c r="T154" s="190" t="s">
        <v>1513</v>
      </c>
      <c r="U154" s="191"/>
      <c r="V154" s="909"/>
      <c r="W154" s="909"/>
      <c r="X154" s="193"/>
      <c r="Y154" s="182"/>
      <c r="Z154" s="182"/>
      <c r="AA154" s="182"/>
      <c r="AB154" s="182"/>
      <c r="AC154" s="210"/>
      <c r="AD154" s="182"/>
      <c r="AE154" s="182"/>
      <c r="AF154" s="211"/>
    </row>
    <row r="155" spans="2:32" ht="17.25" customHeight="1">
      <c r="B155" s="180">
        <v>68</v>
      </c>
      <c r="C155" s="816"/>
      <c r="D155" s="765"/>
      <c r="E155" s="186" t="s">
        <v>10</v>
      </c>
      <c r="F155" s="187" t="str">
        <f t="shared" si="7"/>
        <v>IB21044</v>
      </c>
      <c r="G155" s="271"/>
      <c r="H155" s="272"/>
      <c r="I155" s="272"/>
      <c r="J155" s="273"/>
      <c r="K155" s="190"/>
      <c r="L155" s="209"/>
      <c r="M155" s="190"/>
      <c r="N155" s="186" t="s">
        <v>11</v>
      </c>
      <c r="O155" s="195" t="str">
        <f t="shared" si="6"/>
        <v>OB21044</v>
      </c>
      <c r="P155" s="463" t="s">
        <v>940</v>
      </c>
      <c r="Q155" s="250"/>
      <c r="R155" s="250"/>
      <c r="S155" s="251"/>
      <c r="T155" s="190" t="s">
        <v>1513</v>
      </c>
      <c r="U155" s="191"/>
      <c r="V155" s="909"/>
      <c r="W155" s="909"/>
      <c r="X155" s="193"/>
      <c r="Y155" s="182"/>
      <c r="Z155" s="182"/>
      <c r="AA155" s="182"/>
      <c r="AB155" s="182"/>
      <c r="AC155" s="210"/>
      <c r="AD155" s="182"/>
      <c r="AE155" s="182"/>
      <c r="AF155" s="211"/>
    </row>
    <row r="156" spans="2:32" ht="17.25" customHeight="1">
      <c r="B156" s="180">
        <v>69</v>
      </c>
      <c r="C156" s="816"/>
      <c r="D156" s="765"/>
      <c r="E156" s="186" t="s">
        <v>10</v>
      </c>
      <c r="F156" s="187" t="str">
        <f t="shared" si="7"/>
        <v>IB21045</v>
      </c>
      <c r="G156" s="271"/>
      <c r="H156" s="272"/>
      <c r="I156" s="272"/>
      <c r="J156" s="273"/>
      <c r="K156" s="190"/>
      <c r="L156" s="209"/>
      <c r="M156" s="190"/>
      <c r="N156" s="186" t="s">
        <v>11</v>
      </c>
      <c r="O156" s="195" t="str">
        <f t="shared" si="6"/>
        <v>OB21045</v>
      </c>
      <c r="P156" s="463" t="s">
        <v>941</v>
      </c>
      <c r="Q156" s="250"/>
      <c r="R156" s="250"/>
      <c r="S156" s="251"/>
      <c r="T156" s="190" t="s">
        <v>1513</v>
      </c>
      <c r="U156" s="191"/>
      <c r="V156" s="909"/>
      <c r="W156" s="909"/>
      <c r="X156" s="193"/>
      <c r="Y156" s="182"/>
      <c r="Z156" s="182"/>
      <c r="AA156" s="182"/>
      <c r="AB156" s="182"/>
      <c r="AC156" s="210"/>
      <c r="AD156" s="182"/>
      <c r="AE156" s="182"/>
      <c r="AF156" s="211"/>
    </row>
    <row r="157" spans="2:32" ht="17.25" customHeight="1">
      <c r="B157" s="180">
        <v>70</v>
      </c>
      <c r="C157" s="816"/>
      <c r="D157" s="765"/>
      <c r="E157" s="186" t="s">
        <v>10</v>
      </c>
      <c r="F157" s="187" t="str">
        <f t="shared" si="7"/>
        <v>IB21046</v>
      </c>
      <c r="G157" s="271"/>
      <c r="H157" s="272"/>
      <c r="I157" s="272"/>
      <c r="J157" s="273"/>
      <c r="K157" s="190"/>
      <c r="L157" s="209"/>
      <c r="M157" s="190"/>
      <c r="N157" s="186" t="s">
        <v>11</v>
      </c>
      <c r="O157" s="195" t="str">
        <f t="shared" si="6"/>
        <v>OB21046</v>
      </c>
      <c r="P157" s="463" t="s">
        <v>942</v>
      </c>
      <c r="Q157" s="250"/>
      <c r="R157" s="250"/>
      <c r="S157" s="251"/>
      <c r="T157" s="190" t="s">
        <v>1513</v>
      </c>
      <c r="U157" s="191"/>
      <c r="V157" s="909"/>
      <c r="W157" s="909"/>
      <c r="X157" s="182"/>
      <c r="Y157" s="182"/>
      <c r="Z157" s="182"/>
      <c r="AA157" s="182"/>
      <c r="AB157" s="182"/>
      <c r="AC157" s="210"/>
      <c r="AD157" s="182"/>
      <c r="AE157" s="182"/>
      <c r="AF157" s="211"/>
    </row>
    <row r="158" spans="2:32" ht="17.25" customHeight="1">
      <c r="B158" s="180">
        <v>71</v>
      </c>
      <c r="C158" s="816"/>
      <c r="D158" s="765"/>
      <c r="E158" s="186" t="s">
        <v>10</v>
      </c>
      <c r="F158" s="187" t="str">
        <f t="shared" si="7"/>
        <v>IB21047</v>
      </c>
      <c r="G158" s="271"/>
      <c r="H158" s="272"/>
      <c r="I158" s="272"/>
      <c r="J158" s="273"/>
      <c r="K158" s="190"/>
      <c r="L158" s="209"/>
      <c r="M158" s="190"/>
      <c r="N158" s="186" t="s">
        <v>11</v>
      </c>
      <c r="O158" s="195" t="str">
        <f t="shared" si="6"/>
        <v>OB21047</v>
      </c>
      <c r="P158" s="463" t="s">
        <v>943</v>
      </c>
      <c r="Q158" s="250"/>
      <c r="R158" s="250"/>
      <c r="S158" s="251"/>
      <c r="T158" s="190" t="s">
        <v>1513</v>
      </c>
      <c r="U158" s="191"/>
      <c r="V158" s="909"/>
      <c r="W158" s="909"/>
      <c r="X158" s="182"/>
      <c r="Y158" s="182"/>
      <c r="Z158" s="182"/>
      <c r="AA158" s="182"/>
      <c r="AB158" s="182"/>
      <c r="AC158" s="210"/>
      <c r="AD158" s="182"/>
      <c r="AE158" s="182"/>
      <c r="AF158" s="211"/>
    </row>
    <row r="159" spans="2:32" ht="17.25" customHeight="1">
      <c r="B159" s="180">
        <v>72</v>
      </c>
      <c r="C159" s="816"/>
      <c r="D159" s="765"/>
      <c r="E159" s="186" t="s">
        <v>10</v>
      </c>
      <c r="F159" s="187" t="str">
        <f t="shared" si="7"/>
        <v>IB21048</v>
      </c>
      <c r="G159" s="271"/>
      <c r="H159" s="272"/>
      <c r="I159" s="272"/>
      <c r="J159" s="273"/>
      <c r="K159" s="190"/>
      <c r="L159" s="209"/>
      <c r="M159" s="190"/>
      <c r="N159" s="186" t="s">
        <v>11</v>
      </c>
      <c r="O159" s="195" t="str">
        <f t="shared" si="6"/>
        <v>OB21048</v>
      </c>
      <c r="P159" s="463" t="s">
        <v>944</v>
      </c>
      <c r="Q159" s="250"/>
      <c r="R159" s="250"/>
      <c r="S159" s="251"/>
      <c r="T159" s="190" t="s">
        <v>1513</v>
      </c>
      <c r="U159" s="191"/>
      <c r="V159" s="909"/>
      <c r="W159" s="909"/>
      <c r="X159" s="193"/>
      <c r="Y159" s="182"/>
      <c r="Z159" s="182"/>
      <c r="AA159" s="182"/>
      <c r="AB159" s="182"/>
      <c r="AC159" s="210"/>
      <c r="AD159" s="182"/>
      <c r="AE159" s="182"/>
      <c r="AF159" s="211"/>
    </row>
    <row r="160" spans="2:32" ht="17.25" customHeight="1">
      <c r="B160" s="180">
        <v>73</v>
      </c>
      <c r="C160" s="816"/>
      <c r="D160" s="765"/>
      <c r="E160" s="186" t="s">
        <v>10</v>
      </c>
      <c r="F160" s="187" t="str">
        <f t="shared" si="7"/>
        <v>IB21049</v>
      </c>
      <c r="G160" s="271"/>
      <c r="H160" s="272"/>
      <c r="I160" s="272"/>
      <c r="J160" s="273"/>
      <c r="K160" s="182"/>
      <c r="L160" s="212"/>
      <c r="M160" s="639"/>
      <c r="N160" s="186" t="s">
        <v>11</v>
      </c>
      <c r="O160" s="195" t="str">
        <f t="shared" si="6"/>
        <v>OB21049</v>
      </c>
      <c r="P160" s="463" t="s">
        <v>945</v>
      </c>
      <c r="Q160" s="250"/>
      <c r="R160" s="250"/>
      <c r="S160" s="251"/>
      <c r="T160" s="190" t="s">
        <v>1513</v>
      </c>
      <c r="U160" s="191"/>
      <c r="V160" s="909"/>
      <c r="W160" s="909"/>
      <c r="X160" s="193"/>
      <c r="Y160" s="182"/>
      <c r="Z160" s="182"/>
      <c r="AA160" s="182"/>
      <c r="AB160" s="182"/>
      <c r="AC160" s="210"/>
      <c r="AD160" s="182"/>
      <c r="AE160" s="182"/>
      <c r="AF160" s="211"/>
    </row>
    <row r="161" spans="2:32" ht="17.25" customHeight="1">
      <c r="B161" s="180">
        <v>74</v>
      </c>
      <c r="C161" s="816"/>
      <c r="D161" s="765"/>
      <c r="E161" s="186" t="s">
        <v>10</v>
      </c>
      <c r="F161" s="187" t="str">
        <f t="shared" si="7"/>
        <v>IB2104A</v>
      </c>
      <c r="G161" s="271"/>
      <c r="H161" s="272"/>
      <c r="I161" s="272"/>
      <c r="J161" s="273"/>
      <c r="K161" s="182"/>
      <c r="L161" s="212"/>
      <c r="M161" s="639"/>
      <c r="N161" s="186" t="s">
        <v>11</v>
      </c>
      <c r="O161" s="195" t="str">
        <f t="shared" si="6"/>
        <v>OB2104A</v>
      </c>
      <c r="P161" s="249"/>
      <c r="Q161" s="250"/>
      <c r="R161" s="250"/>
      <c r="S161" s="251"/>
      <c r="T161" s="190"/>
      <c r="U161" s="191"/>
      <c r="V161" s="909"/>
      <c r="W161" s="909"/>
      <c r="X161" s="193"/>
      <c r="Y161" s="182"/>
      <c r="Z161" s="182"/>
      <c r="AA161" s="182"/>
      <c r="AB161" s="182"/>
      <c r="AC161" s="210"/>
      <c r="AD161" s="182"/>
      <c r="AE161" s="182"/>
      <c r="AF161" s="211"/>
    </row>
    <row r="162" spans="2:32" ht="17.25" customHeight="1">
      <c r="B162" s="180">
        <v>75</v>
      </c>
      <c r="C162" s="816"/>
      <c r="D162" s="765"/>
      <c r="E162" s="186" t="s">
        <v>10</v>
      </c>
      <c r="F162" s="187" t="str">
        <f t="shared" si="7"/>
        <v>IB2104B</v>
      </c>
      <c r="G162" s="271"/>
      <c r="H162" s="272"/>
      <c r="I162" s="272"/>
      <c r="J162" s="273"/>
      <c r="K162" s="182"/>
      <c r="L162" s="212"/>
      <c r="M162" s="639"/>
      <c r="N162" s="186" t="s">
        <v>11</v>
      </c>
      <c r="O162" s="195" t="str">
        <f t="shared" si="6"/>
        <v>OB2104B</v>
      </c>
      <c r="P162" s="249"/>
      <c r="Q162" s="250"/>
      <c r="R162" s="250"/>
      <c r="S162" s="251"/>
      <c r="T162" s="190"/>
      <c r="U162" s="191"/>
      <c r="V162" s="909"/>
      <c r="W162" s="909"/>
      <c r="X162" s="193"/>
      <c r="Y162" s="182"/>
      <c r="Z162" s="182"/>
      <c r="AA162" s="182"/>
      <c r="AB162" s="182"/>
      <c r="AC162" s="210"/>
      <c r="AD162" s="182"/>
      <c r="AE162" s="182"/>
      <c r="AF162" s="211"/>
    </row>
    <row r="163" spans="2:32" ht="17.25" customHeight="1">
      <c r="B163" s="180">
        <v>76</v>
      </c>
      <c r="C163" s="816"/>
      <c r="D163" s="765"/>
      <c r="E163" s="186" t="s">
        <v>10</v>
      </c>
      <c r="F163" s="187" t="str">
        <f t="shared" si="7"/>
        <v>IB2104C</v>
      </c>
      <c r="G163" s="271"/>
      <c r="H163" s="272"/>
      <c r="I163" s="272"/>
      <c r="J163" s="273"/>
      <c r="K163" s="182"/>
      <c r="L163" s="212"/>
      <c r="M163" s="639"/>
      <c r="N163" s="186" t="s">
        <v>11</v>
      </c>
      <c r="O163" s="195" t="str">
        <f t="shared" si="6"/>
        <v>OB2104C</v>
      </c>
      <c r="P163" s="243" t="s">
        <v>946</v>
      </c>
      <c r="Q163" s="244"/>
      <c r="R163" s="244"/>
      <c r="S163" s="245"/>
      <c r="T163" s="190" t="s">
        <v>1531</v>
      </c>
      <c r="U163" s="209" t="s">
        <v>1513</v>
      </c>
      <c r="V163" s="909"/>
      <c r="W163" s="909"/>
      <c r="X163" s="193"/>
      <c r="Y163" s="182"/>
      <c r="Z163" s="182"/>
      <c r="AA163" s="193"/>
      <c r="AB163" s="182"/>
      <c r="AC163" s="210"/>
      <c r="AD163" s="193"/>
      <c r="AE163" s="182"/>
      <c r="AF163" s="211"/>
    </row>
    <row r="164" spans="2:32" ht="17.25" customHeight="1">
      <c r="B164" s="180">
        <v>77</v>
      </c>
      <c r="C164" s="816"/>
      <c r="D164" s="765"/>
      <c r="E164" s="186" t="s">
        <v>10</v>
      </c>
      <c r="F164" s="187" t="str">
        <f t="shared" si="7"/>
        <v>IB2104D</v>
      </c>
      <c r="G164" s="271"/>
      <c r="H164" s="272"/>
      <c r="I164" s="272"/>
      <c r="J164" s="273"/>
      <c r="K164" s="182"/>
      <c r="L164" s="212"/>
      <c r="M164" s="639"/>
      <c r="N164" s="186" t="s">
        <v>11</v>
      </c>
      <c r="O164" s="195" t="str">
        <f t="shared" si="6"/>
        <v>OB2104D</v>
      </c>
      <c r="P164" s="243" t="s">
        <v>947</v>
      </c>
      <c r="Q164" s="244"/>
      <c r="R164" s="244"/>
      <c r="S164" s="245"/>
      <c r="T164" s="190" t="s">
        <v>1531</v>
      </c>
      <c r="U164" s="209" t="s">
        <v>1513</v>
      </c>
      <c r="V164" s="909"/>
      <c r="W164" s="909"/>
      <c r="X164" s="193"/>
      <c r="Y164" s="182"/>
      <c r="Z164" s="182"/>
      <c r="AA164" s="193"/>
      <c r="AB164" s="182"/>
      <c r="AC164" s="210"/>
      <c r="AD164" s="193"/>
      <c r="AE164" s="182"/>
      <c r="AF164" s="211"/>
    </row>
    <row r="165" spans="2:32" ht="17.25" customHeight="1">
      <c r="B165" s="180">
        <v>78</v>
      </c>
      <c r="C165" s="816"/>
      <c r="D165" s="765"/>
      <c r="E165" s="186" t="s">
        <v>10</v>
      </c>
      <c r="F165" s="187" t="str">
        <f t="shared" si="7"/>
        <v>IB2104E</v>
      </c>
      <c r="G165" s="271"/>
      <c r="H165" s="272"/>
      <c r="I165" s="272"/>
      <c r="J165" s="273"/>
      <c r="K165" s="182"/>
      <c r="L165" s="212"/>
      <c r="M165" s="639"/>
      <c r="N165" s="186" t="s">
        <v>11</v>
      </c>
      <c r="O165" s="195" t="str">
        <f t="shared" si="6"/>
        <v>OB2104E</v>
      </c>
      <c r="P165" s="243" t="s">
        <v>948</v>
      </c>
      <c r="Q165" s="244"/>
      <c r="R165" s="244"/>
      <c r="S165" s="245"/>
      <c r="T165" s="190" t="s">
        <v>1531</v>
      </c>
      <c r="U165" s="209" t="s">
        <v>1513</v>
      </c>
      <c r="V165" s="909"/>
      <c r="W165" s="909"/>
      <c r="X165" s="193"/>
      <c r="Y165" s="182"/>
      <c r="Z165" s="182"/>
      <c r="AA165" s="193"/>
      <c r="AB165" s="182"/>
      <c r="AC165" s="210"/>
      <c r="AD165" s="193"/>
      <c r="AE165" s="182"/>
      <c r="AF165" s="211"/>
    </row>
    <row r="166" spans="2:32" ht="17.25" customHeight="1">
      <c r="B166" s="180">
        <v>79</v>
      </c>
      <c r="C166" s="926"/>
      <c r="D166" s="765"/>
      <c r="E166" s="186" t="s">
        <v>10</v>
      </c>
      <c r="F166" s="187" t="str">
        <f t="shared" si="7"/>
        <v>IB2104F</v>
      </c>
      <c r="G166" s="271"/>
      <c r="H166" s="272"/>
      <c r="I166" s="272"/>
      <c r="J166" s="273"/>
      <c r="K166" s="182"/>
      <c r="L166" s="212"/>
      <c r="M166" s="639"/>
      <c r="N166" s="186" t="s">
        <v>11</v>
      </c>
      <c r="O166" s="195" t="str">
        <f t="shared" si="6"/>
        <v>OB2104F</v>
      </c>
      <c r="P166" s="249"/>
      <c r="Q166" s="250"/>
      <c r="R166" s="250"/>
      <c r="S166" s="251"/>
      <c r="T166" s="190"/>
      <c r="U166" s="191"/>
      <c r="V166" s="909"/>
      <c r="W166" s="909"/>
      <c r="X166" s="193"/>
      <c r="Y166" s="182"/>
      <c r="Z166" s="182"/>
      <c r="AA166" s="193"/>
      <c r="AB166" s="182"/>
      <c r="AC166" s="210"/>
      <c r="AD166" s="193"/>
      <c r="AE166" s="182"/>
      <c r="AF166" s="211"/>
    </row>
    <row r="167" spans="2:32" ht="17.25" customHeight="1">
      <c r="B167" s="180">
        <v>80</v>
      </c>
      <c r="C167" s="927" t="s">
        <v>39</v>
      </c>
      <c r="D167" s="940" t="s">
        <v>72</v>
      </c>
      <c r="E167" s="186" t="s">
        <v>10</v>
      </c>
      <c r="F167" s="187" t="str">
        <f t="shared" si="7"/>
        <v>IB21050</v>
      </c>
      <c r="G167" s="108" t="s">
        <v>626</v>
      </c>
      <c r="H167" s="244"/>
      <c r="I167" s="244"/>
      <c r="J167" s="245"/>
      <c r="K167" s="190" t="s">
        <v>1513</v>
      </c>
      <c r="L167" s="209"/>
      <c r="M167" s="190"/>
      <c r="N167" s="186" t="s">
        <v>11</v>
      </c>
      <c r="O167" s="195" t="str">
        <f t="shared" si="6"/>
        <v>OB21050</v>
      </c>
      <c r="P167" s="268"/>
      <c r="Q167" s="269"/>
      <c r="R167" s="269"/>
      <c r="S167" s="270"/>
      <c r="T167" s="190"/>
      <c r="U167" s="191"/>
      <c r="V167" s="909"/>
      <c r="W167" s="909"/>
      <c r="X167" s="193"/>
      <c r="Y167" s="182"/>
      <c r="Z167" s="182"/>
      <c r="AA167" s="193"/>
      <c r="AB167" s="182"/>
      <c r="AC167" s="210"/>
      <c r="AD167" s="193"/>
      <c r="AE167" s="182"/>
      <c r="AF167" s="211"/>
    </row>
    <row r="168" spans="2:32" ht="17.25" customHeight="1">
      <c r="B168" s="180">
        <v>81</v>
      </c>
      <c r="C168" s="811"/>
      <c r="D168" s="765"/>
      <c r="E168" s="186" t="s">
        <v>10</v>
      </c>
      <c r="F168" s="187" t="str">
        <f t="shared" si="7"/>
        <v>IB21051</v>
      </c>
      <c r="G168" s="108" t="s">
        <v>627</v>
      </c>
      <c r="H168" s="244"/>
      <c r="I168" s="244"/>
      <c r="J168" s="245"/>
      <c r="K168" s="190" t="s">
        <v>1513</v>
      </c>
      <c r="L168" s="209"/>
      <c r="M168" s="190"/>
      <c r="N168" s="186" t="s">
        <v>11</v>
      </c>
      <c r="O168" s="195" t="str">
        <f t="shared" si="6"/>
        <v>OB21051</v>
      </c>
      <c r="P168" s="268"/>
      <c r="Q168" s="269"/>
      <c r="R168" s="269"/>
      <c r="S168" s="270"/>
      <c r="T168" s="190"/>
      <c r="U168" s="191"/>
      <c r="V168" s="909"/>
      <c r="W168" s="909"/>
      <c r="X168" s="193"/>
      <c r="Y168" s="182"/>
      <c r="Z168" s="182"/>
      <c r="AA168" s="193"/>
      <c r="AB168" s="182"/>
      <c r="AC168" s="210"/>
      <c r="AD168" s="193"/>
      <c r="AE168" s="182"/>
      <c r="AF168" s="211"/>
    </row>
    <row r="169" spans="2:32" ht="17.25" customHeight="1">
      <c r="B169" s="180">
        <v>82</v>
      </c>
      <c r="C169" s="811"/>
      <c r="D169" s="765"/>
      <c r="E169" s="186" t="s">
        <v>10</v>
      </c>
      <c r="F169" s="187" t="str">
        <f t="shared" si="7"/>
        <v>IB21052</v>
      </c>
      <c r="G169" s="108" t="s">
        <v>628</v>
      </c>
      <c r="H169" s="244"/>
      <c r="I169" s="244"/>
      <c r="J169" s="245"/>
      <c r="K169" s="190" t="s">
        <v>1513</v>
      </c>
      <c r="L169" s="209"/>
      <c r="M169" s="190"/>
      <c r="N169" s="186" t="s">
        <v>11</v>
      </c>
      <c r="O169" s="195" t="str">
        <f t="shared" si="6"/>
        <v>OB21052</v>
      </c>
      <c r="P169" s="268"/>
      <c r="Q169" s="269"/>
      <c r="R169" s="269"/>
      <c r="S169" s="270"/>
      <c r="T169" s="190"/>
      <c r="U169" s="191"/>
      <c r="V169" s="909"/>
      <c r="W169" s="909"/>
      <c r="X169" s="193"/>
      <c r="Y169" s="182"/>
      <c r="Z169" s="182"/>
      <c r="AA169" s="193"/>
      <c r="AB169" s="182"/>
      <c r="AC169" s="210"/>
      <c r="AD169" s="193"/>
      <c r="AE169" s="182"/>
      <c r="AF169" s="211"/>
    </row>
    <row r="170" spans="2:32" ht="17.25" customHeight="1">
      <c r="B170" s="180">
        <v>83</v>
      </c>
      <c r="C170" s="811"/>
      <c r="D170" s="765"/>
      <c r="E170" s="186" t="s">
        <v>10</v>
      </c>
      <c r="F170" s="187" t="str">
        <f t="shared" si="7"/>
        <v>IB21053</v>
      </c>
      <c r="G170" s="108" t="s">
        <v>629</v>
      </c>
      <c r="H170" s="244"/>
      <c r="I170" s="244"/>
      <c r="J170" s="245"/>
      <c r="K170" s="190" t="s">
        <v>1513</v>
      </c>
      <c r="L170" s="209"/>
      <c r="M170" s="190"/>
      <c r="N170" s="186" t="s">
        <v>11</v>
      </c>
      <c r="O170" s="195" t="str">
        <f t="shared" si="6"/>
        <v>OB21053</v>
      </c>
      <c r="P170" s="268"/>
      <c r="Q170" s="269"/>
      <c r="R170" s="269"/>
      <c r="S170" s="270"/>
      <c r="T170" s="190"/>
      <c r="U170" s="191"/>
      <c r="V170" s="909"/>
      <c r="W170" s="909"/>
      <c r="X170" s="193"/>
      <c r="Y170" s="182"/>
      <c r="Z170" s="182"/>
      <c r="AA170" s="193"/>
      <c r="AB170" s="182"/>
      <c r="AC170" s="210"/>
      <c r="AD170" s="193"/>
      <c r="AE170" s="182"/>
      <c r="AF170" s="211"/>
    </row>
    <row r="171" spans="2:32" ht="17.25" customHeight="1">
      <c r="B171" s="180">
        <v>84</v>
      </c>
      <c r="C171" s="811"/>
      <c r="D171" s="765"/>
      <c r="E171" s="186" t="s">
        <v>10</v>
      </c>
      <c r="F171" s="187" t="str">
        <f t="shared" si="7"/>
        <v>IB21054</v>
      </c>
      <c r="G171" s="108" t="s">
        <v>630</v>
      </c>
      <c r="H171" s="244"/>
      <c r="I171" s="244"/>
      <c r="J171" s="245"/>
      <c r="K171" s="190" t="s">
        <v>1513</v>
      </c>
      <c r="L171" s="209"/>
      <c r="M171" s="190"/>
      <c r="N171" s="186" t="s">
        <v>11</v>
      </c>
      <c r="O171" s="195" t="str">
        <f t="shared" si="6"/>
        <v>OB21054</v>
      </c>
      <c r="P171" s="268"/>
      <c r="Q171" s="269"/>
      <c r="R171" s="269"/>
      <c r="S171" s="270"/>
      <c r="T171" s="190"/>
      <c r="U171" s="191"/>
      <c r="V171" s="909"/>
      <c r="W171" s="909"/>
      <c r="X171" s="193"/>
      <c r="Y171" s="182"/>
      <c r="Z171" s="182"/>
      <c r="AA171" s="193"/>
      <c r="AB171" s="182"/>
      <c r="AC171" s="210"/>
      <c r="AD171" s="193"/>
      <c r="AE171" s="182"/>
      <c r="AF171" s="211"/>
    </row>
    <row r="172" spans="2:32" ht="17.25" customHeight="1">
      <c r="B172" s="180">
        <v>85</v>
      </c>
      <c r="C172" s="811"/>
      <c r="D172" s="765"/>
      <c r="E172" s="186" t="s">
        <v>10</v>
      </c>
      <c r="F172" s="187" t="str">
        <f t="shared" si="7"/>
        <v>IB21055</v>
      </c>
      <c r="G172" s="108" t="s">
        <v>631</v>
      </c>
      <c r="H172" s="244"/>
      <c r="I172" s="244"/>
      <c r="J172" s="245" t="s">
        <v>284</v>
      </c>
      <c r="K172" s="190" t="s">
        <v>1513</v>
      </c>
      <c r="L172" s="209"/>
      <c r="M172" s="190"/>
      <c r="N172" s="186" t="s">
        <v>11</v>
      </c>
      <c r="O172" s="195" t="str">
        <f t="shared" si="6"/>
        <v>OB21055</v>
      </c>
      <c r="P172" s="268"/>
      <c r="Q172" s="269"/>
      <c r="R172" s="269"/>
      <c r="S172" s="270"/>
      <c r="T172" s="190"/>
      <c r="U172" s="191"/>
      <c r="V172" s="909"/>
      <c r="W172" s="909"/>
      <c r="X172" s="193"/>
      <c r="Y172" s="182"/>
      <c r="Z172" s="182"/>
      <c r="AA172" s="193"/>
      <c r="AB172" s="182"/>
      <c r="AC172" s="210"/>
      <c r="AD172" s="193"/>
      <c r="AE172" s="182"/>
      <c r="AF172" s="211"/>
    </row>
    <row r="173" spans="2:32" ht="17.25" customHeight="1">
      <c r="B173" s="180">
        <v>86</v>
      </c>
      <c r="C173" s="811"/>
      <c r="D173" s="765"/>
      <c r="E173" s="186" t="s">
        <v>10</v>
      </c>
      <c r="F173" s="187" t="str">
        <f t="shared" si="7"/>
        <v>IB21056</v>
      </c>
      <c r="G173" s="108" t="s">
        <v>632</v>
      </c>
      <c r="H173" s="244"/>
      <c r="I173" s="244"/>
      <c r="J173" s="245"/>
      <c r="K173" s="190" t="s">
        <v>1513</v>
      </c>
      <c r="L173" s="209"/>
      <c r="M173" s="190"/>
      <c r="N173" s="186" t="s">
        <v>11</v>
      </c>
      <c r="O173" s="195" t="str">
        <f t="shared" si="6"/>
        <v>OB21056</v>
      </c>
      <c r="P173" s="268"/>
      <c r="Q173" s="269"/>
      <c r="R173" s="269"/>
      <c r="S173" s="270"/>
      <c r="T173" s="190"/>
      <c r="U173" s="191"/>
      <c r="V173" s="909"/>
      <c r="W173" s="909"/>
      <c r="X173" s="193"/>
      <c r="Y173" s="182"/>
      <c r="Z173" s="182"/>
      <c r="AA173" s="193"/>
      <c r="AB173" s="182"/>
      <c r="AC173" s="210"/>
      <c r="AD173" s="193"/>
      <c r="AE173" s="182"/>
      <c r="AF173" s="211"/>
    </row>
    <row r="174" spans="2:32" ht="17.25" customHeight="1">
      <c r="B174" s="180">
        <v>87</v>
      </c>
      <c r="C174" s="811"/>
      <c r="D174" s="765"/>
      <c r="E174" s="186" t="s">
        <v>10</v>
      </c>
      <c r="F174" s="187" t="str">
        <f t="shared" si="7"/>
        <v>IB21057</v>
      </c>
      <c r="G174" s="108" t="s">
        <v>633</v>
      </c>
      <c r="H174" s="244"/>
      <c r="I174" s="244"/>
      <c r="J174" s="245"/>
      <c r="K174" s="190" t="s">
        <v>1513</v>
      </c>
      <c r="L174" s="209"/>
      <c r="M174" s="190"/>
      <c r="N174" s="186" t="s">
        <v>11</v>
      </c>
      <c r="O174" s="195" t="str">
        <f t="shared" si="6"/>
        <v>OB21057</v>
      </c>
      <c r="P174" s="268"/>
      <c r="Q174" s="269"/>
      <c r="R174" s="269"/>
      <c r="S174" s="270"/>
      <c r="T174" s="190"/>
      <c r="U174" s="191"/>
      <c r="V174" s="909"/>
      <c r="W174" s="909"/>
      <c r="X174" s="193"/>
      <c r="Y174" s="182"/>
      <c r="Z174" s="182"/>
      <c r="AA174" s="193"/>
      <c r="AB174" s="182"/>
      <c r="AC174" s="210"/>
      <c r="AD174" s="193"/>
      <c r="AE174" s="182"/>
      <c r="AF174" s="211"/>
    </row>
    <row r="175" spans="2:32" ht="17.25" customHeight="1">
      <c r="B175" s="180">
        <v>88</v>
      </c>
      <c r="C175" s="811"/>
      <c r="D175" s="765"/>
      <c r="E175" s="186" t="s">
        <v>10</v>
      </c>
      <c r="F175" s="187" t="str">
        <f t="shared" si="7"/>
        <v>IB21058</v>
      </c>
      <c r="G175" s="243"/>
      <c r="H175" s="244"/>
      <c r="I175" s="244"/>
      <c r="J175" s="245"/>
      <c r="K175" s="190"/>
      <c r="L175" s="191"/>
      <c r="M175" s="609"/>
      <c r="N175" s="186" t="s">
        <v>11</v>
      </c>
      <c r="O175" s="195" t="str">
        <f t="shared" si="6"/>
        <v>OB21058</v>
      </c>
      <c r="P175" s="268"/>
      <c r="Q175" s="269"/>
      <c r="R175" s="269"/>
      <c r="S175" s="270"/>
      <c r="T175" s="190"/>
      <c r="U175" s="191"/>
      <c r="V175" s="909"/>
      <c r="W175" s="909"/>
      <c r="X175" s="193"/>
      <c r="Y175" s="182"/>
      <c r="Z175" s="182"/>
      <c r="AA175" s="182"/>
      <c r="AB175" s="182"/>
      <c r="AC175" s="210"/>
      <c r="AD175" s="182"/>
      <c r="AE175" s="182"/>
      <c r="AF175" s="211"/>
    </row>
    <row r="176" spans="2:32" ht="17.25" customHeight="1">
      <c r="B176" s="180">
        <v>89</v>
      </c>
      <c r="C176" s="811"/>
      <c r="D176" s="765"/>
      <c r="E176" s="186" t="s">
        <v>10</v>
      </c>
      <c r="F176" s="187" t="str">
        <f t="shared" si="7"/>
        <v>IB21059</v>
      </c>
      <c r="G176" s="243"/>
      <c r="H176" s="244"/>
      <c r="I176" s="244"/>
      <c r="J176" s="245"/>
      <c r="K176" s="190"/>
      <c r="L176" s="191"/>
      <c r="M176" s="609"/>
      <c r="N176" s="186" t="s">
        <v>11</v>
      </c>
      <c r="O176" s="195" t="str">
        <f t="shared" si="6"/>
        <v>OB21059</v>
      </c>
      <c r="P176" s="268"/>
      <c r="Q176" s="269"/>
      <c r="R176" s="269"/>
      <c r="S176" s="270"/>
      <c r="T176" s="190"/>
      <c r="U176" s="191"/>
      <c r="V176" s="909"/>
      <c r="W176" s="909"/>
      <c r="X176" s="193"/>
      <c r="Y176" s="182"/>
      <c r="Z176" s="182"/>
      <c r="AA176" s="182"/>
      <c r="AB176" s="182"/>
      <c r="AC176" s="210"/>
      <c r="AD176" s="182"/>
      <c r="AE176" s="182"/>
      <c r="AF176" s="211"/>
    </row>
    <row r="177" spans="2:32" ht="17.25" customHeight="1">
      <c r="B177" s="180">
        <v>90</v>
      </c>
      <c r="C177" s="811"/>
      <c r="D177" s="765"/>
      <c r="E177" s="186" t="s">
        <v>10</v>
      </c>
      <c r="F177" s="187" t="str">
        <f t="shared" si="7"/>
        <v>IB2105A</v>
      </c>
      <c r="G177" s="243"/>
      <c r="H177" s="244"/>
      <c r="I177" s="244"/>
      <c r="J177" s="245"/>
      <c r="K177" s="190"/>
      <c r="L177" s="191"/>
      <c r="M177" s="609"/>
      <c r="N177" s="186" t="s">
        <v>11</v>
      </c>
      <c r="O177" s="195" t="str">
        <f t="shared" si="6"/>
        <v>OB2105A</v>
      </c>
      <c r="P177" s="268"/>
      <c r="Q177" s="269"/>
      <c r="R177" s="269"/>
      <c r="S177" s="270"/>
      <c r="T177" s="190"/>
      <c r="U177" s="191"/>
      <c r="V177" s="909"/>
      <c r="W177" s="909"/>
      <c r="X177" s="182"/>
      <c r="Y177" s="182"/>
      <c r="Z177" s="182"/>
      <c r="AA177" s="182"/>
      <c r="AB177" s="182"/>
      <c r="AC177" s="210"/>
      <c r="AD177" s="182"/>
      <c r="AE177" s="182"/>
      <c r="AF177" s="211"/>
    </row>
    <row r="178" spans="2:32" ht="17.25" customHeight="1">
      <c r="B178" s="180">
        <v>91</v>
      </c>
      <c r="C178" s="811"/>
      <c r="D178" s="765"/>
      <c r="E178" s="186" t="s">
        <v>10</v>
      </c>
      <c r="F178" s="187" t="str">
        <f t="shared" si="7"/>
        <v>IB2105B</v>
      </c>
      <c r="G178" s="243"/>
      <c r="H178" s="244"/>
      <c r="I178" s="244"/>
      <c r="J178" s="245"/>
      <c r="K178" s="190"/>
      <c r="L178" s="191"/>
      <c r="M178" s="609"/>
      <c r="N178" s="186" t="s">
        <v>11</v>
      </c>
      <c r="O178" s="195" t="str">
        <f t="shared" si="6"/>
        <v>OB2105B</v>
      </c>
      <c r="P178" s="268"/>
      <c r="Q178" s="269"/>
      <c r="R178" s="269"/>
      <c r="S178" s="270"/>
      <c r="T178" s="190"/>
      <c r="U178" s="191"/>
      <c r="V178" s="909"/>
      <c r="W178" s="909"/>
      <c r="X178" s="182"/>
      <c r="Y178" s="182"/>
      <c r="Z178" s="182"/>
      <c r="AA178" s="182"/>
      <c r="AB178" s="182"/>
      <c r="AC178" s="210"/>
      <c r="AD178" s="182"/>
      <c r="AE178" s="182"/>
      <c r="AF178" s="211"/>
    </row>
    <row r="179" spans="2:32" ht="17.25" customHeight="1">
      <c r="B179" s="180">
        <v>92</v>
      </c>
      <c r="C179" s="811"/>
      <c r="D179" s="765"/>
      <c r="E179" s="186" t="s">
        <v>10</v>
      </c>
      <c r="F179" s="187" t="str">
        <f t="shared" si="7"/>
        <v>IB2105C</v>
      </c>
      <c r="G179" s="243"/>
      <c r="H179" s="244"/>
      <c r="I179" s="244"/>
      <c r="J179" s="245"/>
      <c r="K179" s="213"/>
      <c r="L179" s="214"/>
      <c r="M179" s="213"/>
      <c r="N179" s="186" t="s">
        <v>11</v>
      </c>
      <c r="O179" s="195" t="str">
        <f t="shared" si="6"/>
        <v>OB2105C</v>
      </c>
      <c r="P179" s="268"/>
      <c r="Q179" s="269"/>
      <c r="R179" s="269"/>
      <c r="S179" s="270"/>
      <c r="T179" s="190"/>
      <c r="U179" s="191"/>
      <c r="V179" s="909"/>
      <c r="W179" s="909"/>
      <c r="X179" s="182"/>
      <c r="Y179" s="182"/>
      <c r="Z179" s="182"/>
      <c r="AA179" s="182"/>
      <c r="AB179" s="182"/>
      <c r="AC179" s="210"/>
      <c r="AD179" s="182"/>
      <c r="AE179" s="182"/>
      <c r="AF179" s="211"/>
    </row>
    <row r="180" spans="2:32" ht="17.25" customHeight="1">
      <c r="B180" s="180">
        <v>93</v>
      </c>
      <c r="C180" s="811"/>
      <c r="D180" s="765"/>
      <c r="E180" s="186" t="s">
        <v>10</v>
      </c>
      <c r="F180" s="187" t="str">
        <f t="shared" si="7"/>
        <v>IB2105D</v>
      </c>
      <c r="G180" s="243"/>
      <c r="H180" s="244"/>
      <c r="I180" s="244"/>
      <c r="J180" s="245"/>
      <c r="K180" s="213"/>
      <c r="L180" s="214"/>
      <c r="M180" s="213"/>
      <c r="N180" s="186" t="s">
        <v>11</v>
      </c>
      <c r="O180" s="195" t="str">
        <f t="shared" si="6"/>
        <v>OB2105D</v>
      </c>
      <c r="P180" s="268"/>
      <c r="Q180" s="269"/>
      <c r="R180" s="269"/>
      <c r="S180" s="270"/>
      <c r="T180" s="190"/>
      <c r="U180" s="191"/>
      <c r="V180" s="909"/>
      <c r="W180" s="909"/>
      <c r="X180" s="193"/>
      <c r="Y180" s="182"/>
      <c r="Z180" s="182"/>
      <c r="AA180" s="182"/>
      <c r="AB180" s="182"/>
      <c r="AC180" s="210"/>
      <c r="AD180" s="182"/>
      <c r="AE180" s="182"/>
      <c r="AF180" s="211"/>
    </row>
    <row r="181" spans="2:32" ht="17.25" customHeight="1">
      <c r="B181" s="180">
        <v>94</v>
      </c>
      <c r="C181" s="811"/>
      <c r="D181" s="765"/>
      <c r="E181" s="186" t="s">
        <v>10</v>
      </c>
      <c r="F181" s="187" t="str">
        <f t="shared" si="7"/>
        <v>IB2105E</v>
      </c>
      <c r="G181" s="243" t="s">
        <v>634</v>
      </c>
      <c r="H181" s="244"/>
      <c r="I181" s="244"/>
      <c r="J181" s="245"/>
      <c r="K181" s="182" t="s">
        <v>1513</v>
      </c>
      <c r="L181" s="188"/>
      <c r="M181" s="182"/>
      <c r="N181" s="186" t="s">
        <v>11</v>
      </c>
      <c r="O181" s="195" t="str">
        <f t="shared" si="6"/>
        <v>OB2105E</v>
      </c>
      <c r="P181" s="268"/>
      <c r="Q181" s="269"/>
      <c r="R181" s="269"/>
      <c r="S181" s="270"/>
      <c r="T181" s="190"/>
      <c r="U181" s="191"/>
      <c r="V181" s="909"/>
      <c r="W181" s="909"/>
      <c r="X181" s="193"/>
      <c r="Y181" s="182"/>
      <c r="Z181" s="182"/>
      <c r="AA181" s="182"/>
      <c r="AB181" s="182"/>
      <c r="AC181" s="210"/>
      <c r="AD181" s="182"/>
      <c r="AE181" s="182"/>
      <c r="AF181" s="211"/>
    </row>
    <row r="182" spans="2:32" ht="17.25" customHeight="1">
      <c r="B182" s="180">
        <v>95</v>
      </c>
      <c r="C182" s="928"/>
      <c r="D182" s="765"/>
      <c r="E182" s="186" t="s">
        <v>10</v>
      </c>
      <c r="F182" s="187" t="str">
        <f t="shared" si="7"/>
        <v>IB2105F</v>
      </c>
      <c r="G182" s="243" t="s">
        <v>635</v>
      </c>
      <c r="H182" s="244"/>
      <c r="I182" s="244"/>
      <c r="J182" s="245"/>
      <c r="K182" s="182" t="s">
        <v>1513</v>
      </c>
      <c r="L182" s="188"/>
      <c r="M182" s="182"/>
      <c r="N182" s="186" t="s">
        <v>11</v>
      </c>
      <c r="O182" s="195" t="str">
        <f t="shared" si="6"/>
        <v>OB2105F</v>
      </c>
      <c r="P182" s="268"/>
      <c r="Q182" s="269"/>
      <c r="R182" s="269"/>
      <c r="S182" s="270"/>
      <c r="T182" s="190"/>
      <c r="U182" s="191"/>
      <c r="V182" s="909"/>
      <c r="W182" s="909"/>
      <c r="X182" s="193"/>
      <c r="Y182" s="182"/>
      <c r="Z182" s="182"/>
      <c r="AA182" s="182"/>
      <c r="AB182" s="182"/>
      <c r="AC182" s="210"/>
      <c r="AD182" s="182"/>
      <c r="AE182" s="182"/>
      <c r="AF182" s="211"/>
    </row>
    <row r="183" spans="2:32" ht="17.25" customHeight="1">
      <c r="B183" s="180">
        <v>96</v>
      </c>
      <c r="C183" s="925" t="s">
        <v>31</v>
      </c>
      <c r="D183" s="940" t="s">
        <v>72</v>
      </c>
      <c r="E183" s="186" t="s">
        <v>10</v>
      </c>
      <c r="F183" s="187" t="str">
        <f t="shared" si="7"/>
        <v>IB21060</v>
      </c>
      <c r="G183" s="271"/>
      <c r="H183" s="272"/>
      <c r="I183" s="272"/>
      <c r="J183" s="273"/>
      <c r="K183" s="190"/>
      <c r="L183" s="209"/>
      <c r="M183" s="190"/>
      <c r="N183" s="186" t="s">
        <v>11</v>
      </c>
      <c r="O183" s="195" t="str">
        <f t="shared" si="6"/>
        <v>OB21060</v>
      </c>
      <c r="P183" s="463" t="s">
        <v>924</v>
      </c>
      <c r="Q183" s="250"/>
      <c r="R183" s="250"/>
      <c r="S183" s="251"/>
      <c r="T183" s="190" t="s">
        <v>1513</v>
      </c>
      <c r="U183" s="191"/>
      <c r="V183" s="909"/>
      <c r="W183" s="909"/>
      <c r="X183" s="193"/>
      <c r="Y183" s="182"/>
      <c r="Z183" s="182"/>
      <c r="AA183" s="182"/>
      <c r="AB183" s="182"/>
      <c r="AC183" s="210"/>
      <c r="AD183" s="182"/>
      <c r="AE183" s="182"/>
      <c r="AF183" s="211"/>
    </row>
    <row r="184" spans="2:32" ht="17.25" customHeight="1">
      <c r="B184" s="180">
        <v>97</v>
      </c>
      <c r="C184" s="816"/>
      <c r="D184" s="765"/>
      <c r="E184" s="186" t="s">
        <v>10</v>
      </c>
      <c r="F184" s="187" t="str">
        <f t="shared" si="7"/>
        <v>IB21061</v>
      </c>
      <c r="G184" s="271"/>
      <c r="H184" s="272"/>
      <c r="I184" s="272"/>
      <c r="J184" s="273"/>
      <c r="K184" s="190"/>
      <c r="L184" s="209"/>
      <c r="M184" s="190"/>
      <c r="N184" s="186" t="s">
        <v>11</v>
      </c>
      <c r="O184" s="195" t="str">
        <f t="shared" si="6"/>
        <v>OB21061</v>
      </c>
      <c r="P184" s="463" t="s">
        <v>925</v>
      </c>
      <c r="Q184" s="250"/>
      <c r="R184" s="250"/>
      <c r="S184" s="251"/>
      <c r="T184" s="190" t="s">
        <v>1513</v>
      </c>
      <c r="U184" s="191"/>
      <c r="V184" s="909"/>
      <c r="W184" s="909"/>
      <c r="X184" s="193"/>
      <c r="Y184" s="182"/>
      <c r="Z184" s="182"/>
      <c r="AA184" s="182"/>
      <c r="AB184" s="182"/>
      <c r="AC184" s="210"/>
      <c r="AD184" s="182"/>
      <c r="AE184" s="182"/>
      <c r="AF184" s="211"/>
    </row>
    <row r="185" spans="2:32" ht="17.25" customHeight="1">
      <c r="B185" s="180">
        <v>98</v>
      </c>
      <c r="C185" s="816"/>
      <c r="D185" s="765"/>
      <c r="E185" s="186" t="s">
        <v>10</v>
      </c>
      <c r="F185" s="187" t="str">
        <f t="shared" si="7"/>
        <v>IB21062</v>
      </c>
      <c r="G185" s="271"/>
      <c r="H185" s="272"/>
      <c r="I185" s="272"/>
      <c r="J185" s="273"/>
      <c r="K185" s="190"/>
      <c r="L185" s="209"/>
      <c r="M185" s="190"/>
      <c r="N185" s="186" t="s">
        <v>11</v>
      </c>
      <c r="O185" s="195" t="str">
        <f t="shared" si="6"/>
        <v>OB21062</v>
      </c>
      <c r="P185" s="463" t="s">
        <v>926</v>
      </c>
      <c r="Q185" s="250"/>
      <c r="R185" s="250"/>
      <c r="S185" s="251"/>
      <c r="T185" s="190" t="s">
        <v>1513</v>
      </c>
      <c r="U185" s="191"/>
      <c r="V185" s="909"/>
      <c r="W185" s="909"/>
      <c r="X185" s="193"/>
      <c r="Y185" s="182"/>
      <c r="Z185" s="182"/>
      <c r="AA185" s="182"/>
      <c r="AB185" s="182"/>
      <c r="AC185" s="210"/>
      <c r="AD185" s="182"/>
      <c r="AE185" s="182"/>
      <c r="AF185" s="211"/>
    </row>
    <row r="186" spans="2:32" ht="17.25" customHeight="1">
      <c r="B186" s="180">
        <v>99</v>
      </c>
      <c r="C186" s="816"/>
      <c r="D186" s="765"/>
      <c r="E186" s="186" t="s">
        <v>10</v>
      </c>
      <c r="F186" s="187" t="str">
        <f t="shared" si="7"/>
        <v>IB21063</v>
      </c>
      <c r="G186" s="271"/>
      <c r="H186" s="272"/>
      <c r="I186" s="272"/>
      <c r="J186" s="273"/>
      <c r="K186" s="190"/>
      <c r="L186" s="209"/>
      <c r="M186" s="190"/>
      <c r="N186" s="186" t="s">
        <v>11</v>
      </c>
      <c r="O186" s="195" t="str">
        <f t="shared" si="6"/>
        <v>OB21063</v>
      </c>
      <c r="P186" s="463" t="s">
        <v>927</v>
      </c>
      <c r="Q186" s="250"/>
      <c r="R186" s="250"/>
      <c r="S186" s="251"/>
      <c r="T186" s="190" t="s">
        <v>1513</v>
      </c>
      <c r="U186" s="191"/>
      <c r="V186" s="909"/>
      <c r="W186" s="909"/>
      <c r="X186" s="193"/>
      <c r="Y186" s="182"/>
      <c r="Z186" s="182"/>
      <c r="AA186" s="182"/>
      <c r="AB186" s="182"/>
      <c r="AC186" s="210"/>
      <c r="AD186" s="182"/>
      <c r="AE186" s="182"/>
      <c r="AF186" s="211"/>
    </row>
    <row r="187" spans="2:32" ht="17.25" customHeight="1">
      <c r="B187" s="180">
        <v>100</v>
      </c>
      <c r="C187" s="816"/>
      <c r="D187" s="765"/>
      <c r="E187" s="186" t="s">
        <v>10</v>
      </c>
      <c r="F187" s="187" t="str">
        <f t="shared" si="7"/>
        <v>IB21064</v>
      </c>
      <c r="G187" s="271"/>
      <c r="H187" s="272"/>
      <c r="I187" s="272"/>
      <c r="J187" s="273"/>
      <c r="K187" s="190"/>
      <c r="L187" s="209"/>
      <c r="M187" s="190"/>
      <c r="N187" s="186" t="s">
        <v>11</v>
      </c>
      <c r="O187" s="195" t="str">
        <f t="shared" si="6"/>
        <v>OB21064</v>
      </c>
      <c r="P187" s="463" t="s">
        <v>928</v>
      </c>
      <c r="Q187" s="250"/>
      <c r="R187" s="250"/>
      <c r="S187" s="251"/>
      <c r="T187" s="190" t="s">
        <v>1513</v>
      </c>
      <c r="U187" s="191"/>
      <c r="V187" s="909"/>
      <c r="W187" s="909"/>
      <c r="X187" s="193"/>
      <c r="Y187" s="182"/>
      <c r="Z187" s="182"/>
      <c r="AA187" s="182"/>
      <c r="AB187" s="182"/>
      <c r="AC187" s="210"/>
      <c r="AD187" s="182"/>
      <c r="AE187" s="182"/>
      <c r="AF187" s="211"/>
    </row>
    <row r="188" spans="2:32" ht="17.25" customHeight="1">
      <c r="B188" s="180">
        <v>101</v>
      </c>
      <c r="C188" s="816"/>
      <c r="D188" s="765"/>
      <c r="E188" s="186" t="s">
        <v>10</v>
      </c>
      <c r="F188" s="187" t="str">
        <f t="shared" si="7"/>
        <v>IB21065</v>
      </c>
      <c r="G188" s="271"/>
      <c r="H188" s="272"/>
      <c r="I188" s="272"/>
      <c r="J188" s="273"/>
      <c r="K188" s="190"/>
      <c r="L188" s="209"/>
      <c r="M188" s="190"/>
      <c r="N188" s="186" t="s">
        <v>11</v>
      </c>
      <c r="O188" s="195" t="str">
        <f t="shared" si="6"/>
        <v>OB21065</v>
      </c>
      <c r="P188" s="463" t="s">
        <v>929</v>
      </c>
      <c r="Q188" s="250"/>
      <c r="R188" s="250"/>
      <c r="S188" s="251"/>
      <c r="T188" s="190" t="s">
        <v>1513</v>
      </c>
      <c r="U188" s="191"/>
      <c r="V188" s="909"/>
      <c r="W188" s="909"/>
      <c r="X188" s="193"/>
      <c r="Y188" s="182"/>
      <c r="Z188" s="182"/>
      <c r="AA188" s="182"/>
      <c r="AB188" s="182"/>
      <c r="AC188" s="210"/>
      <c r="AD188" s="182"/>
      <c r="AE188" s="182"/>
      <c r="AF188" s="211"/>
    </row>
    <row r="189" spans="2:32" ht="17.25" customHeight="1">
      <c r="B189" s="180">
        <v>102</v>
      </c>
      <c r="C189" s="816"/>
      <c r="D189" s="765"/>
      <c r="E189" s="186" t="s">
        <v>10</v>
      </c>
      <c r="F189" s="187" t="str">
        <f t="shared" si="7"/>
        <v>IB21066</v>
      </c>
      <c r="G189" s="271"/>
      <c r="H189" s="272"/>
      <c r="I189" s="272"/>
      <c r="J189" s="273"/>
      <c r="K189" s="190"/>
      <c r="L189" s="209"/>
      <c r="M189" s="190"/>
      <c r="N189" s="186" t="s">
        <v>11</v>
      </c>
      <c r="O189" s="195" t="str">
        <f t="shared" si="6"/>
        <v>OB21066</v>
      </c>
      <c r="P189" s="463" t="s">
        <v>930</v>
      </c>
      <c r="Q189" s="250"/>
      <c r="R189" s="250"/>
      <c r="S189" s="251"/>
      <c r="T189" s="190" t="s">
        <v>1513</v>
      </c>
      <c r="U189" s="191"/>
      <c r="V189" s="909"/>
      <c r="W189" s="909"/>
      <c r="X189" s="193"/>
      <c r="Y189" s="182"/>
      <c r="Z189" s="182"/>
      <c r="AA189" s="182"/>
      <c r="AB189" s="182"/>
      <c r="AC189" s="210"/>
      <c r="AD189" s="182"/>
      <c r="AE189" s="182"/>
      <c r="AF189" s="211"/>
    </row>
    <row r="190" spans="2:32" ht="17.25" customHeight="1">
      <c r="B190" s="180">
        <v>103</v>
      </c>
      <c r="C190" s="816"/>
      <c r="D190" s="765"/>
      <c r="E190" s="186" t="s">
        <v>10</v>
      </c>
      <c r="F190" s="187" t="str">
        <f t="shared" si="7"/>
        <v>IB21067</v>
      </c>
      <c r="G190" s="271"/>
      <c r="H190" s="272"/>
      <c r="I190" s="272"/>
      <c r="J190" s="273"/>
      <c r="K190" s="190"/>
      <c r="L190" s="209"/>
      <c r="M190" s="190"/>
      <c r="N190" s="186" t="s">
        <v>11</v>
      </c>
      <c r="O190" s="195" t="str">
        <f t="shared" si="6"/>
        <v>OB21067</v>
      </c>
      <c r="P190" s="463" t="s">
        <v>931</v>
      </c>
      <c r="Q190" s="250"/>
      <c r="R190" s="250"/>
      <c r="S190" s="251"/>
      <c r="T190" s="190" t="s">
        <v>1513</v>
      </c>
      <c r="U190" s="191"/>
      <c r="V190" s="909"/>
      <c r="W190" s="909"/>
      <c r="X190" s="182"/>
      <c r="Y190" s="182"/>
      <c r="Z190" s="182"/>
      <c r="AA190" s="182"/>
      <c r="AB190" s="182"/>
      <c r="AC190" s="210"/>
      <c r="AD190" s="182"/>
      <c r="AE190" s="182"/>
      <c r="AF190" s="211"/>
    </row>
    <row r="191" spans="2:32" ht="17.25" customHeight="1">
      <c r="B191" s="180">
        <v>104</v>
      </c>
      <c r="C191" s="816"/>
      <c r="D191" s="765"/>
      <c r="E191" s="186" t="s">
        <v>10</v>
      </c>
      <c r="F191" s="187" t="str">
        <f t="shared" si="7"/>
        <v>IB21068</v>
      </c>
      <c r="G191" s="271"/>
      <c r="H191" s="272"/>
      <c r="I191" s="272"/>
      <c r="J191" s="273"/>
      <c r="K191" s="190"/>
      <c r="L191" s="209"/>
      <c r="M191" s="190"/>
      <c r="N191" s="186" t="s">
        <v>11</v>
      </c>
      <c r="O191" s="195" t="str">
        <f t="shared" si="6"/>
        <v>OB21068</v>
      </c>
      <c r="P191" s="463" t="s">
        <v>932</v>
      </c>
      <c r="Q191" s="250"/>
      <c r="R191" s="250"/>
      <c r="S191" s="251"/>
      <c r="T191" s="190" t="s">
        <v>1513</v>
      </c>
      <c r="U191" s="191"/>
      <c r="V191" s="909"/>
      <c r="W191" s="909"/>
      <c r="X191" s="182"/>
      <c r="Y191" s="182"/>
      <c r="Z191" s="182"/>
      <c r="AA191" s="182"/>
      <c r="AB191" s="182"/>
      <c r="AC191" s="210"/>
      <c r="AD191" s="182"/>
      <c r="AE191" s="182"/>
      <c r="AF191" s="211"/>
    </row>
    <row r="192" spans="2:32" ht="17.25" customHeight="1">
      <c r="B192" s="180">
        <v>105</v>
      </c>
      <c r="C192" s="816"/>
      <c r="D192" s="765"/>
      <c r="E192" s="186" t="s">
        <v>10</v>
      </c>
      <c r="F192" s="187" t="str">
        <f t="shared" si="7"/>
        <v>IB21069</v>
      </c>
      <c r="G192" s="271"/>
      <c r="H192" s="272"/>
      <c r="I192" s="272"/>
      <c r="J192" s="273"/>
      <c r="K192" s="190"/>
      <c r="L192" s="209"/>
      <c r="M192" s="190"/>
      <c r="N192" s="186" t="s">
        <v>11</v>
      </c>
      <c r="O192" s="195" t="str">
        <f t="shared" si="6"/>
        <v>OB21069</v>
      </c>
      <c r="P192" s="463" t="s">
        <v>933</v>
      </c>
      <c r="Q192" s="250"/>
      <c r="R192" s="250"/>
      <c r="S192" s="251"/>
      <c r="T192" s="190" t="s">
        <v>1513</v>
      </c>
      <c r="U192" s="191"/>
      <c r="V192" s="909"/>
      <c r="W192" s="909"/>
      <c r="X192" s="182"/>
      <c r="Y192" s="182"/>
      <c r="Z192" s="182"/>
      <c r="AA192" s="182"/>
      <c r="AB192" s="182"/>
      <c r="AC192" s="210"/>
      <c r="AD192" s="182"/>
      <c r="AE192" s="182"/>
      <c r="AF192" s="211"/>
    </row>
    <row r="193" spans="2:32" ht="17.25" customHeight="1">
      <c r="B193" s="180">
        <v>106</v>
      </c>
      <c r="C193" s="816"/>
      <c r="D193" s="765"/>
      <c r="E193" s="186" t="s">
        <v>10</v>
      </c>
      <c r="F193" s="187" t="str">
        <f t="shared" si="7"/>
        <v>IB2106A</v>
      </c>
      <c r="G193" s="271"/>
      <c r="H193" s="272"/>
      <c r="I193" s="272"/>
      <c r="J193" s="273"/>
      <c r="K193" s="190"/>
      <c r="L193" s="209"/>
      <c r="M193" s="190"/>
      <c r="N193" s="186" t="s">
        <v>11</v>
      </c>
      <c r="O193" s="195" t="str">
        <f t="shared" si="6"/>
        <v>OB2106A</v>
      </c>
      <c r="P193" s="463" t="s">
        <v>934</v>
      </c>
      <c r="Q193" s="250"/>
      <c r="R193" s="250"/>
      <c r="S193" s="251"/>
      <c r="T193" s="190" t="s">
        <v>1513</v>
      </c>
      <c r="U193" s="191"/>
      <c r="V193" s="909"/>
      <c r="W193" s="909"/>
      <c r="X193" s="182"/>
      <c r="Y193" s="182"/>
      <c r="Z193" s="182"/>
      <c r="AA193" s="182"/>
      <c r="AB193" s="182"/>
      <c r="AC193" s="210"/>
      <c r="AD193" s="182"/>
      <c r="AE193" s="182"/>
      <c r="AF193" s="211"/>
    </row>
    <row r="194" spans="2:32" ht="17.25" customHeight="1">
      <c r="B194" s="180">
        <v>107</v>
      </c>
      <c r="C194" s="816"/>
      <c r="D194" s="765"/>
      <c r="E194" s="186" t="s">
        <v>10</v>
      </c>
      <c r="F194" s="187" t="str">
        <f t="shared" si="7"/>
        <v>IB2106B</v>
      </c>
      <c r="G194" s="271"/>
      <c r="H194" s="272"/>
      <c r="I194" s="272"/>
      <c r="J194" s="273"/>
      <c r="K194" s="190"/>
      <c r="L194" s="209"/>
      <c r="M194" s="190"/>
      <c r="N194" s="186" t="s">
        <v>11</v>
      </c>
      <c r="O194" s="195" t="str">
        <f t="shared" si="6"/>
        <v>OB2106B</v>
      </c>
      <c r="P194" s="249"/>
      <c r="Q194" s="250"/>
      <c r="R194" s="250"/>
      <c r="S194" s="251"/>
      <c r="T194" s="190"/>
      <c r="U194" s="191"/>
      <c r="V194" s="909"/>
      <c r="W194" s="909"/>
      <c r="X194" s="182"/>
      <c r="Y194" s="182"/>
      <c r="Z194" s="182"/>
      <c r="AA194" s="182"/>
      <c r="AB194" s="182"/>
      <c r="AC194" s="210"/>
      <c r="AD194" s="182"/>
      <c r="AE194" s="182"/>
      <c r="AF194" s="211"/>
    </row>
    <row r="195" spans="2:32" ht="17.25" customHeight="1">
      <c r="B195" s="180">
        <v>108</v>
      </c>
      <c r="C195" s="816"/>
      <c r="D195" s="765"/>
      <c r="E195" s="186" t="s">
        <v>10</v>
      </c>
      <c r="F195" s="187" t="str">
        <f t="shared" si="7"/>
        <v>IB2106C</v>
      </c>
      <c r="G195" s="271"/>
      <c r="H195" s="272"/>
      <c r="I195" s="272"/>
      <c r="J195" s="273"/>
      <c r="K195" s="190"/>
      <c r="L195" s="209"/>
      <c r="M195" s="190"/>
      <c r="N195" s="186" t="s">
        <v>11</v>
      </c>
      <c r="O195" s="195" t="str">
        <f t="shared" si="6"/>
        <v>OB2106C</v>
      </c>
      <c r="P195" s="249" t="s">
        <v>935</v>
      </c>
      <c r="Q195" s="250"/>
      <c r="R195" s="250"/>
      <c r="S195" s="251"/>
      <c r="T195" s="190" t="s">
        <v>1513</v>
      </c>
      <c r="U195" s="191"/>
      <c r="V195" s="909"/>
      <c r="W195" s="909"/>
      <c r="X195" s="182"/>
      <c r="Y195" s="182"/>
      <c r="Z195" s="182"/>
      <c r="AA195" s="182"/>
      <c r="AB195" s="182"/>
      <c r="AC195" s="210"/>
      <c r="AD195" s="182"/>
      <c r="AE195" s="182"/>
      <c r="AF195" s="211"/>
    </row>
    <row r="196" spans="2:32" ht="17.25" customHeight="1">
      <c r="B196" s="180">
        <v>109</v>
      </c>
      <c r="C196" s="816"/>
      <c r="D196" s="765"/>
      <c r="E196" s="186" t="s">
        <v>10</v>
      </c>
      <c r="F196" s="187" t="str">
        <f t="shared" si="7"/>
        <v>IB2106D</v>
      </c>
      <c r="G196" s="271"/>
      <c r="H196" s="272"/>
      <c r="I196" s="272"/>
      <c r="J196" s="273"/>
      <c r="K196" s="190"/>
      <c r="L196" s="209"/>
      <c r="M196" s="190"/>
      <c r="N196" s="186" t="s">
        <v>11</v>
      </c>
      <c r="O196" s="195" t="str">
        <f t="shared" si="6"/>
        <v>OB2106D</v>
      </c>
      <c r="P196" s="249" t="s">
        <v>936</v>
      </c>
      <c r="Q196" s="250"/>
      <c r="R196" s="250"/>
      <c r="S196" s="251"/>
      <c r="T196" s="190" t="s">
        <v>1513</v>
      </c>
      <c r="U196" s="191"/>
      <c r="V196" s="909"/>
      <c r="W196" s="909"/>
      <c r="X196" s="182"/>
      <c r="Y196" s="182"/>
      <c r="Z196" s="182"/>
      <c r="AA196" s="182"/>
      <c r="AB196" s="182"/>
      <c r="AC196" s="210"/>
      <c r="AD196" s="182"/>
      <c r="AE196" s="182"/>
      <c r="AF196" s="211"/>
    </row>
    <row r="197" spans="2:32" ht="17.25" customHeight="1">
      <c r="B197" s="180">
        <v>110</v>
      </c>
      <c r="C197" s="816"/>
      <c r="D197" s="765"/>
      <c r="E197" s="186" t="s">
        <v>10</v>
      </c>
      <c r="F197" s="187" t="str">
        <f t="shared" si="7"/>
        <v>IB2106E</v>
      </c>
      <c r="G197" s="271"/>
      <c r="H197" s="272"/>
      <c r="I197" s="272"/>
      <c r="J197" s="273"/>
      <c r="K197" s="182"/>
      <c r="L197" s="188"/>
      <c r="M197" s="182"/>
      <c r="N197" s="186" t="s">
        <v>11</v>
      </c>
      <c r="O197" s="195" t="str">
        <f t="shared" si="6"/>
        <v>OB2106E</v>
      </c>
      <c r="P197" s="463" t="s">
        <v>937</v>
      </c>
      <c r="Q197" s="250"/>
      <c r="R197" s="250"/>
      <c r="S197" s="251"/>
      <c r="T197" s="190" t="s">
        <v>1513</v>
      </c>
      <c r="U197" s="191"/>
      <c r="V197" s="909"/>
      <c r="W197" s="909"/>
      <c r="X197" s="182"/>
      <c r="Y197" s="182"/>
      <c r="Z197" s="182"/>
      <c r="AA197" s="182"/>
      <c r="AB197" s="182"/>
      <c r="AC197" s="210"/>
      <c r="AD197" s="182"/>
      <c r="AE197" s="182"/>
      <c r="AF197" s="211"/>
    </row>
    <row r="198" spans="2:32" ht="17.25" customHeight="1">
      <c r="B198" s="180">
        <v>111</v>
      </c>
      <c r="C198" s="926"/>
      <c r="D198" s="765"/>
      <c r="E198" s="186" t="s">
        <v>10</v>
      </c>
      <c r="F198" s="187" t="str">
        <f t="shared" si="7"/>
        <v>IB2106F</v>
      </c>
      <c r="G198" s="271"/>
      <c r="H198" s="272"/>
      <c r="I198" s="272"/>
      <c r="J198" s="273"/>
      <c r="K198" s="190"/>
      <c r="L198" s="209"/>
      <c r="M198" s="190"/>
      <c r="N198" s="186" t="s">
        <v>11</v>
      </c>
      <c r="O198" s="195" t="str">
        <f t="shared" si="6"/>
        <v>OB2106F</v>
      </c>
      <c r="P198" s="249"/>
      <c r="Q198" s="250"/>
      <c r="R198" s="250"/>
      <c r="S198" s="251"/>
      <c r="T198" s="190"/>
      <c r="U198" s="191"/>
      <c r="V198" s="909"/>
      <c r="W198" s="909"/>
      <c r="X198" s="182"/>
      <c r="Y198" s="182"/>
      <c r="Z198" s="182"/>
      <c r="AA198" s="182"/>
      <c r="AB198" s="182"/>
      <c r="AC198" s="210"/>
      <c r="AD198" s="182"/>
      <c r="AE198" s="182"/>
      <c r="AF198" s="211"/>
    </row>
    <row r="199" spans="2:32" ht="17.25" customHeight="1">
      <c r="B199" s="180">
        <v>112</v>
      </c>
      <c r="C199" s="927" t="s">
        <v>40</v>
      </c>
      <c r="D199" s="940" t="s">
        <v>72</v>
      </c>
      <c r="E199" s="186" t="s">
        <v>10</v>
      </c>
      <c r="F199" s="187" t="str">
        <f t="shared" si="7"/>
        <v>IB21070</v>
      </c>
      <c r="G199" s="108" t="s">
        <v>636</v>
      </c>
      <c r="H199" s="244"/>
      <c r="I199" s="244"/>
      <c r="J199" s="245"/>
      <c r="K199" s="190" t="s">
        <v>1513</v>
      </c>
      <c r="L199" s="209"/>
      <c r="M199" s="190"/>
      <c r="N199" s="186" t="s">
        <v>11</v>
      </c>
      <c r="O199" s="195" t="str">
        <f t="shared" si="6"/>
        <v>OB21070</v>
      </c>
      <c r="P199" s="254"/>
      <c r="Q199" s="255"/>
      <c r="R199" s="255"/>
      <c r="S199" s="256"/>
      <c r="T199" s="190"/>
      <c r="U199" s="191"/>
      <c r="V199" s="909"/>
      <c r="W199" s="909"/>
      <c r="X199" s="193"/>
      <c r="Y199" s="182"/>
      <c r="Z199" s="182"/>
      <c r="AA199" s="182"/>
      <c r="AB199" s="182"/>
      <c r="AC199" s="210"/>
      <c r="AD199" s="182"/>
      <c r="AE199" s="182"/>
      <c r="AF199" s="211"/>
    </row>
    <row r="200" spans="2:32" ht="17.25" customHeight="1">
      <c r="B200" s="180">
        <v>113</v>
      </c>
      <c r="C200" s="811"/>
      <c r="D200" s="765"/>
      <c r="E200" s="186" t="s">
        <v>10</v>
      </c>
      <c r="F200" s="187" t="str">
        <f t="shared" si="7"/>
        <v>IB21071</v>
      </c>
      <c r="G200" s="108" t="s">
        <v>637</v>
      </c>
      <c r="H200" s="244"/>
      <c r="I200" s="244"/>
      <c r="J200" s="245"/>
      <c r="K200" s="190" t="s">
        <v>1513</v>
      </c>
      <c r="L200" s="209"/>
      <c r="M200" s="190"/>
      <c r="N200" s="186" t="s">
        <v>11</v>
      </c>
      <c r="O200" s="195" t="str">
        <f t="shared" si="6"/>
        <v>OB21071</v>
      </c>
      <c r="P200" s="254"/>
      <c r="Q200" s="255"/>
      <c r="R200" s="255"/>
      <c r="S200" s="256"/>
      <c r="T200" s="190"/>
      <c r="U200" s="191"/>
      <c r="V200" s="909"/>
      <c r="W200" s="909"/>
      <c r="X200" s="193"/>
      <c r="Y200" s="182"/>
      <c r="Z200" s="182"/>
      <c r="AA200" s="182"/>
      <c r="AB200" s="182"/>
      <c r="AC200" s="210"/>
      <c r="AD200" s="182"/>
      <c r="AE200" s="182"/>
      <c r="AF200" s="211"/>
    </row>
    <row r="201" spans="2:32" ht="17.25" customHeight="1">
      <c r="B201" s="180">
        <v>114</v>
      </c>
      <c r="C201" s="811"/>
      <c r="D201" s="765"/>
      <c r="E201" s="186" t="s">
        <v>10</v>
      </c>
      <c r="F201" s="187" t="str">
        <f t="shared" si="7"/>
        <v>IB21072</v>
      </c>
      <c r="G201" s="108" t="s">
        <v>638</v>
      </c>
      <c r="H201" s="244"/>
      <c r="I201" s="244"/>
      <c r="J201" s="245"/>
      <c r="K201" s="190" t="s">
        <v>1513</v>
      </c>
      <c r="L201" s="209"/>
      <c r="M201" s="190"/>
      <c r="N201" s="186" t="s">
        <v>11</v>
      </c>
      <c r="O201" s="195" t="str">
        <f t="shared" ref="O201:O264" si="8">LEFT(O200,1)&amp;DEC2HEX(HEX2DEC(MID(O200,2,LENB(O200)-1))+1,LENB(O200)-1)</f>
        <v>OB21072</v>
      </c>
      <c r="P201" s="254"/>
      <c r="Q201" s="255"/>
      <c r="R201" s="255"/>
      <c r="S201" s="256"/>
      <c r="T201" s="190"/>
      <c r="U201" s="191"/>
      <c r="V201" s="909"/>
      <c r="W201" s="909"/>
      <c r="X201" s="182"/>
      <c r="Y201" s="182"/>
      <c r="Z201" s="182"/>
      <c r="AA201" s="182"/>
      <c r="AB201" s="182"/>
      <c r="AC201" s="210"/>
      <c r="AD201" s="182"/>
      <c r="AE201" s="182"/>
      <c r="AF201" s="211"/>
    </row>
    <row r="202" spans="2:32" ht="17.25" customHeight="1">
      <c r="B202" s="180">
        <v>115</v>
      </c>
      <c r="C202" s="811"/>
      <c r="D202" s="765"/>
      <c r="E202" s="186" t="s">
        <v>10</v>
      </c>
      <c r="F202" s="187" t="str">
        <f t="shared" si="7"/>
        <v>IB21073</v>
      </c>
      <c r="G202" s="108" t="s">
        <v>639</v>
      </c>
      <c r="H202" s="244"/>
      <c r="I202" s="244"/>
      <c r="J202" s="245"/>
      <c r="K202" s="190" t="s">
        <v>1513</v>
      </c>
      <c r="L202" s="209"/>
      <c r="M202" s="190"/>
      <c r="N202" s="186" t="s">
        <v>11</v>
      </c>
      <c r="O202" s="195" t="str">
        <f t="shared" si="8"/>
        <v>OB21073</v>
      </c>
      <c r="P202" s="254"/>
      <c r="Q202" s="255"/>
      <c r="R202" s="255"/>
      <c r="S202" s="256"/>
      <c r="T202" s="190"/>
      <c r="U202" s="191"/>
      <c r="V202" s="909"/>
      <c r="W202" s="909"/>
      <c r="X202" s="182"/>
      <c r="Y202" s="182"/>
      <c r="Z202" s="182"/>
      <c r="AA202" s="182"/>
      <c r="AB202" s="182"/>
      <c r="AC202" s="210"/>
      <c r="AD202" s="182"/>
      <c r="AE202" s="182"/>
      <c r="AF202" s="211"/>
    </row>
    <row r="203" spans="2:32" ht="17.25" customHeight="1">
      <c r="B203" s="180">
        <v>116</v>
      </c>
      <c r="C203" s="811"/>
      <c r="D203" s="765"/>
      <c r="E203" s="186" t="s">
        <v>10</v>
      </c>
      <c r="F203" s="187" t="str">
        <f t="shared" si="7"/>
        <v>IB21074</v>
      </c>
      <c r="G203" s="108" t="s">
        <v>640</v>
      </c>
      <c r="H203" s="244"/>
      <c r="I203" s="244"/>
      <c r="J203" s="245"/>
      <c r="K203" s="190" t="s">
        <v>1513</v>
      </c>
      <c r="L203" s="209"/>
      <c r="M203" s="190"/>
      <c r="N203" s="186" t="s">
        <v>11</v>
      </c>
      <c r="O203" s="195" t="str">
        <f t="shared" si="8"/>
        <v>OB21074</v>
      </c>
      <c r="P203" s="254"/>
      <c r="Q203" s="255"/>
      <c r="R203" s="255"/>
      <c r="S203" s="256"/>
      <c r="T203" s="190"/>
      <c r="U203" s="191"/>
      <c r="V203" s="909"/>
      <c r="W203" s="909"/>
      <c r="X203" s="193"/>
      <c r="Y203" s="182"/>
      <c r="Z203" s="182"/>
      <c r="AA203" s="193"/>
      <c r="AB203" s="182"/>
      <c r="AC203" s="210"/>
      <c r="AD203" s="193"/>
      <c r="AE203" s="182"/>
      <c r="AF203" s="211"/>
    </row>
    <row r="204" spans="2:32" ht="17.25" customHeight="1">
      <c r="B204" s="180">
        <v>117</v>
      </c>
      <c r="C204" s="811"/>
      <c r="D204" s="765"/>
      <c r="E204" s="186" t="s">
        <v>10</v>
      </c>
      <c r="F204" s="187" t="str">
        <f t="shared" si="7"/>
        <v>IB21075</v>
      </c>
      <c r="G204" s="108" t="s">
        <v>641</v>
      </c>
      <c r="H204" s="244"/>
      <c r="I204" s="244"/>
      <c r="J204" s="245"/>
      <c r="K204" s="190" t="s">
        <v>1513</v>
      </c>
      <c r="L204" s="209"/>
      <c r="M204" s="190"/>
      <c r="N204" s="186" t="s">
        <v>11</v>
      </c>
      <c r="O204" s="195" t="str">
        <f t="shared" si="8"/>
        <v>OB21075</v>
      </c>
      <c r="P204" s="254"/>
      <c r="Q204" s="255"/>
      <c r="R204" s="255"/>
      <c r="S204" s="256"/>
      <c r="T204" s="190"/>
      <c r="U204" s="191"/>
      <c r="V204" s="909"/>
      <c r="W204" s="909"/>
      <c r="X204" s="193"/>
      <c r="Y204" s="182"/>
      <c r="Z204" s="182"/>
      <c r="AA204" s="193"/>
      <c r="AB204" s="182"/>
      <c r="AC204" s="210"/>
      <c r="AD204" s="193"/>
      <c r="AE204" s="182"/>
      <c r="AF204" s="211"/>
    </row>
    <row r="205" spans="2:32" ht="17.25" customHeight="1">
      <c r="B205" s="180">
        <v>118</v>
      </c>
      <c r="C205" s="811"/>
      <c r="D205" s="765"/>
      <c r="E205" s="186" t="s">
        <v>10</v>
      </c>
      <c r="F205" s="187" t="str">
        <f t="shared" si="7"/>
        <v>IB21076</v>
      </c>
      <c r="G205" s="108" t="s">
        <v>642</v>
      </c>
      <c r="H205" s="244"/>
      <c r="I205" s="244"/>
      <c r="J205" s="245"/>
      <c r="K205" s="190" t="s">
        <v>1513</v>
      </c>
      <c r="L205" s="209"/>
      <c r="M205" s="190"/>
      <c r="N205" s="186" t="s">
        <v>11</v>
      </c>
      <c r="O205" s="195" t="str">
        <f t="shared" si="8"/>
        <v>OB21076</v>
      </c>
      <c r="P205" s="254"/>
      <c r="Q205" s="255"/>
      <c r="R205" s="255"/>
      <c r="S205" s="256"/>
      <c r="T205" s="190"/>
      <c r="U205" s="191"/>
      <c r="V205" s="909"/>
      <c r="W205" s="909"/>
      <c r="X205" s="182"/>
      <c r="Y205" s="182"/>
      <c r="Z205" s="182"/>
      <c r="AA205" s="182"/>
      <c r="AB205" s="182"/>
      <c r="AC205" s="210"/>
      <c r="AD205" s="182"/>
      <c r="AE205" s="182"/>
      <c r="AF205" s="211"/>
    </row>
    <row r="206" spans="2:32" ht="17.25" customHeight="1">
      <c r="B206" s="180">
        <v>119</v>
      </c>
      <c r="C206" s="811"/>
      <c r="D206" s="765"/>
      <c r="E206" s="186" t="s">
        <v>10</v>
      </c>
      <c r="F206" s="187" t="str">
        <f t="shared" si="7"/>
        <v>IB21077</v>
      </c>
      <c r="G206" s="108" t="s">
        <v>643</v>
      </c>
      <c r="H206" s="244"/>
      <c r="I206" s="244"/>
      <c r="J206" s="245"/>
      <c r="K206" s="190" t="s">
        <v>1513</v>
      </c>
      <c r="L206" s="209"/>
      <c r="M206" s="190"/>
      <c r="N206" s="186" t="s">
        <v>11</v>
      </c>
      <c r="O206" s="195" t="str">
        <f t="shared" si="8"/>
        <v>OB21077</v>
      </c>
      <c r="P206" s="254"/>
      <c r="Q206" s="255"/>
      <c r="R206" s="255"/>
      <c r="S206" s="256"/>
      <c r="T206" s="190"/>
      <c r="U206" s="191"/>
      <c r="V206" s="909"/>
      <c r="W206" s="909"/>
      <c r="X206" s="182"/>
      <c r="Y206" s="182"/>
      <c r="Z206" s="182"/>
      <c r="AA206" s="182"/>
      <c r="AB206" s="182"/>
      <c r="AC206" s="210"/>
      <c r="AD206" s="182"/>
      <c r="AE206" s="182"/>
      <c r="AF206" s="211"/>
    </row>
    <row r="207" spans="2:32" ht="17.25" customHeight="1">
      <c r="B207" s="180">
        <v>120</v>
      </c>
      <c r="C207" s="811"/>
      <c r="D207" s="765"/>
      <c r="E207" s="186" t="s">
        <v>10</v>
      </c>
      <c r="F207" s="187" t="str">
        <f t="shared" si="7"/>
        <v>IB21078</v>
      </c>
      <c r="G207" s="249" t="s">
        <v>645</v>
      </c>
      <c r="H207" s="250"/>
      <c r="I207" s="250"/>
      <c r="J207" s="251"/>
      <c r="K207" s="190" t="s">
        <v>1513</v>
      </c>
      <c r="L207" s="191"/>
      <c r="M207" s="609"/>
      <c r="N207" s="186" t="s">
        <v>11</v>
      </c>
      <c r="O207" s="195" t="str">
        <f t="shared" si="8"/>
        <v>OB21078</v>
      </c>
      <c r="P207" s="254"/>
      <c r="Q207" s="255"/>
      <c r="R207" s="255"/>
      <c r="S207" s="256"/>
      <c r="T207" s="190"/>
      <c r="U207" s="191"/>
      <c r="V207" s="909"/>
      <c r="W207" s="909"/>
      <c r="X207" s="193"/>
      <c r="Y207" s="182"/>
      <c r="Z207" s="182"/>
      <c r="AA207" s="182"/>
      <c r="AB207" s="182"/>
      <c r="AC207" s="210"/>
      <c r="AD207" s="182"/>
      <c r="AE207" s="182"/>
      <c r="AF207" s="211"/>
    </row>
    <row r="208" spans="2:32" ht="17.25" customHeight="1">
      <c r="B208" s="180">
        <v>121</v>
      </c>
      <c r="C208" s="811"/>
      <c r="D208" s="765"/>
      <c r="E208" s="186" t="s">
        <v>10</v>
      </c>
      <c r="F208" s="187" t="str">
        <f t="shared" si="7"/>
        <v>IB21079</v>
      </c>
      <c r="G208" s="249" t="s">
        <v>644</v>
      </c>
      <c r="H208" s="250"/>
      <c r="I208" s="250"/>
      <c r="J208" s="251"/>
      <c r="K208" s="190" t="s">
        <v>1513</v>
      </c>
      <c r="L208" s="191"/>
      <c r="M208" s="609"/>
      <c r="N208" s="186" t="s">
        <v>11</v>
      </c>
      <c r="O208" s="195" t="str">
        <f t="shared" si="8"/>
        <v>OB21079</v>
      </c>
      <c r="P208" s="254"/>
      <c r="Q208" s="255"/>
      <c r="R208" s="255"/>
      <c r="S208" s="256"/>
      <c r="T208" s="190"/>
      <c r="U208" s="191"/>
      <c r="V208" s="909"/>
      <c r="W208" s="909"/>
      <c r="X208" s="193"/>
      <c r="Y208" s="182"/>
      <c r="Z208" s="182"/>
      <c r="AA208" s="182"/>
      <c r="AB208" s="182"/>
      <c r="AC208" s="210"/>
      <c r="AD208" s="182"/>
      <c r="AE208" s="182"/>
      <c r="AF208" s="211"/>
    </row>
    <row r="209" spans="2:32" ht="17.25" customHeight="1">
      <c r="B209" s="180">
        <v>122</v>
      </c>
      <c r="C209" s="811"/>
      <c r="D209" s="765"/>
      <c r="E209" s="186" t="s">
        <v>10</v>
      </c>
      <c r="F209" s="187" t="str">
        <f t="shared" si="7"/>
        <v>IB2107A</v>
      </c>
      <c r="G209" s="249" t="s">
        <v>1077</v>
      </c>
      <c r="H209" s="250"/>
      <c r="I209" s="250"/>
      <c r="J209" s="251"/>
      <c r="K209" s="213" t="s">
        <v>1513</v>
      </c>
      <c r="L209" s="191"/>
      <c r="M209" s="609"/>
      <c r="N209" s="186" t="s">
        <v>11</v>
      </c>
      <c r="O209" s="195" t="str">
        <f t="shared" si="8"/>
        <v>OB2107A</v>
      </c>
      <c r="P209" s="254"/>
      <c r="Q209" s="255"/>
      <c r="R209" s="255"/>
      <c r="S209" s="256"/>
      <c r="T209" s="190"/>
      <c r="U209" s="191"/>
      <c r="V209" s="909"/>
      <c r="W209" s="909"/>
      <c r="X209" s="193"/>
      <c r="Y209" s="182"/>
      <c r="Z209" s="182"/>
      <c r="AA209" s="182"/>
      <c r="AB209" s="182"/>
      <c r="AC209" s="210"/>
      <c r="AD209" s="182"/>
      <c r="AE209" s="182"/>
      <c r="AF209" s="211"/>
    </row>
    <row r="210" spans="2:32" ht="17.25" customHeight="1">
      <c r="B210" s="180">
        <v>123</v>
      </c>
      <c r="C210" s="811"/>
      <c r="D210" s="765"/>
      <c r="E210" s="186" t="s">
        <v>10</v>
      </c>
      <c r="F210" s="187" t="str">
        <f t="shared" si="7"/>
        <v>IB2107B</v>
      </c>
      <c r="G210" s="249" t="s">
        <v>1078</v>
      </c>
      <c r="H210" s="250"/>
      <c r="I210" s="250"/>
      <c r="J210" s="251"/>
      <c r="K210" s="213" t="s">
        <v>1513</v>
      </c>
      <c r="L210" s="191"/>
      <c r="M210" s="609"/>
      <c r="N210" s="186" t="s">
        <v>11</v>
      </c>
      <c r="O210" s="195" t="str">
        <f t="shared" si="8"/>
        <v>OB2107B</v>
      </c>
      <c r="P210" s="254"/>
      <c r="Q210" s="255"/>
      <c r="R210" s="255"/>
      <c r="S210" s="256"/>
      <c r="T210" s="190"/>
      <c r="U210" s="191"/>
      <c r="V210" s="909"/>
      <c r="W210" s="909"/>
      <c r="X210" s="215"/>
      <c r="Y210" s="182"/>
      <c r="Z210" s="182"/>
      <c r="AA210" s="182"/>
      <c r="AB210" s="182"/>
      <c r="AC210" s="210"/>
      <c r="AD210" s="182"/>
      <c r="AE210" s="182"/>
      <c r="AF210" s="211"/>
    </row>
    <row r="211" spans="2:32" ht="17.25" customHeight="1">
      <c r="B211" s="180">
        <v>124</v>
      </c>
      <c r="C211" s="811"/>
      <c r="D211" s="765"/>
      <c r="E211" s="186" t="s">
        <v>10</v>
      </c>
      <c r="F211" s="187" t="str">
        <f t="shared" si="7"/>
        <v>IB2107C</v>
      </c>
      <c r="G211" s="108" t="s">
        <v>661</v>
      </c>
      <c r="H211" s="250"/>
      <c r="I211" s="250"/>
      <c r="J211" s="251"/>
      <c r="K211" s="213" t="s">
        <v>1513</v>
      </c>
      <c r="L211" s="209"/>
      <c r="M211" s="190"/>
      <c r="N211" s="186" t="s">
        <v>11</v>
      </c>
      <c r="O211" s="195" t="str">
        <f t="shared" si="8"/>
        <v>OB2107C</v>
      </c>
      <c r="P211" s="254"/>
      <c r="Q211" s="255"/>
      <c r="R211" s="255"/>
      <c r="S211" s="256"/>
      <c r="T211" s="190"/>
      <c r="U211" s="191"/>
      <c r="V211" s="909"/>
      <c r="W211" s="909"/>
      <c r="X211" s="193"/>
      <c r="Y211" s="182"/>
      <c r="Z211" s="182"/>
      <c r="AA211" s="182"/>
      <c r="AB211" s="182"/>
      <c r="AC211" s="210"/>
      <c r="AD211" s="182"/>
      <c r="AE211" s="182"/>
      <c r="AF211" s="211"/>
    </row>
    <row r="212" spans="2:32" ht="17.25" customHeight="1">
      <c r="B212" s="180">
        <v>125</v>
      </c>
      <c r="C212" s="811"/>
      <c r="D212" s="765"/>
      <c r="E212" s="186" t="s">
        <v>10</v>
      </c>
      <c r="F212" s="187" t="str">
        <f t="shared" si="7"/>
        <v>IB2107D</v>
      </c>
      <c r="G212" s="108" t="s">
        <v>662</v>
      </c>
      <c r="H212" s="250"/>
      <c r="I212" s="250"/>
      <c r="J212" s="251"/>
      <c r="K212" s="213" t="s">
        <v>1513</v>
      </c>
      <c r="L212" s="209"/>
      <c r="M212" s="190"/>
      <c r="N212" s="186" t="s">
        <v>11</v>
      </c>
      <c r="O212" s="195" t="str">
        <f t="shared" si="8"/>
        <v>OB2107D</v>
      </c>
      <c r="P212" s="254"/>
      <c r="Q212" s="255"/>
      <c r="R212" s="255"/>
      <c r="S212" s="256"/>
      <c r="T212" s="190"/>
      <c r="U212" s="191"/>
      <c r="V212" s="909"/>
      <c r="W212" s="909"/>
      <c r="X212" s="215"/>
      <c r="Y212" s="182"/>
      <c r="Z212" s="182"/>
      <c r="AA212" s="182"/>
      <c r="AB212" s="182"/>
      <c r="AC212" s="210"/>
      <c r="AD212" s="182"/>
      <c r="AE212" s="182"/>
      <c r="AF212" s="211"/>
    </row>
    <row r="213" spans="2:32" ht="17.25" customHeight="1">
      <c r="B213" s="180">
        <v>126</v>
      </c>
      <c r="C213" s="811"/>
      <c r="D213" s="765"/>
      <c r="E213" s="186" t="s">
        <v>10</v>
      </c>
      <c r="F213" s="187" t="str">
        <f t="shared" si="7"/>
        <v>IB2107E</v>
      </c>
      <c r="G213" s="108" t="s">
        <v>663</v>
      </c>
      <c r="H213" s="244"/>
      <c r="I213" s="244"/>
      <c r="J213" s="245"/>
      <c r="K213" s="213" t="s">
        <v>1513</v>
      </c>
      <c r="L213" s="209"/>
      <c r="M213" s="190"/>
      <c r="N213" s="186" t="s">
        <v>11</v>
      </c>
      <c r="O213" s="195" t="str">
        <f t="shared" si="8"/>
        <v>OB2107E</v>
      </c>
      <c r="P213" s="254"/>
      <c r="Q213" s="255"/>
      <c r="R213" s="255"/>
      <c r="S213" s="256"/>
      <c r="T213" s="190"/>
      <c r="U213" s="191"/>
      <c r="V213" s="909"/>
      <c r="W213" s="909"/>
      <c r="X213" s="215"/>
      <c r="Y213" s="182"/>
      <c r="Z213" s="182"/>
      <c r="AA213" s="182"/>
      <c r="AB213" s="182"/>
      <c r="AC213" s="210"/>
      <c r="AD213" s="182"/>
      <c r="AE213" s="182"/>
      <c r="AF213" s="211"/>
    </row>
    <row r="214" spans="2:32" ht="17.25" customHeight="1">
      <c r="B214" s="180">
        <v>127</v>
      </c>
      <c r="C214" s="928"/>
      <c r="D214" s="765"/>
      <c r="E214" s="186" t="s">
        <v>10</v>
      </c>
      <c r="F214" s="187" t="str">
        <f t="shared" si="7"/>
        <v>IB2107F</v>
      </c>
      <c r="G214" s="108" t="s">
        <v>646</v>
      </c>
      <c r="H214" s="244"/>
      <c r="I214" s="244"/>
      <c r="J214" s="245"/>
      <c r="K214" s="213" t="s">
        <v>1513</v>
      </c>
      <c r="L214" s="209"/>
      <c r="M214" s="190"/>
      <c r="N214" s="186" t="s">
        <v>11</v>
      </c>
      <c r="O214" s="195" t="str">
        <f t="shared" si="8"/>
        <v>OB2107F</v>
      </c>
      <c r="P214" s="254"/>
      <c r="Q214" s="255"/>
      <c r="R214" s="255"/>
      <c r="S214" s="256"/>
      <c r="T214" s="190"/>
      <c r="U214" s="191"/>
      <c r="V214" s="909"/>
      <c r="W214" s="909"/>
      <c r="X214" s="215"/>
      <c r="Y214" s="182"/>
      <c r="Z214" s="182"/>
      <c r="AA214" s="182"/>
      <c r="AB214" s="182"/>
      <c r="AC214" s="210"/>
      <c r="AD214" s="182"/>
      <c r="AE214" s="182"/>
      <c r="AF214" s="211"/>
    </row>
    <row r="215" spans="2:32" ht="17.25" customHeight="1">
      <c r="B215" s="180">
        <v>128</v>
      </c>
      <c r="C215" s="927" t="s">
        <v>1562</v>
      </c>
      <c r="D215" s="940" t="s">
        <v>72</v>
      </c>
      <c r="E215" s="186" t="s">
        <v>10</v>
      </c>
      <c r="F215" s="187" t="str">
        <f t="shared" si="7"/>
        <v>IB21080</v>
      </c>
      <c r="G215" s="108" t="s">
        <v>647</v>
      </c>
      <c r="H215" s="244"/>
      <c r="I215" s="244"/>
      <c r="J215" s="245"/>
      <c r="K215" s="190" t="s">
        <v>1513</v>
      </c>
      <c r="L215" s="209"/>
      <c r="M215" s="190"/>
      <c r="N215" s="186" t="s">
        <v>11</v>
      </c>
      <c r="O215" s="195" t="str">
        <f t="shared" si="8"/>
        <v>OB21080</v>
      </c>
      <c r="P215" s="254"/>
      <c r="Q215" s="255"/>
      <c r="R215" s="255"/>
      <c r="S215" s="256"/>
      <c r="T215" s="190"/>
      <c r="U215" s="191"/>
      <c r="V215" s="909"/>
      <c r="W215" s="909"/>
      <c r="X215" s="193"/>
      <c r="Y215" s="182"/>
      <c r="Z215" s="182"/>
      <c r="AA215" s="182"/>
      <c r="AB215" s="182"/>
      <c r="AC215" s="210"/>
      <c r="AD215" s="182"/>
      <c r="AE215" s="182"/>
      <c r="AF215" s="211"/>
    </row>
    <row r="216" spans="2:32" ht="17.25" customHeight="1">
      <c r="B216" s="180">
        <v>129</v>
      </c>
      <c r="C216" s="811"/>
      <c r="D216" s="765"/>
      <c r="E216" s="186" t="s">
        <v>10</v>
      </c>
      <c r="F216" s="187" t="str">
        <f t="shared" si="7"/>
        <v>IB21081</v>
      </c>
      <c r="G216" s="108" t="s">
        <v>648</v>
      </c>
      <c r="H216" s="244"/>
      <c r="I216" s="244"/>
      <c r="J216" s="245"/>
      <c r="K216" s="190" t="s">
        <v>1513</v>
      </c>
      <c r="L216" s="209"/>
      <c r="M216" s="190"/>
      <c r="N216" s="186" t="s">
        <v>11</v>
      </c>
      <c r="O216" s="195" t="str">
        <f t="shared" si="8"/>
        <v>OB21081</v>
      </c>
      <c r="P216" s="254"/>
      <c r="Q216" s="255"/>
      <c r="R216" s="255"/>
      <c r="S216" s="256"/>
      <c r="T216" s="190"/>
      <c r="U216" s="191"/>
      <c r="V216" s="909"/>
      <c r="W216" s="909"/>
      <c r="X216" s="193"/>
      <c r="Y216" s="182"/>
      <c r="Z216" s="182"/>
      <c r="AA216" s="182"/>
      <c r="AB216" s="182"/>
      <c r="AC216" s="210"/>
      <c r="AD216" s="182"/>
      <c r="AE216" s="182"/>
      <c r="AF216" s="211"/>
    </row>
    <row r="217" spans="2:32" ht="17.25" customHeight="1">
      <c r="B217" s="180">
        <v>130</v>
      </c>
      <c r="C217" s="811"/>
      <c r="D217" s="765"/>
      <c r="E217" s="186" t="s">
        <v>10</v>
      </c>
      <c r="F217" s="187" t="str">
        <f t="shared" ref="F217:F280" si="9">LEFT(F216,1)&amp;DEC2HEX(HEX2DEC(MID(F216,2,LENB(F216)-1))+1,LENB(F216)-1)</f>
        <v>IB21082</v>
      </c>
      <c r="G217" s="108" t="s">
        <v>649</v>
      </c>
      <c r="H217" s="244"/>
      <c r="I217" s="244"/>
      <c r="J217" s="245"/>
      <c r="K217" s="190" t="s">
        <v>1513</v>
      </c>
      <c r="L217" s="209"/>
      <c r="M217" s="190"/>
      <c r="N217" s="186" t="s">
        <v>11</v>
      </c>
      <c r="O217" s="195" t="str">
        <f t="shared" si="8"/>
        <v>OB21082</v>
      </c>
      <c r="P217" s="254"/>
      <c r="Q217" s="255"/>
      <c r="R217" s="255"/>
      <c r="S217" s="256"/>
      <c r="T217" s="190"/>
      <c r="U217" s="191"/>
      <c r="V217" s="909"/>
      <c r="W217" s="909"/>
      <c r="X217" s="193"/>
      <c r="Y217" s="182"/>
      <c r="Z217" s="182"/>
      <c r="AA217" s="182"/>
      <c r="AB217" s="182"/>
      <c r="AC217" s="210"/>
      <c r="AD217" s="182"/>
      <c r="AE217" s="182"/>
      <c r="AF217" s="211"/>
    </row>
    <row r="218" spans="2:32" ht="17.25" customHeight="1">
      <c r="B218" s="180">
        <v>131</v>
      </c>
      <c r="C218" s="811"/>
      <c r="D218" s="765"/>
      <c r="E218" s="186" t="s">
        <v>10</v>
      </c>
      <c r="F218" s="187" t="str">
        <f t="shared" si="9"/>
        <v>IB21083</v>
      </c>
      <c r="G218" s="108" t="s">
        <v>650</v>
      </c>
      <c r="H218" s="244"/>
      <c r="I218" s="244"/>
      <c r="J218" s="245"/>
      <c r="K218" s="190" t="s">
        <v>1513</v>
      </c>
      <c r="L218" s="214"/>
      <c r="M218" s="213"/>
      <c r="N218" s="186" t="s">
        <v>11</v>
      </c>
      <c r="O218" s="195" t="str">
        <f t="shared" si="8"/>
        <v>OB21083</v>
      </c>
      <c r="P218" s="254"/>
      <c r="Q218" s="255"/>
      <c r="R218" s="255"/>
      <c r="S218" s="256"/>
      <c r="T218" s="190"/>
      <c r="U218" s="191"/>
      <c r="V218" s="909"/>
      <c r="W218" s="909"/>
      <c r="X218" s="193"/>
      <c r="Y218" s="182"/>
      <c r="Z218" s="182"/>
      <c r="AA218" s="182"/>
      <c r="AB218" s="182"/>
      <c r="AC218" s="210"/>
      <c r="AD218" s="182"/>
      <c r="AE218" s="182"/>
      <c r="AF218" s="211"/>
    </row>
    <row r="219" spans="2:32" ht="17.25" customHeight="1">
      <c r="B219" s="180">
        <v>132</v>
      </c>
      <c r="C219" s="811"/>
      <c r="D219" s="765"/>
      <c r="E219" s="186" t="s">
        <v>10</v>
      </c>
      <c r="F219" s="187" t="str">
        <f t="shared" si="9"/>
        <v>IB21084</v>
      </c>
      <c r="G219" s="108" t="s">
        <v>651</v>
      </c>
      <c r="H219" s="244"/>
      <c r="I219" s="244"/>
      <c r="J219" s="245"/>
      <c r="K219" s="190" t="s">
        <v>1513</v>
      </c>
      <c r="L219" s="214"/>
      <c r="M219" s="213"/>
      <c r="N219" s="186" t="s">
        <v>11</v>
      </c>
      <c r="O219" s="195" t="str">
        <f t="shared" si="8"/>
        <v>OB21084</v>
      </c>
      <c r="P219" s="254"/>
      <c r="Q219" s="255"/>
      <c r="R219" s="255"/>
      <c r="S219" s="256"/>
      <c r="T219" s="190"/>
      <c r="U219" s="191"/>
      <c r="V219" s="909"/>
      <c r="W219" s="909"/>
      <c r="X219" s="193"/>
      <c r="Y219" s="182"/>
      <c r="Z219" s="182"/>
      <c r="AA219" s="182"/>
      <c r="AB219" s="182"/>
      <c r="AC219" s="210"/>
      <c r="AD219" s="182"/>
      <c r="AE219" s="182"/>
      <c r="AF219" s="211"/>
    </row>
    <row r="220" spans="2:32" ht="17.25" customHeight="1">
      <c r="B220" s="180">
        <v>133</v>
      </c>
      <c r="C220" s="811"/>
      <c r="D220" s="765"/>
      <c r="E220" s="186" t="s">
        <v>10</v>
      </c>
      <c r="F220" s="187" t="str">
        <f t="shared" si="9"/>
        <v>IB21085</v>
      </c>
      <c r="G220" s="108" t="s">
        <v>652</v>
      </c>
      <c r="H220" s="244"/>
      <c r="I220" s="244"/>
      <c r="J220" s="245"/>
      <c r="K220" s="190" t="s">
        <v>1513</v>
      </c>
      <c r="L220" s="214"/>
      <c r="M220" s="213"/>
      <c r="N220" s="186" t="s">
        <v>11</v>
      </c>
      <c r="O220" s="195" t="str">
        <f t="shared" si="8"/>
        <v>OB21085</v>
      </c>
      <c r="P220" s="254"/>
      <c r="Q220" s="255"/>
      <c r="R220" s="255"/>
      <c r="S220" s="256"/>
      <c r="T220" s="190"/>
      <c r="U220" s="191"/>
      <c r="V220" s="909"/>
      <c r="W220" s="909"/>
      <c r="X220" s="215"/>
      <c r="Y220" s="182"/>
      <c r="Z220" s="182"/>
      <c r="AA220" s="182"/>
      <c r="AB220" s="182"/>
      <c r="AC220" s="210"/>
      <c r="AD220" s="182"/>
      <c r="AE220" s="182"/>
      <c r="AF220" s="211"/>
    </row>
    <row r="221" spans="2:32" ht="17.25" customHeight="1">
      <c r="B221" s="180">
        <v>134</v>
      </c>
      <c r="C221" s="811"/>
      <c r="D221" s="765"/>
      <c r="E221" s="186" t="s">
        <v>10</v>
      </c>
      <c r="F221" s="187" t="str">
        <f t="shared" si="9"/>
        <v>IB21086</v>
      </c>
      <c r="G221" s="108" t="s">
        <v>653</v>
      </c>
      <c r="H221" s="244"/>
      <c r="I221" s="244"/>
      <c r="J221" s="245"/>
      <c r="K221" s="190" t="s">
        <v>1513</v>
      </c>
      <c r="L221" s="214"/>
      <c r="M221" s="213"/>
      <c r="N221" s="186" t="s">
        <v>11</v>
      </c>
      <c r="O221" s="195" t="str">
        <f t="shared" si="8"/>
        <v>OB21086</v>
      </c>
      <c r="P221" s="254"/>
      <c r="Q221" s="255"/>
      <c r="R221" s="255"/>
      <c r="S221" s="256"/>
      <c r="T221" s="190"/>
      <c r="U221" s="191"/>
      <c r="V221" s="909"/>
      <c r="W221" s="909"/>
      <c r="X221" s="193"/>
      <c r="Y221" s="182"/>
      <c r="Z221" s="182"/>
      <c r="AA221" s="182"/>
      <c r="AB221" s="182"/>
      <c r="AC221" s="210"/>
      <c r="AD221" s="182"/>
      <c r="AE221" s="182"/>
      <c r="AF221" s="211"/>
    </row>
    <row r="222" spans="2:32" ht="17.25" customHeight="1">
      <c r="B222" s="180">
        <v>135</v>
      </c>
      <c r="C222" s="811"/>
      <c r="D222" s="765"/>
      <c r="E222" s="186" t="s">
        <v>10</v>
      </c>
      <c r="F222" s="187" t="str">
        <f t="shared" si="9"/>
        <v>IB21087</v>
      </c>
      <c r="G222" s="108" t="s">
        <v>654</v>
      </c>
      <c r="H222" s="244"/>
      <c r="I222" s="244"/>
      <c r="J222" s="245"/>
      <c r="K222" s="190" t="s">
        <v>1513</v>
      </c>
      <c r="L222" s="217"/>
      <c r="M222" s="216"/>
      <c r="N222" s="186" t="s">
        <v>11</v>
      </c>
      <c r="O222" s="195" t="str">
        <f t="shared" si="8"/>
        <v>OB21087</v>
      </c>
      <c r="P222" s="254"/>
      <c r="Q222" s="255"/>
      <c r="R222" s="255"/>
      <c r="S222" s="256"/>
      <c r="T222" s="190"/>
      <c r="U222" s="191"/>
      <c r="V222" s="909"/>
      <c r="W222" s="909"/>
      <c r="X222" s="193"/>
      <c r="Y222" s="182"/>
      <c r="Z222" s="182"/>
      <c r="AA222" s="182"/>
      <c r="AB222" s="182"/>
      <c r="AC222" s="210"/>
      <c r="AD222" s="182"/>
      <c r="AE222" s="182"/>
      <c r="AF222" s="211"/>
    </row>
    <row r="223" spans="2:32" ht="17.25" customHeight="1">
      <c r="B223" s="180">
        <v>136</v>
      </c>
      <c r="C223" s="811"/>
      <c r="D223" s="765"/>
      <c r="E223" s="186" t="s">
        <v>10</v>
      </c>
      <c r="F223" s="187" t="str">
        <f t="shared" si="9"/>
        <v>IB21088</v>
      </c>
      <c r="G223" s="108" t="s">
        <v>655</v>
      </c>
      <c r="H223" s="244"/>
      <c r="I223" s="244"/>
      <c r="J223" s="245"/>
      <c r="K223" s="190" t="s">
        <v>1513</v>
      </c>
      <c r="L223" s="209"/>
      <c r="M223" s="190"/>
      <c r="N223" s="186" t="s">
        <v>11</v>
      </c>
      <c r="O223" s="195" t="str">
        <f t="shared" si="8"/>
        <v>OB21088</v>
      </c>
      <c r="P223" s="254"/>
      <c r="Q223" s="255"/>
      <c r="R223" s="255"/>
      <c r="S223" s="256"/>
      <c r="T223" s="190"/>
      <c r="U223" s="191"/>
      <c r="V223" s="909"/>
      <c r="W223" s="909"/>
      <c r="X223" s="193"/>
      <c r="Y223" s="182"/>
      <c r="Z223" s="182"/>
      <c r="AA223" s="182"/>
      <c r="AB223" s="182"/>
      <c r="AC223" s="210"/>
      <c r="AD223" s="182"/>
      <c r="AE223" s="182"/>
      <c r="AF223" s="211"/>
    </row>
    <row r="224" spans="2:32" ht="17.25" customHeight="1">
      <c r="B224" s="180">
        <v>137</v>
      </c>
      <c r="C224" s="811"/>
      <c r="D224" s="765"/>
      <c r="E224" s="186" t="s">
        <v>10</v>
      </c>
      <c r="F224" s="187" t="str">
        <f t="shared" si="9"/>
        <v>IB21089</v>
      </c>
      <c r="G224" s="108" t="s">
        <v>656</v>
      </c>
      <c r="H224" s="244"/>
      <c r="I224" s="244"/>
      <c r="J224" s="245"/>
      <c r="K224" s="190" t="s">
        <v>1513</v>
      </c>
      <c r="L224" s="209"/>
      <c r="M224" s="190"/>
      <c r="N224" s="186" t="s">
        <v>11</v>
      </c>
      <c r="O224" s="195" t="str">
        <f t="shared" si="8"/>
        <v>OB21089</v>
      </c>
      <c r="P224" s="254"/>
      <c r="Q224" s="255"/>
      <c r="R224" s="255"/>
      <c r="S224" s="256"/>
      <c r="T224" s="190"/>
      <c r="U224" s="191"/>
      <c r="V224" s="909"/>
      <c r="W224" s="909"/>
      <c r="X224" s="193"/>
      <c r="Y224" s="182"/>
      <c r="Z224" s="182"/>
      <c r="AA224" s="182"/>
      <c r="AB224" s="182"/>
      <c r="AC224" s="210"/>
      <c r="AD224" s="182"/>
      <c r="AE224" s="182"/>
      <c r="AF224" s="211"/>
    </row>
    <row r="225" spans="2:32" ht="17.25" customHeight="1">
      <c r="B225" s="180">
        <v>138</v>
      </c>
      <c r="C225" s="811"/>
      <c r="D225" s="765"/>
      <c r="E225" s="186" t="s">
        <v>10</v>
      </c>
      <c r="F225" s="187" t="str">
        <f t="shared" si="9"/>
        <v>IB2108A</v>
      </c>
      <c r="G225" s="108" t="s">
        <v>657</v>
      </c>
      <c r="H225" s="244"/>
      <c r="I225" s="244"/>
      <c r="J225" s="245"/>
      <c r="K225" s="190" t="s">
        <v>1513</v>
      </c>
      <c r="L225" s="209"/>
      <c r="M225" s="190"/>
      <c r="N225" s="186" t="s">
        <v>11</v>
      </c>
      <c r="O225" s="195" t="str">
        <f t="shared" si="8"/>
        <v>OB2108A</v>
      </c>
      <c r="P225" s="254"/>
      <c r="Q225" s="255"/>
      <c r="R225" s="255"/>
      <c r="S225" s="256"/>
      <c r="T225" s="190"/>
      <c r="U225" s="191"/>
      <c r="V225" s="909"/>
      <c r="W225" s="909"/>
      <c r="X225" s="193"/>
      <c r="Y225" s="182"/>
      <c r="Z225" s="182"/>
      <c r="AA225" s="182"/>
      <c r="AB225" s="182"/>
      <c r="AC225" s="210"/>
      <c r="AD225" s="182"/>
      <c r="AE225" s="182"/>
      <c r="AF225" s="211"/>
    </row>
    <row r="226" spans="2:32" ht="17.25" customHeight="1">
      <c r="B226" s="180">
        <v>139</v>
      </c>
      <c r="C226" s="811"/>
      <c r="D226" s="765"/>
      <c r="E226" s="186" t="s">
        <v>10</v>
      </c>
      <c r="F226" s="187" t="str">
        <f t="shared" si="9"/>
        <v>IB2108B</v>
      </c>
      <c r="G226" s="108" t="s">
        <v>658</v>
      </c>
      <c r="H226" s="244"/>
      <c r="I226" s="244"/>
      <c r="J226" s="245"/>
      <c r="K226" s="190" t="s">
        <v>1513</v>
      </c>
      <c r="L226" s="209"/>
      <c r="M226" s="190"/>
      <c r="N226" s="186" t="s">
        <v>11</v>
      </c>
      <c r="O226" s="195" t="str">
        <f t="shared" si="8"/>
        <v>OB2108B</v>
      </c>
      <c r="P226" s="254"/>
      <c r="Q226" s="255"/>
      <c r="R226" s="255"/>
      <c r="S226" s="256"/>
      <c r="T226" s="190"/>
      <c r="U226" s="191"/>
      <c r="V226" s="909"/>
      <c r="W226" s="909"/>
      <c r="X226" s="193"/>
      <c r="Y226" s="182"/>
      <c r="Z226" s="182"/>
      <c r="AA226" s="182"/>
      <c r="AB226" s="182"/>
      <c r="AC226" s="210"/>
      <c r="AD226" s="182"/>
      <c r="AE226" s="182"/>
      <c r="AF226" s="211"/>
    </row>
    <row r="227" spans="2:32" ht="17.25" customHeight="1">
      <c r="B227" s="180">
        <v>140</v>
      </c>
      <c r="C227" s="811"/>
      <c r="D227" s="765"/>
      <c r="E227" s="186" t="s">
        <v>10</v>
      </c>
      <c r="F227" s="187" t="str">
        <f t="shared" si="9"/>
        <v>IB2108C</v>
      </c>
      <c r="G227" s="108" t="s">
        <v>659</v>
      </c>
      <c r="H227" s="244"/>
      <c r="I227" s="244"/>
      <c r="J227" s="245"/>
      <c r="K227" s="190" t="s">
        <v>1513</v>
      </c>
      <c r="L227" s="209"/>
      <c r="M227" s="190"/>
      <c r="N227" s="186" t="s">
        <v>11</v>
      </c>
      <c r="O227" s="195" t="str">
        <f t="shared" si="8"/>
        <v>OB2108C</v>
      </c>
      <c r="P227" s="254"/>
      <c r="Q227" s="255"/>
      <c r="R227" s="255"/>
      <c r="S227" s="256"/>
      <c r="T227" s="190"/>
      <c r="U227" s="191"/>
      <c r="V227" s="909"/>
      <c r="W227" s="909"/>
      <c r="X227" s="193"/>
      <c r="Y227" s="182"/>
      <c r="Z227" s="182"/>
      <c r="AA227" s="182"/>
      <c r="AB227" s="182"/>
      <c r="AC227" s="210"/>
      <c r="AD227" s="182"/>
      <c r="AE227" s="182"/>
      <c r="AF227" s="211"/>
    </row>
    <row r="228" spans="2:32" ht="17.25" customHeight="1">
      <c r="B228" s="180">
        <v>141</v>
      </c>
      <c r="C228" s="811"/>
      <c r="D228" s="765"/>
      <c r="E228" s="186" t="s">
        <v>10</v>
      </c>
      <c r="F228" s="187" t="str">
        <f t="shared" si="9"/>
        <v>IB2108D</v>
      </c>
      <c r="G228" s="108" t="s">
        <v>660</v>
      </c>
      <c r="H228" s="244"/>
      <c r="I228" s="244"/>
      <c r="J228" s="245"/>
      <c r="K228" s="190" t="s">
        <v>1513</v>
      </c>
      <c r="L228" s="209"/>
      <c r="M228" s="190"/>
      <c r="N228" s="186" t="s">
        <v>11</v>
      </c>
      <c r="O228" s="195" t="str">
        <f t="shared" si="8"/>
        <v>OB2108D</v>
      </c>
      <c r="P228" s="254"/>
      <c r="Q228" s="255"/>
      <c r="R228" s="255"/>
      <c r="S228" s="256"/>
      <c r="T228" s="190"/>
      <c r="U228" s="191"/>
      <c r="V228" s="909"/>
      <c r="W228" s="909"/>
      <c r="X228" s="193"/>
      <c r="Y228" s="182"/>
      <c r="Z228" s="182"/>
      <c r="AA228" s="182"/>
      <c r="AB228" s="182"/>
      <c r="AC228" s="210"/>
      <c r="AD228" s="182"/>
      <c r="AE228" s="182"/>
      <c r="AF228" s="211"/>
    </row>
    <row r="229" spans="2:32" ht="17.25" customHeight="1">
      <c r="B229" s="180">
        <v>142</v>
      </c>
      <c r="C229" s="811"/>
      <c r="D229" s="765"/>
      <c r="E229" s="186" t="s">
        <v>10</v>
      </c>
      <c r="F229" s="187" t="str">
        <f t="shared" si="9"/>
        <v>IB2108E</v>
      </c>
      <c r="G229" s="249"/>
      <c r="H229" s="250"/>
      <c r="I229" s="250"/>
      <c r="J229" s="251"/>
      <c r="K229" s="190"/>
      <c r="L229" s="209"/>
      <c r="M229" s="190"/>
      <c r="N229" s="186" t="s">
        <v>11</v>
      </c>
      <c r="O229" s="195" t="str">
        <f t="shared" si="8"/>
        <v>OB2108E</v>
      </c>
      <c r="P229" s="254"/>
      <c r="Q229" s="255"/>
      <c r="R229" s="255"/>
      <c r="S229" s="256"/>
      <c r="T229" s="190"/>
      <c r="U229" s="191"/>
      <c r="V229" s="909"/>
      <c r="W229" s="909"/>
      <c r="X229" s="193"/>
      <c r="Y229" s="182"/>
      <c r="Z229" s="182"/>
      <c r="AA229" s="182"/>
      <c r="AB229" s="182"/>
      <c r="AC229" s="210"/>
      <c r="AD229" s="182"/>
      <c r="AE229" s="182"/>
      <c r="AF229" s="211"/>
    </row>
    <row r="230" spans="2:32" ht="17.25" customHeight="1">
      <c r="B230" s="180">
        <v>143</v>
      </c>
      <c r="C230" s="928"/>
      <c r="D230" s="765"/>
      <c r="E230" s="186" t="s">
        <v>10</v>
      </c>
      <c r="F230" s="187" t="str">
        <f t="shared" si="9"/>
        <v>IB2108F</v>
      </c>
      <c r="G230" s="243"/>
      <c r="H230" s="244"/>
      <c r="I230" s="244"/>
      <c r="J230" s="245"/>
      <c r="K230" s="216"/>
      <c r="L230" s="217"/>
      <c r="M230" s="216"/>
      <c r="N230" s="186" t="s">
        <v>11</v>
      </c>
      <c r="O230" s="195" t="str">
        <f t="shared" si="8"/>
        <v>OB2108F</v>
      </c>
      <c r="P230" s="254"/>
      <c r="Q230" s="255"/>
      <c r="R230" s="255"/>
      <c r="S230" s="256"/>
      <c r="T230" s="190"/>
      <c r="U230" s="191"/>
      <c r="V230" s="909"/>
      <c r="W230" s="909"/>
      <c r="X230" s="193"/>
      <c r="Y230" s="182"/>
      <c r="Z230" s="182"/>
      <c r="AA230" s="182"/>
      <c r="AB230" s="182"/>
      <c r="AC230" s="210"/>
      <c r="AD230" s="182"/>
      <c r="AE230" s="182"/>
      <c r="AF230" s="211"/>
    </row>
    <row r="231" spans="2:32" ht="17.25" customHeight="1">
      <c r="B231" s="180">
        <v>144</v>
      </c>
      <c r="C231" s="925" t="s">
        <v>1581</v>
      </c>
      <c r="D231" s="940" t="s">
        <v>72</v>
      </c>
      <c r="E231" s="186" t="s">
        <v>10</v>
      </c>
      <c r="F231" s="187" t="str">
        <f t="shared" si="9"/>
        <v>IB21090</v>
      </c>
      <c r="G231" s="271"/>
      <c r="H231" s="272"/>
      <c r="I231" s="272"/>
      <c r="J231" s="273"/>
      <c r="K231" s="190"/>
      <c r="L231" s="209"/>
      <c r="M231" s="190"/>
      <c r="N231" s="186" t="s">
        <v>11</v>
      </c>
      <c r="O231" s="195" t="str">
        <f t="shared" si="8"/>
        <v>OB21090</v>
      </c>
      <c r="P231" s="463" t="s">
        <v>909</v>
      </c>
      <c r="Q231" s="250"/>
      <c r="R231" s="250"/>
      <c r="S231" s="251"/>
      <c r="T231" s="190" t="s">
        <v>1513</v>
      </c>
      <c r="U231" s="191"/>
      <c r="V231" s="909"/>
      <c r="W231" s="909"/>
      <c r="X231" s="193"/>
      <c r="Y231" s="182"/>
      <c r="Z231" s="182"/>
      <c r="AA231" s="182"/>
      <c r="AB231" s="182"/>
      <c r="AC231" s="210"/>
      <c r="AD231" s="182"/>
      <c r="AE231" s="182"/>
      <c r="AF231" s="211"/>
    </row>
    <row r="232" spans="2:32" ht="17.25" customHeight="1">
      <c r="B232" s="180">
        <v>145</v>
      </c>
      <c r="C232" s="816"/>
      <c r="D232" s="765"/>
      <c r="E232" s="186" t="s">
        <v>10</v>
      </c>
      <c r="F232" s="187" t="str">
        <f t="shared" si="9"/>
        <v>IB21091</v>
      </c>
      <c r="G232" s="271"/>
      <c r="H232" s="272"/>
      <c r="I232" s="272"/>
      <c r="J232" s="273"/>
      <c r="K232" s="190"/>
      <c r="L232" s="209"/>
      <c r="M232" s="190"/>
      <c r="N232" s="186" t="s">
        <v>11</v>
      </c>
      <c r="O232" s="195" t="str">
        <f t="shared" si="8"/>
        <v>OB21091</v>
      </c>
      <c r="P232" s="463" t="s">
        <v>910</v>
      </c>
      <c r="Q232" s="250"/>
      <c r="R232" s="250"/>
      <c r="S232" s="251"/>
      <c r="T232" s="190" t="s">
        <v>1513</v>
      </c>
      <c r="U232" s="191"/>
      <c r="V232" s="909"/>
      <c r="W232" s="909"/>
      <c r="X232" s="193"/>
      <c r="Y232" s="182"/>
      <c r="Z232" s="182"/>
      <c r="AA232" s="182"/>
      <c r="AB232" s="182"/>
      <c r="AC232" s="210"/>
      <c r="AD232" s="182"/>
      <c r="AE232" s="182"/>
      <c r="AF232" s="211"/>
    </row>
    <row r="233" spans="2:32" ht="17.25" customHeight="1">
      <c r="B233" s="180">
        <v>146</v>
      </c>
      <c r="C233" s="816"/>
      <c r="D233" s="765"/>
      <c r="E233" s="186" t="s">
        <v>10</v>
      </c>
      <c r="F233" s="187" t="str">
        <f t="shared" si="9"/>
        <v>IB21092</v>
      </c>
      <c r="G233" s="271"/>
      <c r="H233" s="272"/>
      <c r="I233" s="272"/>
      <c r="J233" s="273"/>
      <c r="K233" s="190"/>
      <c r="L233" s="209"/>
      <c r="M233" s="190"/>
      <c r="N233" s="186" t="s">
        <v>11</v>
      </c>
      <c r="O233" s="195" t="str">
        <f t="shared" si="8"/>
        <v>OB21092</v>
      </c>
      <c r="P233" s="463" t="s">
        <v>911</v>
      </c>
      <c r="Q233" s="250"/>
      <c r="R233" s="250"/>
      <c r="S233" s="251"/>
      <c r="T233" s="190" t="s">
        <v>1513</v>
      </c>
      <c r="U233" s="191"/>
      <c r="V233" s="909"/>
      <c r="W233" s="909"/>
      <c r="X233" s="193"/>
      <c r="Y233" s="182"/>
      <c r="Z233" s="182"/>
      <c r="AA233" s="182"/>
      <c r="AB233" s="182"/>
      <c r="AC233" s="210"/>
      <c r="AD233" s="182"/>
      <c r="AE233" s="182"/>
      <c r="AF233" s="211"/>
    </row>
    <row r="234" spans="2:32" ht="17.25" customHeight="1">
      <c r="B234" s="180">
        <v>147</v>
      </c>
      <c r="C234" s="816"/>
      <c r="D234" s="765"/>
      <c r="E234" s="186" t="s">
        <v>10</v>
      </c>
      <c r="F234" s="187" t="str">
        <f t="shared" si="9"/>
        <v>IB21093</v>
      </c>
      <c r="G234" s="271"/>
      <c r="H234" s="272"/>
      <c r="I234" s="272"/>
      <c r="J234" s="273"/>
      <c r="K234" s="190"/>
      <c r="L234" s="209"/>
      <c r="M234" s="190"/>
      <c r="N234" s="186" t="s">
        <v>11</v>
      </c>
      <c r="O234" s="195" t="str">
        <f t="shared" si="8"/>
        <v>OB21093</v>
      </c>
      <c r="P234" s="463" t="s">
        <v>912</v>
      </c>
      <c r="Q234" s="250"/>
      <c r="R234" s="250"/>
      <c r="S234" s="251"/>
      <c r="T234" s="190" t="s">
        <v>1513</v>
      </c>
      <c r="U234" s="191"/>
      <c r="V234" s="909"/>
      <c r="W234" s="909"/>
      <c r="X234" s="193"/>
      <c r="Y234" s="182"/>
      <c r="Z234" s="182"/>
      <c r="AA234" s="182"/>
      <c r="AB234" s="182"/>
      <c r="AC234" s="210"/>
      <c r="AD234" s="182"/>
      <c r="AE234" s="182"/>
      <c r="AF234" s="211"/>
    </row>
    <row r="235" spans="2:32" ht="17.25" customHeight="1">
      <c r="B235" s="180">
        <v>148</v>
      </c>
      <c r="C235" s="816"/>
      <c r="D235" s="765"/>
      <c r="E235" s="186" t="s">
        <v>10</v>
      </c>
      <c r="F235" s="187" t="str">
        <f t="shared" si="9"/>
        <v>IB21094</v>
      </c>
      <c r="G235" s="271"/>
      <c r="H235" s="272"/>
      <c r="I235" s="272"/>
      <c r="J235" s="273"/>
      <c r="K235" s="190"/>
      <c r="L235" s="209"/>
      <c r="M235" s="190"/>
      <c r="N235" s="186" t="s">
        <v>11</v>
      </c>
      <c r="O235" s="195" t="str">
        <f t="shared" si="8"/>
        <v>OB21094</v>
      </c>
      <c r="P235" s="463" t="s">
        <v>913</v>
      </c>
      <c r="Q235" s="250"/>
      <c r="R235" s="250"/>
      <c r="S235" s="251"/>
      <c r="T235" s="190" t="s">
        <v>1513</v>
      </c>
      <c r="U235" s="191"/>
      <c r="V235" s="909"/>
      <c r="W235" s="909"/>
      <c r="X235" s="193"/>
      <c r="Y235" s="182"/>
      <c r="Z235" s="182"/>
      <c r="AA235" s="182"/>
      <c r="AB235" s="182"/>
      <c r="AC235" s="210"/>
      <c r="AD235" s="182"/>
      <c r="AE235" s="182"/>
      <c r="AF235" s="211"/>
    </row>
    <row r="236" spans="2:32" ht="17.25" customHeight="1">
      <c r="B236" s="180">
        <v>149</v>
      </c>
      <c r="C236" s="816"/>
      <c r="D236" s="765"/>
      <c r="E236" s="186" t="s">
        <v>10</v>
      </c>
      <c r="F236" s="187" t="str">
        <f t="shared" si="9"/>
        <v>IB21095</v>
      </c>
      <c r="G236" s="271"/>
      <c r="H236" s="272"/>
      <c r="I236" s="272"/>
      <c r="J236" s="273"/>
      <c r="K236" s="190"/>
      <c r="L236" s="209"/>
      <c r="M236" s="190"/>
      <c r="N236" s="186" t="s">
        <v>11</v>
      </c>
      <c r="O236" s="195" t="str">
        <f t="shared" si="8"/>
        <v>OB21095</v>
      </c>
      <c r="P236" s="463" t="s">
        <v>914</v>
      </c>
      <c r="Q236" s="250"/>
      <c r="R236" s="250"/>
      <c r="S236" s="251"/>
      <c r="T236" s="190" t="s">
        <v>1513</v>
      </c>
      <c r="U236" s="191"/>
      <c r="V236" s="909"/>
      <c r="W236" s="909"/>
      <c r="X236" s="193"/>
      <c r="Y236" s="182"/>
      <c r="Z236" s="182"/>
      <c r="AA236" s="182"/>
      <c r="AB236" s="182"/>
      <c r="AC236" s="210"/>
      <c r="AD236" s="182"/>
      <c r="AE236" s="182"/>
      <c r="AF236" s="211"/>
    </row>
    <row r="237" spans="2:32" ht="17.25" customHeight="1">
      <c r="B237" s="180">
        <v>150</v>
      </c>
      <c r="C237" s="816"/>
      <c r="D237" s="765"/>
      <c r="E237" s="186" t="s">
        <v>10</v>
      </c>
      <c r="F237" s="187" t="str">
        <f t="shared" si="9"/>
        <v>IB21096</v>
      </c>
      <c r="G237" s="271"/>
      <c r="H237" s="272"/>
      <c r="I237" s="272"/>
      <c r="J237" s="273"/>
      <c r="K237" s="190"/>
      <c r="L237" s="209"/>
      <c r="M237" s="190"/>
      <c r="N237" s="186" t="s">
        <v>11</v>
      </c>
      <c r="O237" s="195" t="str">
        <f t="shared" si="8"/>
        <v>OB21096</v>
      </c>
      <c r="P237" s="463" t="s">
        <v>915</v>
      </c>
      <c r="Q237" s="250"/>
      <c r="R237" s="250"/>
      <c r="S237" s="251"/>
      <c r="T237" s="190" t="s">
        <v>1513</v>
      </c>
      <c r="U237" s="191"/>
      <c r="V237" s="909"/>
      <c r="W237" s="909"/>
      <c r="X237" s="193"/>
      <c r="Y237" s="182"/>
      <c r="Z237" s="182"/>
      <c r="AA237" s="182"/>
      <c r="AB237" s="182"/>
      <c r="AC237" s="210"/>
      <c r="AD237" s="182"/>
      <c r="AE237" s="182"/>
      <c r="AF237" s="211"/>
    </row>
    <row r="238" spans="2:32" ht="17.25" customHeight="1">
      <c r="B238" s="180">
        <v>151</v>
      </c>
      <c r="C238" s="816"/>
      <c r="D238" s="765"/>
      <c r="E238" s="186" t="s">
        <v>10</v>
      </c>
      <c r="F238" s="187" t="str">
        <f t="shared" si="9"/>
        <v>IB21097</v>
      </c>
      <c r="G238" s="271"/>
      <c r="H238" s="272"/>
      <c r="I238" s="272"/>
      <c r="J238" s="273"/>
      <c r="K238" s="190"/>
      <c r="L238" s="209"/>
      <c r="M238" s="190"/>
      <c r="N238" s="186" t="s">
        <v>11</v>
      </c>
      <c r="O238" s="195" t="str">
        <f t="shared" si="8"/>
        <v>OB21097</v>
      </c>
      <c r="P238" s="463" t="s">
        <v>916</v>
      </c>
      <c r="Q238" s="250"/>
      <c r="R238" s="250"/>
      <c r="S238" s="251"/>
      <c r="T238" s="190" t="s">
        <v>1513</v>
      </c>
      <c r="U238" s="191"/>
      <c r="V238" s="909"/>
      <c r="W238" s="909"/>
      <c r="X238" s="182"/>
      <c r="Y238" s="182"/>
      <c r="Z238" s="182"/>
      <c r="AA238" s="182"/>
      <c r="AB238" s="182"/>
      <c r="AC238" s="210"/>
      <c r="AD238" s="182"/>
      <c r="AE238" s="182"/>
      <c r="AF238" s="211"/>
    </row>
    <row r="239" spans="2:32" ht="17.25" customHeight="1">
      <c r="B239" s="180">
        <v>152</v>
      </c>
      <c r="C239" s="816"/>
      <c r="D239" s="765"/>
      <c r="E239" s="186" t="s">
        <v>10</v>
      </c>
      <c r="F239" s="187" t="str">
        <f t="shared" si="9"/>
        <v>IB21098</v>
      </c>
      <c r="G239" s="271"/>
      <c r="H239" s="272"/>
      <c r="I239" s="272"/>
      <c r="J239" s="273"/>
      <c r="K239" s="213"/>
      <c r="L239" s="214"/>
      <c r="M239" s="213"/>
      <c r="N239" s="186" t="s">
        <v>11</v>
      </c>
      <c r="O239" s="195" t="str">
        <f t="shared" si="8"/>
        <v>OB21098</v>
      </c>
      <c r="P239" s="463" t="s">
        <v>917</v>
      </c>
      <c r="Q239" s="250"/>
      <c r="R239" s="250"/>
      <c r="S239" s="251"/>
      <c r="T239" s="190" t="s">
        <v>1513</v>
      </c>
      <c r="U239" s="191"/>
      <c r="V239" s="909"/>
      <c r="W239" s="909"/>
      <c r="X239" s="193"/>
      <c r="Y239" s="182"/>
      <c r="Z239" s="182"/>
      <c r="AA239" s="182"/>
      <c r="AB239" s="182"/>
      <c r="AC239" s="210"/>
      <c r="AD239" s="182"/>
      <c r="AE239" s="182"/>
      <c r="AF239" s="211"/>
    </row>
    <row r="240" spans="2:32" ht="17.25" customHeight="1">
      <c r="B240" s="180">
        <v>153</v>
      </c>
      <c r="C240" s="816"/>
      <c r="D240" s="765"/>
      <c r="E240" s="186" t="s">
        <v>10</v>
      </c>
      <c r="F240" s="187" t="str">
        <f t="shared" si="9"/>
        <v>IB21099</v>
      </c>
      <c r="G240" s="271"/>
      <c r="H240" s="272"/>
      <c r="I240" s="272"/>
      <c r="J240" s="273"/>
      <c r="K240" s="213"/>
      <c r="L240" s="214"/>
      <c r="M240" s="213"/>
      <c r="N240" s="186" t="s">
        <v>11</v>
      </c>
      <c r="O240" s="195" t="str">
        <f t="shared" si="8"/>
        <v>OB21099</v>
      </c>
      <c r="P240" s="463" t="s">
        <v>918</v>
      </c>
      <c r="Q240" s="250"/>
      <c r="R240" s="250"/>
      <c r="S240" s="251"/>
      <c r="T240" s="190" t="s">
        <v>1513</v>
      </c>
      <c r="U240" s="191"/>
      <c r="V240" s="909"/>
      <c r="W240" s="909"/>
      <c r="X240" s="193"/>
      <c r="Y240" s="182"/>
      <c r="Z240" s="182"/>
      <c r="AA240" s="182"/>
      <c r="AB240" s="182"/>
      <c r="AC240" s="210"/>
      <c r="AD240" s="182"/>
      <c r="AE240" s="182"/>
      <c r="AF240" s="211"/>
    </row>
    <row r="241" spans="2:32" ht="17.25" customHeight="1">
      <c r="B241" s="180">
        <v>154</v>
      </c>
      <c r="C241" s="816"/>
      <c r="D241" s="765"/>
      <c r="E241" s="186" t="s">
        <v>29</v>
      </c>
      <c r="F241" s="187" t="str">
        <f t="shared" si="9"/>
        <v>IB2109A</v>
      </c>
      <c r="G241" s="271"/>
      <c r="H241" s="272"/>
      <c r="I241" s="272"/>
      <c r="J241" s="273"/>
      <c r="K241" s="213"/>
      <c r="L241" s="214"/>
      <c r="M241" s="213"/>
      <c r="N241" s="186" t="s">
        <v>11</v>
      </c>
      <c r="O241" s="195" t="str">
        <f t="shared" si="8"/>
        <v>OB2109A</v>
      </c>
      <c r="P241" s="463" t="s">
        <v>919</v>
      </c>
      <c r="Q241" s="250"/>
      <c r="R241" s="250"/>
      <c r="S241" s="251"/>
      <c r="T241" s="190" t="s">
        <v>1513</v>
      </c>
      <c r="U241" s="191"/>
      <c r="V241" s="909"/>
      <c r="W241" s="909"/>
      <c r="X241" s="193"/>
      <c r="Y241" s="182"/>
      <c r="Z241" s="182"/>
      <c r="AA241" s="182"/>
      <c r="AB241" s="182"/>
      <c r="AC241" s="210"/>
      <c r="AD241" s="182"/>
      <c r="AE241" s="182"/>
      <c r="AF241" s="211"/>
    </row>
    <row r="242" spans="2:32" ht="17.25" customHeight="1">
      <c r="B242" s="180">
        <v>155</v>
      </c>
      <c r="C242" s="816"/>
      <c r="D242" s="765"/>
      <c r="E242" s="186" t="s">
        <v>10</v>
      </c>
      <c r="F242" s="187" t="str">
        <f t="shared" si="9"/>
        <v>IB2109B</v>
      </c>
      <c r="G242" s="271"/>
      <c r="H242" s="272"/>
      <c r="I242" s="272"/>
      <c r="J242" s="273"/>
      <c r="K242" s="213"/>
      <c r="L242" s="214"/>
      <c r="M242" s="213"/>
      <c r="N242" s="186" t="s">
        <v>11</v>
      </c>
      <c r="O242" s="195" t="str">
        <f t="shared" si="8"/>
        <v>OB2109B</v>
      </c>
      <c r="P242" s="463" t="s">
        <v>920</v>
      </c>
      <c r="Q242" s="250"/>
      <c r="R242" s="250"/>
      <c r="S242" s="251"/>
      <c r="T242" s="190" t="s">
        <v>1513</v>
      </c>
      <c r="U242" s="191"/>
      <c r="V242" s="909"/>
      <c r="W242" s="909"/>
      <c r="X242" s="193"/>
      <c r="Y242" s="182"/>
      <c r="Z242" s="182"/>
      <c r="AA242" s="182"/>
      <c r="AB242" s="182"/>
      <c r="AC242" s="210"/>
      <c r="AD242" s="182"/>
      <c r="AE242" s="182"/>
      <c r="AF242" s="211"/>
    </row>
    <row r="243" spans="2:32" ht="17.25" customHeight="1">
      <c r="B243" s="180">
        <v>156</v>
      </c>
      <c r="C243" s="816"/>
      <c r="D243" s="765"/>
      <c r="E243" s="186" t="s">
        <v>10</v>
      </c>
      <c r="F243" s="187" t="str">
        <f t="shared" si="9"/>
        <v>IB2109C</v>
      </c>
      <c r="G243" s="271"/>
      <c r="H243" s="272"/>
      <c r="I243" s="272"/>
      <c r="J243" s="273"/>
      <c r="K243" s="216"/>
      <c r="L243" s="217"/>
      <c r="M243" s="216"/>
      <c r="N243" s="186" t="s">
        <v>11</v>
      </c>
      <c r="O243" s="195" t="str">
        <f t="shared" si="8"/>
        <v>OB2109C</v>
      </c>
      <c r="P243" s="463" t="s">
        <v>921</v>
      </c>
      <c r="Q243" s="250"/>
      <c r="R243" s="250"/>
      <c r="S243" s="251"/>
      <c r="T243" s="190" t="s">
        <v>1513</v>
      </c>
      <c r="U243" s="191"/>
      <c r="V243" s="909"/>
      <c r="W243" s="909"/>
      <c r="X243" s="193"/>
      <c r="Y243" s="182"/>
      <c r="Z243" s="182"/>
      <c r="AA243" s="182"/>
      <c r="AB243" s="182"/>
      <c r="AC243" s="210"/>
      <c r="AD243" s="182"/>
      <c r="AE243" s="182"/>
      <c r="AF243" s="211"/>
    </row>
    <row r="244" spans="2:32" ht="17.25" customHeight="1">
      <c r="B244" s="180">
        <v>157</v>
      </c>
      <c r="C244" s="816"/>
      <c r="D244" s="765"/>
      <c r="E244" s="186" t="s">
        <v>10</v>
      </c>
      <c r="F244" s="187" t="str">
        <f t="shared" si="9"/>
        <v>IB2109D</v>
      </c>
      <c r="G244" s="271"/>
      <c r="H244" s="272"/>
      <c r="I244" s="272"/>
      <c r="J244" s="273"/>
      <c r="K244" s="182"/>
      <c r="L244" s="188"/>
      <c r="M244" s="182"/>
      <c r="N244" s="186" t="s">
        <v>11</v>
      </c>
      <c r="O244" s="195" t="str">
        <f t="shared" si="8"/>
        <v>OB2109D</v>
      </c>
      <c r="P244" s="463" t="s">
        <v>922</v>
      </c>
      <c r="Q244" s="250"/>
      <c r="R244" s="250"/>
      <c r="S244" s="251"/>
      <c r="T244" s="190" t="s">
        <v>1513</v>
      </c>
      <c r="U244" s="191"/>
      <c r="V244" s="909"/>
      <c r="W244" s="909"/>
      <c r="X244" s="193"/>
      <c r="Y244" s="182"/>
      <c r="Z244" s="182"/>
      <c r="AA244" s="182"/>
      <c r="AB244" s="182"/>
      <c r="AC244" s="210"/>
      <c r="AD244" s="182"/>
      <c r="AE244" s="182"/>
      <c r="AF244" s="211"/>
    </row>
    <row r="245" spans="2:32" ht="17.25" customHeight="1">
      <c r="B245" s="180">
        <v>158</v>
      </c>
      <c r="C245" s="816"/>
      <c r="D245" s="765"/>
      <c r="E245" s="186" t="s">
        <v>10</v>
      </c>
      <c r="F245" s="187" t="str">
        <f t="shared" si="9"/>
        <v>IB2109E</v>
      </c>
      <c r="G245" s="271"/>
      <c r="H245" s="272"/>
      <c r="I245" s="272"/>
      <c r="J245" s="273"/>
      <c r="K245" s="182"/>
      <c r="L245" s="188"/>
      <c r="M245" s="182"/>
      <c r="N245" s="186" t="s">
        <v>11</v>
      </c>
      <c r="O245" s="195" t="str">
        <f t="shared" si="8"/>
        <v>OB2109E</v>
      </c>
      <c r="P245" s="463" t="s">
        <v>923</v>
      </c>
      <c r="Q245" s="250"/>
      <c r="R245" s="250"/>
      <c r="S245" s="251"/>
      <c r="T245" s="190" t="s">
        <v>1513</v>
      </c>
      <c r="U245" s="191"/>
      <c r="V245" s="909"/>
      <c r="W245" s="909"/>
      <c r="X245" s="193"/>
      <c r="Y245" s="182"/>
      <c r="Z245" s="182"/>
      <c r="AA245" s="182"/>
      <c r="AB245" s="182"/>
      <c r="AC245" s="210"/>
      <c r="AD245" s="182"/>
      <c r="AE245" s="182"/>
      <c r="AF245" s="211"/>
    </row>
    <row r="246" spans="2:32" ht="17.25" customHeight="1">
      <c r="B246" s="180">
        <v>159</v>
      </c>
      <c r="C246" s="926"/>
      <c r="D246" s="765"/>
      <c r="E246" s="186" t="s">
        <v>10</v>
      </c>
      <c r="F246" s="187" t="str">
        <f t="shared" si="9"/>
        <v>IB2109F</v>
      </c>
      <c r="G246" s="271"/>
      <c r="H246" s="272"/>
      <c r="I246" s="272"/>
      <c r="J246" s="273"/>
      <c r="K246" s="182"/>
      <c r="L246" s="188"/>
      <c r="M246" s="182"/>
      <c r="N246" s="186" t="s">
        <v>11</v>
      </c>
      <c r="O246" s="195" t="str">
        <f t="shared" si="8"/>
        <v>OB2109F</v>
      </c>
      <c r="P246" s="249"/>
      <c r="Q246" s="250"/>
      <c r="R246" s="250"/>
      <c r="S246" s="251"/>
      <c r="T246" s="190"/>
      <c r="U246" s="191"/>
      <c r="V246" s="909"/>
      <c r="W246" s="909"/>
      <c r="X246" s="182"/>
      <c r="Y246" s="182"/>
      <c r="Z246" s="182"/>
      <c r="AA246" s="182"/>
      <c r="AB246" s="182"/>
      <c r="AC246" s="210"/>
      <c r="AD246" s="182"/>
      <c r="AE246" s="182"/>
      <c r="AF246" s="211"/>
    </row>
    <row r="247" spans="2:32" ht="17.25" customHeight="1">
      <c r="B247" s="180">
        <v>160</v>
      </c>
      <c r="C247" s="927" t="s">
        <v>52</v>
      </c>
      <c r="D247" s="940" t="s">
        <v>72</v>
      </c>
      <c r="E247" s="186" t="s">
        <v>10</v>
      </c>
      <c r="F247" s="187" t="str">
        <f t="shared" si="9"/>
        <v>IB210A0</v>
      </c>
      <c r="G247" s="243" t="s">
        <v>664</v>
      </c>
      <c r="H247" s="244"/>
      <c r="I247" s="244"/>
      <c r="J247" s="245"/>
      <c r="K247" s="190" t="s">
        <v>1513</v>
      </c>
      <c r="L247" s="191"/>
      <c r="M247" s="609"/>
      <c r="N247" s="186" t="s">
        <v>11</v>
      </c>
      <c r="O247" s="195" t="str">
        <f t="shared" si="8"/>
        <v>OB210A0</v>
      </c>
      <c r="P247" s="254"/>
      <c r="Q247" s="255"/>
      <c r="R247" s="255"/>
      <c r="S247" s="256"/>
      <c r="T247" s="190"/>
      <c r="U247" s="191"/>
      <c r="V247" s="909"/>
      <c r="W247" s="909"/>
      <c r="X247" s="193"/>
      <c r="Y247" s="182"/>
      <c r="Z247" s="182"/>
      <c r="AA247" s="182"/>
      <c r="AB247" s="182"/>
      <c r="AC247" s="210"/>
      <c r="AD247" s="182"/>
      <c r="AE247" s="182"/>
      <c r="AF247" s="211"/>
    </row>
    <row r="248" spans="2:32" ht="17.25" customHeight="1">
      <c r="B248" s="180">
        <v>161</v>
      </c>
      <c r="C248" s="811"/>
      <c r="D248" s="765"/>
      <c r="E248" s="186" t="s">
        <v>10</v>
      </c>
      <c r="F248" s="187" t="str">
        <f t="shared" si="9"/>
        <v>IB210A1</v>
      </c>
      <c r="G248" s="243" t="s">
        <v>665</v>
      </c>
      <c r="H248" s="244"/>
      <c r="I248" s="244"/>
      <c r="J248" s="245"/>
      <c r="K248" s="190" t="s">
        <v>1513</v>
      </c>
      <c r="L248" s="191"/>
      <c r="M248" s="609"/>
      <c r="N248" s="186" t="s">
        <v>11</v>
      </c>
      <c r="O248" s="195" t="str">
        <f t="shared" si="8"/>
        <v>OB210A1</v>
      </c>
      <c r="P248" s="254"/>
      <c r="Q248" s="255"/>
      <c r="R248" s="255"/>
      <c r="S248" s="256"/>
      <c r="T248" s="190"/>
      <c r="U248" s="191"/>
      <c r="V248" s="909"/>
      <c r="W248" s="909"/>
      <c r="X248" s="193"/>
      <c r="Y248" s="182"/>
      <c r="Z248" s="182"/>
      <c r="AA248" s="182"/>
      <c r="AB248" s="182"/>
      <c r="AC248" s="210"/>
      <c r="AD248" s="182"/>
      <c r="AE248" s="182"/>
      <c r="AF248" s="211"/>
    </row>
    <row r="249" spans="2:32" ht="17.25" customHeight="1">
      <c r="B249" s="180">
        <v>162</v>
      </c>
      <c r="C249" s="811"/>
      <c r="D249" s="765"/>
      <c r="E249" s="186" t="s">
        <v>10</v>
      </c>
      <c r="F249" s="187" t="str">
        <f t="shared" si="9"/>
        <v>IB210A2</v>
      </c>
      <c r="G249" s="243" t="s">
        <v>666</v>
      </c>
      <c r="H249" s="244"/>
      <c r="I249" s="244"/>
      <c r="J249" s="245"/>
      <c r="K249" s="213" t="s">
        <v>1513</v>
      </c>
      <c r="L249" s="191"/>
      <c r="M249" s="609"/>
      <c r="N249" s="186" t="s">
        <v>11</v>
      </c>
      <c r="O249" s="195" t="str">
        <f t="shared" si="8"/>
        <v>OB210A2</v>
      </c>
      <c r="P249" s="254"/>
      <c r="Q249" s="255"/>
      <c r="R249" s="255"/>
      <c r="S249" s="256"/>
      <c r="T249" s="190"/>
      <c r="U249" s="191"/>
      <c r="V249" s="909"/>
      <c r="W249" s="909"/>
      <c r="X249" s="193"/>
      <c r="Y249" s="182"/>
      <c r="Z249" s="182"/>
      <c r="AA249" s="182"/>
      <c r="AB249" s="182"/>
      <c r="AC249" s="210"/>
      <c r="AD249" s="182"/>
      <c r="AE249" s="182"/>
      <c r="AF249" s="211"/>
    </row>
    <row r="250" spans="2:32" ht="17.25" customHeight="1">
      <c r="B250" s="180">
        <v>163</v>
      </c>
      <c r="C250" s="811"/>
      <c r="D250" s="765"/>
      <c r="E250" s="186" t="s">
        <v>10</v>
      </c>
      <c r="F250" s="187" t="str">
        <f t="shared" si="9"/>
        <v>IB210A3</v>
      </c>
      <c r="G250" s="243" t="s">
        <v>667</v>
      </c>
      <c r="H250" s="244"/>
      <c r="I250" s="244"/>
      <c r="J250" s="245"/>
      <c r="K250" s="213" t="s">
        <v>1513</v>
      </c>
      <c r="L250" s="191"/>
      <c r="M250" s="609"/>
      <c r="N250" s="186" t="s">
        <v>11</v>
      </c>
      <c r="O250" s="195" t="str">
        <f t="shared" si="8"/>
        <v>OB210A3</v>
      </c>
      <c r="P250" s="254"/>
      <c r="Q250" s="255"/>
      <c r="R250" s="255"/>
      <c r="S250" s="256"/>
      <c r="T250" s="190"/>
      <c r="U250" s="191"/>
      <c r="V250" s="909"/>
      <c r="W250" s="909"/>
      <c r="X250" s="193"/>
      <c r="Y250" s="182"/>
      <c r="Z250" s="182"/>
      <c r="AA250" s="182"/>
      <c r="AB250" s="182"/>
      <c r="AC250" s="210"/>
      <c r="AD250" s="182"/>
      <c r="AE250" s="182"/>
      <c r="AF250" s="211"/>
    </row>
    <row r="251" spans="2:32" ht="17.25" customHeight="1">
      <c r="B251" s="180">
        <v>164</v>
      </c>
      <c r="C251" s="811"/>
      <c r="D251" s="765"/>
      <c r="E251" s="186" t="s">
        <v>10</v>
      </c>
      <c r="F251" s="187" t="str">
        <f t="shared" si="9"/>
        <v>IB210A4</v>
      </c>
      <c r="G251" s="243" t="s">
        <v>668</v>
      </c>
      <c r="H251" s="244"/>
      <c r="I251" s="244"/>
      <c r="J251" s="245"/>
      <c r="K251" s="190" t="s">
        <v>1513</v>
      </c>
      <c r="L251" s="191"/>
      <c r="M251" s="609"/>
      <c r="N251" s="186" t="s">
        <v>11</v>
      </c>
      <c r="O251" s="195" t="str">
        <f t="shared" si="8"/>
        <v>OB210A4</v>
      </c>
      <c r="P251" s="254"/>
      <c r="Q251" s="255"/>
      <c r="R251" s="255"/>
      <c r="S251" s="256"/>
      <c r="T251" s="190"/>
      <c r="U251" s="191"/>
      <c r="V251" s="909"/>
      <c r="W251" s="909"/>
      <c r="X251" s="182"/>
      <c r="Y251" s="182"/>
      <c r="Z251" s="182"/>
      <c r="AA251" s="182"/>
      <c r="AB251" s="182"/>
      <c r="AC251" s="210"/>
      <c r="AD251" s="182"/>
      <c r="AE251" s="182"/>
      <c r="AF251" s="211"/>
    </row>
    <row r="252" spans="2:32" ht="17.25" customHeight="1">
      <c r="B252" s="180">
        <v>165</v>
      </c>
      <c r="C252" s="811"/>
      <c r="D252" s="765"/>
      <c r="E252" s="186" t="s">
        <v>10</v>
      </c>
      <c r="F252" s="187" t="str">
        <f t="shared" si="9"/>
        <v>IB210A5</v>
      </c>
      <c r="G252" s="243" t="s">
        <v>669</v>
      </c>
      <c r="H252" s="244"/>
      <c r="I252" s="244"/>
      <c r="J252" s="245"/>
      <c r="K252" s="190" t="s">
        <v>1513</v>
      </c>
      <c r="L252" s="191"/>
      <c r="M252" s="609"/>
      <c r="N252" s="186" t="s">
        <v>11</v>
      </c>
      <c r="O252" s="195" t="str">
        <f t="shared" si="8"/>
        <v>OB210A5</v>
      </c>
      <c r="P252" s="254"/>
      <c r="Q252" s="255"/>
      <c r="R252" s="255"/>
      <c r="S252" s="256"/>
      <c r="T252" s="190"/>
      <c r="U252" s="191"/>
      <c r="V252" s="909"/>
      <c r="W252" s="909"/>
      <c r="X252" s="182"/>
      <c r="Y252" s="182"/>
      <c r="Z252" s="182"/>
      <c r="AA252" s="182"/>
      <c r="AB252" s="182"/>
      <c r="AC252" s="210"/>
      <c r="AD252" s="182"/>
      <c r="AE252" s="182"/>
      <c r="AF252" s="211"/>
    </row>
    <row r="253" spans="2:32" ht="17.25" customHeight="1">
      <c r="B253" s="180">
        <v>166</v>
      </c>
      <c r="C253" s="811"/>
      <c r="D253" s="765"/>
      <c r="E253" s="186" t="s">
        <v>10</v>
      </c>
      <c r="F253" s="187" t="str">
        <f t="shared" si="9"/>
        <v>IB210A6</v>
      </c>
      <c r="G253" s="243" t="s">
        <v>670</v>
      </c>
      <c r="H253" s="244"/>
      <c r="I253" s="244"/>
      <c r="J253" s="245"/>
      <c r="K253" s="213" t="s">
        <v>1513</v>
      </c>
      <c r="L253" s="191"/>
      <c r="M253" s="609"/>
      <c r="N253" s="186" t="s">
        <v>11</v>
      </c>
      <c r="O253" s="195" t="str">
        <f t="shared" si="8"/>
        <v>OB210A6</v>
      </c>
      <c r="P253" s="254"/>
      <c r="Q253" s="255"/>
      <c r="R253" s="255"/>
      <c r="S253" s="256"/>
      <c r="T253" s="190"/>
      <c r="U253" s="191"/>
      <c r="V253" s="909"/>
      <c r="W253" s="909"/>
      <c r="X253" s="182"/>
      <c r="Y253" s="182"/>
      <c r="Z253" s="182"/>
      <c r="AA253" s="182"/>
      <c r="AB253" s="182"/>
      <c r="AC253" s="210"/>
      <c r="AD253" s="182"/>
      <c r="AE253" s="182"/>
      <c r="AF253" s="211"/>
    </row>
    <row r="254" spans="2:32" ht="17.25" customHeight="1">
      <c r="B254" s="180">
        <v>167</v>
      </c>
      <c r="C254" s="811"/>
      <c r="D254" s="765"/>
      <c r="E254" s="186" t="s">
        <v>10</v>
      </c>
      <c r="F254" s="187" t="str">
        <f t="shared" si="9"/>
        <v>IB210A7</v>
      </c>
      <c r="G254" s="243" t="s">
        <v>671</v>
      </c>
      <c r="H254" s="244"/>
      <c r="I254" s="244"/>
      <c r="J254" s="245"/>
      <c r="K254" s="213" t="s">
        <v>1513</v>
      </c>
      <c r="L254" s="191"/>
      <c r="M254" s="609"/>
      <c r="N254" s="186" t="s">
        <v>11</v>
      </c>
      <c r="O254" s="195" t="str">
        <f t="shared" si="8"/>
        <v>OB210A7</v>
      </c>
      <c r="P254" s="254"/>
      <c r="Q254" s="255"/>
      <c r="R254" s="255"/>
      <c r="S254" s="256"/>
      <c r="T254" s="190"/>
      <c r="U254" s="191"/>
      <c r="V254" s="909"/>
      <c r="W254" s="909"/>
      <c r="X254" s="182"/>
      <c r="Y254" s="182"/>
      <c r="Z254" s="182"/>
      <c r="AA254" s="182"/>
      <c r="AB254" s="182"/>
      <c r="AC254" s="210"/>
      <c r="AD254" s="182"/>
      <c r="AE254" s="182"/>
      <c r="AF254" s="211"/>
    </row>
    <row r="255" spans="2:32" ht="17.25" customHeight="1">
      <c r="B255" s="180">
        <v>168</v>
      </c>
      <c r="C255" s="811"/>
      <c r="D255" s="765"/>
      <c r="E255" s="186" t="s">
        <v>10</v>
      </c>
      <c r="F255" s="187" t="str">
        <f t="shared" si="9"/>
        <v>IB210A8</v>
      </c>
      <c r="G255" s="381"/>
      <c r="H255" s="382"/>
      <c r="I255" s="382"/>
      <c r="J255" s="383"/>
      <c r="K255" s="213"/>
      <c r="L255" s="214"/>
      <c r="M255" s="213"/>
      <c r="N255" s="186" t="s">
        <v>11</v>
      </c>
      <c r="O255" s="195" t="str">
        <f t="shared" si="8"/>
        <v>OB210A8</v>
      </c>
      <c r="P255" s="254"/>
      <c r="Q255" s="255"/>
      <c r="R255" s="255"/>
      <c r="S255" s="256"/>
      <c r="T255" s="190"/>
      <c r="U255" s="191"/>
      <c r="V255" s="909"/>
      <c r="W255" s="909"/>
      <c r="X255" s="193"/>
      <c r="Y255" s="182"/>
      <c r="Z255" s="182"/>
      <c r="AA255" s="182"/>
      <c r="AB255" s="182"/>
      <c r="AC255" s="210"/>
      <c r="AD255" s="182"/>
      <c r="AE255" s="182"/>
      <c r="AF255" s="211"/>
    </row>
    <row r="256" spans="2:32" ht="17.25" customHeight="1">
      <c r="B256" s="180">
        <v>169</v>
      </c>
      <c r="C256" s="811"/>
      <c r="D256" s="765"/>
      <c r="E256" s="186" t="s">
        <v>10</v>
      </c>
      <c r="F256" s="187" t="str">
        <f t="shared" si="9"/>
        <v>IB210A9</v>
      </c>
      <c r="G256" s="381"/>
      <c r="H256" s="382"/>
      <c r="I256" s="382"/>
      <c r="J256" s="383"/>
      <c r="K256" s="213"/>
      <c r="L256" s="214"/>
      <c r="M256" s="213"/>
      <c r="N256" s="186" t="s">
        <v>11</v>
      </c>
      <c r="O256" s="195" t="str">
        <f t="shared" si="8"/>
        <v>OB210A9</v>
      </c>
      <c r="P256" s="254"/>
      <c r="Q256" s="255"/>
      <c r="R256" s="255"/>
      <c r="S256" s="256"/>
      <c r="T256" s="190"/>
      <c r="U256" s="191"/>
      <c r="V256" s="909"/>
      <c r="W256" s="909"/>
      <c r="X256" s="193"/>
      <c r="Y256" s="182"/>
      <c r="Z256" s="182"/>
      <c r="AA256" s="182"/>
      <c r="AB256" s="182"/>
      <c r="AC256" s="210"/>
      <c r="AD256" s="182"/>
      <c r="AE256" s="182"/>
      <c r="AF256" s="211"/>
    </row>
    <row r="257" spans="2:32" ht="17.25" customHeight="1">
      <c r="B257" s="180">
        <v>170</v>
      </c>
      <c r="C257" s="811"/>
      <c r="D257" s="765"/>
      <c r="E257" s="186" t="s">
        <v>10</v>
      </c>
      <c r="F257" s="187" t="str">
        <f t="shared" si="9"/>
        <v>IB210AA</v>
      </c>
      <c r="G257" s="381"/>
      <c r="H257" s="382"/>
      <c r="I257" s="382"/>
      <c r="J257" s="383"/>
      <c r="K257" s="213"/>
      <c r="L257" s="214"/>
      <c r="M257" s="213"/>
      <c r="N257" s="186" t="s">
        <v>11</v>
      </c>
      <c r="O257" s="195" t="str">
        <f t="shared" si="8"/>
        <v>OB210AA</v>
      </c>
      <c r="P257" s="254"/>
      <c r="Q257" s="255"/>
      <c r="R257" s="255"/>
      <c r="S257" s="256"/>
      <c r="T257" s="190"/>
      <c r="U257" s="191"/>
      <c r="V257" s="909"/>
      <c r="W257" s="909"/>
      <c r="X257" s="193"/>
      <c r="Y257" s="182"/>
      <c r="Z257" s="182"/>
      <c r="AA257" s="182"/>
      <c r="AB257" s="182"/>
      <c r="AC257" s="210"/>
      <c r="AD257" s="182"/>
      <c r="AE257" s="182"/>
      <c r="AF257" s="211"/>
    </row>
    <row r="258" spans="2:32" ht="17.25" customHeight="1">
      <c r="B258" s="180">
        <v>171</v>
      </c>
      <c r="C258" s="811"/>
      <c r="D258" s="765"/>
      <c r="E258" s="186" t="s">
        <v>10</v>
      </c>
      <c r="F258" s="187" t="str">
        <f t="shared" si="9"/>
        <v>IB210AB</v>
      </c>
      <c r="G258" s="381"/>
      <c r="H258" s="382"/>
      <c r="I258" s="382"/>
      <c r="J258" s="383"/>
      <c r="K258" s="213"/>
      <c r="L258" s="214"/>
      <c r="M258" s="213"/>
      <c r="N258" s="186" t="s">
        <v>11</v>
      </c>
      <c r="O258" s="195" t="str">
        <f t="shared" si="8"/>
        <v>OB210AB</v>
      </c>
      <c r="P258" s="254"/>
      <c r="Q258" s="255"/>
      <c r="R258" s="255"/>
      <c r="S258" s="256"/>
      <c r="T258" s="190"/>
      <c r="U258" s="191"/>
      <c r="V258" s="909"/>
      <c r="W258" s="909"/>
      <c r="X258" s="193"/>
      <c r="Y258" s="182"/>
      <c r="Z258" s="182"/>
      <c r="AA258" s="182"/>
      <c r="AB258" s="182"/>
      <c r="AC258" s="210"/>
      <c r="AD258" s="182"/>
      <c r="AE258" s="182"/>
      <c r="AF258" s="211"/>
    </row>
    <row r="259" spans="2:32" ht="17.25" customHeight="1">
      <c r="B259" s="180">
        <v>172</v>
      </c>
      <c r="C259" s="811"/>
      <c r="D259" s="765"/>
      <c r="E259" s="186" t="s">
        <v>10</v>
      </c>
      <c r="F259" s="187" t="str">
        <f t="shared" si="9"/>
        <v>IB210AC</v>
      </c>
      <c r="G259" s="381"/>
      <c r="H259" s="382"/>
      <c r="I259" s="382"/>
      <c r="J259" s="383"/>
      <c r="K259" s="216"/>
      <c r="L259" s="217"/>
      <c r="M259" s="216"/>
      <c r="N259" s="186" t="s">
        <v>11</v>
      </c>
      <c r="O259" s="195" t="str">
        <f t="shared" si="8"/>
        <v>OB210AC</v>
      </c>
      <c r="P259" s="254"/>
      <c r="Q259" s="255"/>
      <c r="R259" s="255"/>
      <c r="S259" s="256"/>
      <c r="T259" s="190"/>
      <c r="U259" s="191"/>
      <c r="V259" s="909"/>
      <c r="W259" s="909"/>
      <c r="X259" s="193"/>
      <c r="Y259" s="182"/>
      <c r="Z259" s="182"/>
      <c r="AA259" s="182"/>
      <c r="AB259" s="182"/>
      <c r="AC259" s="210"/>
      <c r="AD259" s="182"/>
      <c r="AE259" s="182"/>
      <c r="AF259" s="211"/>
    </row>
    <row r="260" spans="2:32" ht="17.25" customHeight="1">
      <c r="B260" s="180">
        <v>173</v>
      </c>
      <c r="C260" s="811"/>
      <c r="D260" s="765"/>
      <c r="E260" s="186" t="s">
        <v>10</v>
      </c>
      <c r="F260" s="187" t="str">
        <f t="shared" si="9"/>
        <v>IB210AD</v>
      </c>
      <c r="G260" s="381"/>
      <c r="H260" s="382"/>
      <c r="I260" s="382"/>
      <c r="J260" s="383"/>
      <c r="K260" s="182"/>
      <c r="L260" s="188"/>
      <c r="M260" s="182"/>
      <c r="N260" s="186" t="s">
        <v>11</v>
      </c>
      <c r="O260" s="195" t="str">
        <f t="shared" si="8"/>
        <v>OB210AD</v>
      </c>
      <c r="P260" s="254"/>
      <c r="Q260" s="255"/>
      <c r="R260" s="255"/>
      <c r="S260" s="256"/>
      <c r="T260" s="190"/>
      <c r="U260" s="191"/>
      <c r="V260" s="909"/>
      <c r="W260" s="909"/>
      <c r="X260" s="193"/>
      <c r="Y260" s="182"/>
      <c r="Z260" s="182"/>
      <c r="AA260" s="182"/>
      <c r="AB260" s="182"/>
      <c r="AC260" s="210"/>
      <c r="AD260" s="182"/>
      <c r="AE260" s="182"/>
      <c r="AF260" s="211"/>
    </row>
    <row r="261" spans="2:32" ht="17.25" customHeight="1">
      <c r="B261" s="180">
        <v>174</v>
      </c>
      <c r="C261" s="811"/>
      <c r="D261" s="765"/>
      <c r="E261" s="186" t="s">
        <v>10</v>
      </c>
      <c r="F261" s="187" t="str">
        <f t="shared" si="9"/>
        <v>IB210AE</v>
      </c>
      <c r="G261" s="381"/>
      <c r="H261" s="382"/>
      <c r="I261" s="382"/>
      <c r="J261" s="383"/>
      <c r="K261" s="182"/>
      <c r="L261" s="188"/>
      <c r="M261" s="182"/>
      <c r="N261" s="186" t="s">
        <v>11</v>
      </c>
      <c r="O261" s="195" t="str">
        <f t="shared" si="8"/>
        <v>OB210AE</v>
      </c>
      <c r="P261" s="254"/>
      <c r="Q261" s="255"/>
      <c r="R261" s="255"/>
      <c r="S261" s="256"/>
      <c r="T261" s="190"/>
      <c r="U261" s="191"/>
      <c r="V261" s="909"/>
      <c r="W261" s="909"/>
      <c r="X261" s="193"/>
      <c r="Y261" s="182"/>
      <c r="Z261" s="182"/>
      <c r="AA261" s="182"/>
      <c r="AB261" s="182"/>
      <c r="AC261" s="210"/>
      <c r="AD261" s="182"/>
      <c r="AE261" s="182"/>
      <c r="AF261" s="211"/>
    </row>
    <row r="262" spans="2:32" ht="17.25" customHeight="1">
      <c r="B262" s="180">
        <v>175</v>
      </c>
      <c r="C262" s="928"/>
      <c r="D262" s="765"/>
      <c r="E262" s="186" t="s">
        <v>10</v>
      </c>
      <c r="F262" s="187" t="str">
        <f t="shared" si="9"/>
        <v>IB210AF</v>
      </c>
      <c r="G262" s="381"/>
      <c r="H262" s="382"/>
      <c r="I262" s="382"/>
      <c r="J262" s="383"/>
      <c r="K262" s="182"/>
      <c r="L262" s="188"/>
      <c r="M262" s="182"/>
      <c r="N262" s="186" t="s">
        <v>11</v>
      </c>
      <c r="O262" s="195" t="str">
        <f t="shared" si="8"/>
        <v>OB210AF</v>
      </c>
      <c r="P262" s="254"/>
      <c r="Q262" s="255"/>
      <c r="R262" s="255"/>
      <c r="S262" s="256"/>
      <c r="T262" s="190"/>
      <c r="U262" s="191"/>
      <c r="V262" s="909"/>
      <c r="W262" s="909"/>
      <c r="X262" s="193"/>
      <c r="Y262" s="182"/>
      <c r="Z262" s="182"/>
      <c r="AA262" s="182"/>
      <c r="AB262" s="182"/>
      <c r="AC262" s="210"/>
      <c r="AD262" s="182"/>
      <c r="AE262" s="182"/>
      <c r="AF262" s="211"/>
    </row>
    <row r="263" spans="2:32" ht="17.25" customHeight="1">
      <c r="B263" s="180">
        <v>176</v>
      </c>
      <c r="C263" s="927" t="s">
        <v>1563</v>
      </c>
      <c r="D263" s="940" t="s">
        <v>72</v>
      </c>
      <c r="E263" s="186" t="s">
        <v>10</v>
      </c>
      <c r="F263" s="187" t="str">
        <f t="shared" si="9"/>
        <v>IB210B0</v>
      </c>
      <c r="G263" s="463" t="s">
        <v>672</v>
      </c>
      <c r="H263" s="250"/>
      <c r="I263" s="250"/>
      <c r="J263" s="251"/>
      <c r="K263" s="190" t="s">
        <v>1513</v>
      </c>
      <c r="L263" s="209"/>
      <c r="M263" s="190"/>
      <c r="N263" s="186" t="s">
        <v>11</v>
      </c>
      <c r="O263" s="195" t="str">
        <f t="shared" si="8"/>
        <v>OB210B0</v>
      </c>
      <c r="P263" s="254"/>
      <c r="Q263" s="255"/>
      <c r="R263" s="255"/>
      <c r="S263" s="256"/>
      <c r="T263" s="190"/>
      <c r="U263" s="191"/>
      <c r="V263" s="909"/>
      <c r="W263" s="909"/>
      <c r="X263" s="182"/>
      <c r="Y263" s="182"/>
      <c r="Z263" s="182"/>
      <c r="AA263" s="182"/>
      <c r="AB263" s="182"/>
      <c r="AC263" s="210"/>
      <c r="AD263" s="182"/>
      <c r="AE263" s="182"/>
      <c r="AF263" s="211"/>
    </row>
    <row r="264" spans="2:32" ht="17.25" customHeight="1">
      <c r="B264" s="180">
        <v>177</v>
      </c>
      <c r="C264" s="811"/>
      <c r="D264" s="765"/>
      <c r="E264" s="186" t="s">
        <v>10</v>
      </c>
      <c r="F264" s="187" t="str">
        <f t="shared" si="9"/>
        <v>IB210B1</v>
      </c>
      <c r="G264" s="463" t="s">
        <v>673</v>
      </c>
      <c r="H264" s="250"/>
      <c r="I264" s="250"/>
      <c r="J264" s="251"/>
      <c r="K264" s="190" t="s">
        <v>1513</v>
      </c>
      <c r="L264" s="209"/>
      <c r="M264" s="190"/>
      <c r="N264" s="186" t="s">
        <v>11</v>
      </c>
      <c r="O264" s="195" t="str">
        <f t="shared" si="8"/>
        <v>OB210B1</v>
      </c>
      <c r="P264" s="254"/>
      <c r="Q264" s="255"/>
      <c r="R264" s="255"/>
      <c r="S264" s="256"/>
      <c r="T264" s="190"/>
      <c r="U264" s="191"/>
      <c r="V264" s="909"/>
      <c r="W264" s="909"/>
      <c r="X264" s="182"/>
      <c r="Y264" s="182"/>
      <c r="Z264" s="182"/>
      <c r="AA264" s="182"/>
      <c r="AB264" s="182"/>
      <c r="AC264" s="210"/>
      <c r="AD264" s="182"/>
      <c r="AE264" s="182"/>
      <c r="AF264" s="211"/>
    </row>
    <row r="265" spans="2:32" ht="17.25" customHeight="1">
      <c r="B265" s="180">
        <v>178</v>
      </c>
      <c r="C265" s="811"/>
      <c r="D265" s="765"/>
      <c r="E265" s="186" t="s">
        <v>10</v>
      </c>
      <c r="F265" s="187" t="str">
        <f t="shared" si="9"/>
        <v>IB210B2</v>
      </c>
      <c r="G265" s="463" t="s">
        <v>674</v>
      </c>
      <c r="H265" s="250"/>
      <c r="I265" s="250"/>
      <c r="J265" s="251"/>
      <c r="K265" s="213" t="s">
        <v>1513</v>
      </c>
      <c r="L265" s="209"/>
      <c r="M265" s="190"/>
      <c r="N265" s="186" t="s">
        <v>11</v>
      </c>
      <c r="O265" s="195" t="str">
        <f t="shared" ref="O265:O328" si="10">LEFT(O264,1)&amp;DEC2HEX(HEX2DEC(MID(O264,2,LENB(O264)-1))+1,LENB(O264)-1)</f>
        <v>OB210B2</v>
      </c>
      <c r="P265" s="254"/>
      <c r="Q265" s="255"/>
      <c r="R265" s="255"/>
      <c r="S265" s="256"/>
      <c r="T265" s="190"/>
      <c r="U265" s="191"/>
      <c r="V265" s="909"/>
      <c r="W265" s="909"/>
      <c r="X265" s="182"/>
      <c r="Y265" s="182"/>
      <c r="Z265" s="182"/>
      <c r="AA265" s="182"/>
      <c r="AB265" s="182"/>
      <c r="AC265" s="210"/>
      <c r="AD265" s="182"/>
      <c r="AE265" s="182"/>
      <c r="AF265" s="211"/>
    </row>
    <row r="266" spans="2:32" ht="17.25" customHeight="1">
      <c r="B266" s="180">
        <v>179</v>
      </c>
      <c r="C266" s="811"/>
      <c r="D266" s="765"/>
      <c r="E266" s="186" t="s">
        <v>10</v>
      </c>
      <c r="F266" s="187" t="str">
        <f t="shared" si="9"/>
        <v>IB210B3</v>
      </c>
      <c r="G266" s="463" t="s">
        <v>675</v>
      </c>
      <c r="H266" s="250"/>
      <c r="I266" s="250"/>
      <c r="J266" s="251"/>
      <c r="K266" s="190" t="s">
        <v>1513</v>
      </c>
      <c r="L266" s="209"/>
      <c r="M266" s="190"/>
      <c r="N266" s="186" t="s">
        <v>11</v>
      </c>
      <c r="O266" s="195" t="str">
        <f t="shared" si="10"/>
        <v>OB210B3</v>
      </c>
      <c r="P266" s="254"/>
      <c r="Q266" s="255"/>
      <c r="R266" s="255"/>
      <c r="S266" s="256"/>
      <c r="T266" s="190"/>
      <c r="U266" s="191"/>
      <c r="V266" s="909"/>
      <c r="W266" s="909"/>
      <c r="X266" s="182"/>
      <c r="Y266" s="182"/>
      <c r="Z266" s="182"/>
      <c r="AA266" s="182"/>
      <c r="AB266" s="182"/>
      <c r="AC266" s="210"/>
      <c r="AD266" s="182"/>
      <c r="AE266" s="182"/>
      <c r="AF266" s="211"/>
    </row>
    <row r="267" spans="2:32" ht="17.25" customHeight="1">
      <c r="B267" s="180">
        <v>180</v>
      </c>
      <c r="C267" s="811"/>
      <c r="D267" s="765"/>
      <c r="E267" s="186" t="s">
        <v>10</v>
      </c>
      <c r="F267" s="187" t="str">
        <f t="shared" si="9"/>
        <v>IB210B4</v>
      </c>
      <c r="G267" s="463" t="s">
        <v>676</v>
      </c>
      <c r="H267" s="250"/>
      <c r="I267" s="250"/>
      <c r="J267" s="251"/>
      <c r="K267" s="190" t="s">
        <v>1513</v>
      </c>
      <c r="L267" s="209"/>
      <c r="M267" s="190"/>
      <c r="N267" s="186" t="s">
        <v>11</v>
      </c>
      <c r="O267" s="195" t="str">
        <f t="shared" si="10"/>
        <v>OB210B4</v>
      </c>
      <c r="P267" s="254"/>
      <c r="Q267" s="255"/>
      <c r="R267" s="255"/>
      <c r="S267" s="256"/>
      <c r="T267" s="190"/>
      <c r="U267" s="191"/>
      <c r="V267" s="909"/>
      <c r="W267" s="909"/>
      <c r="X267" s="182"/>
      <c r="Y267" s="182"/>
      <c r="Z267" s="182"/>
      <c r="AA267" s="182"/>
      <c r="AB267" s="182"/>
      <c r="AC267" s="210"/>
      <c r="AD267" s="182"/>
      <c r="AE267" s="182"/>
      <c r="AF267" s="211"/>
    </row>
    <row r="268" spans="2:32" ht="17.25" customHeight="1">
      <c r="B268" s="180">
        <v>181</v>
      </c>
      <c r="C268" s="811"/>
      <c r="D268" s="765"/>
      <c r="E268" s="186" t="s">
        <v>10</v>
      </c>
      <c r="F268" s="187" t="str">
        <f t="shared" si="9"/>
        <v>IB210B5</v>
      </c>
      <c r="G268" s="249"/>
      <c r="H268" s="250"/>
      <c r="I268" s="250"/>
      <c r="J268" s="251"/>
      <c r="K268" s="190"/>
      <c r="L268" s="209"/>
      <c r="M268" s="190"/>
      <c r="N268" s="186" t="s">
        <v>11</v>
      </c>
      <c r="O268" s="195" t="str">
        <f t="shared" si="10"/>
        <v>OB210B5</v>
      </c>
      <c r="P268" s="254"/>
      <c r="Q268" s="255"/>
      <c r="R268" s="255"/>
      <c r="S268" s="256"/>
      <c r="T268" s="190"/>
      <c r="U268" s="191"/>
      <c r="V268" s="909"/>
      <c r="W268" s="909"/>
      <c r="X268" s="182"/>
      <c r="Y268" s="182"/>
      <c r="Z268" s="182"/>
      <c r="AA268" s="182"/>
      <c r="AB268" s="182"/>
      <c r="AC268" s="210"/>
      <c r="AD268" s="182"/>
      <c r="AE268" s="182"/>
      <c r="AF268" s="211"/>
    </row>
    <row r="269" spans="2:32" ht="17.25" customHeight="1">
      <c r="B269" s="180">
        <v>182</v>
      </c>
      <c r="C269" s="811"/>
      <c r="D269" s="765"/>
      <c r="E269" s="186" t="s">
        <v>10</v>
      </c>
      <c r="F269" s="187" t="str">
        <f t="shared" si="9"/>
        <v>IB210B6</v>
      </c>
      <c r="G269" s="243" t="s">
        <v>698</v>
      </c>
      <c r="H269" s="244"/>
      <c r="I269" s="244"/>
      <c r="J269" s="245"/>
      <c r="K269" s="190"/>
      <c r="L269" s="209"/>
      <c r="M269" s="190"/>
      <c r="N269" s="186" t="s">
        <v>11</v>
      </c>
      <c r="O269" s="195" t="str">
        <f t="shared" si="10"/>
        <v>OB210B6</v>
      </c>
      <c r="P269" s="254"/>
      <c r="Q269" s="255"/>
      <c r="R269" s="255"/>
      <c r="S269" s="256"/>
      <c r="T269" s="190"/>
      <c r="U269" s="191"/>
      <c r="V269" s="909"/>
      <c r="W269" s="909"/>
      <c r="X269" s="182"/>
      <c r="Y269" s="182"/>
      <c r="Z269" s="182"/>
      <c r="AA269" s="182"/>
      <c r="AB269" s="182"/>
      <c r="AC269" s="210"/>
      <c r="AD269" s="182"/>
      <c r="AE269" s="182"/>
      <c r="AF269" s="211"/>
    </row>
    <row r="270" spans="2:32" ht="17.25" customHeight="1">
      <c r="B270" s="180">
        <v>183</v>
      </c>
      <c r="C270" s="811"/>
      <c r="D270" s="765"/>
      <c r="E270" s="186" t="s">
        <v>10</v>
      </c>
      <c r="F270" s="187" t="str">
        <f t="shared" si="9"/>
        <v>IB210B7</v>
      </c>
      <c r="G270" s="243" t="s">
        <v>1456</v>
      </c>
      <c r="H270" s="244"/>
      <c r="I270" s="244"/>
      <c r="J270" s="245"/>
      <c r="K270" s="190" t="s">
        <v>1513</v>
      </c>
      <c r="L270" s="209"/>
      <c r="M270" s="190"/>
      <c r="N270" s="186" t="s">
        <v>11</v>
      </c>
      <c r="O270" s="195" t="str">
        <f t="shared" si="10"/>
        <v>OB210B7</v>
      </c>
      <c r="P270" s="254"/>
      <c r="Q270" s="255"/>
      <c r="R270" s="255"/>
      <c r="S270" s="256"/>
      <c r="T270" s="190"/>
      <c r="U270" s="191"/>
      <c r="V270" s="909"/>
      <c r="W270" s="909"/>
      <c r="X270" s="182"/>
      <c r="Y270" s="182"/>
      <c r="Z270" s="182"/>
      <c r="AA270" s="182"/>
      <c r="AB270" s="182"/>
      <c r="AC270" s="210"/>
      <c r="AD270" s="182"/>
      <c r="AE270" s="182"/>
      <c r="AF270" s="211"/>
    </row>
    <row r="271" spans="2:32" ht="17.25" customHeight="1">
      <c r="B271" s="180">
        <v>184</v>
      </c>
      <c r="C271" s="811"/>
      <c r="D271" s="765"/>
      <c r="E271" s="186" t="s">
        <v>10</v>
      </c>
      <c r="F271" s="187" t="str">
        <f t="shared" si="9"/>
        <v>IB210B8</v>
      </c>
      <c r="G271" s="463" t="s">
        <v>677</v>
      </c>
      <c r="H271" s="250"/>
      <c r="I271" s="250"/>
      <c r="J271" s="251"/>
      <c r="K271" s="190" t="s">
        <v>1513</v>
      </c>
      <c r="L271" s="209"/>
      <c r="M271" s="190"/>
      <c r="N271" s="186" t="s">
        <v>11</v>
      </c>
      <c r="O271" s="195" t="str">
        <f t="shared" si="10"/>
        <v>OB210B8</v>
      </c>
      <c r="P271" s="254"/>
      <c r="Q271" s="255"/>
      <c r="R271" s="255"/>
      <c r="S271" s="256"/>
      <c r="T271" s="190"/>
      <c r="U271" s="191"/>
      <c r="V271" s="909"/>
      <c r="W271" s="909"/>
      <c r="X271" s="193"/>
      <c r="Y271" s="182"/>
      <c r="Z271" s="182"/>
      <c r="AA271" s="182"/>
      <c r="AB271" s="182"/>
      <c r="AC271" s="210"/>
      <c r="AD271" s="182"/>
      <c r="AE271" s="182"/>
      <c r="AF271" s="211"/>
    </row>
    <row r="272" spans="2:32" ht="17.25" customHeight="1">
      <c r="B272" s="180">
        <v>185</v>
      </c>
      <c r="C272" s="811"/>
      <c r="D272" s="765"/>
      <c r="E272" s="186" t="s">
        <v>10</v>
      </c>
      <c r="F272" s="187" t="str">
        <f t="shared" si="9"/>
        <v>IB210B9</v>
      </c>
      <c r="G272" s="463" t="s">
        <v>678</v>
      </c>
      <c r="H272" s="250"/>
      <c r="I272" s="250"/>
      <c r="J272" s="251"/>
      <c r="K272" s="213" t="s">
        <v>1513</v>
      </c>
      <c r="L272" s="209"/>
      <c r="M272" s="190"/>
      <c r="N272" s="186" t="s">
        <v>11</v>
      </c>
      <c r="O272" s="195" t="str">
        <f t="shared" si="10"/>
        <v>OB210B9</v>
      </c>
      <c r="P272" s="254"/>
      <c r="Q272" s="255"/>
      <c r="R272" s="255"/>
      <c r="S272" s="256"/>
      <c r="T272" s="190"/>
      <c r="U272" s="191"/>
      <c r="V272" s="909"/>
      <c r="W272" s="909"/>
      <c r="X272" s="193"/>
      <c r="Y272" s="182"/>
      <c r="Z272" s="182"/>
      <c r="AA272" s="182"/>
      <c r="AB272" s="182"/>
      <c r="AC272" s="210"/>
      <c r="AD272" s="182"/>
      <c r="AE272" s="182"/>
      <c r="AF272" s="211"/>
    </row>
    <row r="273" spans="2:32" ht="17.25" customHeight="1">
      <c r="B273" s="180">
        <v>186</v>
      </c>
      <c r="C273" s="811"/>
      <c r="D273" s="765"/>
      <c r="E273" s="186" t="s">
        <v>10</v>
      </c>
      <c r="F273" s="187" t="str">
        <f t="shared" si="9"/>
        <v>IB210BA</v>
      </c>
      <c r="G273" s="463" t="s">
        <v>679</v>
      </c>
      <c r="H273" s="250"/>
      <c r="I273" s="250"/>
      <c r="J273" s="251"/>
      <c r="K273" s="213" t="s">
        <v>1513</v>
      </c>
      <c r="L273" s="209"/>
      <c r="M273" s="190"/>
      <c r="N273" s="186" t="s">
        <v>11</v>
      </c>
      <c r="O273" s="195" t="str">
        <f t="shared" si="10"/>
        <v>OB210BA</v>
      </c>
      <c r="P273" s="254"/>
      <c r="Q273" s="255"/>
      <c r="R273" s="255"/>
      <c r="S273" s="256"/>
      <c r="T273" s="190"/>
      <c r="U273" s="191"/>
      <c r="V273" s="909"/>
      <c r="W273" s="909"/>
      <c r="X273" s="193"/>
      <c r="Y273" s="182"/>
      <c r="Z273" s="182"/>
      <c r="AA273" s="182"/>
      <c r="AB273" s="182"/>
      <c r="AC273" s="210"/>
      <c r="AD273" s="182"/>
      <c r="AE273" s="182"/>
      <c r="AF273" s="211"/>
    </row>
    <row r="274" spans="2:32" ht="17.25" customHeight="1">
      <c r="B274" s="180">
        <v>187</v>
      </c>
      <c r="C274" s="811"/>
      <c r="D274" s="765"/>
      <c r="E274" s="186" t="s">
        <v>10</v>
      </c>
      <c r="F274" s="187" t="str">
        <f t="shared" si="9"/>
        <v>IB210BB</v>
      </c>
      <c r="G274" s="463" t="s">
        <v>680</v>
      </c>
      <c r="H274" s="250"/>
      <c r="I274" s="250"/>
      <c r="J274" s="251"/>
      <c r="K274" s="213" t="s">
        <v>1513</v>
      </c>
      <c r="L274" s="209"/>
      <c r="M274" s="190"/>
      <c r="N274" s="186" t="s">
        <v>11</v>
      </c>
      <c r="O274" s="195" t="str">
        <f t="shared" si="10"/>
        <v>OB210BB</v>
      </c>
      <c r="P274" s="254"/>
      <c r="Q274" s="255"/>
      <c r="R274" s="255"/>
      <c r="S274" s="256"/>
      <c r="T274" s="190"/>
      <c r="U274" s="191"/>
      <c r="V274" s="909"/>
      <c r="W274" s="909"/>
      <c r="X274" s="193"/>
      <c r="Y274" s="182"/>
      <c r="Z274" s="182"/>
      <c r="AA274" s="182"/>
      <c r="AB274" s="182"/>
      <c r="AC274" s="210"/>
      <c r="AD274" s="182"/>
      <c r="AE274" s="182"/>
      <c r="AF274" s="211"/>
    </row>
    <row r="275" spans="2:32" ht="17.25" customHeight="1">
      <c r="B275" s="180">
        <v>188</v>
      </c>
      <c r="C275" s="811"/>
      <c r="D275" s="765"/>
      <c r="E275" s="186" t="s">
        <v>10</v>
      </c>
      <c r="F275" s="187" t="str">
        <f t="shared" si="9"/>
        <v>IB210BC</v>
      </c>
      <c r="G275" s="249" t="s">
        <v>681</v>
      </c>
      <c r="H275" s="250"/>
      <c r="I275" s="250"/>
      <c r="J275" s="251"/>
      <c r="K275" s="213" t="s">
        <v>1513</v>
      </c>
      <c r="L275" s="218"/>
      <c r="M275" s="640"/>
      <c r="N275" s="186" t="s">
        <v>11</v>
      </c>
      <c r="O275" s="195" t="str">
        <f t="shared" si="10"/>
        <v>OB210BC</v>
      </c>
      <c r="P275" s="254"/>
      <c r="Q275" s="255"/>
      <c r="R275" s="255"/>
      <c r="S275" s="256"/>
      <c r="T275" s="190"/>
      <c r="U275" s="191"/>
      <c r="V275" s="909"/>
      <c r="W275" s="909"/>
      <c r="X275" s="193"/>
      <c r="Y275" s="182"/>
      <c r="Z275" s="182"/>
      <c r="AA275" s="182"/>
      <c r="AB275" s="182"/>
      <c r="AC275" s="210"/>
      <c r="AD275" s="182"/>
      <c r="AE275" s="182"/>
      <c r="AF275" s="211"/>
    </row>
    <row r="276" spans="2:32" ht="17.25" customHeight="1">
      <c r="B276" s="180">
        <v>189</v>
      </c>
      <c r="C276" s="811"/>
      <c r="D276" s="765"/>
      <c r="E276" s="186" t="s">
        <v>10</v>
      </c>
      <c r="F276" s="187" t="str">
        <f t="shared" si="9"/>
        <v>IB210BD</v>
      </c>
      <c r="G276" s="249" t="s">
        <v>682</v>
      </c>
      <c r="H276" s="250"/>
      <c r="I276" s="250"/>
      <c r="J276" s="251"/>
      <c r="K276" s="213" t="s">
        <v>1513</v>
      </c>
      <c r="L276" s="218"/>
      <c r="M276" s="640"/>
      <c r="N276" s="186" t="s">
        <v>11</v>
      </c>
      <c r="O276" s="195" t="str">
        <f t="shared" si="10"/>
        <v>OB210BD</v>
      </c>
      <c r="P276" s="254"/>
      <c r="Q276" s="255"/>
      <c r="R276" s="255"/>
      <c r="S276" s="256"/>
      <c r="T276" s="190"/>
      <c r="U276" s="191"/>
      <c r="V276" s="909"/>
      <c r="W276" s="909"/>
      <c r="X276" s="193"/>
      <c r="Y276" s="182"/>
      <c r="Z276" s="182"/>
      <c r="AA276" s="182"/>
      <c r="AB276" s="182"/>
      <c r="AC276" s="210"/>
      <c r="AD276" s="182"/>
      <c r="AE276" s="182"/>
      <c r="AF276" s="211"/>
    </row>
    <row r="277" spans="2:32" ht="17.25" customHeight="1">
      <c r="B277" s="180">
        <v>190</v>
      </c>
      <c r="C277" s="811"/>
      <c r="D277" s="765"/>
      <c r="E277" s="186" t="s">
        <v>10</v>
      </c>
      <c r="F277" s="187" t="str">
        <f t="shared" si="9"/>
        <v>IB210BE</v>
      </c>
      <c r="G277" s="249" t="s">
        <v>683</v>
      </c>
      <c r="H277" s="250"/>
      <c r="I277" s="250"/>
      <c r="J277" s="251"/>
      <c r="K277" s="213" t="s">
        <v>1513</v>
      </c>
      <c r="L277" s="218"/>
      <c r="M277" s="640"/>
      <c r="N277" s="186" t="s">
        <v>11</v>
      </c>
      <c r="O277" s="195" t="str">
        <f t="shared" si="10"/>
        <v>OB210BE</v>
      </c>
      <c r="P277" s="254"/>
      <c r="Q277" s="255"/>
      <c r="R277" s="255"/>
      <c r="S277" s="256"/>
      <c r="T277" s="190"/>
      <c r="U277" s="191"/>
      <c r="V277" s="909"/>
      <c r="W277" s="909"/>
      <c r="X277" s="193"/>
      <c r="Y277" s="182"/>
      <c r="Z277" s="182"/>
      <c r="AA277" s="182"/>
      <c r="AB277" s="182"/>
      <c r="AC277" s="210"/>
      <c r="AD277" s="182"/>
      <c r="AE277" s="182"/>
      <c r="AF277" s="211"/>
    </row>
    <row r="278" spans="2:32" ht="17.25" customHeight="1">
      <c r="B278" s="180">
        <v>191</v>
      </c>
      <c r="C278" s="928"/>
      <c r="D278" s="765"/>
      <c r="E278" s="186" t="s">
        <v>10</v>
      </c>
      <c r="F278" s="187" t="str">
        <f t="shared" si="9"/>
        <v>IB210BF</v>
      </c>
      <c r="G278" s="249" t="s">
        <v>684</v>
      </c>
      <c r="H278" s="250"/>
      <c r="I278" s="250"/>
      <c r="J278" s="251"/>
      <c r="K278" s="213" t="s">
        <v>1513</v>
      </c>
      <c r="L278" s="218"/>
      <c r="M278" s="640"/>
      <c r="N278" s="186" t="s">
        <v>11</v>
      </c>
      <c r="O278" s="195" t="str">
        <f t="shared" si="10"/>
        <v>OB210BF</v>
      </c>
      <c r="P278" s="254"/>
      <c r="Q278" s="255"/>
      <c r="R278" s="255"/>
      <c r="S278" s="256"/>
      <c r="T278" s="190"/>
      <c r="U278" s="191"/>
      <c r="V278" s="909"/>
      <c r="W278" s="909"/>
      <c r="X278" s="182"/>
      <c r="Y278" s="182"/>
      <c r="Z278" s="182"/>
      <c r="AA278" s="182"/>
      <c r="AB278" s="182"/>
      <c r="AC278" s="210"/>
      <c r="AD278" s="182"/>
      <c r="AE278" s="182"/>
      <c r="AF278" s="211"/>
    </row>
    <row r="279" spans="2:32" ht="17.25" customHeight="1">
      <c r="B279" s="180">
        <v>192</v>
      </c>
      <c r="C279" s="925" t="s">
        <v>1582</v>
      </c>
      <c r="D279" s="940" t="s">
        <v>72</v>
      </c>
      <c r="E279" s="186" t="s">
        <v>10</v>
      </c>
      <c r="F279" s="187" t="str">
        <f t="shared" si="9"/>
        <v>IB210C0</v>
      </c>
      <c r="G279" s="271"/>
      <c r="H279" s="272"/>
      <c r="I279" s="272"/>
      <c r="J279" s="273"/>
      <c r="K279" s="190"/>
      <c r="L279" s="209"/>
      <c r="M279" s="190"/>
      <c r="N279" s="186" t="s">
        <v>11</v>
      </c>
      <c r="O279" s="195" t="str">
        <f t="shared" si="10"/>
        <v>OB210C0</v>
      </c>
      <c r="P279" s="463" t="s">
        <v>897</v>
      </c>
      <c r="Q279" s="250"/>
      <c r="R279" s="250"/>
      <c r="S279" s="251"/>
      <c r="T279" s="196" t="s">
        <v>1513</v>
      </c>
      <c r="U279" s="191"/>
      <c r="V279" s="909"/>
      <c r="W279" s="909"/>
      <c r="X279" s="193"/>
      <c r="Y279" s="182"/>
      <c r="Z279" s="182"/>
      <c r="AA279" s="182"/>
      <c r="AB279" s="182"/>
      <c r="AC279" s="210"/>
      <c r="AD279" s="182"/>
      <c r="AE279" s="182"/>
      <c r="AF279" s="211"/>
    </row>
    <row r="280" spans="2:32" ht="17.25" customHeight="1">
      <c r="B280" s="180">
        <v>193</v>
      </c>
      <c r="C280" s="816"/>
      <c r="D280" s="765"/>
      <c r="E280" s="186" t="s">
        <v>10</v>
      </c>
      <c r="F280" s="187" t="str">
        <f t="shared" si="9"/>
        <v>IB210C1</v>
      </c>
      <c r="G280" s="271"/>
      <c r="H280" s="272"/>
      <c r="I280" s="272"/>
      <c r="J280" s="273"/>
      <c r="K280" s="190"/>
      <c r="L280" s="209"/>
      <c r="M280" s="190"/>
      <c r="N280" s="186" t="s">
        <v>11</v>
      </c>
      <c r="O280" s="195" t="str">
        <f t="shared" si="10"/>
        <v>OB210C1</v>
      </c>
      <c r="P280" s="463" t="s">
        <v>898</v>
      </c>
      <c r="Q280" s="250"/>
      <c r="R280" s="250"/>
      <c r="S280" s="251"/>
      <c r="T280" s="196" t="s">
        <v>1513</v>
      </c>
      <c r="U280" s="191"/>
      <c r="V280" s="909"/>
      <c r="W280" s="909"/>
      <c r="X280" s="193"/>
      <c r="Y280" s="182"/>
      <c r="Z280" s="182"/>
      <c r="AA280" s="182"/>
      <c r="AB280" s="182"/>
      <c r="AC280" s="210"/>
      <c r="AD280" s="182"/>
      <c r="AE280" s="182"/>
      <c r="AF280" s="211"/>
    </row>
    <row r="281" spans="2:32" ht="17.25" customHeight="1">
      <c r="B281" s="180">
        <v>194</v>
      </c>
      <c r="C281" s="816"/>
      <c r="D281" s="765"/>
      <c r="E281" s="186" t="s">
        <v>10</v>
      </c>
      <c r="F281" s="187" t="str">
        <f t="shared" ref="F281:F342" si="11">LEFT(F280,1)&amp;DEC2HEX(HEX2DEC(MID(F280,2,LENB(F280)-1))+1,LENB(F280)-1)</f>
        <v>IB210C2</v>
      </c>
      <c r="G281" s="271"/>
      <c r="H281" s="272"/>
      <c r="I281" s="272"/>
      <c r="J281" s="273"/>
      <c r="K281" s="190"/>
      <c r="L281" s="209"/>
      <c r="M281" s="190"/>
      <c r="N281" s="186" t="s">
        <v>11</v>
      </c>
      <c r="O281" s="195" t="str">
        <f t="shared" si="10"/>
        <v>OB210C2</v>
      </c>
      <c r="P281" s="463" t="s">
        <v>899</v>
      </c>
      <c r="Q281" s="250"/>
      <c r="R281" s="250"/>
      <c r="S281" s="251"/>
      <c r="T281" s="196" t="s">
        <v>1513</v>
      </c>
      <c r="U281" s="191"/>
      <c r="V281" s="909"/>
      <c r="W281" s="909"/>
      <c r="X281" s="193"/>
      <c r="Y281" s="182"/>
      <c r="Z281" s="182"/>
      <c r="AA281" s="182"/>
      <c r="AB281" s="182"/>
      <c r="AC281" s="210"/>
      <c r="AD281" s="182"/>
      <c r="AE281" s="182"/>
      <c r="AF281" s="211"/>
    </row>
    <row r="282" spans="2:32" ht="17.25" customHeight="1">
      <c r="B282" s="180">
        <v>195</v>
      </c>
      <c r="C282" s="816"/>
      <c r="D282" s="765"/>
      <c r="E282" s="186" t="s">
        <v>10</v>
      </c>
      <c r="F282" s="187" t="str">
        <f t="shared" si="11"/>
        <v>IB210C3</v>
      </c>
      <c r="G282" s="271"/>
      <c r="H282" s="272"/>
      <c r="I282" s="272"/>
      <c r="J282" s="273"/>
      <c r="K282" s="190"/>
      <c r="L282" s="209"/>
      <c r="M282" s="190"/>
      <c r="N282" s="186" t="s">
        <v>11</v>
      </c>
      <c r="O282" s="195" t="str">
        <f t="shared" si="10"/>
        <v>OB210C3</v>
      </c>
      <c r="P282" s="463" t="s">
        <v>900</v>
      </c>
      <c r="Q282" s="250"/>
      <c r="R282" s="250"/>
      <c r="S282" s="251"/>
      <c r="T282" s="196" t="s">
        <v>1513</v>
      </c>
      <c r="U282" s="191"/>
      <c r="V282" s="909"/>
      <c r="W282" s="909"/>
      <c r="X282" s="193"/>
      <c r="Y282" s="182"/>
      <c r="Z282" s="182"/>
      <c r="AA282" s="182"/>
      <c r="AB282" s="182"/>
      <c r="AC282" s="210"/>
      <c r="AD282" s="182"/>
      <c r="AE282" s="182"/>
      <c r="AF282" s="211"/>
    </row>
    <row r="283" spans="2:32" ht="17.25" customHeight="1">
      <c r="B283" s="180">
        <v>196</v>
      </c>
      <c r="C283" s="816"/>
      <c r="D283" s="765"/>
      <c r="E283" s="186" t="s">
        <v>10</v>
      </c>
      <c r="F283" s="187" t="str">
        <f t="shared" si="11"/>
        <v>IB210C4</v>
      </c>
      <c r="G283" s="271"/>
      <c r="H283" s="272"/>
      <c r="I283" s="272"/>
      <c r="J283" s="273"/>
      <c r="K283" s="190"/>
      <c r="L283" s="209"/>
      <c r="M283" s="190"/>
      <c r="N283" s="186" t="s">
        <v>11</v>
      </c>
      <c r="O283" s="195" t="str">
        <f t="shared" si="10"/>
        <v>OB210C4</v>
      </c>
      <c r="P283" s="463" t="s">
        <v>901</v>
      </c>
      <c r="Q283" s="250"/>
      <c r="R283" s="250"/>
      <c r="S283" s="251"/>
      <c r="T283" s="196" t="s">
        <v>1513</v>
      </c>
      <c r="U283" s="191"/>
      <c r="V283" s="909"/>
      <c r="W283" s="909"/>
      <c r="X283" s="193"/>
      <c r="Y283" s="182"/>
      <c r="Z283" s="182"/>
      <c r="AA283" s="182"/>
      <c r="AB283" s="182"/>
      <c r="AC283" s="210"/>
      <c r="AD283" s="182"/>
      <c r="AE283" s="182"/>
      <c r="AF283" s="211"/>
    </row>
    <row r="284" spans="2:32" ht="17.25" customHeight="1">
      <c r="B284" s="180">
        <v>197</v>
      </c>
      <c r="C284" s="816"/>
      <c r="D284" s="765"/>
      <c r="E284" s="186" t="s">
        <v>10</v>
      </c>
      <c r="F284" s="187" t="str">
        <f t="shared" si="11"/>
        <v>IB210C5</v>
      </c>
      <c r="G284" s="271"/>
      <c r="H284" s="272"/>
      <c r="I284" s="272"/>
      <c r="J284" s="273"/>
      <c r="K284" s="190"/>
      <c r="L284" s="209"/>
      <c r="M284" s="190"/>
      <c r="N284" s="186" t="s">
        <v>11</v>
      </c>
      <c r="O284" s="195" t="str">
        <f t="shared" si="10"/>
        <v>OB210C5</v>
      </c>
      <c r="P284" s="463" t="s">
        <v>902</v>
      </c>
      <c r="Q284" s="250"/>
      <c r="R284" s="250"/>
      <c r="S284" s="251"/>
      <c r="T284" s="196" t="s">
        <v>1513</v>
      </c>
      <c r="U284" s="191"/>
      <c r="V284" s="909"/>
      <c r="W284" s="909"/>
      <c r="X284" s="193"/>
      <c r="Y284" s="182"/>
      <c r="Z284" s="182"/>
      <c r="AA284" s="182"/>
      <c r="AB284" s="182"/>
      <c r="AC284" s="210"/>
      <c r="AD284" s="182"/>
      <c r="AE284" s="182"/>
      <c r="AF284" s="211"/>
    </row>
    <row r="285" spans="2:32" ht="17.25" customHeight="1">
      <c r="B285" s="180">
        <v>198</v>
      </c>
      <c r="C285" s="816"/>
      <c r="D285" s="765"/>
      <c r="E285" s="186" t="s">
        <v>10</v>
      </c>
      <c r="F285" s="187" t="str">
        <f t="shared" si="11"/>
        <v>IB210C6</v>
      </c>
      <c r="G285" s="271"/>
      <c r="H285" s="272"/>
      <c r="I285" s="272"/>
      <c r="J285" s="273"/>
      <c r="K285" s="190"/>
      <c r="L285" s="209"/>
      <c r="M285" s="190"/>
      <c r="N285" s="186" t="s">
        <v>11</v>
      </c>
      <c r="O285" s="195" t="str">
        <f t="shared" si="10"/>
        <v>OB210C6</v>
      </c>
      <c r="P285" s="463" t="s">
        <v>903</v>
      </c>
      <c r="Q285" s="250"/>
      <c r="R285" s="250"/>
      <c r="S285" s="251"/>
      <c r="T285" s="196" t="s">
        <v>1513</v>
      </c>
      <c r="U285" s="191"/>
      <c r="V285" s="909"/>
      <c r="W285" s="909"/>
      <c r="X285" s="182"/>
      <c r="Y285" s="182"/>
      <c r="Z285" s="182"/>
      <c r="AA285" s="182"/>
      <c r="AB285" s="182"/>
      <c r="AC285" s="210"/>
      <c r="AD285" s="182"/>
      <c r="AE285" s="182"/>
      <c r="AF285" s="211"/>
    </row>
    <row r="286" spans="2:32" ht="17.25" customHeight="1">
      <c r="B286" s="180">
        <v>199</v>
      </c>
      <c r="C286" s="816"/>
      <c r="D286" s="765"/>
      <c r="E286" s="186" t="s">
        <v>10</v>
      </c>
      <c r="F286" s="187" t="str">
        <f t="shared" si="11"/>
        <v>IB210C7</v>
      </c>
      <c r="G286" s="271"/>
      <c r="H286" s="272"/>
      <c r="I286" s="272"/>
      <c r="J286" s="273"/>
      <c r="K286" s="190"/>
      <c r="L286" s="209"/>
      <c r="M286" s="190"/>
      <c r="N286" s="186" t="s">
        <v>11</v>
      </c>
      <c r="O286" s="195" t="str">
        <f t="shared" si="10"/>
        <v>OB210C7</v>
      </c>
      <c r="P286" s="463" t="s">
        <v>904</v>
      </c>
      <c r="Q286" s="250"/>
      <c r="R286" s="250"/>
      <c r="S286" s="251"/>
      <c r="T286" s="196" t="s">
        <v>1513</v>
      </c>
      <c r="U286" s="191"/>
      <c r="V286" s="909"/>
      <c r="W286" s="909"/>
      <c r="X286" s="182"/>
      <c r="Y286" s="182"/>
      <c r="Z286" s="182"/>
      <c r="AA286" s="182"/>
      <c r="AB286" s="182"/>
      <c r="AC286" s="210"/>
      <c r="AD286" s="182"/>
      <c r="AE286" s="182"/>
      <c r="AF286" s="211"/>
    </row>
    <row r="287" spans="2:32" ht="17.25" customHeight="1">
      <c r="B287" s="180">
        <v>200</v>
      </c>
      <c r="C287" s="816"/>
      <c r="D287" s="765"/>
      <c r="E287" s="186" t="s">
        <v>10</v>
      </c>
      <c r="F287" s="187" t="str">
        <f t="shared" si="11"/>
        <v>IB210C8</v>
      </c>
      <c r="G287" s="271"/>
      <c r="H287" s="272"/>
      <c r="I287" s="272"/>
      <c r="J287" s="273"/>
      <c r="K287" s="190"/>
      <c r="L287" s="209"/>
      <c r="M287" s="190"/>
      <c r="N287" s="186" t="s">
        <v>11</v>
      </c>
      <c r="O287" s="195" t="str">
        <f t="shared" si="10"/>
        <v>OB210C8</v>
      </c>
      <c r="P287" s="249"/>
      <c r="Q287" s="250"/>
      <c r="R287" s="250"/>
      <c r="S287" s="251"/>
      <c r="T287" s="196"/>
      <c r="U287" s="191"/>
      <c r="V287" s="909"/>
      <c r="W287" s="909"/>
      <c r="X287" s="193"/>
      <c r="Y287" s="182"/>
      <c r="Z287" s="182"/>
      <c r="AA287" s="182"/>
      <c r="AB287" s="182"/>
      <c r="AC287" s="210"/>
      <c r="AD287" s="182"/>
      <c r="AE287" s="182"/>
      <c r="AF287" s="211"/>
    </row>
    <row r="288" spans="2:32" ht="17.25" customHeight="1">
      <c r="B288" s="180">
        <v>201</v>
      </c>
      <c r="C288" s="816"/>
      <c r="D288" s="765"/>
      <c r="E288" s="186" t="s">
        <v>10</v>
      </c>
      <c r="F288" s="187" t="str">
        <f t="shared" si="11"/>
        <v>IB210C9</v>
      </c>
      <c r="G288" s="271"/>
      <c r="H288" s="272"/>
      <c r="I288" s="272"/>
      <c r="J288" s="273"/>
      <c r="K288" s="190"/>
      <c r="L288" s="209"/>
      <c r="M288" s="190"/>
      <c r="N288" s="186" t="s">
        <v>11</v>
      </c>
      <c r="O288" s="195" t="str">
        <f t="shared" si="10"/>
        <v>OB210C9</v>
      </c>
      <c r="P288" s="249"/>
      <c r="Q288" s="250"/>
      <c r="R288" s="250"/>
      <c r="S288" s="251"/>
      <c r="T288" s="196"/>
      <c r="U288" s="191"/>
      <c r="V288" s="909"/>
      <c r="W288" s="909"/>
      <c r="X288" s="193"/>
      <c r="Y288" s="182"/>
      <c r="Z288" s="182"/>
      <c r="AA288" s="182"/>
      <c r="AB288" s="182"/>
      <c r="AC288" s="210"/>
      <c r="AD288" s="182"/>
      <c r="AE288" s="182"/>
      <c r="AF288" s="211"/>
    </row>
    <row r="289" spans="2:32" ht="17.25" customHeight="1">
      <c r="B289" s="180">
        <v>202</v>
      </c>
      <c r="C289" s="816"/>
      <c r="D289" s="765"/>
      <c r="E289" s="186" t="s">
        <v>10</v>
      </c>
      <c r="F289" s="187" t="str">
        <f t="shared" si="11"/>
        <v>IB210CA</v>
      </c>
      <c r="G289" s="271"/>
      <c r="H289" s="272"/>
      <c r="I289" s="272"/>
      <c r="J289" s="273"/>
      <c r="K289" s="190"/>
      <c r="L289" s="209"/>
      <c r="M289" s="190"/>
      <c r="N289" s="186" t="s">
        <v>11</v>
      </c>
      <c r="O289" s="195" t="str">
        <f t="shared" si="10"/>
        <v>OB210CA</v>
      </c>
      <c r="P289" s="243" t="s">
        <v>839</v>
      </c>
      <c r="Q289" s="244"/>
      <c r="R289" s="244"/>
      <c r="S289" s="245"/>
      <c r="T289" s="196" t="s">
        <v>1531</v>
      </c>
      <c r="U289" s="209" t="s">
        <v>1513</v>
      </c>
      <c r="V289" s="909"/>
      <c r="W289" s="909"/>
      <c r="X289" s="193"/>
      <c r="Y289" s="182"/>
      <c r="Z289" s="182"/>
      <c r="AA289" s="182"/>
      <c r="AB289" s="182"/>
      <c r="AC289" s="210"/>
      <c r="AD289" s="182"/>
      <c r="AE289" s="182"/>
      <c r="AF289" s="211"/>
    </row>
    <row r="290" spans="2:32" ht="17.25" customHeight="1">
      <c r="B290" s="180">
        <v>203</v>
      </c>
      <c r="C290" s="816"/>
      <c r="D290" s="765"/>
      <c r="E290" s="186" t="s">
        <v>10</v>
      </c>
      <c r="F290" s="187" t="str">
        <f t="shared" si="11"/>
        <v>IB210CB</v>
      </c>
      <c r="G290" s="271"/>
      <c r="H290" s="272"/>
      <c r="I290" s="272"/>
      <c r="J290" s="273"/>
      <c r="K290" s="190"/>
      <c r="L290" s="209"/>
      <c r="M290" s="190"/>
      <c r="N290" s="186" t="s">
        <v>11</v>
      </c>
      <c r="O290" s="195" t="str">
        <f t="shared" si="10"/>
        <v>OB210CB</v>
      </c>
      <c r="P290" s="243" t="s">
        <v>905</v>
      </c>
      <c r="Q290" s="244"/>
      <c r="R290" s="244"/>
      <c r="S290" s="245"/>
      <c r="T290" s="196" t="s">
        <v>1531</v>
      </c>
      <c r="U290" s="209" t="s">
        <v>1513</v>
      </c>
      <c r="V290" s="909"/>
      <c r="W290" s="909"/>
      <c r="X290" s="193"/>
      <c r="Y290" s="182"/>
      <c r="Z290" s="182"/>
      <c r="AA290" s="182"/>
      <c r="AB290" s="182"/>
      <c r="AC290" s="210"/>
      <c r="AD290" s="182"/>
      <c r="AE290" s="182"/>
      <c r="AF290" s="211"/>
    </row>
    <row r="291" spans="2:32" ht="17.25" customHeight="1">
      <c r="B291" s="180">
        <v>204</v>
      </c>
      <c r="C291" s="816"/>
      <c r="D291" s="765"/>
      <c r="E291" s="186" t="s">
        <v>10</v>
      </c>
      <c r="F291" s="187" t="str">
        <f t="shared" si="11"/>
        <v>IB210CC</v>
      </c>
      <c r="G291" s="271"/>
      <c r="H291" s="272"/>
      <c r="I291" s="272"/>
      <c r="J291" s="273"/>
      <c r="K291" s="190"/>
      <c r="L291" s="209"/>
      <c r="M291" s="190"/>
      <c r="N291" s="186" t="s">
        <v>11</v>
      </c>
      <c r="O291" s="195" t="str">
        <f t="shared" si="10"/>
        <v>OB210CC</v>
      </c>
      <c r="P291" s="243" t="s">
        <v>906</v>
      </c>
      <c r="Q291" s="244"/>
      <c r="R291" s="244"/>
      <c r="S291" s="245"/>
      <c r="T291" s="196" t="s">
        <v>1531</v>
      </c>
      <c r="U291" s="209" t="s">
        <v>1513</v>
      </c>
      <c r="V291" s="909"/>
      <c r="W291" s="909"/>
      <c r="X291" s="193"/>
      <c r="Y291" s="182"/>
      <c r="Z291" s="182"/>
      <c r="AA291" s="182"/>
      <c r="AB291" s="182"/>
      <c r="AC291" s="210"/>
      <c r="AD291" s="182"/>
      <c r="AE291" s="182"/>
      <c r="AF291" s="211"/>
    </row>
    <row r="292" spans="2:32" ht="17.25" customHeight="1">
      <c r="B292" s="180">
        <v>205</v>
      </c>
      <c r="C292" s="816"/>
      <c r="D292" s="765"/>
      <c r="E292" s="186" t="s">
        <v>10</v>
      </c>
      <c r="F292" s="187" t="str">
        <f t="shared" si="11"/>
        <v>IB210CD</v>
      </c>
      <c r="G292" s="271"/>
      <c r="H292" s="272"/>
      <c r="I292" s="272"/>
      <c r="J292" s="273"/>
      <c r="K292" s="190"/>
      <c r="L292" s="209"/>
      <c r="M292" s="190"/>
      <c r="N292" s="186" t="s">
        <v>11</v>
      </c>
      <c r="O292" s="195" t="str">
        <f t="shared" si="10"/>
        <v>OB210CD</v>
      </c>
      <c r="P292" s="243" t="s">
        <v>840</v>
      </c>
      <c r="Q292" s="244"/>
      <c r="R292" s="244"/>
      <c r="S292" s="245"/>
      <c r="T292" s="196" t="s">
        <v>1531</v>
      </c>
      <c r="U292" s="209" t="s">
        <v>1513</v>
      </c>
      <c r="V292" s="909"/>
      <c r="W292" s="909"/>
      <c r="X292" s="193"/>
      <c r="Y292" s="182"/>
      <c r="Z292" s="182"/>
      <c r="AA292" s="182"/>
      <c r="AB292" s="182"/>
      <c r="AC292" s="210"/>
      <c r="AD292" s="182"/>
      <c r="AE292" s="182"/>
      <c r="AF292" s="211"/>
    </row>
    <row r="293" spans="2:32" ht="17.25" customHeight="1">
      <c r="B293" s="180">
        <v>206</v>
      </c>
      <c r="C293" s="816"/>
      <c r="D293" s="765"/>
      <c r="E293" s="186" t="s">
        <v>10</v>
      </c>
      <c r="F293" s="187" t="str">
        <f t="shared" si="11"/>
        <v>IB210CE</v>
      </c>
      <c r="G293" s="271"/>
      <c r="H293" s="272"/>
      <c r="I293" s="272"/>
      <c r="J293" s="273"/>
      <c r="K293" s="190"/>
      <c r="L293" s="209"/>
      <c r="M293" s="190"/>
      <c r="N293" s="186" t="s">
        <v>11</v>
      </c>
      <c r="O293" s="195" t="str">
        <f t="shared" si="10"/>
        <v>OB210CE</v>
      </c>
      <c r="P293" s="243" t="s">
        <v>907</v>
      </c>
      <c r="Q293" s="244"/>
      <c r="R293" s="244"/>
      <c r="S293" s="245"/>
      <c r="T293" s="196" t="s">
        <v>1531</v>
      </c>
      <c r="U293" s="209" t="s">
        <v>1513</v>
      </c>
      <c r="V293" s="909"/>
      <c r="W293" s="909"/>
      <c r="X293" s="182"/>
      <c r="Y293" s="182"/>
      <c r="Z293" s="182"/>
      <c r="AA293" s="182"/>
      <c r="AB293" s="182"/>
      <c r="AC293" s="210"/>
      <c r="AD293" s="182"/>
      <c r="AE293" s="182"/>
      <c r="AF293" s="211"/>
    </row>
    <row r="294" spans="2:32" ht="17.25" customHeight="1">
      <c r="B294" s="180">
        <v>207</v>
      </c>
      <c r="C294" s="926"/>
      <c r="D294" s="765"/>
      <c r="E294" s="186" t="s">
        <v>10</v>
      </c>
      <c r="F294" s="187" t="str">
        <f t="shared" si="11"/>
        <v>IB210CF</v>
      </c>
      <c r="G294" s="271"/>
      <c r="H294" s="272"/>
      <c r="I294" s="272"/>
      <c r="J294" s="273"/>
      <c r="K294" s="190"/>
      <c r="L294" s="209"/>
      <c r="M294" s="190"/>
      <c r="N294" s="186" t="s">
        <v>11</v>
      </c>
      <c r="O294" s="195" t="str">
        <f t="shared" si="10"/>
        <v>OB210CF</v>
      </c>
      <c r="P294" s="243" t="s">
        <v>908</v>
      </c>
      <c r="Q294" s="244"/>
      <c r="R294" s="244"/>
      <c r="S294" s="245"/>
      <c r="T294" s="196" t="s">
        <v>1531</v>
      </c>
      <c r="U294" s="209" t="s">
        <v>1513</v>
      </c>
      <c r="V294" s="909"/>
      <c r="W294" s="909"/>
      <c r="X294" s="182"/>
      <c r="Y294" s="182"/>
      <c r="Z294" s="182"/>
      <c r="AA294" s="182"/>
      <c r="AB294" s="182"/>
      <c r="AC294" s="210"/>
      <c r="AD294" s="182"/>
      <c r="AE294" s="182"/>
      <c r="AF294" s="211"/>
    </row>
    <row r="295" spans="2:32" ht="17.25" customHeight="1">
      <c r="B295" s="180">
        <v>208</v>
      </c>
      <c r="C295" s="927" t="s">
        <v>1583</v>
      </c>
      <c r="D295" s="940" t="s">
        <v>72</v>
      </c>
      <c r="E295" s="186" t="s">
        <v>10</v>
      </c>
      <c r="F295" s="187" t="str">
        <f t="shared" si="11"/>
        <v>IB210D0</v>
      </c>
      <c r="G295" s="108" t="s">
        <v>685</v>
      </c>
      <c r="H295" s="244"/>
      <c r="I295" s="244"/>
      <c r="J295" s="245"/>
      <c r="K295" s="190" t="s">
        <v>1513</v>
      </c>
      <c r="L295" s="209"/>
      <c r="M295" s="190"/>
      <c r="N295" s="186" t="s">
        <v>11</v>
      </c>
      <c r="O295" s="195" t="str">
        <f t="shared" si="10"/>
        <v>OB210D0</v>
      </c>
      <c r="P295" s="254"/>
      <c r="Q295" s="255"/>
      <c r="R295" s="255"/>
      <c r="S295" s="256"/>
      <c r="T295" s="190"/>
      <c r="U295" s="209"/>
      <c r="V295" s="909"/>
      <c r="W295" s="909"/>
      <c r="X295" s="193"/>
      <c r="Y295" s="182"/>
      <c r="Z295" s="186"/>
      <c r="AA295" s="182"/>
      <c r="AB295" s="182"/>
      <c r="AC295" s="210"/>
      <c r="AD295" s="182"/>
      <c r="AE295" s="182"/>
      <c r="AF295" s="211"/>
    </row>
    <row r="296" spans="2:32" ht="17.25" customHeight="1">
      <c r="B296" s="180">
        <v>209</v>
      </c>
      <c r="C296" s="811"/>
      <c r="D296" s="765"/>
      <c r="E296" s="186" t="s">
        <v>10</v>
      </c>
      <c r="F296" s="187" t="str">
        <f t="shared" si="11"/>
        <v>IB210D1</v>
      </c>
      <c r="G296" s="108" t="s">
        <v>686</v>
      </c>
      <c r="H296" s="244"/>
      <c r="I296" s="244"/>
      <c r="J296" s="245"/>
      <c r="K296" s="190" t="s">
        <v>1513</v>
      </c>
      <c r="L296" s="209"/>
      <c r="M296" s="190"/>
      <c r="N296" s="186" t="s">
        <v>11</v>
      </c>
      <c r="O296" s="195" t="str">
        <f t="shared" si="10"/>
        <v>OB210D1</v>
      </c>
      <c r="P296" s="254"/>
      <c r="Q296" s="255"/>
      <c r="R296" s="255"/>
      <c r="S296" s="256"/>
      <c r="T296" s="190"/>
      <c r="U296" s="191"/>
      <c r="V296" s="909"/>
      <c r="W296" s="909"/>
      <c r="X296" s="193"/>
      <c r="Y296" s="182"/>
      <c r="Z296" s="186"/>
      <c r="AA296" s="182"/>
      <c r="AB296" s="182"/>
      <c r="AC296" s="210"/>
      <c r="AD296" s="182"/>
      <c r="AE296" s="182"/>
      <c r="AF296" s="211"/>
    </row>
    <row r="297" spans="2:32" ht="17.25" customHeight="1">
      <c r="B297" s="180">
        <v>210</v>
      </c>
      <c r="C297" s="811"/>
      <c r="D297" s="765"/>
      <c r="E297" s="186" t="s">
        <v>10</v>
      </c>
      <c r="F297" s="187" t="str">
        <f t="shared" si="11"/>
        <v>IB210D2</v>
      </c>
      <c r="G297" s="108" t="s">
        <v>687</v>
      </c>
      <c r="H297" s="244"/>
      <c r="I297" s="244"/>
      <c r="J297" s="245"/>
      <c r="K297" s="190" t="s">
        <v>1513</v>
      </c>
      <c r="L297" s="209"/>
      <c r="M297" s="190"/>
      <c r="N297" s="186" t="s">
        <v>11</v>
      </c>
      <c r="O297" s="195" t="str">
        <f t="shared" si="10"/>
        <v>OB210D2</v>
      </c>
      <c r="P297" s="254"/>
      <c r="Q297" s="255"/>
      <c r="R297" s="255"/>
      <c r="S297" s="256"/>
      <c r="T297" s="190"/>
      <c r="U297" s="191"/>
      <c r="V297" s="909"/>
      <c r="W297" s="909"/>
      <c r="X297" s="193"/>
      <c r="Y297" s="182"/>
      <c r="Z297" s="182"/>
      <c r="AA297" s="182"/>
      <c r="AB297" s="182"/>
      <c r="AC297" s="210"/>
      <c r="AD297" s="182"/>
      <c r="AE297" s="182"/>
      <c r="AF297" s="211"/>
    </row>
    <row r="298" spans="2:32" ht="17.25" customHeight="1">
      <c r="B298" s="180">
        <v>211</v>
      </c>
      <c r="C298" s="811"/>
      <c r="D298" s="765"/>
      <c r="E298" s="186" t="s">
        <v>10</v>
      </c>
      <c r="F298" s="187" t="str">
        <f t="shared" si="11"/>
        <v>IB210D3</v>
      </c>
      <c r="G298" s="108" t="s">
        <v>688</v>
      </c>
      <c r="H298" s="244"/>
      <c r="I298" s="244"/>
      <c r="J298" s="245"/>
      <c r="K298" s="190" t="s">
        <v>1513</v>
      </c>
      <c r="L298" s="209"/>
      <c r="M298" s="190"/>
      <c r="N298" s="186" t="s">
        <v>11</v>
      </c>
      <c r="O298" s="195" t="str">
        <f t="shared" si="10"/>
        <v>OB210D3</v>
      </c>
      <c r="P298" s="254"/>
      <c r="Q298" s="255"/>
      <c r="R298" s="255"/>
      <c r="S298" s="256"/>
      <c r="T298" s="190"/>
      <c r="U298" s="191"/>
      <c r="V298" s="909"/>
      <c r="W298" s="909"/>
      <c r="X298" s="193"/>
      <c r="Y298" s="182"/>
      <c r="Z298" s="182"/>
      <c r="AA298" s="182"/>
      <c r="AB298" s="182"/>
      <c r="AC298" s="210"/>
      <c r="AD298" s="182"/>
      <c r="AE298" s="182"/>
      <c r="AF298" s="211"/>
    </row>
    <row r="299" spans="2:32" ht="17.25" customHeight="1">
      <c r="B299" s="180">
        <v>212</v>
      </c>
      <c r="C299" s="811"/>
      <c r="D299" s="765"/>
      <c r="E299" s="186" t="s">
        <v>10</v>
      </c>
      <c r="F299" s="187" t="str">
        <f t="shared" si="11"/>
        <v>IB210D4</v>
      </c>
      <c r="G299" s="108" t="s">
        <v>689</v>
      </c>
      <c r="H299" s="244"/>
      <c r="I299" s="244"/>
      <c r="J299" s="245"/>
      <c r="K299" s="190" t="s">
        <v>1513</v>
      </c>
      <c r="L299" s="209"/>
      <c r="M299" s="190"/>
      <c r="N299" s="186" t="s">
        <v>11</v>
      </c>
      <c r="O299" s="195" t="str">
        <f t="shared" si="10"/>
        <v>OB210D4</v>
      </c>
      <c r="P299" s="254"/>
      <c r="Q299" s="255"/>
      <c r="R299" s="255"/>
      <c r="S299" s="256"/>
      <c r="T299" s="190"/>
      <c r="U299" s="191"/>
      <c r="V299" s="909"/>
      <c r="W299" s="909"/>
      <c r="X299" s="193"/>
      <c r="Y299" s="182"/>
      <c r="Z299" s="182"/>
      <c r="AA299" s="182"/>
      <c r="AB299" s="182"/>
      <c r="AC299" s="210"/>
      <c r="AD299" s="182"/>
      <c r="AE299" s="182"/>
      <c r="AF299" s="211"/>
    </row>
    <row r="300" spans="2:32" ht="17.25" customHeight="1">
      <c r="B300" s="180">
        <v>213</v>
      </c>
      <c r="C300" s="811"/>
      <c r="D300" s="765"/>
      <c r="E300" s="186" t="s">
        <v>10</v>
      </c>
      <c r="F300" s="187" t="str">
        <f t="shared" si="11"/>
        <v>IB210D5</v>
      </c>
      <c r="G300" s="249"/>
      <c r="H300" s="250"/>
      <c r="I300" s="250"/>
      <c r="J300" s="251"/>
      <c r="K300" s="190"/>
      <c r="L300" s="209"/>
      <c r="M300" s="190"/>
      <c r="N300" s="186" t="s">
        <v>11</v>
      </c>
      <c r="O300" s="195" t="str">
        <f t="shared" si="10"/>
        <v>OB210D5</v>
      </c>
      <c r="P300" s="254"/>
      <c r="Q300" s="255"/>
      <c r="R300" s="255"/>
      <c r="S300" s="256"/>
      <c r="T300" s="190"/>
      <c r="U300" s="191"/>
      <c r="V300" s="909"/>
      <c r="W300" s="909"/>
      <c r="X300" s="193"/>
      <c r="Y300" s="182"/>
      <c r="Z300" s="182"/>
      <c r="AA300" s="182"/>
      <c r="AB300" s="182"/>
      <c r="AC300" s="210"/>
      <c r="AD300" s="182"/>
      <c r="AE300" s="182"/>
      <c r="AF300" s="211"/>
    </row>
    <row r="301" spans="2:32" ht="17.25" customHeight="1">
      <c r="B301" s="180">
        <v>214</v>
      </c>
      <c r="C301" s="811"/>
      <c r="D301" s="765"/>
      <c r="E301" s="186" t="s">
        <v>10</v>
      </c>
      <c r="F301" s="187" t="str">
        <f t="shared" si="11"/>
        <v>IB210D6</v>
      </c>
      <c r="G301" s="463" t="s">
        <v>1409</v>
      </c>
      <c r="H301" s="250"/>
      <c r="I301" s="250"/>
      <c r="J301" s="251"/>
      <c r="K301" s="182" t="s">
        <v>1513</v>
      </c>
      <c r="L301" s="209"/>
      <c r="M301" s="190"/>
      <c r="N301" s="186" t="s">
        <v>11</v>
      </c>
      <c r="O301" s="195" t="str">
        <f t="shared" si="10"/>
        <v>OB210D6</v>
      </c>
      <c r="P301" s="254"/>
      <c r="Q301" s="255"/>
      <c r="R301" s="255"/>
      <c r="S301" s="256"/>
      <c r="T301" s="190"/>
      <c r="U301" s="191"/>
      <c r="V301" s="909"/>
      <c r="W301" s="909"/>
      <c r="X301" s="193"/>
      <c r="Y301" s="182"/>
      <c r="Z301" s="182"/>
      <c r="AA301" s="182"/>
      <c r="AB301" s="182"/>
      <c r="AC301" s="210"/>
      <c r="AD301" s="182"/>
      <c r="AE301" s="182"/>
      <c r="AF301" s="211"/>
    </row>
    <row r="302" spans="2:32" ht="17.25" customHeight="1">
      <c r="B302" s="180">
        <v>215</v>
      </c>
      <c r="C302" s="811"/>
      <c r="D302" s="765"/>
      <c r="E302" s="186" t="s">
        <v>10</v>
      </c>
      <c r="F302" s="187" t="str">
        <f t="shared" si="11"/>
        <v>IB210D7</v>
      </c>
      <c r="G302" s="463" t="s">
        <v>1410</v>
      </c>
      <c r="H302" s="250"/>
      <c r="I302" s="250"/>
      <c r="J302" s="251"/>
      <c r="K302" s="182" t="s">
        <v>1513</v>
      </c>
      <c r="L302" s="209"/>
      <c r="M302" s="190"/>
      <c r="N302" s="186" t="s">
        <v>11</v>
      </c>
      <c r="O302" s="195" t="str">
        <f t="shared" si="10"/>
        <v>OB210D7</v>
      </c>
      <c r="P302" s="254"/>
      <c r="Q302" s="255"/>
      <c r="R302" s="255"/>
      <c r="S302" s="256"/>
      <c r="T302" s="190"/>
      <c r="U302" s="191"/>
      <c r="V302" s="909"/>
      <c r="W302" s="909"/>
      <c r="X302" s="193"/>
      <c r="Y302" s="182"/>
      <c r="Z302" s="182"/>
      <c r="AA302" s="182"/>
      <c r="AB302" s="182"/>
      <c r="AC302" s="210"/>
      <c r="AD302" s="182"/>
      <c r="AE302" s="182"/>
      <c r="AF302" s="211"/>
    </row>
    <row r="303" spans="2:32" ht="17.25" customHeight="1">
      <c r="B303" s="180">
        <v>216</v>
      </c>
      <c r="C303" s="811"/>
      <c r="D303" s="765"/>
      <c r="E303" s="186" t="s">
        <v>10</v>
      </c>
      <c r="F303" s="187" t="str">
        <f t="shared" si="11"/>
        <v>IB210D8</v>
      </c>
      <c r="G303" s="463" t="s">
        <v>690</v>
      </c>
      <c r="H303" s="250"/>
      <c r="I303" s="250"/>
      <c r="J303" s="251"/>
      <c r="K303" s="182" t="s">
        <v>1513</v>
      </c>
      <c r="L303" s="188"/>
      <c r="M303" s="182"/>
      <c r="N303" s="186" t="s">
        <v>11</v>
      </c>
      <c r="O303" s="195" t="str">
        <f t="shared" si="10"/>
        <v>OB210D8</v>
      </c>
      <c r="P303" s="254"/>
      <c r="Q303" s="255"/>
      <c r="R303" s="255"/>
      <c r="S303" s="256"/>
      <c r="T303" s="190"/>
      <c r="U303" s="191"/>
      <c r="V303" s="909"/>
      <c r="W303" s="909"/>
      <c r="X303" s="182"/>
      <c r="Y303" s="182"/>
      <c r="Z303" s="182"/>
      <c r="AA303" s="182"/>
      <c r="AB303" s="182"/>
      <c r="AC303" s="210"/>
      <c r="AD303" s="182"/>
      <c r="AE303" s="182"/>
      <c r="AF303" s="211"/>
    </row>
    <row r="304" spans="2:32" ht="17.25" customHeight="1">
      <c r="B304" s="180">
        <v>217</v>
      </c>
      <c r="C304" s="811"/>
      <c r="D304" s="765"/>
      <c r="E304" s="186" t="s">
        <v>10</v>
      </c>
      <c r="F304" s="187" t="str">
        <f t="shared" si="11"/>
        <v>IB210D9</v>
      </c>
      <c r="G304" s="463" t="s">
        <v>691</v>
      </c>
      <c r="H304" s="250"/>
      <c r="I304" s="250"/>
      <c r="J304" s="251"/>
      <c r="K304" s="182" t="s">
        <v>1513</v>
      </c>
      <c r="L304" s="188"/>
      <c r="M304" s="182"/>
      <c r="N304" s="186" t="s">
        <v>11</v>
      </c>
      <c r="O304" s="195" t="str">
        <f t="shared" si="10"/>
        <v>OB210D9</v>
      </c>
      <c r="P304" s="254"/>
      <c r="Q304" s="255"/>
      <c r="R304" s="255"/>
      <c r="S304" s="256"/>
      <c r="T304" s="190"/>
      <c r="U304" s="191"/>
      <c r="V304" s="909"/>
      <c r="W304" s="909"/>
      <c r="X304" s="182"/>
      <c r="Y304" s="182"/>
      <c r="Z304" s="182"/>
      <c r="AA304" s="182"/>
      <c r="AB304" s="182"/>
      <c r="AC304" s="210"/>
      <c r="AD304" s="182"/>
      <c r="AE304" s="182"/>
      <c r="AF304" s="211"/>
    </row>
    <row r="305" spans="2:32" ht="17.25" customHeight="1">
      <c r="B305" s="180">
        <v>218</v>
      </c>
      <c r="C305" s="811"/>
      <c r="D305" s="765"/>
      <c r="E305" s="186" t="s">
        <v>10</v>
      </c>
      <c r="F305" s="187" t="str">
        <f t="shared" si="11"/>
        <v>IB210DA</v>
      </c>
      <c r="G305" s="463" t="s">
        <v>692</v>
      </c>
      <c r="H305" s="250"/>
      <c r="I305" s="250"/>
      <c r="J305" s="251"/>
      <c r="K305" s="182" t="s">
        <v>1513</v>
      </c>
      <c r="L305" s="219"/>
      <c r="M305" s="641"/>
      <c r="N305" s="186" t="s">
        <v>11</v>
      </c>
      <c r="O305" s="195" t="str">
        <f t="shared" si="10"/>
        <v>OB210DA</v>
      </c>
      <c r="P305" s="254"/>
      <c r="Q305" s="255"/>
      <c r="R305" s="255"/>
      <c r="S305" s="256"/>
      <c r="T305" s="190"/>
      <c r="U305" s="191"/>
      <c r="V305" s="909"/>
      <c r="W305" s="909"/>
      <c r="X305" s="182"/>
      <c r="Y305" s="182"/>
      <c r="Z305" s="182"/>
      <c r="AA305" s="182"/>
      <c r="AB305" s="182"/>
      <c r="AC305" s="210"/>
      <c r="AD305" s="182"/>
      <c r="AE305" s="182"/>
      <c r="AF305" s="211"/>
    </row>
    <row r="306" spans="2:32" ht="17.25" customHeight="1">
      <c r="B306" s="180">
        <v>219</v>
      </c>
      <c r="C306" s="811"/>
      <c r="D306" s="765"/>
      <c r="E306" s="186" t="s">
        <v>10</v>
      </c>
      <c r="F306" s="187" t="str">
        <f t="shared" si="11"/>
        <v>IB210DB</v>
      </c>
      <c r="G306" s="463" t="s">
        <v>693</v>
      </c>
      <c r="H306" s="250"/>
      <c r="I306" s="250"/>
      <c r="J306" s="251"/>
      <c r="K306" s="182" t="s">
        <v>1513</v>
      </c>
      <c r="L306" s="183"/>
      <c r="M306" s="642"/>
      <c r="N306" s="186" t="s">
        <v>11</v>
      </c>
      <c r="O306" s="195" t="str">
        <f t="shared" si="10"/>
        <v>OB210DB</v>
      </c>
      <c r="P306" s="254"/>
      <c r="Q306" s="255"/>
      <c r="R306" s="255"/>
      <c r="S306" s="256"/>
      <c r="T306" s="190"/>
      <c r="U306" s="191"/>
      <c r="V306" s="909"/>
      <c r="W306" s="909"/>
      <c r="X306" s="182"/>
      <c r="Y306" s="182"/>
      <c r="Z306" s="182"/>
      <c r="AA306" s="182"/>
      <c r="AB306" s="182"/>
      <c r="AC306" s="210"/>
      <c r="AD306" s="182"/>
      <c r="AE306" s="182"/>
      <c r="AF306" s="211"/>
    </row>
    <row r="307" spans="2:32" ht="17.25" customHeight="1">
      <c r="B307" s="180">
        <v>220</v>
      </c>
      <c r="C307" s="811"/>
      <c r="D307" s="765"/>
      <c r="E307" s="186" t="s">
        <v>10</v>
      </c>
      <c r="F307" s="187" t="str">
        <f t="shared" si="11"/>
        <v>IB210DC</v>
      </c>
      <c r="G307" s="582" t="s">
        <v>694</v>
      </c>
      <c r="H307" s="250"/>
      <c r="I307" s="250"/>
      <c r="J307" s="251"/>
      <c r="K307" s="190" t="s">
        <v>1513</v>
      </c>
      <c r="L307" s="191"/>
      <c r="M307" s="609"/>
      <c r="N307" s="186" t="s">
        <v>11</v>
      </c>
      <c r="O307" s="195" t="str">
        <f t="shared" si="10"/>
        <v>OB210DC</v>
      </c>
      <c r="P307" s="254"/>
      <c r="Q307" s="255"/>
      <c r="R307" s="255"/>
      <c r="S307" s="256"/>
      <c r="T307" s="190"/>
      <c r="U307" s="191"/>
      <c r="V307" s="909"/>
      <c r="W307" s="909"/>
      <c r="X307" s="182"/>
      <c r="Y307" s="182"/>
      <c r="Z307" s="182"/>
      <c r="AA307" s="182"/>
      <c r="AB307" s="182"/>
      <c r="AC307" s="210"/>
      <c r="AD307" s="182"/>
      <c r="AE307" s="182"/>
      <c r="AF307" s="211"/>
    </row>
    <row r="308" spans="2:32" ht="17.25" customHeight="1">
      <c r="B308" s="180">
        <v>221</v>
      </c>
      <c r="C308" s="811"/>
      <c r="D308" s="765"/>
      <c r="E308" s="186" t="s">
        <v>10</v>
      </c>
      <c r="F308" s="187" t="str">
        <f t="shared" si="11"/>
        <v>IB210DD</v>
      </c>
      <c r="G308" s="582" t="s">
        <v>695</v>
      </c>
      <c r="H308" s="250"/>
      <c r="I308" s="250"/>
      <c r="J308" s="251"/>
      <c r="K308" s="190" t="s">
        <v>1513</v>
      </c>
      <c r="L308" s="191"/>
      <c r="M308" s="609"/>
      <c r="N308" s="186" t="s">
        <v>11</v>
      </c>
      <c r="O308" s="195" t="str">
        <f t="shared" si="10"/>
        <v>OB210DD</v>
      </c>
      <c r="P308" s="254"/>
      <c r="Q308" s="255"/>
      <c r="R308" s="255"/>
      <c r="S308" s="256"/>
      <c r="T308" s="190"/>
      <c r="U308" s="191"/>
      <c r="V308" s="909"/>
      <c r="W308" s="909"/>
      <c r="X308" s="182"/>
      <c r="Y308" s="182"/>
      <c r="Z308" s="182"/>
      <c r="AA308" s="182"/>
      <c r="AB308" s="182"/>
      <c r="AC308" s="210"/>
      <c r="AD308" s="182"/>
      <c r="AE308" s="182"/>
      <c r="AF308" s="211"/>
    </row>
    <row r="309" spans="2:32" ht="17.25" customHeight="1">
      <c r="B309" s="180">
        <v>222</v>
      </c>
      <c r="C309" s="811"/>
      <c r="D309" s="765"/>
      <c r="E309" s="186" t="s">
        <v>10</v>
      </c>
      <c r="F309" s="187" t="str">
        <f t="shared" si="11"/>
        <v>IB210DE</v>
      </c>
      <c r="G309" s="582" t="s">
        <v>696</v>
      </c>
      <c r="H309" s="250"/>
      <c r="I309" s="250"/>
      <c r="J309" s="251"/>
      <c r="K309" s="190" t="s">
        <v>1513</v>
      </c>
      <c r="L309" s="191"/>
      <c r="M309" s="609"/>
      <c r="N309" s="186" t="s">
        <v>11</v>
      </c>
      <c r="O309" s="195" t="str">
        <f t="shared" si="10"/>
        <v>OB210DE</v>
      </c>
      <c r="P309" s="254"/>
      <c r="Q309" s="255"/>
      <c r="R309" s="255"/>
      <c r="S309" s="256"/>
      <c r="T309" s="190"/>
      <c r="U309" s="191"/>
      <c r="V309" s="909"/>
      <c r="W309" s="909"/>
      <c r="X309" s="182"/>
      <c r="Y309" s="182"/>
      <c r="Z309" s="182"/>
      <c r="AA309" s="182"/>
      <c r="AB309" s="182"/>
      <c r="AC309" s="210"/>
      <c r="AD309" s="182"/>
      <c r="AE309" s="182"/>
      <c r="AF309" s="211"/>
    </row>
    <row r="310" spans="2:32" ht="17.25" customHeight="1">
      <c r="B310" s="180">
        <v>223</v>
      </c>
      <c r="C310" s="928"/>
      <c r="D310" s="765"/>
      <c r="E310" s="186" t="s">
        <v>10</v>
      </c>
      <c r="F310" s="187" t="str">
        <f t="shared" si="11"/>
        <v>IB210DF</v>
      </c>
      <c r="G310" s="582" t="s">
        <v>697</v>
      </c>
      <c r="H310" s="250"/>
      <c r="I310" s="250"/>
      <c r="J310" s="251"/>
      <c r="K310" s="190" t="s">
        <v>1513</v>
      </c>
      <c r="L310" s="191"/>
      <c r="M310" s="609"/>
      <c r="N310" s="186" t="s">
        <v>11</v>
      </c>
      <c r="O310" s="195" t="str">
        <f t="shared" si="10"/>
        <v>OB210DF</v>
      </c>
      <c r="P310" s="254"/>
      <c r="Q310" s="255"/>
      <c r="R310" s="255"/>
      <c r="S310" s="256"/>
      <c r="T310" s="190"/>
      <c r="U310" s="191"/>
      <c r="V310" s="909"/>
      <c r="W310" s="909"/>
      <c r="X310" s="182"/>
      <c r="Y310" s="182"/>
      <c r="Z310" s="182"/>
      <c r="AA310" s="182"/>
      <c r="AB310" s="182"/>
      <c r="AC310" s="210"/>
      <c r="AD310" s="182"/>
      <c r="AE310" s="182"/>
      <c r="AF310" s="211"/>
    </row>
    <row r="311" spans="2:32" ht="17.25" customHeight="1">
      <c r="B311" s="180">
        <v>224</v>
      </c>
      <c r="C311" s="925" t="s">
        <v>1564</v>
      </c>
      <c r="D311" s="940" t="s">
        <v>72</v>
      </c>
      <c r="E311" s="186" t="s">
        <v>10</v>
      </c>
      <c r="F311" s="187" t="str">
        <f t="shared" si="11"/>
        <v>IB210E0</v>
      </c>
      <c r="G311" s="271"/>
      <c r="H311" s="272"/>
      <c r="I311" s="272"/>
      <c r="J311" s="273"/>
      <c r="K311" s="190">
        <v>0</v>
      </c>
      <c r="L311" s="209"/>
      <c r="M311" s="190"/>
      <c r="N311" s="186" t="s">
        <v>11</v>
      </c>
      <c r="O311" s="195" t="str">
        <f t="shared" si="10"/>
        <v>OB210E0</v>
      </c>
      <c r="P311" s="463" t="s">
        <v>884</v>
      </c>
      <c r="Q311" s="250"/>
      <c r="R311" s="250"/>
      <c r="S311" s="251"/>
      <c r="T311" s="190" t="s">
        <v>1513</v>
      </c>
      <c r="U311" s="191"/>
      <c r="V311" s="909"/>
      <c r="W311" s="909"/>
      <c r="X311" s="182"/>
      <c r="Y311" s="182"/>
      <c r="Z311" s="182"/>
      <c r="AA311" s="182"/>
      <c r="AB311" s="182"/>
      <c r="AC311" s="210"/>
      <c r="AD311" s="182"/>
      <c r="AE311" s="182"/>
      <c r="AF311" s="211"/>
    </row>
    <row r="312" spans="2:32" ht="17.25" customHeight="1">
      <c r="B312" s="180">
        <v>225</v>
      </c>
      <c r="C312" s="816"/>
      <c r="D312" s="765"/>
      <c r="E312" s="186" t="s">
        <v>10</v>
      </c>
      <c r="F312" s="187" t="str">
        <f t="shared" si="11"/>
        <v>IB210E1</v>
      </c>
      <c r="G312" s="271"/>
      <c r="H312" s="272"/>
      <c r="I312" s="272"/>
      <c r="J312" s="273"/>
      <c r="K312" s="190"/>
      <c r="L312" s="209"/>
      <c r="M312" s="190"/>
      <c r="N312" s="186" t="s">
        <v>11</v>
      </c>
      <c r="O312" s="195" t="str">
        <f t="shared" si="10"/>
        <v>OB210E1</v>
      </c>
      <c r="P312" s="463" t="s">
        <v>885</v>
      </c>
      <c r="Q312" s="250"/>
      <c r="R312" s="250"/>
      <c r="S312" s="251"/>
      <c r="T312" s="190" t="s">
        <v>1513</v>
      </c>
      <c r="U312" s="191"/>
      <c r="V312" s="909"/>
      <c r="W312" s="909"/>
      <c r="X312" s="182"/>
      <c r="Y312" s="182"/>
      <c r="Z312" s="182"/>
      <c r="AA312" s="182"/>
      <c r="AB312" s="182"/>
      <c r="AC312" s="210"/>
      <c r="AD312" s="182"/>
      <c r="AE312" s="182"/>
      <c r="AF312" s="211"/>
    </row>
    <row r="313" spans="2:32" ht="17.25" customHeight="1">
      <c r="B313" s="180">
        <v>226</v>
      </c>
      <c r="C313" s="816"/>
      <c r="D313" s="765"/>
      <c r="E313" s="186" t="s">
        <v>10</v>
      </c>
      <c r="F313" s="187" t="str">
        <f t="shared" si="11"/>
        <v>IB210E2</v>
      </c>
      <c r="G313" s="271"/>
      <c r="H313" s="272"/>
      <c r="I313" s="272"/>
      <c r="J313" s="273"/>
      <c r="K313" s="190"/>
      <c r="L313" s="209"/>
      <c r="M313" s="190"/>
      <c r="N313" s="186" t="s">
        <v>11</v>
      </c>
      <c r="O313" s="195" t="str">
        <f t="shared" si="10"/>
        <v>OB210E2</v>
      </c>
      <c r="P313" s="463" t="s">
        <v>886</v>
      </c>
      <c r="Q313" s="250"/>
      <c r="R313" s="250"/>
      <c r="S313" s="251"/>
      <c r="T313" s="190" t="s">
        <v>1513</v>
      </c>
      <c r="U313" s="191"/>
      <c r="V313" s="909"/>
      <c r="W313" s="909"/>
      <c r="X313" s="182"/>
      <c r="Y313" s="182"/>
      <c r="Z313" s="182"/>
      <c r="AA313" s="182"/>
      <c r="AB313" s="182"/>
      <c r="AC313" s="210"/>
      <c r="AD313" s="182"/>
      <c r="AE313" s="182"/>
      <c r="AF313" s="211"/>
    </row>
    <row r="314" spans="2:32" ht="17.25" customHeight="1">
      <c r="B314" s="180">
        <v>227</v>
      </c>
      <c r="C314" s="816"/>
      <c r="D314" s="765"/>
      <c r="E314" s="186" t="s">
        <v>10</v>
      </c>
      <c r="F314" s="187" t="str">
        <f t="shared" si="11"/>
        <v>IB210E3</v>
      </c>
      <c r="G314" s="271"/>
      <c r="H314" s="272"/>
      <c r="I314" s="272"/>
      <c r="J314" s="273"/>
      <c r="K314" s="190"/>
      <c r="L314" s="209"/>
      <c r="M314" s="190"/>
      <c r="N314" s="186" t="s">
        <v>11</v>
      </c>
      <c r="O314" s="195" t="str">
        <f t="shared" si="10"/>
        <v>OB210E3</v>
      </c>
      <c r="P314" s="463" t="s">
        <v>887</v>
      </c>
      <c r="Q314" s="250"/>
      <c r="R314" s="250"/>
      <c r="S314" s="251"/>
      <c r="T314" s="190" t="s">
        <v>1513</v>
      </c>
      <c r="U314" s="191"/>
      <c r="V314" s="909"/>
      <c r="W314" s="909"/>
      <c r="X314" s="182"/>
      <c r="Y314" s="182"/>
      <c r="Z314" s="182"/>
      <c r="AA314" s="182"/>
      <c r="AB314" s="182"/>
      <c r="AC314" s="210"/>
      <c r="AD314" s="182"/>
      <c r="AE314" s="182"/>
      <c r="AF314" s="211"/>
    </row>
    <row r="315" spans="2:32" ht="17.25" customHeight="1">
      <c r="B315" s="180">
        <v>228</v>
      </c>
      <c r="C315" s="816"/>
      <c r="D315" s="765"/>
      <c r="E315" s="186" t="s">
        <v>10</v>
      </c>
      <c r="F315" s="187" t="str">
        <f t="shared" si="11"/>
        <v>IB210E4</v>
      </c>
      <c r="G315" s="271"/>
      <c r="H315" s="272"/>
      <c r="I315" s="272"/>
      <c r="J315" s="273"/>
      <c r="K315" s="190"/>
      <c r="L315" s="209"/>
      <c r="M315" s="190"/>
      <c r="N315" s="186" t="s">
        <v>11</v>
      </c>
      <c r="O315" s="195" t="str">
        <f t="shared" si="10"/>
        <v>OB210E4</v>
      </c>
      <c r="P315" s="463" t="s">
        <v>888</v>
      </c>
      <c r="Q315" s="250"/>
      <c r="R315" s="250"/>
      <c r="S315" s="251"/>
      <c r="T315" s="190" t="s">
        <v>1513</v>
      </c>
      <c r="U315" s="191"/>
      <c r="V315" s="909"/>
      <c r="W315" s="909"/>
      <c r="X315" s="193"/>
      <c r="Y315" s="182"/>
      <c r="Z315" s="182"/>
      <c r="AA315" s="182"/>
      <c r="AB315" s="182"/>
      <c r="AC315" s="210"/>
      <c r="AD315" s="182"/>
      <c r="AE315" s="182"/>
      <c r="AF315" s="211"/>
    </row>
    <row r="316" spans="2:32" ht="17.25" customHeight="1">
      <c r="B316" s="180">
        <v>229</v>
      </c>
      <c r="C316" s="816"/>
      <c r="D316" s="765"/>
      <c r="E316" s="186" t="s">
        <v>10</v>
      </c>
      <c r="F316" s="187" t="str">
        <f t="shared" si="11"/>
        <v>IB210E5</v>
      </c>
      <c r="G316" s="271"/>
      <c r="H316" s="272"/>
      <c r="I316" s="272"/>
      <c r="J316" s="273"/>
      <c r="K316" s="190"/>
      <c r="L316" s="209"/>
      <c r="M316" s="190"/>
      <c r="N316" s="186" t="s">
        <v>11</v>
      </c>
      <c r="O316" s="195" t="str">
        <f t="shared" si="10"/>
        <v>OB210E5</v>
      </c>
      <c r="P316" s="463" t="s">
        <v>889</v>
      </c>
      <c r="Q316" s="250"/>
      <c r="R316" s="250"/>
      <c r="S316" s="251"/>
      <c r="T316" s="190" t="s">
        <v>1513</v>
      </c>
      <c r="U316" s="191"/>
      <c r="V316" s="909"/>
      <c r="W316" s="909"/>
      <c r="X316" s="193"/>
      <c r="Y316" s="182"/>
      <c r="Z316" s="182"/>
      <c r="AA316" s="182"/>
      <c r="AB316" s="182"/>
      <c r="AC316" s="210"/>
      <c r="AD316" s="182"/>
      <c r="AE316" s="182"/>
      <c r="AF316" s="211"/>
    </row>
    <row r="317" spans="2:32" ht="17.25" customHeight="1">
      <c r="B317" s="180">
        <v>230</v>
      </c>
      <c r="C317" s="816"/>
      <c r="D317" s="765"/>
      <c r="E317" s="186" t="s">
        <v>10</v>
      </c>
      <c r="F317" s="187" t="str">
        <f t="shared" si="11"/>
        <v>IB210E6</v>
      </c>
      <c r="G317" s="271"/>
      <c r="H317" s="272"/>
      <c r="I317" s="272"/>
      <c r="J317" s="273"/>
      <c r="K317" s="190"/>
      <c r="L317" s="209"/>
      <c r="M317" s="190"/>
      <c r="N317" s="186" t="s">
        <v>11</v>
      </c>
      <c r="O317" s="195" t="str">
        <f t="shared" si="10"/>
        <v>OB210E6</v>
      </c>
      <c r="P317" s="463" t="s">
        <v>890</v>
      </c>
      <c r="Q317" s="250"/>
      <c r="R317" s="250"/>
      <c r="S317" s="251"/>
      <c r="T317" s="190" t="s">
        <v>1513</v>
      </c>
      <c r="U317" s="191"/>
      <c r="V317" s="909"/>
      <c r="W317" s="909"/>
      <c r="X317" s="193"/>
      <c r="Y317" s="182"/>
      <c r="Z317" s="182"/>
      <c r="AA317" s="182"/>
      <c r="AB317" s="182"/>
      <c r="AC317" s="210"/>
      <c r="AD317" s="182"/>
      <c r="AE317" s="182"/>
      <c r="AF317" s="211"/>
    </row>
    <row r="318" spans="2:32" ht="17.25" customHeight="1">
      <c r="B318" s="180">
        <v>231</v>
      </c>
      <c r="C318" s="816"/>
      <c r="D318" s="765"/>
      <c r="E318" s="186" t="s">
        <v>10</v>
      </c>
      <c r="F318" s="187" t="str">
        <f t="shared" si="11"/>
        <v>IB210E7</v>
      </c>
      <c r="G318" s="271"/>
      <c r="H318" s="272"/>
      <c r="I318" s="272"/>
      <c r="J318" s="273"/>
      <c r="K318" s="190"/>
      <c r="L318" s="209"/>
      <c r="M318" s="190"/>
      <c r="N318" s="186" t="s">
        <v>11</v>
      </c>
      <c r="O318" s="195" t="str">
        <f t="shared" si="10"/>
        <v>OB210E7</v>
      </c>
      <c r="P318" s="463" t="s">
        <v>891</v>
      </c>
      <c r="Q318" s="250"/>
      <c r="R318" s="250"/>
      <c r="S318" s="251"/>
      <c r="T318" s="190" t="s">
        <v>1513</v>
      </c>
      <c r="U318" s="191"/>
      <c r="V318" s="909"/>
      <c r="W318" s="909"/>
      <c r="X318" s="182"/>
      <c r="Y318" s="182"/>
      <c r="Z318" s="182"/>
      <c r="AA318" s="182"/>
      <c r="AB318" s="182"/>
      <c r="AC318" s="210"/>
      <c r="AD318" s="182"/>
      <c r="AE318" s="182"/>
      <c r="AF318" s="211"/>
    </row>
    <row r="319" spans="2:32" ht="17.25" customHeight="1">
      <c r="B319" s="180">
        <v>232</v>
      </c>
      <c r="C319" s="816"/>
      <c r="D319" s="765"/>
      <c r="E319" s="186" t="s">
        <v>10</v>
      </c>
      <c r="F319" s="187" t="str">
        <f t="shared" si="11"/>
        <v>IB210E8</v>
      </c>
      <c r="G319" s="271"/>
      <c r="H319" s="272"/>
      <c r="I319" s="272"/>
      <c r="J319" s="273"/>
      <c r="K319" s="190"/>
      <c r="L319" s="209"/>
      <c r="M319" s="190"/>
      <c r="N319" s="186" t="s">
        <v>11</v>
      </c>
      <c r="O319" s="195" t="str">
        <f t="shared" si="10"/>
        <v>OB210E8</v>
      </c>
      <c r="P319" s="463" t="s">
        <v>892</v>
      </c>
      <c r="Q319" s="250"/>
      <c r="R319" s="250"/>
      <c r="S319" s="251"/>
      <c r="T319" s="190" t="s">
        <v>1513</v>
      </c>
      <c r="U319" s="191"/>
      <c r="V319" s="909"/>
      <c r="W319" s="909"/>
      <c r="X319" s="182"/>
      <c r="Y319" s="182"/>
      <c r="Z319" s="182"/>
      <c r="AA319" s="182"/>
      <c r="AB319" s="182"/>
      <c r="AC319" s="210"/>
      <c r="AD319" s="182"/>
      <c r="AE319" s="182"/>
      <c r="AF319" s="211"/>
    </row>
    <row r="320" spans="2:32" ht="17.25" customHeight="1">
      <c r="B320" s="180">
        <v>233</v>
      </c>
      <c r="C320" s="816"/>
      <c r="D320" s="765"/>
      <c r="E320" s="186" t="s">
        <v>10</v>
      </c>
      <c r="F320" s="187" t="str">
        <f t="shared" si="11"/>
        <v>IB210E9</v>
      </c>
      <c r="G320" s="271"/>
      <c r="H320" s="272"/>
      <c r="I320" s="272"/>
      <c r="J320" s="273"/>
      <c r="K320" s="190"/>
      <c r="L320" s="209"/>
      <c r="M320" s="190"/>
      <c r="N320" s="186" t="s">
        <v>11</v>
      </c>
      <c r="O320" s="195" t="str">
        <f t="shared" si="10"/>
        <v>OB210E9</v>
      </c>
      <c r="P320" s="463" t="s">
        <v>893</v>
      </c>
      <c r="Q320" s="250"/>
      <c r="R320" s="250"/>
      <c r="S320" s="251"/>
      <c r="T320" s="190" t="s">
        <v>1513</v>
      </c>
      <c r="U320" s="191"/>
      <c r="V320" s="909"/>
      <c r="W320" s="909"/>
      <c r="X320" s="182"/>
      <c r="Y320" s="182"/>
      <c r="Z320" s="182"/>
      <c r="AA320" s="182"/>
      <c r="AB320" s="182"/>
      <c r="AC320" s="210"/>
      <c r="AD320" s="182"/>
      <c r="AE320" s="182"/>
      <c r="AF320" s="211"/>
    </row>
    <row r="321" spans="2:32" ht="17.25" customHeight="1">
      <c r="B321" s="180">
        <v>234</v>
      </c>
      <c r="C321" s="816"/>
      <c r="D321" s="765"/>
      <c r="E321" s="186" t="s">
        <v>10</v>
      </c>
      <c r="F321" s="187" t="str">
        <f t="shared" si="11"/>
        <v>IB210EA</v>
      </c>
      <c r="G321" s="271"/>
      <c r="H321" s="272"/>
      <c r="I321" s="272"/>
      <c r="J321" s="273"/>
      <c r="K321" s="190"/>
      <c r="L321" s="209"/>
      <c r="M321" s="190"/>
      <c r="N321" s="186" t="s">
        <v>11</v>
      </c>
      <c r="O321" s="195" t="str">
        <f t="shared" si="10"/>
        <v>OB210EA</v>
      </c>
      <c r="P321" s="469" t="s">
        <v>832</v>
      </c>
      <c r="Q321" s="470"/>
      <c r="R321" s="471"/>
      <c r="S321" s="251"/>
      <c r="T321" s="190" t="s">
        <v>1513</v>
      </c>
      <c r="U321" s="191"/>
      <c r="V321" s="909"/>
      <c r="W321" s="909"/>
      <c r="X321" s="182"/>
      <c r="Y321" s="182"/>
      <c r="Z321" s="182"/>
      <c r="AA321" s="182"/>
      <c r="AB321" s="182"/>
      <c r="AC321" s="210"/>
      <c r="AD321" s="182"/>
      <c r="AE321" s="182"/>
      <c r="AF321" s="211"/>
    </row>
    <row r="322" spans="2:32" ht="17.25" customHeight="1">
      <c r="B322" s="180">
        <v>235</v>
      </c>
      <c r="C322" s="816"/>
      <c r="D322" s="765"/>
      <c r="E322" s="186" t="s">
        <v>10</v>
      </c>
      <c r="F322" s="187" t="str">
        <f t="shared" si="11"/>
        <v>IB210EB</v>
      </c>
      <c r="G322" s="271"/>
      <c r="H322" s="272"/>
      <c r="I322" s="272"/>
      <c r="J322" s="273"/>
      <c r="K322" s="190"/>
      <c r="L322" s="209"/>
      <c r="M322" s="190"/>
      <c r="N322" s="186" t="s">
        <v>11</v>
      </c>
      <c r="O322" s="195" t="str">
        <f t="shared" si="10"/>
        <v>OB210EB</v>
      </c>
      <c r="P322" s="469" t="s">
        <v>894</v>
      </c>
      <c r="Q322" s="470"/>
      <c r="R322" s="471"/>
      <c r="T322" s="190" t="s">
        <v>1513</v>
      </c>
      <c r="U322" s="191"/>
      <c r="V322" s="909"/>
      <c r="W322" s="909"/>
      <c r="X322" s="182"/>
      <c r="Y322" s="182"/>
      <c r="Z322" s="182"/>
      <c r="AA322" s="182"/>
      <c r="AB322" s="182"/>
      <c r="AC322" s="210"/>
      <c r="AD322" s="182"/>
      <c r="AE322" s="182"/>
      <c r="AF322" s="211"/>
    </row>
    <row r="323" spans="2:32" ht="17.25" customHeight="1">
      <c r="B323" s="180">
        <v>236</v>
      </c>
      <c r="C323" s="816"/>
      <c r="D323" s="765"/>
      <c r="E323" s="186" t="s">
        <v>10</v>
      </c>
      <c r="F323" s="187" t="str">
        <f t="shared" si="11"/>
        <v>IB210EC</v>
      </c>
      <c r="G323" s="271"/>
      <c r="H323" s="272"/>
      <c r="I323" s="272"/>
      <c r="J323" s="273"/>
      <c r="K323" s="190"/>
      <c r="L323" s="209"/>
      <c r="M323" s="190"/>
      <c r="N323" s="186" t="s">
        <v>11</v>
      </c>
      <c r="O323" s="195" t="str">
        <f t="shared" si="10"/>
        <v>OB210EC</v>
      </c>
      <c r="P323" s="469" t="s">
        <v>895</v>
      </c>
      <c r="Q323" s="470"/>
      <c r="R323" s="471"/>
      <c r="S323" s="251"/>
      <c r="T323" s="190" t="s">
        <v>1513</v>
      </c>
      <c r="U323" s="191"/>
      <c r="V323" s="909"/>
      <c r="W323" s="909"/>
      <c r="X323" s="182"/>
      <c r="Y323" s="182"/>
      <c r="Z323" s="182"/>
      <c r="AA323" s="182"/>
      <c r="AB323" s="182"/>
      <c r="AC323" s="210"/>
      <c r="AD323" s="182"/>
      <c r="AE323" s="182"/>
      <c r="AF323" s="211"/>
    </row>
    <row r="324" spans="2:32" ht="17.25" customHeight="1">
      <c r="B324" s="180">
        <v>237</v>
      </c>
      <c r="C324" s="816"/>
      <c r="D324" s="765"/>
      <c r="E324" s="186" t="s">
        <v>10</v>
      </c>
      <c r="F324" s="187" t="str">
        <f t="shared" si="11"/>
        <v>IB210ED</v>
      </c>
      <c r="G324" s="271"/>
      <c r="H324" s="272"/>
      <c r="I324" s="272"/>
      <c r="J324" s="273"/>
      <c r="K324" s="182"/>
      <c r="L324" s="188"/>
      <c r="M324" s="182"/>
      <c r="N324" s="186" t="s">
        <v>11</v>
      </c>
      <c r="O324" s="195" t="str">
        <f t="shared" si="10"/>
        <v>OB210ED</v>
      </c>
      <c r="P324" s="469" t="s">
        <v>896</v>
      </c>
      <c r="Q324" s="470"/>
      <c r="R324" s="471"/>
      <c r="S324" s="251"/>
      <c r="T324" s="190" t="s">
        <v>1513</v>
      </c>
      <c r="U324" s="191"/>
      <c r="V324" s="909"/>
      <c r="W324" s="909"/>
      <c r="X324" s="182"/>
      <c r="Y324" s="182"/>
      <c r="Z324" s="182"/>
      <c r="AA324" s="182"/>
      <c r="AB324" s="182"/>
      <c r="AC324" s="210"/>
      <c r="AD324" s="182"/>
      <c r="AE324" s="182"/>
      <c r="AF324" s="211"/>
    </row>
    <row r="325" spans="2:32" ht="17.25" customHeight="1">
      <c r="B325" s="180">
        <v>238</v>
      </c>
      <c r="C325" s="816"/>
      <c r="D325" s="765"/>
      <c r="E325" s="186" t="s">
        <v>10</v>
      </c>
      <c r="F325" s="187" t="str">
        <f t="shared" si="11"/>
        <v>IB210EE</v>
      </c>
      <c r="G325" s="271"/>
      <c r="H325" s="272"/>
      <c r="I325" s="272"/>
      <c r="J325" s="273"/>
      <c r="K325" s="182"/>
      <c r="L325" s="212"/>
      <c r="M325" s="639"/>
      <c r="N325" s="186" t="s">
        <v>11</v>
      </c>
      <c r="O325" s="195" t="str">
        <f t="shared" si="10"/>
        <v>OB210EE</v>
      </c>
      <c r="P325" s="243" t="s">
        <v>1176</v>
      </c>
      <c r="Q325" s="250"/>
      <c r="R325" s="250"/>
      <c r="S325" s="251"/>
      <c r="T325" s="190" t="s">
        <v>1513</v>
      </c>
      <c r="U325" s="191"/>
      <c r="V325" s="909"/>
      <c r="W325" s="909"/>
      <c r="X325" s="182"/>
      <c r="Y325" s="182"/>
      <c r="Z325" s="182"/>
      <c r="AA325" s="182"/>
      <c r="AB325" s="182"/>
      <c r="AC325" s="210"/>
      <c r="AD325" s="182"/>
      <c r="AE325" s="182"/>
      <c r="AF325" s="211"/>
    </row>
    <row r="326" spans="2:32" ht="17.25" customHeight="1">
      <c r="B326" s="180">
        <v>239</v>
      </c>
      <c r="C326" s="926"/>
      <c r="D326" s="765"/>
      <c r="E326" s="186" t="s">
        <v>10</v>
      </c>
      <c r="F326" s="187" t="str">
        <f t="shared" si="11"/>
        <v>IB210EF</v>
      </c>
      <c r="G326" s="271"/>
      <c r="H326" s="272"/>
      <c r="I326" s="272"/>
      <c r="J326" s="273"/>
      <c r="K326" s="182"/>
      <c r="L326" s="212"/>
      <c r="M326" s="639"/>
      <c r="N326" s="186" t="s">
        <v>11</v>
      </c>
      <c r="O326" s="195" t="str">
        <f t="shared" si="10"/>
        <v>OB210EF</v>
      </c>
      <c r="P326" s="249"/>
      <c r="Q326" s="250"/>
      <c r="R326" s="250"/>
      <c r="S326" s="251"/>
      <c r="T326" s="190"/>
      <c r="U326" s="191"/>
      <c r="V326" s="909"/>
      <c r="W326" s="909"/>
      <c r="X326" s="182"/>
      <c r="Y326" s="182"/>
      <c r="Z326" s="182"/>
      <c r="AA326" s="182"/>
      <c r="AB326" s="182"/>
      <c r="AC326" s="210"/>
      <c r="AD326" s="182"/>
      <c r="AE326" s="182"/>
      <c r="AF326" s="211"/>
    </row>
    <row r="327" spans="2:32" ht="17.25" customHeight="1">
      <c r="B327" s="180">
        <v>240</v>
      </c>
      <c r="C327" s="927" t="s">
        <v>41</v>
      </c>
      <c r="D327" s="940" t="s">
        <v>72</v>
      </c>
      <c r="E327" s="186" t="s">
        <v>10</v>
      </c>
      <c r="F327" s="187" t="str">
        <f t="shared" si="11"/>
        <v>IB210F0</v>
      </c>
      <c r="G327" s="243" t="s">
        <v>712</v>
      </c>
      <c r="H327" s="244"/>
      <c r="I327" s="244"/>
      <c r="J327" s="245"/>
      <c r="K327" s="182" t="s">
        <v>1513</v>
      </c>
      <c r="L327" s="188"/>
      <c r="M327" s="182"/>
      <c r="N327" s="186" t="s">
        <v>11</v>
      </c>
      <c r="O327" s="195" t="str">
        <f t="shared" si="10"/>
        <v>OB210F0</v>
      </c>
      <c r="P327" s="268"/>
      <c r="Q327" s="269"/>
      <c r="R327" s="269"/>
      <c r="S327" s="270"/>
      <c r="T327" s="190"/>
      <c r="U327" s="191"/>
      <c r="V327" s="909"/>
      <c r="W327" s="909"/>
      <c r="X327" s="193"/>
      <c r="Y327" s="182"/>
      <c r="Z327" s="182"/>
      <c r="AA327" s="182"/>
      <c r="AB327" s="182"/>
      <c r="AC327" s="210"/>
      <c r="AD327" s="182"/>
      <c r="AE327" s="182"/>
      <c r="AF327" s="211"/>
    </row>
    <row r="328" spans="2:32" ht="17.25" customHeight="1">
      <c r="B328" s="180">
        <v>241</v>
      </c>
      <c r="C328" s="811"/>
      <c r="D328" s="765"/>
      <c r="E328" s="186" t="s">
        <v>10</v>
      </c>
      <c r="F328" s="187" t="str">
        <f t="shared" si="11"/>
        <v>IB210F1</v>
      </c>
      <c r="G328" s="243" t="s">
        <v>713</v>
      </c>
      <c r="H328" s="244"/>
      <c r="I328" s="244"/>
      <c r="J328" s="245"/>
      <c r="K328" s="182" t="s">
        <v>1513</v>
      </c>
      <c r="L328" s="188"/>
      <c r="M328" s="182"/>
      <c r="N328" s="186" t="s">
        <v>11</v>
      </c>
      <c r="O328" s="195" t="str">
        <f t="shared" si="10"/>
        <v>OB210F1</v>
      </c>
      <c r="P328" s="268"/>
      <c r="Q328" s="269"/>
      <c r="R328" s="269"/>
      <c r="S328" s="270"/>
      <c r="T328" s="190"/>
      <c r="U328" s="191"/>
      <c r="V328" s="909"/>
      <c r="W328" s="909"/>
      <c r="X328" s="193"/>
      <c r="Y328" s="182"/>
      <c r="Z328" s="182"/>
      <c r="AA328" s="182"/>
      <c r="AB328" s="182"/>
      <c r="AC328" s="210"/>
      <c r="AD328" s="182"/>
      <c r="AE328" s="182"/>
      <c r="AF328" s="211"/>
    </row>
    <row r="329" spans="2:32" ht="17.25" customHeight="1">
      <c r="B329" s="180">
        <v>242</v>
      </c>
      <c r="C329" s="811"/>
      <c r="D329" s="765"/>
      <c r="E329" s="186" t="s">
        <v>10</v>
      </c>
      <c r="F329" s="187" t="str">
        <f t="shared" si="11"/>
        <v>IB210F2</v>
      </c>
      <c r="G329" s="243" t="s">
        <v>714</v>
      </c>
      <c r="H329" s="244"/>
      <c r="I329" s="244"/>
      <c r="J329" s="245"/>
      <c r="K329" s="182" t="s">
        <v>1513</v>
      </c>
      <c r="L329" s="188"/>
      <c r="M329" s="182"/>
      <c r="N329" s="186" t="s">
        <v>11</v>
      </c>
      <c r="O329" s="195" t="str">
        <f t="shared" ref="O329:O342" si="12">LEFT(O328,1)&amp;DEC2HEX(HEX2DEC(MID(O328,2,LENB(O328)-1))+1,LENB(O328)-1)</f>
        <v>OB210F2</v>
      </c>
      <c r="P329" s="268"/>
      <c r="Q329" s="269"/>
      <c r="R329" s="269"/>
      <c r="S329" s="270"/>
      <c r="T329" s="190"/>
      <c r="U329" s="191"/>
      <c r="V329" s="909"/>
      <c r="W329" s="909"/>
      <c r="X329" s="193"/>
      <c r="Y329" s="182"/>
      <c r="Z329" s="182"/>
      <c r="AA329" s="182"/>
      <c r="AB329" s="182"/>
      <c r="AC329" s="210"/>
      <c r="AD329" s="182"/>
      <c r="AE329" s="182"/>
      <c r="AF329" s="211"/>
    </row>
    <row r="330" spans="2:32" ht="17.25" customHeight="1">
      <c r="B330" s="180">
        <v>243</v>
      </c>
      <c r="C330" s="811"/>
      <c r="D330" s="765"/>
      <c r="E330" s="186" t="s">
        <v>10</v>
      </c>
      <c r="F330" s="187" t="str">
        <f t="shared" si="11"/>
        <v>IB210F3</v>
      </c>
      <c r="G330" s="243" t="s">
        <v>715</v>
      </c>
      <c r="H330" s="244"/>
      <c r="I330" s="244"/>
      <c r="J330" s="245"/>
      <c r="K330" s="182" t="s">
        <v>1513</v>
      </c>
      <c r="L330" s="188"/>
      <c r="M330" s="182"/>
      <c r="N330" s="186" t="s">
        <v>11</v>
      </c>
      <c r="O330" s="195" t="str">
        <f t="shared" si="12"/>
        <v>OB210F3</v>
      </c>
      <c r="P330" s="268"/>
      <c r="Q330" s="269"/>
      <c r="R330" s="269"/>
      <c r="S330" s="270"/>
      <c r="T330" s="190"/>
      <c r="U330" s="191"/>
      <c r="V330" s="909"/>
      <c r="W330" s="909"/>
      <c r="X330" s="193"/>
      <c r="Y330" s="182"/>
      <c r="Z330" s="182"/>
      <c r="AA330" s="182"/>
      <c r="AB330" s="182"/>
      <c r="AC330" s="210"/>
      <c r="AD330" s="182"/>
      <c r="AE330" s="182"/>
      <c r="AF330" s="211"/>
    </row>
    <row r="331" spans="2:32" ht="17.25" customHeight="1">
      <c r="B331" s="180">
        <v>244</v>
      </c>
      <c r="C331" s="811"/>
      <c r="D331" s="765"/>
      <c r="E331" s="186" t="s">
        <v>10</v>
      </c>
      <c r="F331" s="187" t="str">
        <f t="shared" si="11"/>
        <v>IB210F4</v>
      </c>
      <c r="G331" s="243" t="s">
        <v>716</v>
      </c>
      <c r="H331" s="244"/>
      <c r="I331" s="244"/>
      <c r="J331" s="245"/>
      <c r="K331" s="182" t="s">
        <v>1513</v>
      </c>
      <c r="L331" s="188"/>
      <c r="M331" s="182"/>
      <c r="N331" s="186" t="s">
        <v>11</v>
      </c>
      <c r="O331" s="195" t="str">
        <f t="shared" si="12"/>
        <v>OB210F4</v>
      </c>
      <c r="P331" s="268"/>
      <c r="Q331" s="269"/>
      <c r="R331" s="269"/>
      <c r="S331" s="270"/>
      <c r="T331" s="190"/>
      <c r="U331" s="191"/>
      <c r="V331" s="909"/>
      <c r="W331" s="909"/>
      <c r="X331" s="187"/>
      <c r="Y331" s="182"/>
      <c r="Z331" s="182"/>
      <c r="AA331" s="182"/>
      <c r="AB331" s="182"/>
      <c r="AC331" s="210"/>
      <c r="AD331" s="182"/>
      <c r="AE331" s="182"/>
      <c r="AF331" s="211"/>
    </row>
    <row r="332" spans="2:32" ht="17.25" customHeight="1">
      <c r="B332" s="180">
        <v>245</v>
      </c>
      <c r="C332" s="811"/>
      <c r="D332" s="765"/>
      <c r="E332" s="186" t="s">
        <v>10</v>
      </c>
      <c r="F332" s="187" t="str">
        <f t="shared" si="11"/>
        <v>IB210F5</v>
      </c>
      <c r="G332" s="243" t="s">
        <v>717</v>
      </c>
      <c r="H332" s="244"/>
      <c r="I332" s="244"/>
      <c r="J332" s="245"/>
      <c r="K332" s="182" t="s">
        <v>1513</v>
      </c>
      <c r="L332" s="183"/>
      <c r="M332" s="642"/>
      <c r="N332" s="186" t="s">
        <v>11</v>
      </c>
      <c r="O332" s="195" t="str">
        <f t="shared" si="12"/>
        <v>OB210F5</v>
      </c>
      <c r="P332" s="268"/>
      <c r="Q332" s="269"/>
      <c r="R332" s="269"/>
      <c r="S332" s="270"/>
      <c r="T332" s="190"/>
      <c r="U332" s="191"/>
      <c r="V332" s="909"/>
      <c r="W332" s="909"/>
      <c r="X332" s="187"/>
      <c r="Y332" s="182"/>
      <c r="Z332" s="182"/>
      <c r="AA332" s="182"/>
      <c r="AB332" s="182"/>
      <c r="AC332" s="210"/>
      <c r="AD332" s="182"/>
      <c r="AE332" s="182"/>
      <c r="AF332" s="211"/>
    </row>
    <row r="333" spans="2:32" ht="17.25" customHeight="1">
      <c r="B333" s="180">
        <v>246</v>
      </c>
      <c r="C333" s="811"/>
      <c r="D333" s="765"/>
      <c r="E333" s="186" t="s">
        <v>10</v>
      </c>
      <c r="F333" s="187" t="str">
        <f t="shared" si="11"/>
        <v>IB210F6</v>
      </c>
      <c r="G333" s="243" t="s">
        <v>718</v>
      </c>
      <c r="H333" s="244"/>
      <c r="I333" s="244"/>
      <c r="J333" s="245"/>
      <c r="K333" s="182" t="s">
        <v>1513</v>
      </c>
      <c r="L333" s="183"/>
      <c r="M333" s="642"/>
      <c r="N333" s="186" t="s">
        <v>11</v>
      </c>
      <c r="O333" s="195" t="str">
        <f t="shared" si="12"/>
        <v>OB210F6</v>
      </c>
      <c r="P333" s="268"/>
      <c r="Q333" s="269"/>
      <c r="R333" s="269"/>
      <c r="S333" s="270"/>
      <c r="T333" s="190"/>
      <c r="U333" s="191"/>
      <c r="V333" s="909"/>
      <c r="W333" s="909"/>
      <c r="X333" s="187"/>
      <c r="Y333" s="182"/>
      <c r="Z333" s="182"/>
      <c r="AA333" s="182"/>
      <c r="AB333" s="182"/>
      <c r="AC333" s="210"/>
      <c r="AD333" s="182"/>
      <c r="AE333" s="182"/>
      <c r="AF333" s="211"/>
    </row>
    <row r="334" spans="2:32" ht="17.25" customHeight="1">
      <c r="B334" s="180">
        <v>247</v>
      </c>
      <c r="C334" s="811"/>
      <c r="D334" s="765"/>
      <c r="E334" s="186" t="s">
        <v>10</v>
      </c>
      <c r="F334" s="187" t="str">
        <f t="shared" si="11"/>
        <v>IB210F7</v>
      </c>
      <c r="G334" s="243" t="s">
        <v>719</v>
      </c>
      <c r="H334" s="244"/>
      <c r="I334" s="244"/>
      <c r="J334" s="245"/>
      <c r="K334" s="182" t="s">
        <v>1513</v>
      </c>
      <c r="L334" s="183"/>
      <c r="M334" s="642"/>
      <c r="N334" s="186" t="s">
        <v>11</v>
      </c>
      <c r="O334" s="195" t="str">
        <f t="shared" si="12"/>
        <v>OB210F7</v>
      </c>
      <c r="P334" s="268"/>
      <c r="Q334" s="269"/>
      <c r="R334" s="269"/>
      <c r="S334" s="270"/>
      <c r="T334" s="190"/>
      <c r="U334" s="191"/>
      <c r="V334" s="909"/>
      <c r="W334" s="909"/>
      <c r="X334" s="187"/>
      <c r="Y334" s="182"/>
      <c r="Z334" s="182"/>
      <c r="AA334" s="182"/>
      <c r="AB334" s="182"/>
      <c r="AC334" s="210"/>
      <c r="AD334" s="182"/>
      <c r="AE334" s="182"/>
      <c r="AF334" s="211"/>
    </row>
    <row r="335" spans="2:32" ht="17.25" customHeight="1">
      <c r="B335" s="180">
        <v>248</v>
      </c>
      <c r="C335" s="811"/>
      <c r="D335" s="765"/>
      <c r="E335" s="186" t="s">
        <v>10</v>
      </c>
      <c r="F335" s="187" t="str">
        <f t="shared" si="11"/>
        <v>IB210F8</v>
      </c>
      <c r="G335" s="243" t="s">
        <v>1373</v>
      </c>
      <c r="H335" s="244"/>
      <c r="I335" s="244"/>
      <c r="J335" s="245"/>
      <c r="K335" s="182" t="s">
        <v>1513</v>
      </c>
      <c r="L335" s="183"/>
      <c r="M335" s="642"/>
      <c r="N335" s="186" t="s">
        <v>11</v>
      </c>
      <c r="O335" s="195" t="str">
        <f t="shared" si="12"/>
        <v>OB210F8</v>
      </c>
      <c r="P335" s="268"/>
      <c r="Q335" s="269"/>
      <c r="R335" s="269"/>
      <c r="S335" s="270"/>
      <c r="T335" s="190"/>
      <c r="U335" s="191"/>
      <c r="V335" s="909"/>
      <c r="W335" s="909"/>
      <c r="X335" s="187"/>
      <c r="Y335" s="182"/>
      <c r="Z335" s="182"/>
      <c r="AA335" s="182"/>
      <c r="AB335" s="182"/>
      <c r="AC335" s="210"/>
      <c r="AD335" s="182"/>
      <c r="AE335" s="182"/>
      <c r="AF335" s="211"/>
    </row>
    <row r="336" spans="2:32" ht="17.25" customHeight="1">
      <c r="B336" s="180">
        <v>249</v>
      </c>
      <c r="C336" s="811"/>
      <c r="D336" s="765"/>
      <c r="E336" s="186" t="s">
        <v>10</v>
      </c>
      <c r="F336" s="187" t="str">
        <f t="shared" si="11"/>
        <v>IB210F9</v>
      </c>
      <c r="G336" s="243" t="s">
        <v>1374</v>
      </c>
      <c r="H336" s="244"/>
      <c r="I336" s="244"/>
      <c r="J336" s="245"/>
      <c r="K336" s="182" t="s">
        <v>1513</v>
      </c>
      <c r="L336" s="183"/>
      <c r="M336" s="642"/>
      <c r="N336" s="186" t="s">
        <v>11</v>
      </c>
      <c r="O336" s="195" t="str">
        <f t="shared" si="12"/>
        <v>OB210F9</v>
      </c>
      <c r="P336" s="271"/>
      <c r="Q336" s="272"/>
      <c r="R336" s="272"/>
      <c r="S336" s="273"/>
      <c r="T336" s="190"/>
      <c r="U336" s="191"/>
      <c r="V336" s="909"/>
      <c r="W336" s="909"/>
      <c r="X336" s="187"/>
      <c r="Y336" s="182"/>
      <c r="Z336" s="182"/>
      <c r="AA336" s="182"/>
      <c r="AB336" s="182"/>
      <c r="AC336" s="210"/>
      <c r="AD336" s="182"/>
      <c r="AE336" s="182"/>
      <c r="AF336" s="211"/>
    </row>
    <row r="337" spans="2:32" ht="17.25" customHeight="1">
      <c r="B337" s="180">
        <v>250</v>
      </c>
      <c r="C337" s="811"/>
      <c r="D337" s="765"/>
      <c r="E337" s="186" t="s">
        <v>10</v>
      </c>
      <c r="F337" s="187" t="str">
        <f t="shared" si="11"/>
        <v>IB210FA</v>
      </c>
      <c r="G337" s="243" t="s">
        <v>1375</v>
      </c>
      <c r="H337" s="244"/>
      <c r="I337" s="244"/>
      <c r="J337" s="245"/>
      <c r="K337" s="182" t="s">
        <v>1513</v>
      </c>
      <c r="L337" s="183"/>
      <c r="M337" s="642"/>
      <c r="N337" s="186" t="s">
        <v>11</v>
      </c>
      <c r="O337" s="195" t="str">
        <f t="shared" si="12"/>
        <v>OB210FA</v>
      </c>
      <c r="P337" s="271"/>
      <c r="Q337" s="272"/>
      <c r="R337" s="272"/>
      <c r="S337" s="273"/>
      <c r="T337" s="190"/>
      <c r="U337" s="191"/>
      <c r="V337" s="909"/>
      <c r="W337" s="909"/>
      <c r="X337" s="187"/>
      <c r="Y337" s="182"/>
      <c r="Z337" s="182"/>
      <c r="AA337" s="182"/>
      <c r="AB337" s="182"/>
      <c r="AC337" s="210"/>
      <c r="AD337" s="182"/>
      <c r="AE337" s="182"/>
      <c r="AF337" s="211"/>
    </row>
    <row r="338" spans="2:32" ht="17.25" customHeight="1">
      <c r="B338" s="180">
        <v>251</v>
      </c>
      <c r="C338" s="811"/>
      <c r="D338" s="765"/>
      <c r="E338" s="186" t="s">
        <v>10</v>
      </c>
      <c r="F338" s="187" t="str">
        <f t="shared" si="11"/>
        <v>IB210FB</v>
      </c>
      <c r="G338" s="243" t="s">
        <v>1376</v>
      </c>
      <c r="H338" s="244"/>
      <c r="I338" s="244"/>
      <c r="J338" s="245"/>
      <c r="K338" s="182" t="s">
        <v>1513</v>
      </c>
      <c r="L338" s="183"/>
      <c r="M338" s="642"/>
      <c r="N338" s="186" t="s">
        <v>11</v>
      </c>
      <c r="O338" s="195" t="str">
        <f t="shared" si="12"/>
        <v>OB210FB</v>
      </c>
      <c r="P338" s="271"/>
      <c r="Q338" s="272"/>
      <c r="R338" s="272"/>
      <c r="S338" s="273"/>
      <c r="T338" s="190"/>
      <c r="U338" s="191"/>
      <c r="V338" s="909"/>
      <c r="W338" s="909"/>
      <c r="X338" s="187"/>
      <c r="Y338" s="182"/>
      <c r="Z338" s="182"/>
      <c r="AA338" s="182"/>
      <c r="AB338" s="182"/>
      <c r="AC338" s="210"/>
      <c r="AD338" s="182"/>
      <c r="AE338" s="182"/>
      <c r="AF338" s="211"/>
    </row>
    <row r="339" spans="2:32" ht="17.25" customHeight="1">
      <c r="B339" s="180">
        <v>252</v>
      </c>
      <c r="C339" s="811"/>
      <c r="D339" s="765"/>
      <c r="E339" s="186" t="s">
        <v>10</v>
      </c>
      <c r="F339" s="187" t="str">
        <f t="shared" si="11"/>
        <v>IB210FC</v>
      </c>
      <c r="G339" s="243" t="s">
        <v>1377</v>
      </c>
      <c r="H339" s="250"/>
      <c r="I339" s="250"/>
      <c r="J339" s="251"/>
      <c r="K339" s="182" t="s">
        <v>1513</v>
      </c>
      <c r="L339" s="188"/>
      <c r="M339" s="182"/>
      <c r="N339" s="186" t="s">
        <v>11</v>
      </c>
      <c r="O339" s="195" t="str">
        <f t="shared" si="12"/>
        <v>OB210FC</v>
      </c>
      <c r="P339" s="271"/>
      <c r="Q339" s="272"/>
      <c r="R339" s="272"/>
      <c r="S339" s="273"/>
      <c r="T339" s="190"/>
      <c r="U339" s="191"/>
      <c r="V339" s="909"/>
      <c r="W339" s="909"/>
      <c r="X339" s="187"/>
      <c r="Y339" s="182"/>
      <c r="Z339" s="182"/>
      <c r="AA339" s="182"/>
      <c r="AB339" s="182"/>
      <c r="AC339" s="210"/>
      <c r="AD339" s="182"/>
      <c r="AE339" s="182"/>
      <c r="AF339" s="211"/>
    </row>
    <row r="340" spans="2:32" ht="17.25" customHeight="1">
      <c r="B340" s="180">
        <v>253</v>
      </c>
      <c r="C340" s="811"/>
      <c r="D340" s="765"/>
      <c r="E340" s="186" t="s">
        <v>10</v>
      </c>
      <c r="F340" s="187" t="str">
        <f t="shared" si="11"/>
        <v>IB210FD</v>
      </c>
      <c r="G340" s="249"/>
      <c r="H340" s="250"/>
      <c r="I340" s="250"/>
      <c r="J340" s="251"/>
      <c r="K340" s="213"/>
      <c r="L340" s="220"/>
      <c r="M340" s="643"/>
      <c r="N340" s="186" t="s">
        <v>11</v>
      </c>
      <c r="O340" s="195" t="str">
        <f t="shared" si="12"/>
        <v>OB210FD</v>
      </c>
      <c r="P340" s="271"/>
      <c r="Q340" s="272"/>
      <c r="R340" s="272"/>
      <c r="S340" s="273"/>
      <c r="T340" s="190"/>
      <c r="U340" s="191"/>
      <c r="V340" s="909"/>
      <c r="W340" s="909"/>
      <c r="X340" s="187"/>
      <c r="Y340" s="182"/>
      <c r="Z340" s="182"/>
      <c r="AA340" s="182"/>
      <c r="AB340" s="182"/>
      <c r="AC340" s="210"/>
      <c r="AD340" s="182"/>
      <c r="AE340" s="182"/>
      <c r="AF340" s="211"/>
    </row>
    <row r="341" spans="2:32" ht="17.25" customHeight="1">
      <c r="B341" s="180">
        <v>254</v>
      </c>
      <c r="C341" s="811"/>
      <c r="D341" s="765"/>
      <c r="E341" s="186" t="s">
        <v>10</v>
      </c>
      <c r="F341" s="187" t="str">
        <f t="shared" si="11"/>
        <v>IB210FE</v>
      </c>
      <c r="G341" s="108" t="s">
        <v>1378</v>
      </c>
      <c r="H341" s="250"/>
      <c r="I341" s="250"/>
      <c r="J341" s="251"/>
      <c r="K341" s="182" t="s">
        <v>1513</v>
      </c>
      <c r="L341" s="220"/>
      <c r="M341" s="643"/>
      <c r="N341" s="186" t="s">
        <v>11</v>
      </c>
      <c r="O341" s="195" t="str">
        <f t="shared" si="12"/>
        <v>OB210FE</v>
      </c>
      <c r="P341" s="271"/>
      <c r="Q341" s="272"/>
      <c r="R341" s="272"/>
      <c r="S341" s="273"/>
      <c r="T341" s="190"/>
      <c r="U341" s="191"/>
      <c r="V341" s="909"/>
      <c r="W341" s="909"/>
      <c r="X341" s="187"/>
      <c r="Y341" s="182"/>
      <c r="Z341" s="182"/>
      <c r="AA341" s="182"/>
      <c r="AB341" s="182"/>
      <c r="AC341" s="210"/>
      <c r="AD341" s="182"/>
      <c r="AE341" s="182"/>
      <c r="AF341" s="211"/>
    </row>
    <row r="342" spans="2:32" ht="17.25" customHeight="1" thickBot="1">
      <c r="B342" s="197">
        <v>255</v>
      </c>
      <c r="C342" s="939"/>
      <c r="D342" s="924"/>
      <c r="E342" s="198" t="s">
        <v>10</v>
      </c>
      <c r="F342" s="199" t="str">
        <f t="shared" si="11"/>
        <v>IB210FF</v>
      </c>
      <c r="G342" s="327"/>
      <c r="H342" s="252"/>
      <c r="I342" s="252"/>
      <c r="J342" s="253"/>
      <c r="K342" s="556"/>
      <c r="L342" s="221"/>
      <c r="M342" s="644"/>
      <c r="N342" s="198" t="s">
        <v>11</v>
      </c>
      <c r="O342" s="202" t="str">
        <f t="shared" si="12"/>
        <v>OB210FF</v>
      </c>
      <c r="P342" s="274"/>
      <c r="Q342" s="275"/>
      <c r="R342" s="275"/>
      <c r="S342" s="276"/>
      <c r="T342" s="203"/>
      <c r="U342" s="204"/>
      <c r="V342" s="910"/>
      <c r="W342" s="910"/>
      <c r="X342" s="199"/>
      <c r="Y342" s="200"/>
      <c r="Z342" s="200"/>
      <c r="AA342" s="200"/>
      <c r="AB342" s="200"/>
      <c r="AC342" s="222"/>
      <c r="AD342" s="200"/>
      <c r="AE342" s="200"/>
      <c r="AF342" s="223"/>
    </row>
    <row r="343" spans="2:32" ht="17.25" customHeight="1">
      <c r="B343" s="28"/>
      <c r="C343" s="120"/>
      <c r="D343" s="120"/>
      <c r="E343" s="121"/>
      <c r="F343" s="122"/>
      <c r="G343" s="123"/>
      <c r="H343" s="123"/>
      <c r="I343" s="123"/>
      <c r="J343" s="123"/>
      <c r="K343" s="165"/>
      <c r="L343" s="464"/>
      <c r="M343" s="165"/>
      <c r="N343" s="123"/>
      <c r="O343" s="123"/>
      <c r="P343" s="125"/>
      <c r="Q343" s="125"/>
      <c r="R343" s="125"/>
      <c r="S343" s="125"/>
      <c r="T343" s="125"/>
      <c r="U343" s="167"/>
      <c r="V343" s="127"/>
      <c r="W343" s="127"/>
      <c r="X343" s="122"/>
      <c r="Y343" s="28"/>
      <c r="Z343" s="28"/>
      <c r="AA343" s="28"/>
      <c r="AB343" s="28"/>
      <c r="AC343" s="128"/>
      <c r="AD343" s="28"/>
      <c r="AE343" s="28"/>
      <c r="AF343" s="128"/>
    </row>
    <row r="344" spans="2:32" ht="17.25" customHeight="1" thickBot="1">
      <c r="B344" s="71"/>
      <c r="C344" s="64"/>
      <c r="D344" s="64"/>
      <c r="E344" s="65"/>
      <c r="F344" s="129"/>
      <c r="G344" s="130"/>
      <c r="H344" s="130"/>
      <c r="I344" s="130"/>
      <c r="J344" s="130"/>
      <c r="K344" s="168"/>
      <c r="L344" s="465"/>
      <c r="M344" s="168"/>
      <c r="N344" s="130"/>
      <c r="O344" s="130"/>
      <c r="P344" s="132"/>
      <c r="Q344" s="132"/>
      <c r="R344" s="132"/>
      <c r="S344" s="132"/>
      <c r="T344" s="132"/>
      <c r="U344" s="170"/>
      <c r="V344" s="134"/>
      <c r="W344" s="134"/>
      <c r="X344" s="129"/>
      <c r="Y344" s="71"/>
      <c r="Z344" s="71"/>
      <c r="AA344" s="71"/>
      <c r="AB344" s="71"/>
      <c r="AC344" s="135"/>
      <c r="AD344" s="71"/>
      <c r="AE344" s="71"/>
      <c r="AF344" s="135"/>
    </row>
    <row r="345" spans="2:32" ht="16.5" customHeight="1">
      <c r="B345" s="929" t="s">
        <v>0</v>
      </c>
      <c r="C345" s="781" t="s">
        <v>4</v>
      </c>
      <c r="D345" s="921" t="s">
        <v>5</v>
      </c>
      <c r="E345" s="911" t="s">
        <v>90</v>
      </c>
      <c r="F345" s="911" t="s">
        <v>6</v>
      </c>
      <c r="G345" s="933"/>
      <c r="H345" s="934"/>
      <c r="I345" s="934"/>
      <c r="J345" s="935"/>
      <c r="K345" s="911" t="s">
        <v>8</v>
      </c>
      <c r="L345" s="207"/>
      <c r="M345" s="611"/>
      <c r="N345" s="911" t="s">
        <v>90</v>
      </c>
      <c r="O345" s="911" t="s">
        <v>6</v>
      </c>
      <c r="P345" s="913"/>
      <c r="Q345" s="914"/>
      <c r="R345" s="914"/>
      <c r="S345" s="915"/>
      <c r="T345" s="919" t="s">
        <v>8</v>
      </c>
      <c r="U345" s="179"/>
      <c r="V345" s="911" t="s">
        <v>13</v>
      </c>
      <c r="W345" s="911"/>
      <c r="X345" s="921" t="s">
        <v>709</v>
      </c>
      <c r="Y345" s="921"/>
      <c r="Z345" s="921"/>
      <c r="AA345" s="921" t="s">
        <v>710</v>
      </c>
      <c r="AB345" s="921"/>
      <c r="AC345" s="921"/>
      <c r="AD345" s="921" t="s">
        <v>711</v>
      </c>
      <c r="AE345" s="921"/>
      <c r="AF345" s="922"/>
    </row>
    <row r="346" spans="2:32" ht="17.25" customHeight="1" thickBot="1">
      <c r="B346" s="930"/>
      <c r="C346" s="931"/>
      <c r="D346" s="932"/>
      <c r="E346" s="912"/>
      <c r="F346" s="912"/>
      <c r="G346" s="936"/>
      <c r="H346" s="937"/>
      <c r="I346" s="937"/>
      <c r="J346" s="938"/>
      <c r="K346" s="912"/>
      <c r="L346" s="208"/>
      <c r="M346" s="612"/>
      <c r="N346" s="912"/>
      <c r="O346" s="912"/>
      <c r="P346" s="916"/>
      <c r="Q346" s="917"/>
      <c r="R346" s="917"/>
      <c r="S346" s="918"/>
      <c r="T346" s="920"/>
      <c r="U346" s="183"/>
      <c r="V346" s="912"/>
      <c r="W346" s="912"/>
      <c r="X346" s="184" t="s">
        <v>93</v>
      </c>
      <c r="Y346" s="181" t="s">
        <v>94</v>
      </c>
      <c r="Z346" s="181" t="s">
        <v>95</v>
      </c>
      <c r="AA346" s="184" t="s">
        <v>93</v>
      </c>
      <c r="AB346" s="181" t="s">
        <v>94</v>
      </c>
      <c r="AC346" s="181" t="s">
        <v>95</v>
      </c>
      <c r="AD346" s="184" t="s">
        <v>93</v>
      </c>
      <c r="AE346" s="181" t="s">
        <v>94</v>
      </c>
      <c r="AF346" s="185" t="s">
        <v>95</v>
      </c>
    </row>
    <row r="347" spans="2:32" ht="17.25" customHeight="1">
      <c r="B347" s="180">
        <v>0</v>
      </c>
      <c r="C347" s="927" t="s">
        <v>60</v>
      </c>
      <c r="D347" s="901" t="s">
        <v>1406</v>
      </c>
      <c r="E347" s="186" t="s">
        <v>10</v>
      </c>
      <c r="F347" s="187" t="s">
        <v>36</v>
      </c>
      <c r="G347" s="358" t="s">
        <v>239</v>
      </c>
      <c r="H347" s="244"/>
      <c r="I347" s="244"/>
      <c r="J347" s="245"/>
      <c r="K347" s="182" t="s">
        <v>1513</v>
      </c>
      <c r="L347" s="188"/>
      <c r="M347" s="182"/>
      <c r="N347" s="190" t="s">
        <v>11</v>
      </c>
      <c r="O347" s="195" t="s">
        <v>37</v>
      </c>
      <c r="P347" s="262"/>
      <c r="Q347" s="263"/>
      <c r="R347" s="263"/>
      <c r="S347" s="264"/>
      <c r="T347" s="190"/>
      <c r="U347" s="191"/>
      <c r="V347" s="909"/>
      <c r="W347" s="909"/>
      <c r="X347" s="187"/>
      <c r="Y347" s="182"/>
      <c r="Z347" s="182"/>
      <c r="AA347" s="182"/>
      <c r="AB347" s="182"/>
      <c r="AC347" s="210"/>
      <c r="AD347" s="182"/>
      <c r="AE347" s="182"/>
      <c r="AF347" s="211"/>
    </row>
    <row r="348" spans="2:32" ht="17.25" customHeight="1">
      <c r="B348" s="180">
        <v>1</v>
      </c>
      <c r="C348" s="811"/>
      <c r="D348" s="765"/>
      <c r="E348" s="186" t="s">
        <v>10</v>
      </c>
      <c r="F348" s="187" t="str">
        <f t="shared" ref="F348:F411" si="13">LEFT(F347,1)&amp;DEC2HEX(HEX2DEC(MID(F347,2,LENB(F347)-1))+1,LENB(F347)-1)</f>
        <v>IB21101</v>
      </c>
      <c r="G348" s="243" t="s">
        <v>240</v>
      </c>
      <c r="H348" s="244"/>
      <c r="I348" s="244"/>
      <c r="J348" s="245"/>
      <c r="K348" s="182" t="s">
        <v>1513</v>
      </c>
      <c r="L348" s="188"/>
      <c r="M348" s="182"/>
      <c r="N348" s="190" t="s">
        <v>11</v>
      </c>
      <c r="O348" s="195" t="str">
        <f>LEFT(O347,1)&amp;DEC2HEX(HEX2DEC(MID(O347,2,LENB(O347)-1))+1,LENB(O347)-1)</f>
        <v>OB21101</v>
      </c>
      <c r="P348" s="262"/>
      <c r="Q348" s="263"/>
      <c r="R348" s="263"/>
      <c r="S348" s="264"/>
      <c r="T348" s="190"/>
      <c r="U348" s="191"/>
      <c r="V348" s="909"/>
      <c r="W348" s="909"/>
      <c r="X348" s="187"/>
      <c r="Y348" s="182"/>
      <c r="Z348" s="182"/>
      <c r="AA348" s="182"/>
      <c r="AB348" s="182"/>
      <c r="AC348" s="210"/>
      <c r="AD348" s="182"/>
      <c r="AE348" s="182"/>
      <c r="AF348" s="211"/>
    </row>
    <row r="349" spans="2:32" ht="17.25" customHeight="1">
      <c r="B349" s="180">
        <v>2</v>
      </c>
      <c r="C349" s="811"/>
      <c r="D349" s="765"/>
      <c r="E349" s="186" t="s">
        <v>10</v>
      </c>
      <c r="F349" s="187" t="str">
        <f t="shared" si="13"/>
        <v>IB21102</v>
      </c>
      <c r="G349" s="537" t="s">
        <v>241</v>
      </c>
      <c r="H349" s="244"/>
      <c r="I349" s="244"/>
      <c r="J349" s="245"/>
      <c r="K349" s="182" t="s">
        <v>1513</v>
      </c>
      <c r="L349" s="188"/>
      <c r="M349" s="182"/>
      <c r="N349" s="190" t="s">
        <v>11</v>
      </c>
      <c r="O349" s="195" t="str">
        <f t="shared" ref="O349:O395" si="14">LEFT(O348,1)&amp;DEC2HEX(HEX2DEC(MID(O348,2,LENB(O348)-1))+1,LENB(O348)-1)</f>
        <v>OB21102</v>
      </c>
      <c r="P349" s="262"/>
      <c r="Q349" s="263"/>
      <c r="R349" s="263"/>
      <c r="S349" s="264"/>
      <c r="T349" s="190"/>
      <c r="U349" s="191"/>
      <c r="V349" s="909"/>
      <c r="W349" s="909"/>
      <c r="X349" s="187"/>
      <c r="Y349" s="182"/>
      <c r="Z349" s="182"/>
      <c r="AA349" s="182"/>
      <c r="AB349" s="182"/>
      <c r="AC349" s="210"/>
      <c r="AD349" s="182"/>
      <c r="AE349" s="182"/>
      <c r="AF349" s="211"/>
    </row>
    <row r="350" spans="2:32" ht="17.25" customHeight="1">
      <c r="B350" s="180">
        <v>3</v>
      </c>
      <c r="C350" s="811"/>
      <c r="D350" s="765"/>
      <c r="E350" s="186" t="s">
        <v>10</v>
      </c>
      <c r="F350" s="187" t="str">
        <f t="shared" si="13"/>
        <v>IB21103</v>
      </c>
      <c r="G350" s="397" t="s">
        <v>1460</v>
      </c>
      <c r="H350" s="244"/>
      <c r="I350" s="244"/>
      <c r="J350" s="245"/>
      <c r="K350" s="182" t="s">
        <v>1513</v>
      </c>
      <c r="L350" s="188"/>
      <c r="M350" s="182"/>
      <c r="N350" s="190" t="s">
        <v>11</v>
      </c>
      <c r="O350" s="195" t="str">
        <f t="shared" si="14"/>
        <v>OB21103</v>
      </c>
      <c r="P350" s="262"/>
      <c r="Q350" s="263"/>
      <c r="R350" s="263"/>
      <c r="S350" s="264"/>
      <c r="T350" s="190"/>
      <c r="U350" s="191"/>
      <c r="V350" s="909"/>
      <c r="W350" s="909"/>
      <c r="X350" s="187"/>
      <c r="Y350" s="182"/>
      <c r="Z350" s="182"/>
      <c r="AA350" s="182"/>
      <c r="AB350" s="182"/>
      <c r="AC350" s="210"/>
      <c r="AD350" s="182"/>
      <c r="AE350" s="182"/>
      <c r="AF350" s="211"/>
    </row>
    <row r="351" spans="2:32" ht="17.25" customHeight="1">
      <c r="B351" s="180">
        <v>4</v>
      </c>
      <c r="C351" s="811"/>
      <c r="D351" s="765"/>
      <c r="E351" s="186" t="s">
        <v>10</v>
      </c>
      <c r="F351" s="187" t="str">
        <f t="shared" si="13"/>
        <v>IB21104</v>
      </c>
      <c r="G351" s="243" t="s">
        <v>1461</v>
      </c>
      <c r="H351" s="244"/>
      <c r="I351" s="244"/>
      <c r="J351" s="245"/>
      <c r="K351" s="182" t="s">
        <v>1513</v>
      </c>
      <c r="L351" s="212"/>
      <c r="M351" s="639"/>
      <c r="N351" s="190" t="s">
        <v>11</v>
      </c>
      <c r="O351" s="195" t="str">
        <f t="shared" si="14"/>
        <v>OB21104</v>
      </c>
      <c r="P351" s="262"/>
      <c r="Q351" s="263"/>
      <c r="R351" s="263"/>
      <c r="S351" s="264"/>
      <c r="T351" s="190"/>
      <c r="U351" s="191"/>
      <c r="V351" s="909"/>
      <c r="W351" s="909"/>
      <c r="X351" s="187"/>
      <c r="Y351" s="182"/>
      <c r="Z351" s="182"/>
      <c r="AA351" s="182"/>
      <c r="AB351" s="182"/>
      <c r="AC351" s="210"/>
      <c r="AD351" s="182"/>
      <c r="AE351" s="182"/>
      <c r="AF351" s="211"/>
    </row>
    <row r="352" spans="2:32" ht="17.25" customHeight="1">
      <c r="B352" s="180">
        <v>5</v>
      </c>
      <c r="C352" s="811"/>
      <c r="D352" s="765"/>
      <c r="E352" s="186" t="s">
        <v>10</v>
      </c>
      <c r="F352" s="187" t="str">
        <f t="shared" si="13"/>
        <v>IB21105</v>
      </c>
      <c r="G352" s="243" t="s">
        <v>1462</v>
      </c>
      <c r="H352" s="244"/>
      <c r="I352" s="244"/>
      <c r="J352" s="245"/>
      <c r="K352" s="182" t="s">
        <v>1513</v>
      </c>
      <c r="L352" s="212"/>
      <c r="M352" s="639"/>
      <c r="N352" s="190" t="s">
        <v>11</v>
      </c>
      <c r="O352" s="195" t="str">
        <f t="shared" si="14"/>
        <v>OB21105</v>
      </c>
      <c r="P352" s="262"/>
      <c r="Q352" s="263"/>
      <c r="R352" s="263"/>
      <c r="S352" s="264"/>
      <c r="T352" s="190"/>
      <c r="U352" s="191"/>
      <c r="V352" s="909"/>
      <c r="W352" s="909"/>
      <c r="X352" s="187"/>
      <c r="Y352" s="182"/>
      <c r="Z352" s="182"/>
      <c r="AA352" s="182"/>
      <c r="AB352" s="182"/>
      <c r="AC352" s="210"/>
      <c r="AD352" s="182"/>
      <c r="AE352" s="182"/>
      <c r="AF352" s="211"/>
    </row>
    <row r="353" spans="2:32" ht="17.25" customHeight="1">
      <c r="B353" s="180">
        <v>6</v>
      </c>
      <c r="C353" s="811"/>
      <c r="D353" s="765"/>
      <c r="E353" s="186" t="s">
        <v>10</v>
      </c>
      <c r="F353" s="187" t="str">
        <f t="shared" si="13"/>
        <v>IB21106</v>
      </c>
      <c r="G353" s="243" t="s">
        <v>1463</v>
      </c>
      <c r="H353" s="244"/>
      <c r="I353" s="244"/>
      <c r="J353" s="245"/>
      <c r="K353" s="182" t="s">
        <v>1513</v>
      </c>
      <c r="L353" s="183"/>
      <c r="M353" s="642"/>
      <c r="N353" s="190" t="s">
        <v>11</v>
      </c>
      <c r="O353" s="195" t="str">
        <f t="shared" si="14"/>
        <v>OB21106</v>
      </c>
      <c r="P353" s="262"/>
      <c r="Q353" s="263"/>
      <c r="R353" s="263"/>
      <c r="S353" s="264"/>
      <c r="T353" s="190"/>
      <c r="U353" s="191"/>
      <c r="V353" s="909"/>
      <c r="W353" s="909"/>
      <c r="X353" s="187"/>
      <c r="Y353" s="182"/>
      <c r="Z353" s="182"/>
      <c r="AA353" s="182"/>
      <c r="AB353" s="182"/>
      <c r="AC353" s="210"/>
      <c r="AD353" s="182"/>
      <c r="AE353" s="182"/>
      <c r="AF353" s="211"/>
    </row>
    <row r="354" spans="2:32" ht="17.25" customHeight="1">
      <c r="B354" s="180">
        <v>7</v>
      </c>
      <c r="C354" s="811"/>
      <c r="D354" s="765"/>
      <c r="E354" s="186" t="s">
        <v>10</v>
      </c>
      <c r="F354" s="187" t="str">
        <f t="shared" si="13"/>
        <v>IB21107</v>
      </c>
      <c r="G354" s="243" t="s">
        <v>1464</v>
      </c>
      <c r="H354" s="244"/>
      <c r="I354" s="244"/>
      <c r="J354" s="245"/>
      <c r="K354" s="182" t="s">
        <v>1513</v>
      </c>
      <c r="L354" s="183"/>
      <c r="M354" s="642"/>
      <c r="N354" s="190" t="s">
        <v>11</v>
      </c>
      <c r="O354" s="195" t="str">
        <f t="shared" si="14"/>
        <v>OB21107</v>
      </c>
      <c r="P354" s="262"/>
      <c r="Q354" s="263"/>
      <c r="R354" s="263"/>
      <c r="S354" s="264"/>
      <c r="T354" s="190"/>
      <c r="U354" s="191"/>
      <c r="V354" s="909"/>
      <c r="W354" s="909"/>
      <c r="X354" s="187"/>
      <c r="Y354" s="182"/>
      <c r="Z354" s="182"/>
      <c r="AA354" s="182"/>
      <c r="AB354" s="182"/>
      <c r="AC354" s="210"/>
      <c r="AD354" s="182"/>
      <c r="AE354" s="182"/>
      <c r="AF354" s="211"/>
    </row>
    <row r="355" spans="2:32" ht="17.25" customHeight="1">
      <c r="B355" s="180">
        <v>8</v>
      </c>
      <c r="C355" s="811"/>
      <c r="D355" s="765"/>
      <c r="E355" s="186" t="s">
        <v>10</v>
      </c>
      <c r="F355" s="187" t="str">
        <f t="shared" si="13"/>
        <v>IB21108</v>
      </c>
      <c r="G355" s="243" t="s">
        <v>1465</v>
      </c>
      <c r="H355" s="244"/>
      <c r="I355" s="244"/>
      <c r="J355" s="245"/>
      <c r="K355" s="182" t="s">
        <v>1513</v>
      </c>
      <c r="L355" s="183"/>
      <c r="M355" s="642"/>
      <c r="N355" s="190" t="s">
        <v>11</v>
      </c>
      <c r="O355" s="195" t="str">
        <f t="shared" si="14"/>
        <v>OB21108</v>
      </c>
      <c r="P355" s="262"/>
      <c r="Q355" s="263"/>
      <c r="R355" s="263"/>
      <c r="S355" s="264"/>
      <c r="T355" s="190"/>
      <c r="U355" s="191"/>
      <c r="V355" s="909"/>
      <c r="W355" s="909"/>
      <c r="X355" s="187"/>
      <c r="Y355" s="182"/>
      <c r="Z355" s="182"/>
      <c r="AA355" s="182"/>
      <c r="AB355" s="182"/>
      <c r="AC355" s="210"/>
      <c r="AD355" s="182"/>
      <c r="AE355" s="182"/>
      <c r="AF355" s="211"/>
    </row>
    <row r="356" spans="2:32" ht="17.25" customHeight="1">
      <c r="B356" s="180">
        <v>9</v>
      </c>
      <c r="C356" s="811"/>
      <c r="D356" s="765"/>
      <c r="E356" s="186" t="s">
        <v>10</v>
      </c>
      <c r="F356" s="187" t="str">
        <f t="shared" si="13"/>
        <v>IB21109</v>
      </c>
      <c r="G356" s="243" t="s">
        <v>1466</v>
      </c>
      <c r="H356" s="244"/>
      <c r="I356" s="244"/>
      <c r="J356" s="245"/>
      <c r="K356" s="182" t="s">
        <v>1513</v>
      </c>
      <c r="L356" s="188"/>
      <c r="M356" s="182"/>
      <c r="N356" s="190" t="s">
        <v>11</v>
      </c>
      <c r="O356" s="195" t="str">
        <f t="shared" si="14"/>
        <v>OB21109</v>
      </c>
      <c r="P356" s="262"/>
      <c r="Q356" s="263"/>
      <c r="R356" s="263"/>
      <c r="S356" s="264"/>
      <c r="T356" s="190"/>
      <c r="U356" s="191"/>
      <c r="V356" s="909"/>
      <c r="W356" s="909"/>
      <c r="X356" s="187"/>
      <c r="Y356" s="182"/>
      <c r="Z356" s="182"/>
      <c r="AA356" s="182"/>
      <c r="AB356" s="182"/>
      <c r="AC356" s="210"/>
      <c r="AD356" s="182"/>
      <c r="AE356" s="182"/>
      <c r="AF356" s="211"/>
    </row>
    <row r="357" spans="2:32" ht="17.25" customHeight="1">
      <c r="B357" s="180">
        <v>10</v>
      </c>
      <c r="C357" s="811"/>
      <c r="D357" s="765"/>
      <c r="E357" s="186" t="s">
        <v>10</v>
      </c>
      <c r="F357" s="187" t="str">
        <f t="shared" si="13"/>
        <v>IB2110A</v>
      </c>
      <c r="G357" s="246"/>
      <c r="H357" s="244"/>
      <c r="I357" s="244"/>
      <c r="J357" s="245"/>
      <c r="K357" s="182"/>
      <c r="L357" s="188"/>
      <c r="M357" s="182"/>
      <c r="N357" s="190" t="s">
        <v>11</v>
      </c>
      <c r="O357" s="195" t="str">
        <f t="shared" si="14"/>
        <v>OB2110A</v>
      </c>
      <c r="P357" s="262"/>
      <c r="Q357" s="263"/>
      <c r="R357" s="263"/>
      <c r="S357" s="264"/>
      <c r="T357" s="190"/>
      <c r="U357" s="191"/>
      <c r="V357" s="909"/>
      <c r="W357" s="909"/>
      <c r="X357" s="187"/>
      <c r="Y357" s="182"/>
      <c r="Z357" s="182"/>
      <c r="AA357" s="182"/>
      <c r="AB357" s="182"/>
      <c r="AC357" s="210"/>
      <c r="AD357" s="182"/>
      <c r="AE357" s="182"/>
      <c r="AF357" s="211"/>
    </row>
    <row r="358" spans="2:32" ht="17.25" customHeight="1">
      <c r="B358" s="180">
        <v>11</v>
      </c>
      <c r="C358" s="811"/>
      <c r="D358" s="765"/>
      <c r="E358" s="186" t="s">
        <v>10</v>
      </c>
      <c r="F358" s="187" t="str">
        <f t="shared" si="13"/>
        <v>IB2110B</v>
      </c>
      <c r="G358" s="243" t="s">
        <v>1467</v>
      </c>
      <c r="H358" s="244"/>
      <c r="I358" s="244"/>
      <c r="J358" s="245"/>
      <c r="K358" s="182" t="s">
        <v>1513</v>
      </c>
      <c r="L358" s="188"/>
      <c r="M358" s="182"/>
      <c r="N358" s="190" t="s">
        <v>11</v>
      </c>
      <c r="O358" s="195" t="str">
        <f t="shared" si="14"/>
        <v>OB2110B</v>
      </c>
      <c r="P358" s="262"/>
      <c r="Q358" s="263"/>
      <c r="R358" s="263"/>
      <c r="S358" s="264"/>
      <c r="T358" s="190"/>
      <c r="U358" s="191"/>
      <c r="V358" s="909"/>
      <c r="W358" s="909"/>
      <c r="X358" s="187"/>
      <c r="Y358" s="182"/>
      <c r="Z358" s="182"/>
      <c r="AA358" s="182"/>
      <c r="AB358" s="182"/>
      <c r="AC358" s="210"/>
      <c r="AD358" s="182"/>
      <c r="AE358" s="182"/>
      <c r="AF358" s="211"/>
    </row>
    <row r="359" spans="2:32" ht="17.25" customHeight="1">
      <c r="B359" s="180">
        <v>12</v>
      </c>
      <c r="C359" s="811"/>
      <c r="D359" s="765"/>
      <c r="E359" s="186" t="s">
        <v>10</v>
      </c>
      <c r="F359" s="187" t="str">
        <f t="shared" si="13"/>
        <v>IB2110C</v>
      </c>
      <c r="G359" s="243" t="s">
        <v>132</v>
      </c>
      <c r="H359" s="244"/>
      <c r="I359" s="244"/>
      <c r="J359" s="245"/>
      <c r="K359" s="182" t="s">
        <v>1513</v>
      </c>
      <c r="L359" s="188"/>
      <c r="M359" s="182"/>
      <c r="N359" s="190" t="s">
        <v>11</v>
      </c>
      <c r="O359" s="195" t="str">
        <f t="shared" si="14"/>
        <v>OB2110C</v>
      </c>
      <c r="P359" s="262"/>
      <c r="Q359" s="263"/>
      <c r="R359" s="263"/>
      <c r="S359" s="264"/>
      <c r="T359" s="190"/>
      <c r="U359" s="191"/>
      <c r="V359" s="909"/>
      <c r="W359" s="909"/>
      <c r="X359" s="187"/>
      <c r="Y359" s="182"/>
      <c r="Z359" s="182"/>
      <c r="AA359" s="182"/>
      <c r="AB359" s="182"/>
      <c r="AC359" s="210"/>
      <c r="AD359" s="182"/>
      <c r="AE359" s="182"/>
      <c r="AF359" s="211"/>
    </row>
    <row r="360" spans="2:32" ht="17.25" customHeight="1">
      <c r="B360" s="180">
        <v>13</v>
      </c>
      <c r="C360" s="811"/>
      <c r="D360" s="765"/>
      <c r="E360" s="186" t="s">
        <v>10</v>
      </c>
      <c r="F360" s="187" t="str">
        <f t="shared" si="13"/>
        <v>IB2110D</v>
      </c>
      <c r="G360" s="243" t="s">
        <v>133</v>
      </c>
      <c r="H360" s="244"/>
      <c r="I360" s="244"/>
      <c r="J360" s="245"/>
      <c r="K360" s="182" t="s">
        <v>1513</v>
      </c>
      <c r="L360" s="188"/>
      <c r="M360" s="182"/>
      <c r="N360" s="190" t="s">
        <v>11</v>
      </c>
      <c r="O360" s="195" t="str">
        <f t="shared" si="14"/>
        <v>OB2110D</v>
      </c>
      <c r="P360" s="262"/>
      <c r="Q360" s="263"/>
      <c r="R360" s="263"/>
      <c r="S360" s="264"/>
      <c r="T360" s="190"/>
      <c r="U360" s="191"/>
      <c r="V360" s="909"/>
      <c r="W360" s="909"/>
      <c r="X360" s="187"/>
      <c r="Y360" s="182"/>
      <c r="Z360" s="182"/>
      <c r="AA360" s="182"/>
      <c r="AB360" s="182"/>
      <c r="AC360" s="210"/>
      <c r="AD360" s="182"/>
      <c r="AE360" s="182"/>
      <c r="AF360" s="211"/>
    </row>
    <row r="361" spans="2:32" ht="17.25" customHeight="1">
      <c r="B361" s="180">
        <v>14</v>
      </c>
      <c r="C361" s="811"/>
      <c r="D361" s="765"/>
      <c r="E361" s="186" t="s">
        <v>10</v>
      </c>
      <c r="F361" s="187" t="str">
        <f t="shared" si="13"/>
        <v>IB2110E</v>
      </c>
      <c r="G361" s="243" t="s">
        <v>1487</v>
      </c>
      <c r="H361" s="244"/>
      <c r="I361" s="244"/>
      <c r="J361" s="245"/>
      <c r="K361" s="182" t="s">
        <v>1516</v>
      </c>
      <c r="L361" s="188" t="s">
        <v>1513</v>
      </c>
      <c r="M361" s="182"/>
      <c r="N361" s="190" t="s">
        <v>11</v>
      </c>
      <c r="O361" s="195" t="str">
        <f t="shared" si="14"/>
        <v>OB2110E</v>
      </c>
      <c r="P361" s="262"/>
      <c r="Q361" s="263"/>
      <c r="R361" s="263"/>
      <c r="S361" s="264"/>
      <c r="T361" s="190"/>
      <c r="U361" s="191"/>
      <c r="V361" s="909"/>
      <c r="W361" s="909"/>
      <c r="X361" s="187"/>
      <c r="Y361" s="182"/>
      <c r="Z361" s="182"/>
      <c r="AA361" s="182"/>
      <c r="AB361" s="182"/>
      <c r="AC361" s="210"/>
      <c r="AD361" s="182"/>
      <c r="AE361" s="182"/>
      <c r="AF361" s="211"/>
    </row>
    <row r="362" spans="2:32" ht="17.25" customHeight="1">
      <c r="B362" s="180">
        <v>15</v>
      </c>
      <c r="C362" s="928"/>
      <c r="D362" s="765"/>
      <c r="E362" s="186" t="s">
        <v>10</v>
      </c>
      <c r="F362" s="187" t="str">
        <f t="shared" si="13"/>
        <v>IB2110F</v>
      </c>
      <c r="G362" s="243" t="s">
        <v>1488</v>
      </c>
      <c r="H362" s="244"/>
      <c r="I362" s="244"/>
      <c r="J362" s="245"/>
      <c r="K362" s="182" t="s">
        <v>1516</v>
      </c>
      <c r="L362" s="188" t="s">
        <v>1513</v>
      </c>
      <c r="M362" s="182"/>
      <c r="N362" s="190" t="s">
        <v>11</v>
      </c>
      <c r="O362" s="195" t="str">
        <f t="shared" si="14"/>
        <v>OB2110F</v>
      </c>
      <c r="P362" s="262"/>
      <c r="Q362" s="263"/>
      <c r="R362" s="263"/>
      <c r="S362" s="264"/>
      <c r="T362" s="190"/>
      <c r="U362" s="191"/>
      <c r="V362" s="909"/>
      <c r="W362" s="909"/>
      <c r="X362" s="187"/>
      <c r="Y362" s="182"/>
      <c r="Z362" s="182"/>
      <c r="AA362" s="182"/>
      <c r="AB362" s="182"/>
      <c r="AC362" s="210"/>
      <c r="AD362" s="182"/>
      <c r="AE362" s="182"/>
      <c r="AF362" s="211"/>
    </row>
    <row r="363" spans="2:32" ht="17.25" customHeight="1">
      <c r="B363" s="180">
        <v>16</v>
      </c>
      <c r="C363" s="927" t="s">
        <v>42</v>
      </c>
      <c r="D363" s="901" t="s">
        <v>1406</v>
      </c>
      <c r="E363" s="186" t="s">
        <v>10</v>
      </c>
      <c r="F363" s="187" t="str">
        <f t="shared" si="13"/>
        <v>IB21110</v>
      </c>
      <c r="G363" s="243" t="s">
        <v>1468</v>
      </c>
      <c r="H363" s="244"/>
      <c r="I363" s="244"/>
      <c r="J363" s="245"/>
      <c r="K363" s="182" t="s">
        <v>1513</v>
      </c>
      <c r="L363" s="188"/>
      <c r="M363" s="182"/>
      <c r="N363" s="190" t="s">
        <v>11</v>
      </c>
      <c r="O363" s="195" t="str">
        <f t="shared" si="14"/>
        <v>OB21110</v>
      </c>
      <c r="P363" s="262"/>
      <c r="Q363" s="263"/>
      <c r="R363" s="263"/>
      <c r="S363" s="264"/>
      <c r="T363" s="190"/>
      <c r="U363" s="191"/>
      <c r="V363" s="909"/>
      <c r="W363" s="909"/>
      <c r="X363" s="187"/>
      <c r="Y363" s="182"/>
      <c r="Z363" s="182"/>
      <c r="AA363" s="182"/>
      <c r="AB363" s="182"/>
      <c r="AC363" s="210"/>
      <c r="AD363" s="182"/>
      <c r="AE363" s="182"/>
      <c r="AF363" s="211"/>
    </row>
    <row r="364" spans="2:32" ht="17.25" customHeight="1">
      <c r="B364" s="180">
        <v>17</v>
      </c>
      <c r="C364" s="811"/>
      <c r="D364" s="765"/>
      <c r="E364" s="186" t="s">
        <v>10</v>
      </c>
      <c r="F364" s="187" t="str">
        <f t="shared" si="13"/>
        <v>IB21111</v>
      </c>
      <c r="G364" s="243" t="s">
        <v>1469</v>
      </c>
      <c r="H364" s="244"/>
      <c r="I364" s="244"/>
      <c r="J364" s="245"/>
      <c r="K364" s="182" t="s">
        <v>1513</v>
      </c>
      <c r="L364" s="188"/>
      <c r="M364" s="182"/>
      <c r="N364" s="190" t="s">
        <v>11</v>
      </c>
      <c r="O364" s="195" t="str">
        <f t="shared" si="14"/>
        <v>OB21111</v>
      </c>
      <c r="P364" s="262"/>
      <c r="Q364" s="263"/>
      <c r="R364" s="263"/>
      <c r="S364" s="264"/>
      <c r="T364" s="190"/>
      <c r="U364" s="191"/>
      <c r="V364" s="909"/>
      <c r="W364" s="909"/>
      <c r="X364" s="187"/>
      <c r="Y364" s="182"/>
      <c r="Z364" s="182"/>
      <c r="AA364" s="182"/>
      <c r="AB364" s="182"/>
      <c r="AC364" s="210"/>
      <c r="AD364" s="182"/>
      <c r="AE364" s="182"/>
      <c r="AF364" s="211"/>
    </row>
    <row r="365" spans="2:32" ht="17.25" customHeight="1">
      <c r="B365" s="180">
        <v>18</v>
      </c>
      <c r="C365" s="811"/>
      <c r="D365" s="765"/>
      <c r="E365" s="186" t="s">
        <v>10</v>
      </c>
      <c r="F365" s="187" t="str">
        <f t="shared" si="13"/>
        <v>IB21112</v>
      </c>
      <c r="G365" s="243" t="s">
        <v>1470</v>
      </c>
      <c r="H365" s="244"/>
      <c r="I365" s="244"/>
      <c r="J365" s="245"/>
      <c r="K365" s="182" t="s">
        <v>1513</v>
      </c>
      <c r="L365" s="188"/>
      <c r="M365" s="182"/>
      <c r="N365" s="190" t="s">
        <v>11</v>
      </c>
      <c r="O365" s="195" t="str">
        <f t="shared" si="14"/>
        <v>OB21112</v>
      </c>
      <c r="P365" s="262"/>
      <c r="Q365" s="263"/>
      <c r="R365" s="263"/>
      <c r="S365" s="264"/>
      <c r="T365" s="190"/>
      <c r="U365" s="191"/>
      <c r="V365" s="909"/>
      <c r="W365" s="909"/>
      <c r="X365" s="187"/>
      <c r="Y365" s="182"/>
      <c r="Z365" s="182"/>
      <c r="AA365" s="182"/>
      <c r="AB365" s="182"/>
      <c r="AC365" s="210"/>
      <c r="AD365" s="182"/>
      <c r="AE365" s="182"/>
      <c r="AF365" s="211"/>
    </row>
    <row r="366" spans="2:32" ht="17.25" customHeight="1">
      <c r="B366" s="180">
        <v>19</v>
      </c>
      <c r="C366" s="811"/>
      <c r="D366" s="765"/>
      <c r="E366" s="186" t="s">
        <v>10</v>
      </c>
      <c r="F366" s="187" t="str">
        <f t="shared" si="13"/>
        <v>IB21113</v>
      </c>
      <c r="G366" s="243"/>
      <c r="H366" s="244"/>
      <c r="I366" s="244"/>
      <c r="J366" s="245"/>
      <c r="K366" s="182"/>
      <c r="L366" s="188"/>
      <c r="M366" s="182"/>
      <c r="N366" s="190" t="s">
        <v>11</v>
      </c>
      <c r="O366" s="195" t="str">
        <f t="shared" si="14"/>
        <v>OB21113</v>
      </c>
      <c r="P366" s="262"/>
      <c r="Q366" s="263"/>
      <c r="R366" s="263"/>
      <c r="S366" s="264"/>
      <c r="T366" s="190"/>
      <c r="U366" s="191"/>
      <c r="V366" s="909"/>
      <c r="W366" s="909"/>
      <c r="X366" s="187"/>
      <c r="Y366" s="182"/>
      <c r="Z366" s="182"/>
      <c r="AA366" s="182"/>
      <c r="AB366" s="182"/>
      <c r="AC366" s="210"/>
      <c r="AD366" s="182"/>
      <c r="AE366" s="182"/>
      <c r="AF366" s="211"/>
    </row>
    <row r="367" spans="2:32" ht="17.25" customHeight="1">
      <c r="B367" s="180">
        <v>20</v>
      </c>
      <c r="C367" s="811"/>
      <c r="D367" s="765"/>
      <c r="E367" s="186" t="s">
        <v>10</v>
      </c>
      <c r="F367" s="187" t="str">
        <f t="shared" si="13"/>
        <v>IB21114</v>
      </c>
      <c r="G367" s="243"/>
      <c r="H367" s="244"/>
      <c r="I367" s="244"/>
      <c r="J367" s="245"/>
      <c r="K367" s="182"/>
      <c r="L367" s="188"/>
      <c r="M367" s="182"/>
      <c r="N367" s="190" t="s">
        <v>11</v>
      </c>
      <c r="O367" s="195" t="str">
        <f t="shared" si="14"/>
        <v>OB21114</v>
      </c>
      <c r="P367" s="262"/>
      <c r="Q367" s="263"/>
      <c r="R367" s="263"/>
      <c r="S367" s="264"/>
      <c r="T367" s="190"/>
      <c r="U367" s="191"/>
      <c r="V367" s="909"/>
      <c r="W367" s="909"/>
      <c r="X367" s="187"/>
      <c r="Y367" s="182"/>
      <c r="Z367" s="182"/>
      <c r="AA367" s="182"/>
      <c r="AB367" s="182"/>
      <c r="AC367" s="210"/>
      <c r="AD367" s="182"/>
      <c r="AE367" s="182"/>
      <c r="AF367" s="211"/>
    </row>
    <row r="368" spans="2:32" ht="17.25" customHeight="1">
      <c r="B368" s="180">
        <v>21</v>
      </c>
      <c r="C368" s="811"/>
      <c r="D368" s="765"/>
      <c r="E368" s="186" t="s">
        <v>10</v>
      </c>
      <c r="F368" s="187" t="str">
        <f t="shared" si="13"/>
        <v>IB21115</v>
      </c>
      <c r="G368" s="243"/>
      <c r="H368" s="244"/>
      <c r="I368" s="244"/>
      <c r="J368" s="245"/>
      <c r="K368" s="182"/>
      <c r="L368" s="188"/>
      <c r="M368" s="182"/>
      <c r="N368" s="190" t="s">
        <v>11</v>
      </c>
      <c r="O368" s="195" t="str">
        <f t="shared" si="14"/>
        <v>OB21115</v>
      </c>
      <c r="P368" s="262"/>
      <c r="Q368" s="263"/>
      <c r="R368" s="263"/>
      <c r="S368" s="264"/>
      <c r="T368" s="190"/>
      <c r="U368" s="191"/>
      <c r="V368" s="909"/>
      <c r="W368" s="909"/>
      <c r="X368" s="187"/>
      <c r="Y368" s="182"/>
      <c r="Z368" s="182"/>
      <c r="AA368" s="182"/>
      <c r="AB368" s="182"/>
      <c r="AC368" s="210"/>
      <c r="AD368" s="182"/>
      <c r="AE368" s="182"/>
      <c r="AF368" s="211"/>
    </row>
    <row r="369" spans="2:32" ht="17.25" customHeight="1">
      <c r="B369" s="180">
        <v>22</v>
      </c>
      <c r="C369" s="811"/>
      <c r="D369" s="765"/>
      <c r="E369" s="186" t="s">
        <v>10</v>
      </c>
      <c r="F369" s="187" t="str">
        <f t="shared" si="13"/>
        <v>IB21116</v>
      </c>
      <c r="G369" s="243"/>
      <c r="H369" s="244"/>
      <c r="I369" s="244"/>
      <c r="J369" s="245"/>
      <c r="K369" s="182"/>
      <c r="L369" s="183"/>
      <c r="M369" s="642"/>
      <c r="N369" s="190" t="s">
        <v>11</v>
      </c>
      <c r="O369" s="195" t="str">
        <f t="shared" si="14"/>
        <v>OB21116</v>
      </c>
      <c r="P369" s="262"/>
      <c r="Q369" s="263"/>
      <c r="R369" s="263"/>
      <c r="S369" s="264"/>
      <c r="T369" s="190"/>
      <c r="U369" s="191"/>
      <c r="V369" s="909"/>
      <c r="W369" s="909"/>
      <c r="X369" s="187"/>
      <c r="Y369" s="182"/>
      <c r="Z369" s="182"/>
      <c r="AA369" s="182"/>
      <c r="AB369" s="182"/>
      <c r="AC369" s="210"/>
      <c r="AD369" s="182"/>
      <c r="AE369" s="182"/>
      <c r="AF369" s="211"/>
    </row>
    <row r="370" spans="2:32" ht="17.25" customHeight="1">
      <c r="B370" s="180">
        <v>23</v>
      </c>
      <c r="C370" s="811"/>
      <c r="D370" s="765"/>
      <c r="E370" s="186" t="s">
        <v>10</v>
      </c>
      <c r="F370" s="187" t="str">
        <f t="shared" si="13"/>
        <v>IB21117</v>
      </c>
      <c r="G370" s="243"/>
      <c r="H370" s="247"/>
      <c r="I370" s="247"/>
      <c r="J370" s="248"/>
      <c r="K370" s="182"/>
      <c r="L370" s="183"/>
      <c r="M370" s="642"/>
      <c r="N370" s="190" t="s">
        <v>11</v>
      </c>
      <c r="O370" s="195" t="str">
        <f t="shared" si="14"/>
        <v>OB21117</v>
      </c>
      <c r="P370" s="262"/>
      <c r="Q370" s="263"/>
      <c r="R370" s="263"/>
      <c r="S370" s="264"/>
      <c r="T370" s="190"/>
      <c r="U370" s="191"/>
      <c r="V370" s="909"/>
      <c r="W370" s="909"/>
      <c r="X370" s="187"/>
      <c r="Y370" s="182"/>
      <c r="Z370" s="182"/>
      <c r="AA370" s="182"/>
      <c r="AB370" s="182"/>
      <c r="AC370" s="210"/>
      <c r="AD370" s="182"/>
      <c r="AE370" s="182"/>
      <c r="AF370" s="211"/>
    </row>
    <row r="371" spans="2:32" ht="17.25" customHeight="1">
      <c r="B371" s="180">
        <v>24</v>
      </c>
      <c r="C371" s="811"/>
      <c r="D371" s="765"/>
      <c r="E371" s="186" t="s">
        <v>10</v>
      </c>
      <c r="F371" s="187" t="str">
        <f t="shared" si="13"/>
        <v>IB21118</v>
      </c>
      <c r="G371" s="243"/>
      <c r="H371" s="244"/>
      <c r="I371" s="244"/>
      <c r="J371" s="245"/>
      <c r="K371" s="182"/>
      <c r="L371" s="183"/>
      <c r="M371" s="642"/>
      <c r="N371" s="190" t="s">
        <v>11</v>
      </c>
      <c r="O371" s="195" t="str">
        <f t="shared" si="14"/>
        <v>OB21118</v>
      </c>
      <c r="P371" s="262"/>
      <c r="Q371" s="263"/>
      <c r="R371" s="263"/>
      <c r="S371" s="264"/>
      <c r="T371" s="190"/>
      <c r="U371" s="191"/>
      <c r="V371" s="909"/>
      <c r="W371" s="909"/>
      <c r="X371" s="187"/>
      <c r="Y371" s="182"/>
      <c r="Z371" s="182"/>
      <c r="AA371" s="182"/>
      <c r="AB371" s="182"/>
      <c r="AC371" s="210"/>
      <c r="AD371" s="182"/>
      <c r="AE371" s="182"/>
      <c r="AF371" s="211"/>
    </row>
    <row r="372" spans="2:32" ht="17.25" customHeight="1">
      <c r="B372" s="180">
        <v>25</v>
      </c>
      <c r="C372" s="811"/>
      <c r="D372" s="765"/>
      <c r="E372" s="186" t="s">
        <v>10</v>
      </c>
      <c r="F372" s="187" t="str">
        <f t="shared" si="13"/>
        <v>IB21119</v>
      </c>
      <c r="G372" s="243" t="s">
        <v>1471</v>
      </c>
      <c r="H372" s="244"/>
      <c r="I372" s="244"/>
      <c r="J372" s="245"/>
      <c r="K372" s="182" t="s">
        <v>1513</v>
      </c>
      <c r="L372" s="188"/>
      <c r="M372" s="182"/>
      <c r="N372" s="190" t="s">
        <v>11</v>
      </c>
      <c r="O372" s="195" t="str">
        <f t="shared" si="14"/>
        <v>OB21119</v>
      </c>
      <c r="P372" s="262"/>
      <c r="Q372" s="263"/>
      <c r="R372" s="263"/>
      <c r="S372" s="264"/>
      <c r="T372" s="190"/>
      <c r="U372" s="191"/>
      <c r="V372" s="909"/>
      <c r="W372" s="909"/>
      <c r="X372" s="187"/>
      <c r="Y372" s="182"/>
      <c r="Z372" s="182"/>
      <c r="AA372" s="182"/>
      <c r="AB372" s="182"/>
      <c r="AC372" s="210"/>
      <c r="AD372" s="182"/>
      <c r="AE372" s="182"/>
      <c r="AF372" s="211"/>
    </row>
    <row r="373" spans="2:32" ht="17.25" customHeight="1">
      <c r="B373" s="180">
        <v>26</v>
      </c>
      <c r="C373" s="811"/>
      <c r="D373" s="765"/>
      <c r="E373" s="186" t="s">
        <v>10</v>
      </c>
      <c r="F373" s="187" t="str">
        <f t="shared" si="13"/>
        <v>IB2111A</v>
      </c>
      <c r="G373" s="246"/>
      <c r="H373" s="244"/>
      <c r="I373" s="244"/>
      <c r="J373" s="245"/>
      <c r="K373" s="182"/>
      <c r="L373" s="212"/>
      <c r="M373" s="639"/>
      <c r="N373" s="190" t="s">
        <v>11</v>
      </c>
      <c r="O373" s="195" t="str">
        <f t="shared" si="14"/>
        <v>OB2111A</v>
      </c>
      <c r="P373" s="262"/>
      <c r="Q373" s="263"/>
      <c r="R373" s="263"/>
      <c r="S373" s="264"/>
      <c r="T373" s="190"/>
      <c r="U373" s="191"/>
      <c r="V373" s="909"/>
      <c r="W373" s="909"/>
      <c r="X373" s="187"/>
      <c r="Y373" s="182"/>
      <c r="Z373" s="182"/>
      <c r="AA373" s="182"/>
      <c r="AB373" s="182"/>
      <c r="AC373" s="210"/>
      <c r="AD373" s="182"/>
      <c r="AE373" s="182"/>
      <c r="AF373" s="211"/>
    </row>
    <row r="374" spans="2:32" ht="17.25" customHeight="1">
      <c r="B374" s="180">
        <v>27</v>
      </c>
      <c r="C374" s="811"/>
      <c r="D374" s="765"/>
      <c r="E374" s="186" t="s">
        <v>10</v>
      </c>
      <c r="F374" s="187" t="str">
        <f t="shared" si="13"/>
        <v>IB2111B</v>
      </c>
      <c r="G374" s="243" t="s">
        <v>1472</v>
      </c>
      <c r="H374" s="244"/>
      <c r="I374" s="244"/>
      <c r="J374" s="245"/>
      <c r="K374" s="182" t="s">
        <v>1513</v>
      </c>
      <c r="L374" s="212"/>
      <c r="M374" s="639"/>
      <c r="N374" s="190" t="s">
        <v>11</v>
      </c>
      <c r="O374" s="195" t="str">
        <f t="shared" si="14"/>
        <v>OB2111B</v>
      </c>
      <c r="P374" s="262"/>
      <c r="Q374" s="263"/>
      <c r="R374" s="263"/>
      <c r="S374" s="264"/>
      <c r="T374" s="190"/>
      <c r="U374" s="191"/>
      <c r="V374" s="909"/>
      <c r="W374" s="909"/>
      <c r="X374" s="187"/>
      <c r="Y374" s="182"/>
      <c r="Z374" s="182"/>
      <c r="AA374" s="182"/>
      <c r="AB374" s="182"/>
      <c r="AC374" s="210"/>
      <c r="AD374" s="182"/>
      <c r="AE374" s="182"/>
      <c r="AF374" s="211"/>
    </row>
    <row r="375" spans="2:32" ht="17.25" customHeight="1">
      <c r="B375" s="180">
        <v>28</v>
      </c>
      <c r="C375" s="811"/>
      <c r="D375" s="765"/>
      <c r="E375" s="186" t="s">
        <v>10</v>
      </c>
      <c r="F375" s="187" t="str">
        <f t="shared" si="13"/>
        <v>IB2111C</v>
      </c>
      <c r="G375" s="243" t="s">
        <v>134</v>
      </c>
      <c r="H375" s="244"/>
      <c r="I375" s="244"/>
      <c r="J375" s="245"/>
      <c r="K375" s="182" t="s">
        <v>1513</v>
      </c>
      <c r="L375" s="212"/>
      <c r="M375" s="639"/>
      <c r="N375" s="190" t="s">
        <v>11</v>
      </c>
      <c r="O375" s="195" t="str">
        <f t="shared" si="14"/>
        <v>OB2111C</v>
      </c>
      <c r="P375" s="262"/>
      <c r="Q375" s="263"/>
      <c r="R375" s="263"/>
      <c r="S375" s="264"/>
      <c r="T375" s="190"/>
      <c r="U375" s="191"/>
      <c r="V375" s="909"/>
      <c r="W375" s="909"/>
      <c r="X375" s="187"/>
      <c r="Y375" s="182"/>
      <c r="Z375" s="182"/>
      <c r="AA375" s="182"/>
      <c r="AB375" s="182"/>
      <c r="AC375" s="210"/>
      <c r="AD375" s="182"/>
      <c r="AE375" s="182"/>
      <c r="AF375" s="211"/>
    </row>
    <row r="376" spans="2:32" ht="17.25" customHeight="1">
      <c r="B376" s="180">
        <v>29</v>
      </c>
      <c r="C376" s="811"/>
      <c r="D376" s="765"/>
      <c r="E376" s="186" t="s">
        <v>10</v>
      </c>
      <c r="F376" s="187" t="str">
        <f t="shared" si="13"/>
        <v>IB2111D</v>
      </c>
      <c r="G376" s="243" t="s">
        <v>135</v>
      </c>
      <c r="H376" s="244"/>
      <c r="I376" s="244"/>
      <c r="J376" s="245"/>
      <c r="K376" s="182" t="s">
        <v>1513</v>
      </c>
      <c r="L376" s="212"/>
      <c r="M376" s="639"/>
      <c r="N376" s="190" t="s">
        <v>11</v>
      </c>
      <c r="O376" s="195" t="str">
        <f t="shared" si="14"/>
        <v>OB2111D</v>
      </c>
      <c r="P376" s="262"/>
      <c r="Q376" s="263"/>
      <c r="R376" s="263"/>
      <c r="S376" s="264"/>
      <c r="T376" s="190"/>
      <c r="U376" s="191"/>
      <c r="V376" s="909"/>
      <c r="W376" s="909"/>
      <c r="X376" s="187"/>
      <c r="Y376" s="182"/>
      <c r="Z376" s="182"/>
      <c r="AA376" s="182"/>
      <c r="AB376" s="182"/>
      <c r="AC376" s="210"/>
      <c r="AD376" s="182"/>
      <c r="AE376" s="182"/>
      <c r="AF376" s="211"/>
    </row>
    <row r="377" spans="2:32" ht="17.25" customHeight="1">
      <c r="B377" s="180">
        <v>30</v>
      </c>
      <c r="C377" s="811"/>
      <c r="D377" s="765"/>
      <c r="E377" s="186" t="s">
        <v>10</v>
      </c>
      <c r="F377" s="187" t="str">
        <f t="shared" si="13"/>
        <v>IB2111E</v>
      </c>
      <c r="G377" s="246"/>
      <c r="H377" s="247"/>
      <c r="I377" s="247"/>
      <c r="J377" s="248"/>
      <c r="K377" s="182"/>
      <c r="L377" s="212"/>
      <c r="M377" s="639"/>
      <c r="N377" s="190" t="s">
        <v>11</v>
      </c>
      <c r="O377" s="195" t="str">
        <f t="shared" si="14"/>
        <v>OB2111E</v>
      </c>
      <c r="P377" s="262"/>
      <c r="Q377" s="263"/>
      <c r="R377" s="263"/>
      <c r="S377" s="264"/>
      <c r="T377" s="190"/>
      <c r="U377" s="191"/>
      <c r="V377" s="909"/>
      <c r="W377" s="909"/>
      <c r="X377" s="187"/>
      <c r="Y377" s="182"/>
      <c r="Z377" s="182"/>
      <c r="AA377" s="182"/>
      <c r="AB377" s="182"/>
      <c r="AC377" s="210"/>
      <c r="AD377" s="182"/>
      <c r="AE377" s="182"/>
      <c r="AF377" s="211"/>
    </row>
    <row r="378" spans="2:32" ht="17.25" customHeight="1">
      <c r="B378" s="180">
        <v>31</v>
      </c>
      <c r="C378" s="928"/>
      <c r="D378" s="765"/>
      <c r="E378" s="186" t="s">
        <v>10</v>
      </c>
      <c r="F378" s="187" t="str">
        <f t="shared" si="13"/>
        <v>IB2111F</v>
      </c>
      <c r="G378" s="246"/>
      <c r="H378" s="244"/>
      <c r="I378" s="244"/>
      <c r="J378" s="245"/>
      <c r="K378" s="182"/>
      <c r="L378" s="212"/>
      <c r="M378" s="639"/>
      <c r="N378" s="190" t="s">
        <v>11</v>
      </c>
      <c r="O378" s="195" t="str">
        <f t="shared" si="14"/>
        <v>OB2111F</v>
      </c>
      <c r="P378" s="262"/>
      <c r="Q378" s="263"/>
      <c r="R378" s="263"/>
      <c r="S378" s="264"/>
      <c r="T378" s="190"/>
      <c r="U378" s="191"/>
      <c r="V378" s="909"/>
      <c r="W378" s="909"/>
      <c r="X378" s="187"/>
      <c r="Y378" s="182"/>
      <c r="Z378" s="182"/>
      <c r="AA378" s="182"/>
      <c r="AB378" s="182"/>
      <c r="AC378" s="210"/>
      <c r="AD378" s="182"/>
      <c r="AE378" s="182"/>
      <c r="AF378" s="211"/>
    </row>
    <row r="379" spans="2:32" ht="17.25" customHeight="1">
      <c r="B379" s="180">
        <v>32</v>
      </c>
      <c r="C379" s="927" t="s">
        <v>1565</v>
      </c>
      <c r="D379" s="901" t="s">
        <v>1406</v>
      </c>
      <c r="E379" s="186" t="s">
        <v>10</v>
      </c>
      <c r="F379" s="187" t="str">
        <f t="shared" si="13"/>
        <v>IB21120</v>
      </c>
      <c r="G379" s="588" t="s">
        <v>136</v>
      </c>
      <c r="H379" s="606"/>
      <c r="I379" s="606"/>
      <c r="J379" s="607"/>
      <c r="K379" s="182" t="s">
        <v>1513</v>
      </c>
      <c r="L379" s="212"/>
      <c r="M379" s="639"/>
      <c r="N379" s="190" t="s">
        <v>11</v>
      </c>
      <c r="O379" s="195" t="str">
        <f t="shared" si="14"/>
        <v>OB21120</v>
      </c>
      <c r="P379" s="259"/>
      <c r="Q379" s="260"/>
      <c r="R379" s="260"/>
      <c r="S379" s="261"/>
      <c r="T379" s="190"/>
      <c r="U379" s="191"/>
      <c r="V379" s="909"/>
      <c r="W379" s="909"/>
      <c r="X379" s="187"/>
      <c r="Y379" s="182"/>
      <c r="Z379" s="182"/>
      <c r="AA379" s="182"/>
      <c r="AB379" s="182"/>
      <c r="AC379" s="210"/>
      <c r="AD379" s="182"/>
      <c r="AE379" s="182"/>
      <c r="AF379" s="211"/>
    </row>
    <row r="380" spans="2:32" ht="17.25" customHeight="1">
      <c r="B380" s="180">
        <v>33</v>
      </c>
      <c r="C380" s="811"/>
      <c r="D380" s="765"/>
      <c r="E380" s="186" t="s">
        <v>10</v>
      </c>
      <c r="F380" s="187" t="str">
        <f t="shared" si="13"/>
        <v>IB21121</v>
      </c>
      <c r="G380" s="588" t="s">
        <v>137</v>
      </c>
      <c r="H380" s="606"/>
      <c r="I380" s="606"/>
      <c r="J380" s="607"/>
      <c r="K380" s="182" t="s">
        <v>1513</v>
      </c>
      <c r="L380" s="212"/>
      <c r="M380" s="639"/>
      <c r="N380" s="190" t="s">
        <v>11</v>
      </c>
      <c r="O380" s="195" t="str">
        <f t="shared" si="14"/>
        <v>OB21121</v>
      </c>
      <c r="P380" s="259"/>
      <c r="Q380" s="260"/>
      <c r="R380" s="260"/>
      <c r="S380" s="261"/>
      <c r="T380" s="190"/>
      <c r="U380" s="191"/>
      <c r="V380" s="909"/>
      <c r="W380" s="909"/>
      <c r="X380" s="187"/>
      <c r="Y380" s="182"/>
      <c r="Z380" s="182"/>
      <c r="AA380" s="182"/>
      <c r="AB380" s="182"/>
      <c r="AC380" s="210"/>
      <c r="AD380" s="182"/>
      <c r="AE380" s="182"/>
      <c r="AF380" s="211"/>
    </row>
    <row r="381" spans="2:32" ht="17.25" customHeight="1">
      <c r="B381" s="180">
        <v>34</v>
      </c>
      <c r="C381" s="811"/>
      <c r="D381" s="765"/>
      <c r="E381" s="186" t="s">
        <v>10</v>
      </c>
      <c r="F381" s="187" t="str">
        <f t="shared" si="13"/>
        <v>IB21122</v>
      </c>
      <c r="G381" s="588" t="s">
        <v>138</v>
      </c>
      <c r="H381" s="606"/>
      <c r="I381" s="606"/>
      <c r="J381" s="607"/>
      <c r="K381" s="182" t="s">
        <v>1513</v>
      </c>
      <c r="L381" s="212"/>
      <c r="M381" s="639"/>
      <c r="N381" s="190" t="s">
        <v>11</v>
      </c>
      <c r="O381" s="195" t="str">
        <f t="shared" si="14"/>
        <v>OB21122</v>
      </c>
      <c r="P381" s="259"/>
      <c r="Q381" s="260"/>
      <c r="R381" s="260"/>
      <c r="S381" s="261"/>
      <c r="T381" s="190"/>
      <c r="U381" s="191"/>
      <c r="V381" s="909"/>
      <c r="W381" s="909"/>
      <c r="X381" s="187"/>
      <c r="Y381" s="182"/>
      <c r="Z381" s="182"/>
      <c r="AA381" s="182"/>
      <c r="AB381" s="182"/>
      <c r="AC381" s="210"/>
      <c r="AD381" s="182"/>
      <c r="AE381" s="182"/>
      <c r="AF381" s="211"/>
    </row>
    <row r="382" spans="2:32" ht="17.25" customHeight="1">
      <c r="B382" s="180">
        <v>35</v>
      </c>
      <c r="C382" s="811"/>
      <c r="D382" s="765"/>
      <c r="E382" s="186" t="s">
        <v>10</v>
      </c>
      <c r="F382" s="187" t="str">
        <f t="shared" si="13"/>
        <v>IB21123</v>
      </c>
      <c r="G382" s="588" t="s">
        <v>139</v>
      </c>
      <c r="H382" s="606"/>
      <c r="I382" s="606"/>
      <c r="J382" s="607"/>
      <c r="K382" s="182" t="s">
        <v>1513</v>
      </c>
      <c r="L382" s="212"/>
      <c r="M382" s="639"/>
      <c r="N382" s="190" t="s">
        <v>11</v>
      </c>
      <c r="O382" s="195" t="str">
        <f t="shared" si="14"/>
        <v>OB21123</v>
      </c>
      <c r="P382" s="259"/>
      <c r="Q382" s="260"/>
      <c r="R382" s="260"/>
      <c r="S382" s="261"/>
      <c r="T382" s="190"/>
      <c r="U382" s="191"/>
      <c r="V382" s="909"/>
      <c r="W382" s="909"/>
      <c r="X382" s="187"/>
      <c r="Y382" s="182"/>
      <c r="Z382" s="182"/>
      <c r="AA382" s="182"/>
      <c r="AB382" s="182"/>
      <c r="AC382" s="210"/>
      <c r="AD382" s="182"/>
      <c r="AE382" s="182"/>
      <c r="AF382" s="211"/>
    </row>
    <row r="383" spans="2:32" ht="17.25" customHeight="1">
      <c r="B383" s="180">
        <v>36</v>
      </c>
      <c r="C383" s="811"/>
      <c r="D383" s="765"/>
      <c r="E383" s="186" t="s">
        <v>10</v>
      </c>
      <c r="F383" s="187" t="str">
        <f t="shared" si="13"/>
        <v>IB21124</v>
      </c>
      <c r="G383" s="588" t="s">
        <v>140</v>
      </c>
      <c r="H383" s="606"/>
      <c r="I383" s="606"/>
      <c r="J383" s="607"/>
      <c r="K383" s="182" t="s">
        <v>1513</v>
      </c>
      <c r="L383" s="188"/>
      <c r="M383" s="182"/>
      <c r="N383" s="190" t="s">
        <v>11</v>
      </c>
      <c r="O383" s="195" t="str">
        <f t="shared" si="14"/>
        <v>OB21124</v>
      </c>
      <c r="P383" s="259"/>
      <c r="Q383" s="260"/>
      <c r="R383" s="260"/>
      <c r="S383" s="261"/>
      <c r="T383" s="190"/>
      <c r="U383" s="191"/>
      <c r="V383" s="909"/>
      <c r="W383" s="909"/>
      <c r="X383" s="187"/>
      <c r="Y383" s="182"/>
      <c r="Z383" s="182"/>
      <c r="AA383" s="182"/>
      <c r="AB383" s="182"/>
      <c r="AC383" s="210"/>
      <c r="AD383" s="182"/>
      <c r="AE383" s="182"/>
      <c r="AF383" s="211"/>
    </row>
    <row r="384" spans="2:32" ht="17.25" customHeight="1">
      <c r="B384" s="180">
        <v>37</v>
      </c>
      <c r="C384" s="811"/>
      <c r="D384" s="765"/>
      <c r="E384" s="186" t="s">
        <v>10</v>
      </c>
      <c r="F384" s="187" t="str">
        <f t="shared" si="13"/>
        <v>IB21125</v>
      </c>
      <c r="G384" s="588" t="s">
        <v>141</v>
      </c>
      <c r="H384" s="606"/>
      <c r="I384" s="606"/>
      <c r="J384" s="607"/>
      <c r="K384" s="182" t="s">
        <v>1513</v>
      </c>
      <c r="L384" s="188"/>
      <c r="M384" s="182"/>
      <c r="N384" s="190" t="s">
        <v>11</v>
      </c>
      <c r="O384" s="195" t="str">
        <f t="shared" si="14"/>
        <v>OB21125</v>
      </c>
      <c r="P384" s="259"/>
      <c r="Q384" s="260"/>
      <c r="R384" s="260"/>
      <c r="S384" s="261"/>
      <c r="T384" s="190"/>
      <c r="U384" s="191"/>
      <c r="V384" s="909"/>
      <c r="W384" s="909"/>
      <c r="X384" s="187"/>
      <c r="Y384" s="182"/>
      <c r="Z384" s="182"/>
      <c r="AA384" s="182"/>
      <c r="AB384" s="182"/>
      <c r="AC384" s="210"/>
      <c r="AD384" s="182"/>
      <c r="AE384" s="182"/>
      <c r="AF384" s="211"/>
    </row>
    <row r="385" spans="2:32" ht="17.25" customHeight="1">
      <c r="B385" s="180">
        <v>38</v>
      </c>
      <c r="C385" s="811"/>
      <c r="D385" s="765"/>
      <c r="E385" s="186" t="s">
        <v>10</v>
      </c>
      <c r="F385" s="187" t="str">
        <f t="shared" si="13"/>
        <v>IB21126</v>
      </c>
      <c r="G385" s="588" t="s">
        <v>142</v>
      </c>
      <c r="H385" s="606"/>
      <c r="I385" s="606"/>
      <c r="J385" s="607"/>
      <c r="K385" s="182" t="s">
        <v>1513</v>
      </c>
      <c r="L385" s="188"/>
      <c r="M385" s="182"/>
      <c r="N385" s="190" t="s">
        <v>11</v>
      </c>
      <c r="O385" s="195" t="str">
        <f t="shared" si="14"/>
        <v>OB21126</v>
      </c>
      <c r="P385" s="259"/>
      <c r="Q385" s="260"/>
      <c r="R385" s="260"/>
      <c r="S385" s="261"/>
      <c r="T385" s="190"/>
      <c r="U385" s="191"/>
      <c r="V385" s="909"/>
      <c r="W385" s="909"/>
      <c r="X385" s="187"/>
      <c r="Y385" s="182"/>
      <c r="Z385" s="182"/>
      <c r="AA385" s="182"/>
      <c r="AB385" s="182"/>
      <c r="AC385" s="210"/>
      <c r="AD385" s="182"/>
      <c r="AE385" s="182"/>
      <c r="AF385" s="211"/>
    </row>
    <row r="386" spans="2:32" ht="17.25" customHeight="1">
      <c r="B386" s="180">
        <v>39</v>
      </c>
      <c r="C386" s="811"/>
      <c r="D386" s="765"/>
      <c r="E386" s="186" t="s">
        <v>10</v>
      </c>
      <c r="F386" s="187" t="str">
        <f t="shared" si="13"/>
        <v>IB21127</v>
      </c>
      <c r="G386" s="243"/>
      <c r="H386" s="244"/>
      <c r="I386" s="244"/>
      <c r="J386" s="245"/>
      <c r="K386" s="182"/>
      <c r="L386" s="188"/>
      <c r="M386" s="182"/>
      <c r="N386" s="190" t="s">
        <v>11</v>
      </c>
      <c r="O386" s="195" t="str">
        <f t="shared" si="14"/>
        <v>OB21127</v>
      </c>
      <c r="P386" s="259"/>
      <c r="Q386" s="260"/>
      <c r="R386" s="260"/>
      <c r="S386" s="261"/>
      <c r="T386" s="190"/>
      <c r="U386" s="191"/>
      <c r="V386" s="909"/>
      <c r="W386" s="909"/>
      <c r="X386" s="187"/>
      <c r="Y386" s="182"/>
      <c r="Z386" s="182"/>
      <c r="AA386" s="182"/>
      <c r="AB386" s="182"/>
      <c r="AC386" s="210"/>
      <c r="AD386" s="182"/>
      <c r="AE386" s="182"/>
      <c r="AF386" s="211"/>
    </row>
    <row r="387" spans="2:32" ht="17.25" customHeight="1">
      <c r="B387" s="180">
        <v>40</v>
      </c>
      <c r="C387" s="811"/>
      <c r="D387" s="765"/>
      <c r="E387" s="186" t="s">
        <v>10</v>
      </c>
      <c r="F387" s="187" t="str">
        <f t="shared" si="13"/>
        <v>IB21128</v>
      </c>
      <c r="G387" s="243"/>
      <c r="H387" s="244"/>
      <c r="I387" s="244"/>
      <c r="J387" s="245"/>
      <c r="K387" s="182"/>
      <c r="L387" s="188"/>
      <c r="M387" s="182"/>
      <c r="N387" s="190" t="s">
        <v>11</v>
      </c>
      <c r="O387" s="195" t="str">
        <f t="shared" si="14"/>
        <v>OB21128</v>
      </c>
      <c r="P387" s="259"/>
      <c r="Q387" s="260"/>
      <c r="R387" s="260"/>
      <c r="S387" s="261"/>
      <c r="T387" s="190"/>
      <c r="U387" s="191"/>
      <c r="V387" s="909"/>
      <c r="W387" s="909"/>
      <c r="X387" s="187"/>
      <c r="Y387" s="182"/>
      <c r="Z387" s="182"/>
      <c r="AA387" s="182"/>
      <c r="AB387" s="182"/>
      <c r="AC387" s="210"/>
      <c r="AD387" s="182"/>
      <c r="AE387" s="182"/>
      <c r="AF387" s="211"/>
    </row>
    <row r="388" spans="2:32" ht="17.25" customHeight="1">
      <c r="B388" s="180">
        <v>41</v>
      </c>
      <c r="C388" s="811"/>
      <c r="D388" s="765"/>
      <c r="E388" s="186" t="s">
        <v>10</v>
      </c>
      <c r="F388" s="187" t="str">
        <f t="shared" si="13"/>
        <v>IB21129</v>
      </c>
      <c r="G388" s="243"/>
      <c r="H388" s="244"/>
      <c r="I388" s="244"/>
      <c r="J388" s="245"/>
      <c r="K388" s="182"/>
      <c r="L388" s="188"/>
      <c r="M388" s="182"/>
      <c r="N388" s="190" t="s">
        <v>11</v>
      </c>
      <c r="O388" s="195" t="str">
        <f t="shared" si="14"/>
        <v>OB21129</v>
      </c>
      <c r="P388" s="259"/>
      <c r="Q388" s="260"/>
      <c r="R388" s="260"/>
      <c r="S388" s="261"/>
      <c r="T388" s="190"/>
      <c r="U388" s="191"/>
      <c r="V388" s="909"/>
      <c r="W388" s="909"/>
      <c r="X388" s="187"/>
      <c r="Y388" s="182"/>
      <c r="Z388" s="182"/>
      <c r="AA388" s="182"/>
      <c r="AB388" s="182"/>
      <c r="AC388" s="210"/>
      <c r="AD388" s="182"/>
      <c r="AE388" s="182"/>
      <c r="AF388" s="211"/>
    </row>
    <row r="389" spans="2:32" ht="17.25" customHeight="1">
      <c r="B389" s="180">
        <v>42</v>
      </c>
      <c r="C389" s="811"/>
      <c r="D389" s="765"/>
      <c r="E389" s="186" t="s">
        <v>10</v>
      </c>
      <c r="F389" s="187" t="str">
        <f t="shared" si="13"/>
        <v>IB2112A</v>
      </c>
      <c r="G389" s="243"/>
      <c r="H389" s="244"/>
      <c r="I389" s="244"/>
      <c r="J389" s="245"/>
      <c r="K389" s="182"/>
      <c r="L389" s="188"/>
      <c r="M389" s="182"/>
      <c r="N389" s="190" t="s">
        <v>11</v>
      </c>
      <c r="O389" s="195" t="str">
        <f t="shared" si="14"/>
        <v>OB2112A</v>
      </c>
      <c r="P389" s="259"/>
      <c r="Q389" s="260"/>
      <c r="R389" s="260"/>
      <c r="S389" s="261"/>
      <c r="T389" s="190"/>
      <c r="U389" s="191"/>
      <c r="V389" s="909"/>
      <c r="W389" s="909"/>
      <c r="X389" s="187"/>
      <c r="Y389" s="182"/>
      <c r="Z389" s="182"/>
      <c r="AA389" s="182"/>
      <c r="AB389" s="182"/>
      <c r="AC389" s="210"/>
      <c r="AD389" s="182"/>
      <c r="AE389" s="182"/>
      <c r="AF389" s="211"/>
    </row>
    <row r="390" spans="2:32" ht="17.25" customHeight="1">
      <c r="B390" s="180">
        <v>43</v>
      </c>
      <c r="C390" s="811"/>
      <c r="D390" s="765"/>
      <c r="E390" s="186" t="s">
        <v>10</v>
      </c>
      <c r="F390" s="187" t="str">
        <f t="shared" si="13"/>
        <v>IB2112B</v>
      </c>
      <c r="G390" s="246"/>
      <c r="H390" s="247"/>
      <c r="I390" s="247"/>
      <c r="J390" s="248"/>
      <c r="K390" s="182"/>
      <c r="L390" s="188"/>
      <c r="M390" s="182"/>
      <c r="N390" s="190" t="s">
        <v>11</v>
      </c>
      <c r="O390" s="195" t="str">
        <f t="shared" si="14"/>
        <v>OB2112B</v>
      </c>
      <c r="P390" s="259"/>
      <c r="Q390" s="260"/>
      <c r="R390" s="260"/>
      <c r="S390" s="261"/>
      <c r="T390" s="190"/>
      <c r="U390" s="191"/>
      <c r="V390" s="909"/>
      <c r="W390" s="909"/>
      <c r="X390" s="187"/>
      <c r="Y390" s="182"/>
      <c r="Z390" s="182"/>
      <c r="AA390" s="182"/>
      <c r="AB390" s="182"/>
      <c r="AC390" s="210"/>
      <c r="AD390" s="182"/>
      <c r="AE390" s="182"/>
      <c r="AF390" s="211"/>
    </row>
    <row r="391" spans="2:32" ht="17.25" customHeight="1">
      <c r="B391" s="180">
        <v>44</v>
      </c>
      <c r="C391" s="811"/>
      <c r="D391" s="765"/>
      <c r="E391" s="186" t="s">
        <v>10</v>
      </c>
      <c r="F391" s="187" t="str">
        <f t="shared" si="13"/>
        <v>IB2112C</v>
      </c>
      <c r="G391" s="246"/>
      <c r="H391" s="247"/>
      <c r="I391" s="247"/>
      <c r="J391" s="248"/>
      <c r="K391" s="182"/>
      <c r="L391" s="188"/>
      <c r="M391" s="182"/>
      <c r="N391" s="190" t="s">
        <v>11</v>
      </c>
      <c r="O391" s="195" t="str">
        <f t="shared" si="14"/>
        <v>OB2112C</v>
      </c>
      <c r="P391" s="259"/>
      <c r="Q391" s="260"/>
      <c r="R391" s="260"/>
      <c r="S391" s="261"/>
      <c r="T391" s="190"/>
      <c r="U391" s="191"/>
      <c r="V391" s="909"/>
      <c r="W391" s="909"/>
      <c r="X391" s="187"/>
      <c r="Y391" s="182"/>
      <c r="Z391" s="182"/>
      <c r="AA391" s="182"/>
      <c r="AB391" s="182"/>
      <c r="AC391" s="210"/>
      <c r="AD391" s="182"/>
      <c r="AE391" s="182"/>
      <c r="AF391" s="211"/>
    </row>
    <row r="392" spans="2:32" ht="17.25" customHeight="1">
      <c r="B392" s="180">
        <v>45</v>
      </c>
      <c r="C392" s="811"/>
      <c r="D392" s="765"/>
      <c r="E392" s="186" t="s">
        <v>10</v>
      </c>
      <c r="F392" s="187" t="str">
        <f t="shared" si="13"/>
        <v>IB2112D</v>
      </c>
      <c r="G392" s="243"/>
      <c r="H392" s="244"/>
      <c r="I392" s="244"/>
      <c r="J392" s="245"/>
      <c r="K392" s="182"/>
      <c r="L392" s="188"/>
      <c r="M392" s="182"/>
      <c r="N392" s="190" t="s">
        <v>11</v>
      </c>
      <c r="O392" s="195" t="str">
        <f t="shared" si="14"/>
        <v>OB2112D</v>
      </c>
      <c r="P392" s="259"/>
      <c r="Q392" s="260"/>
      <c r="R392" s="260"/>
      <c r="S392" s="261"/>
      <c r="T392" s="190"/>
      <c r="U392" s="191"/>
      <c r="V392" s="909"/>
      <c r="W392" s="909"/>
      <c r="X392" s="187"/>
      <c r="Y392" s="182"/>
      <c r="Z392" s="182"/>
      <c r="AA392" s="182"/>
      <c r="AB392" s="182"/>
      <c r="AC392" s="210"/>
      <c r="AD392" s="182"/>
      <c r="AE392" s="182"/>
      <c r="AF392" s="211"/>
    </row>
    <row r="393" spans="2:32" ht="17.25" customHeight="1">
      <c r="B393" s="180">
        <v>46</v>
      </c>
      <c r="C393" s="811"/>
      <c r="D393" s="765"/>
      <c r="E393" s="186" t="s">
        <v>10</v>
      </c>
      <c r="F393" s="187" t="str">
        <f t="shared" si="13"/>
        <v>IB2112E</v>
      </c>
      <c r="G393" s="246"/>
      <c r="H393" s="247"/>
      <c r="I393" s="247"/>
      <c r="J393" s="248"/>
      <c r="K393" s="182"/>
      <c r="L393" s="188"/>
      <c r="M393" s="182"/>
      <c r="N393" s="190" t="s">
        <v>11</v>
      </c>
      <c r="O393" s="195" t="str">
        <f t="shared" si="14"/>
        <v>OB2112E</v>
      </c>
      <c r="P393" s="259"/>
      <c r="Q393" s="260"/>
      <c r="R393" s="260"/>
      <c r="S393" s="261"/>
      <c r="T393" s="190"/>
      <c r="U393" s="191"/>
      <c r="V393" s="909"/>
      <c r="W393" s="909"/>
      <c r="X393" s="187"/>
      <c r="Y393" s="182"/>
      <c r="Z393" s="182"/>
      <c r="AA393" s="182"/>
      <c r="AB393" s="182"/>
      <c r="AC393" s="210"/>
      <c r="AD393" s="182"/>
      <c r="AE393" s="182"/>
      <c r="AF393" s="211"/>
    </row>
    <row r="394" spans="2:32" ht="17.25" customHeight="1">
      <c r="B394" s="180">
        <v>47</v>
      </c>
      <c r="C394" s="928"/>
      <c r="D394" s="765"/>
      <c r="E394" s="186" t="s">
        <v>10</v>
      </c>
      <c r="F394" s="187" t="str">
        <f t="shared" si="13"/>
        <v>IB2112F</v>
      </c>
      <c r="G394" s="246"/>
      <c r="H394" s="247"/>
      <c r="I394" s="247"/>
      <c r="J394" s="248"/>
      <c r="K394" s="182"/>
      <c r="L394" s="188"/>
      <c r="M394" s="182"/>
      <c r="N394" s="190" t="s">
        <v>11</v>
      </c>
      <c r="O394" s="195" t="str">
        <f t="shared" si="14"/>
        <v>OB2112F</v>
      </c>
      <c r="P394" s="259"/>
      <c r="Q394" s="260"/>
      <c r="R394" s="260"/>
      <c r="S394" s="261"/>
      <c r="T394" s="190"/>
      <c r="U394" s="191"/>
      <c r="V394" s="909"/>
      <c r="W394" s="909"/>
      <c r="X394" s="187"/>
      <c r="Y394" s="182"/>
      <c r="Z394" s="182"/>
      <c r="AA394" s="182"/>
      <c r="AB394" s="182"/>
      <c r="AC394" s="210"/>
      <c r="AD394" s="182"/>
      <c r="AE394" s="182"/>
      <c r="AF394" s="211"/>
    </row>
    <row r="395" spans="2:32" ht="17.25" customHeight="1">
      <c r="B395" s="180">
        <v>48</v>
      </c>
      <c r="C395" s="927" t="s">
        <v>1651</v>
      </c>
      <c r="D395" s="765"/>
      <c r="E395" s="186" t="s">
        <v>10</v>
      </c>
      <c r="F395" s="187" t="str">
        <f t="shared" si="13"/>
        <v>IB21130</v>
      </c>
      <c r="G395" s="659" t="s">
        <v>1637</v>
      </c>
      <c r="H395" s="660"/>
      <c r="I395" s="660"/>
      <c r="J395" s="961"/>
      <c r="K395" s="182"/>
      <c r="L395" s="188"/>
      <c r="M395" s="182"/>
      <c r="N395" s="190" t="s">
        <v>11</v>
      </c>
      <c r="O395" s="195" t="str">
        <f t="shared" si="14"/>
        <v>OB21130</v>
      </c>
      <c r="P395" s="262"/>
      <c r="Q395" s="263"/>
      <c r="R395" s="263"/>
      <c r="S395" s="264"/>
      <c r="T395" s="190"/>
      <c r="U395" s="191"/>
      <c r="V395" s="909"/>
      <c r="W395" s="909"/>
      <c r="X395" s="187"/>
      <c r="Y395" s="182"/>
      <c r="Z395" s="182"/>
      <c r="AA395" s="182"/>
      <c r="AB395" s="182"/>
      <c r="AC395" s="210"/>
      <c r="AD395" s="182"/>
      <c r="AE395" s="182"/>
      <c r="AF395" s="211"/>
    </row>
    <row r="396" spans="2:32" ht="17.25" customHeight="1">
      <c r="B396" s="180">
        <v>49</v>
      </c>
      <c r="C396" s="811"/>
      <c r="D396" s="765"/>
      <c r="E396" s="186" t="s">
        <v>10</v>
      </c>
      <c r="F396" s="187" t="str">
        <f t="shared" si="13"/>
        <v>IB21131</v>
      </c>
      <c r="G396" s="659" t="s">
        <v>1638</v>
      </c>
      <c r="H396" s="660"/>
      <c r="I396" s="660"/>
      <c r="J396" s="961"/>
      <c r="K396" s="182"/>
      <c r="L396" s="188"/>
      <c r="M396" s="182"/>
      <c r="N396" s="190" t="s">
        <v>11</v>
      </c>
      <c r="O396" s="195" t="str">
        <f>LEFT(O395,1)&amp;DEC2HEX(HEX2DEC(MID(O395,2,LENB(O395)-1))+1,LENB(O395)-1)</f>
        <v>OB21131</v>
      </c>
      <c r="P396" s="262"/>
      <c r="Q396" s="263"/>
      <c r="R396" s="263"/>
      <c r="S396" s="264"/>
      <c r="T396" s="190"/>
      <c r="U396" s="191"/>
      <c r="V396" s="909"/>
      <c r="W396" s="909"/>
      <c r="X396" s="187"/>
      <c r="Y396" s="182"/>
      <c r="Z396" s="182"/>
      <c r="AA396" s="182"/>
      <c r="AB396" s="182"/>
      <c r="AC396" s="210"/>
      <c r="AD396" s="182"/>
      <c r="AE396" s="182"/>
      <c r="AF396" s="211"/>
    </row>
    <row r="397" spans="2:32" ht="17.25" customHeight="1">
      <c r="B397" s="180">
        <v>50</v>
      </c>
      <c r="C397" s="811"/>
      <c r="D397" s="765"/>
      <c r="E397" s="186" t="s">
        <v>10</v>
      </c>
      <c r="F397" s="187" t="str">
        <f t="shared" si="13"/>
        <v>IB21132</v>
      </c>
      <c r="G397" s="659" t="s">
        <v>1639</v>
      </c>
      <c r="H397" s="660"/>
      <c r="I397" s="660"/>
      <c r="J397" s="961"/>
      <c r="K397" s="182"/>
      <c r="L397" s="188"/>
      <c r="M397" s="182"/>
      <c r="N397" s="190" t="s">
        <v>11</v>
      </c>
      <c r="O397" s="195" t="str">
        <f t="shared" ref="O397:O460" si="15">LEFT(O396,1)&amp;DEC2HEX(HEX2DEC(MID(O396,2,LENB(O396)-1))+1,LENB(O396)-1)</f>
        <v>OB21132</v>
      </c>
      <c r="P397" s="262"/>
      <c r="Q397" s="263"/>
      <c r="R397" s="263"/>
      <c r="S397" s="264"/>
      <c r="T397" s="190"/>
      <c r="U397" s="191"/>
      <c r="V397" s="909"/>
      <c r="W397" s="909"/>
      <c r="X397" s="187"/>
      <c r="Y397" s="182"/>
      <c r="Z397" s="182"/>
      <c r="AA397" s="182"/>
      <c r="AB397" s="182"/>
      <c r="AC397" s="210"/>
      <c r="AD397" s="182"/>
      <c r="AE397" s="182"/>
      <c r="AF397" s="211"/>
    </row>
    <row r="398" spans="2:32" ht="17.25" customHeight="1">
      <c r="B398" s="180">
        <v>51</v>
      </c>
      <c r="C398" s="811"/>
      <c r="D398" s="765"/>
      <c r="E398" s="186" t="s">
        <v>10</v>
      </c>
      <c r="F398" s="187" t="str">
        <f t="shared" si="13"/>
        <v>IB21133</v>
      </c>
      <c r="G398" s="659" t="s">
        <v>1640</v>
      </c>
      <c r="H398" s="660"/>
      <c r="I398" s="660"/>
      <c r="J398" s="961"/>
      <c r="K398" s="182"/>
      <c r="L398" s="188"/>
      <c r="M398" s="182"/>
      <c r="N398" s="190" t="s">
        <v>11</v>
      </c>
      <c r="O398" s="195" t="str">
        <f t="shared" si="15"/>
        <v>OB21133</v>
      </c>
      <c r="P398" s="262"/>
      <c r="Q398" s="263"/>
      <c r="R398" s="263"/>
      <c r="S398" s="264"/>
      <c r="T398" s="190"/>
      <c r="U398" s="191"/>
      <c r="V398" s="909"/>
      <c r="W398" s="909"/>
      <c r="X398" s="187"/>
      <c r="Y398" s="182"/>
      <c r="Z398" s="182"/>
      <c r="AA398" s="182"/>
      <c r="AB398" s="182"/>
      <c r="AC398" s="210"/>
      <c r="AD398" s="182"/>
      <c r="AE398" s="182"/>
      <c r="AF398" s="211"/>
    </row>
    <row r="399" spans="2:32" ht="17.25" customHeight="1">
      <c r="B399" s="180">
        <v>52</v>
      </c>
      <c r="C399" s="811"/>
      <c r="D399" s="765"/>
      <c r="E399" s="186" t="s">
        <v>10</v>
      </c>
      <c r="F399" s="187" t="str">
        <f t="shared" si="13"/>
        <v>IB21134</v>
      </c>
      <c r="G399" s="659" t="s">
        <v>1641</v>
      </c>
      <c r="H399" s="660"/>
      <c r="I399" s="660"/>
      <c r="J399" s="961"/>
      <c r="K399" s="182"/>
      <c r="L399" s="188"/>
      <c r="M399" s="182"/>
      <c r="N399" s="190" t="s">
        <v>11</v>
      </c>
      <c r="O399" s="195" t="str">
        <f t="shared" si="15"/>
        <v>OB21134</v>
      </c>
      <c r="P399" s="262"/>
      <c r="Q399" s="263"/>
      <c r="R399" s="263"/>
      <c r="S399" s="264"/>
      <c r="T399" s="190"/>
      <c r="U399" s="191"/>
      <c r="V399" s="909"/>
      <c r="W399" s="909"/>
      <c r="X399" s="187"/>
      <c r="Y399" s="182"/>
      <c r="Z399" s="182"/>
      <c r="AA399" s="182"/>
      <c r="AB399" s="182"/>
      <c r="AC399" s="210"/>
      <c r="AD399" s="182"/>
      <c r="AE399" s="182"/>
      <c r="AF399" s="211"/>
    </row>
    <row r="400" spans="2:32" ht="17.25" customHeight="1">
      <c r="B400" s="180">
        <v>53</v>
      </c>
      <c r="C400" s="811"/>
      <c r="D400" s="765"/>
      <c r="E400" s="186" t="s">
        <v>10</v>
      </c>
      <c r="F400" s="187" t="str">
        <f t="shared" si="13"/>
        <v>IB21135</v>
      </c>
      <c r="G400" s="659" t="s">
        <v>1642</v>
      </c>
      <c r="H400" s="660"/>
      <c r="I400" s="660"/>
      <c r="J400" s="961"/>
      <c r="K400" s="182"/>
      <c r="L400" s="188"/>
      <c r="M400" s="182"/>
      <c r="N400" s="190" t="s">
        <v>11</v>
      </c>
      <c r="O400" s="195" t="str">
        <f t="shared" si="15"/>
        <v>OB21135</v>
      </c>
      <c r="P400" s="262"/>
      <c r="Q400" s="263"/>
      <c r="R400" s="263"/>
      <c r="S400" s="264"/>
      <c r="T400" s="190"/>
      <c r="U400" s="191"/>
      <c r="V400" s="909"/>
      <c r="W400" s="909"/>
      <c r="X400" s="187"/>
      <c r="Y400" s="182"/>
      <c r="Z400" s="182"/>
      <c r="AA400" s="182"/>
      <c r="AB400" s="182"/>
      <c r="AC400" s="210"/>
      <c r="AD400" s="182"/>
      <c r="AE400" s="182"/>
      <c r="AF400" s="211"/>
    </row>
    <row r="401" spans="2:32" ht="17.25" customHeight="1">
      <c r="B401" s="180">
        <v>54</v>
      </c>
      <c r="C401" s="811"/>
      <c r="D401" s="765"/>
      <c r="E401" s="186" t="s">
        <v>10</v>
      </c>
      <c r="F401" s="187" t="str">
        <f t="shared" si="13"/>
        <v>IB21136</v>
      </c>
      <c r="G401" s="659" t="s">
        <v>1643</v>
      </c>
      <c r="H401" s="660"/>
      <c r="I401" s="660"/>
      <c r="J401" s="961"/>
      <c r="K401" s="182"/>
      <c r="L401" s="188"/>
      <c r="M401" s="182"/>
      <c r="N401" s="190" t="s">
        <v>11</v>
      </c>
      <c r="O401" s="195" t="str">
        <f t="shared" si="15"/>
        <v>OB21136</v>
      </c>
      <c r="P401" s="262"/>
      <c r="Q401" s="263"/>
      <c r="R401" s="263"/>
      <c r="S401" s="264"/>
      <c r="T401" s="190"/>
      <c r="U401" s="191"/>
      <c r="V401" s="909"/>
      <c r="W401" s="909"/>
      <c r="X401" s="187"/>
      <c r="Y401" s="182"/>
      <c r="Z401" s="182"/>
      <c r="AA401" s="182"/>
      <c r="AB401" s="182"/>
      <c r="AC401" s="210"/>
      <c r="AD401" s="182"/>
      <c r="AE401" s="182"/>
      <c r="AF401" s="211"/>
    </row>
    <row r="402" spans="2:32" ht="17.25" customHeight="1">
      <c r="B402" s="180">
        <v>55</v>
      </c>
      <c r="C402" s="811"/>
      <c r="D402" s="765"/>
      <c r="E402" s="186" t="s">
        <v>10</v>
      </c>
      <c r="F402" s="187" t="str">
        <f t="shared" si="13"/>
        <v>IB21137</v>
      </c>
      <c r="G402" s="659" t="s">
        <v>1644</v>
      </c>
      <c r="H402" s="660"/>
      <c r="I402" s="660"/>
      <c r="J402" s="961"/>
      <c r="K402" s="182"/>
      <c r="L402" s="188"/>
      <c r="M402" s="182"/>
      <c r="N402" s="190" t="s">
        <v>11</v>
      </c>
      <c r="O402" s="195" t="str">
        <f t="shared" si="15"/>
        <v>OB21137</v>
      </c>
      <c r="P402" s="262"/>
      <c r="Q402" s="263"/>
      <c r="R402" s="263"/>
      <c r="S402" s="264"/>
      <c r="T402" s="190"/>
      <c r="U402" s="191"/>
      <c r="V402" s="909"/>
      <c r="W402" s="909"/>
      <c r="X402" s="187"/>
      <c r="Y402" s="182"/>
      <c r="Z402" s="182"/>
      <c r="AA402" s="182"/>
      <c r="AB402" s="182"/>
      <c r="AC402" s="210"/>
      <c r="AD402" s="182"/>
      <c r="AE402" s="182"/>
      <c r="AF402" s="211"/>
    </row>
    <row r="403" spans="2:32" ht="17.25" customHeight="1">
      <c r="B403" s="180">
        <v>56</v>
      </c>
      <c r="C403" s="811"/>
      <c r="D403" s="765"/>
      <c r="E403" s="186" t="s">
        <v>10</v>
      </c>
      <c r="F403" s="187" t="str">
        <f t="shared" si="13"/>
        <v>IB21138</v>
      </c>
      <c r="G403" s="259"/>
      <c r="H403" s="260"/>
      <c r="I403" s="260"/>
      <c r="J403" s="261"/>
      <c r="K403" s="182"/>
      <c r="L403" s="188"/>
      <c r="M403" s="182"/>
      <c r="N403" s="190" t="s">
        <v>11</v>
      </c>
      <c r="O403" s="195" t="str">
        <f t="shared" si="15"/>
        <v>OB21138</v>
      </c>
      <c r="P403" s="962" t="s">
        <v>1645</v>
      </c>
      <c r="Q403" s="963"/>
      <c r="R403" s="963"/>
      <c r="S403" s="964"/>
      <c r="T403" s="190"/>
      <c r="U403" s="191"/>
      <c r="V403" s="909"/>
      <c r="W403" s="909"/>
      <c r="X403" s="187"/>
      <c r="Y403" s="182"/>
      <c r="Z403" s="182"/>
      <c r="AA403" s="182"/>
      <c r="AB403" s="182"/>
      <c r="AC403" s="210"/>
      <c r="AD403" s="182"/>
      <c r="AE403" s="182"/>
      <c r="AF403" s="211"/>
    </row>
    <row r="404" spans="2:32" ht="17.25" customHeight="1">
      <c r="B404" s="180">
        <v>57</v>
      </c>
      <c r="C404" s="811"/>
      <c r="D404" s="765"/>
      <c r="E404" s="186" t="s">
        <v>10</v>
      </c>
      <c r="F404" s="187" t="str">
        <f t="shared" si="13"/>
        <v>IB21139</v>
      </c>
      <c r="G404" s="259"/>
      <c r="H404" s="260"/>
      <c r="I404" s="260"/>
      <c r="J404" s="261"/>
      <c r="K404" s="182"/>
      <c r="L404" s="188"/>
      <c r="M404" s="182"/>
      <c r="N404" s="190" t="s">
        <v>11</v>
      </c>
      <c r="O404" s="195" t="str">
        <f t="shared" si="15"/>
        <v>OB21139</v>
      </c>
      <c r="P404" s="962" t="s">
        <v>1646</v>
      </c>
      <c r="Q404" s="963"/>
      <c r="R404" s="963"/>
      <c r="S404" s="964"/>
      <c r="T404" s="190"/>
      <c r="U404" s="191"/>
      <c r="V404" s="909"/>
      <c r="W404" s="909"/>
      <c r="X404" s="187"/>
      <c r="Y404" s="182"/>
      <c r="Z404" s="182"/>
      <c r="AA404" s="182"/>
      <c r="AB404" s="182"/>
      <c r="AC404" s="210"/>
      <c r="AD404" s="182"/>
      <c r="AE404" s="182"/>
      <c r="AF404" s="211"/>
    </row>
    <row r="405" spans="2:32" ht="17.25" customHeight="1">
      <c r="B405" s="180">
        <v>58</v>
      </c>
      <c r="C405" s="811"/>
      <c r="D405" s="765"/>
      <c r="E405" s="186" t="s">
        <v>10</v>
      </c>
      <c r="F405" s="187" t="str">
        <f t="shared" si="13"/>
        <v>IB2113A</v>
      </c>
      <c r="G405" s="259"/>
      <c r="H405" s="260"/>
      <c r="I405" s="260"/>
      <c r="J405" s="261"/>
      <c r="K405" s="182"/>
      <c r="L405" s="212"/>
      <c r="M405" s="639"/>
      <c r="N405" s="190" t="s">
        <v>11</v>
      </c>
      <c r="O405" s="195" t="str">
        <f t="shared" si="15"/>
        <v>OB2113A</v>
      </c>
      <c r="P405" s="962" t="s">
        <v>1647</v>
      </c>
      <c r="Q405" s="963"/>
      <c r="R405" s="963"/>
      <c r="S405" s="964"/>
      <c r="T405" s="190"/>
      <c r="U405" s="191"/>
      <c r="V405" s="909"/>
      <c r="W405" s="909"/>
      <c r="X405" s="187"/>
      <c r="Y405" s="182"/>
      <c r="Z405" s="182"/>
      <c r="AA405" s="182"/>
      <c r="AB405" s="182"/>
      <c r="AC405" s="210"/>
      <c r="AD405" s="182"/>
      <c r="AE405" s="182"/>
      <c r="AF405" s="211"/>
    </row>
    <row r="406" spans="2:32" ht="17.25" customHeight="1">
      <c r="B406" s="180">
        <v>59</v>
      </c>
      <c r="C406" s="811"/>
      <c r="D406" s="765"/>
      <c r="E406" s="186" t="s">
        <v>10</v>
      </c>
      <c r="F406" s="187" t="str">
        <f t="shared" si="13"/>
        <v>IB2113B</v>
      </c>
      <c r="G406" s="259"/>
      <c r="H406" s="260"/>
      <c r="I406" s="260"/>
      <c r="J406" s="261"/>
      <c r="K406" s="182"/>
      <c r="L406" s="212"/>
      <c r="M406" s="639"/>
      <c r="N406" s="190" t="s">
        <v>11</v>
      </c>
      <c r="O406" s="195" t="str">
        <f t="shared" si="15"/>
        <v>OB2113B</v>
      </c>
      <c r="P406" s="962" t="s">
        <v>1638</v>
      </c>
      <c r="Q406" s="963"/>
      <c r="R406" s="963"/>
      <c r="S406" s="964"/>
      <c r="T406" s="190"/>
      <c r="U406" s="191"/>
      <c r="V406" s="909"/>
      <c r="W406" s="909"/>
      <c r="X406" s="187"/>
      <c r="Y406" s="182"/>
      <c r="Z406" s="182"/>
      <c r="AA406" s="182"/>
      <c r="AB406" s="182"/>
      <c r="AC406" s="210"/>
      <c r="AD406" s="182"/>
      <c r="AE406" s="182"/>
      <c r="AF406" s="211"/>
    </row>
    <row r="407" spans="2:32" ht="17.25" customHeight="1">
      <c r="B407" s="180">
        <v>60</v>
      </c>
      <c r="C407" s="811"/>
      <c r="D407" s="765"/>
      <c r="E407" s="186" t="s">
        <v>10</v>
      </c>
      <c r="F407" s="187" t="str">
        <f t="shared" si="13"/>
        <v>IB2113C</v>
      </c>
      <c r="G407" s="259"/>
      <c r="H407" s="260"/>
      <c r="I407" s="260"/>
      <c r="J407" s="261"/>
      <c r="K407" s="182"/>
      <c r="L407" s="212"/>
      <c r="M407" s="639"/>
      <c r="N407" s="190" t="s">
        <v>11</v>
      </c>
      <c r="O407" s="195" t="str">
        <f t="shared" si="15"/>
        <v>OB2113C</v>
      </c>
      <c r="P407" s="962" t="s">
        <v>1648</v>
      </c>
      <c r="Q407" s="965"/>
      <c r="R407" s="965"/>
      <c r="S407" s="966"/>
      <c r="T407" s="190"/>
      <c r="U407" s="191"/>
      <c r="V407" s="909"/>
      <c r="W407" s="909"/>
      <c r="X407" s="187"/>
      <c r="Y407" s="182"/>
      <c r="Z407" s="182"/>
      <c r="AA407" s="182"/>
      <c r="AB407" s="182"/>
      <c r="AC407" s="210"/>
      <c r="AD407" s="182"/>
      <c r="AE407" s="182"/>
      <c r="AF407" s="211"/>
    </row>
    <row r="408" spans="2:32" ht="17.25" customHeight="1">
      <c r="B408" s="180">
        <v>61</v>
      </c>
      <c r="C408" s="811"/>
      <c r="D408" s="765"/>
      <c r="E408" s="186" t="s">
        <v>10</v>
      </c>
      <c r="F408" s="187" t="str">
        <f t="shared" si="13"/>
        <v>IB2113D</v>
      </c>
      <c r="G408" s="259"/>
      <c r="H408" s="260"/>
      <c r="I408" s="260"/>
      <c r="J408" s="261"/>
      <c r="K408" s="182"/>
      <c r="L408" s="212"/>
      <c r="M408" s="639"/>
      <c r="N408" s="190" t="s">
        <v>11</v>
      </c>
      <c r="O408" s="195" t="str">
        <f t="shared" si="15"/>
        <v>OB2113D</v>
      </c>
      <c r="P408" s="962" t="s">
        <v>1649</v>
      </c>
      <c r="Q408" s="965"/>
      <c r="R408" s="965"/>
      <c r="S408" s="966"/>
      <c r="T408" s="190"/>
      <c r="U408" s="191"/>
      <c r="V408" s="909"/>
      <c r="W408" s="909"/>
      <c r="X408" s="187"/>
      <c r="Y408" s="182"/>
      <c r="Z408" s="182"/>
      <c r="AA408" s="182"/>
      <c r="AB408" s="182"/>
      <c r="AC408" s="210"/>
      <c r="AD408" s="182"/>
      <c r="AE408" s="182"/>
      <c r="AF408" s="211"/>
    </row>
    <row r="409" spans="2:32" ht="17.25" customHeight="1">
      <c r="B409" s="180">
        <v>62</v>
      </c>
      <c r="C409" s="811"/>
      <c r="D409" s="765"/>
      <c r="E409" s="186" t="s">
        <v>10</v>
      </c>
      <c r="F409" s="187" t="str">
        <f t="shared" si="13"/>
        <v>IB2113E</v>
      </c>
      <c r="G409" s="262"/>
      <c r="H409" s="263"/>
      <c r="I409" s="263"/>
      <c r="J409" s="264"/>
      <c r="K409" s="182"/>
      <c r="L409" s="212"/>
      <c r="M409" s="639"/>
      <c r="N409" s="190" t="s">
        <v>11</v>
      </c>
      <c r="O409" s="195" t="str">
        <f t="shared" si="15"/>
        <v>OB2113E</v>
      </c>
      <c r="P409" s="962" t="s">
        <v>1650</v>
      </c>
      <c r="Q409" s="965"/>
      <c r="R409" s="965"/>
      <c r="S409" s="966"/>
      <c r="T409" s="190"/>
      <c r="U409" s="191"/>
      <c r="V409" s="909"/>
      <c r="W409" s="909"/>
      <c r="X409" s="187"/>
      <c r="Y409" s="182"/>
      <c r="Z409" s="182"/>
      <c r="AA409" s="182"/>
      <c r="AB409" s="182"/>
      <c r="AC409" s="210"/>
      <c r="AD409" s="182"/>
      <c r="AE409" s="182"/>
      <c r="AF409" s="211"/>
    </row>
    <row r="410" spans="2:32" ht="17.25" customHeight="1">
      <c r="B410" s="180">
        <v>63</v>
      </c>
      <c r="C410" s="928"/>
      <c r="D410" s="765"/>
      <c r="E410" s="186" t="s">
        <v>10</v>
      </c>
      <c r="F410" s="187" t="str">
        <f t="shared" si="13"/>
        <v>IB2113F</v>
      </c>
      <c r="G410" s="259"/>
      <c r="H410" s="260"/>
      <c r="I410" s="260"/>
      <c r="J410" s="261"/>
      <c r="K410" s="182"/>
      <c r="L410" s="212"/>
      <c r="M410" s="639"/>
      <c r="N410" s="190" t="s">
        <v>11</v>
      </c>
      <c r="O410" s="195" t="str">
        <f t="shared" si="15"/>
        <v>OB2113F</v>
      </c>
      <c r="P410" s="962" t="s">
        <v>1642</v>
      </c>
      <c r="Q410" s="965"/>
      <c r="R410" s="965"/>
      <c r="S410" s="966"/>
      <c r="T410" s="190"/>
      <c r="U410" s="191"/>
      <c r="V410" s="909"/>
      <c r="W410" s="909"/>
      <c r="X410" s="187"/>
      <c r="Y410" s="182"/>
      <c r="Z410" s="182"/>
      <c r="AA410" s="182"/>
      <c r="AB410" s="182"/>
      <c r="AC410" s="210"/>
      <c r="AD410" s="182"/>
      <c r="AE410" s="182"/>
      <c r="AF410" s="211"/>
    </row>
    <row r="411" spans="2:32" ht="17.25" customHeight="1">
      <c r="B411" s="180">
        <v>64</v>
      </c>
      <c r="C411" s="925" t="s">
        <v>53</v>
      </c>
      <c r="D411" s="901" t="s">
        <v>1406</v>
      </c>
      <c r="E411" s="186" t="s">
        <v>10</v>
      </c>
      <c r="F411" s="187" t="str">
        <f t="shared" si="13"/>
        <v>IB21140</v>
      </c>
      <c r="G411" s="259"/>
      <c r="H411" s="260"/>
      <c r="I411" s="260"/>
      <c r="J411" s="261"/>
      <c r="K411" s="182"/>
      <c r="L411" s="212"/>
      <c r="M411" s="639"/>
      <c r="N411" s="190" t="s">
        <v>11</v>
      </c>
      <c r="O411" s="195" t="str">
        <f t="shared" si="15"/>
        <v>OB21140</v>
      </c>
      <c r="P411" s="246"/>
      <c r="Q411" s="247"/>
      <c r="R411" s="247"/>
      <c r="S411" s="248"/>
      <c r="T411" s="190"/>
      <c r="U411" s="191"/>
      <c r="V411" s="909"/>
      <c r="W411" s="909"/>
      <c r="X411" s="187"/>
      <c r="Y411" s="182"/>
      <c r="Z411" s="182"/>
      <c r="AA411" s="182"/>
      <c r="AB411" s="182"/>
      <c r="AC411" s="210"/>
      <c r="AD411" s="182"/>
      <c r="AE411" s="182"/>
      <c r="AF411" s="211"/>
    </row>
    <row r="412" spans="2:32" ht="17.25" customHeight="1">
      <c r="B412" s="180">
        <v>65</v>
      </c>
      <c r="C412" s="816"/>
      <c r="D412" s="765"/>
      <c r="E412" s="186" t="s">
        <v>10</v>
      </c>
      <c r="F412" s="187" t="str">
        <f t="shared" ref="F412:F475" si="16">LEFT(F411,1)&amp;DEC2HEX(HEX2DEC(MID(F411,2,LENB(F411)-1))+1,LENB(F411)-1)</f>
        <v>IB21141</v>
      </c>
      <c r="G412" s="259"/>
      <c r="H412" s="260"/>
      <c r="I412" s="260"/>
      <c r="J412" s="261"/>
      <c r="K412" s="182"/>
      <c r="L412" s="212"/>
      <c r="M412" s="639"/>
      <c r="N412" s="190" t="s">
        <v>11</v>
      </c>
      <c r="O412" s="195" t="str">
        <f t="shared" si="15"/>
        <v>OB21141</v>
      </c>
      <c r="P412" s="246"/>
      <c r="Q412" s="247"/>
      <c r="R412" s="247"/>
      <c r="S412" s="248"/>
      <c r="T412" s="190"/>
      <c r="U412" s="191"/>
      <c r="V412" s="909"/>
      <c r="W412" s="909"/>
      <c r="X412" s="187"/>
      <c r="Y412" s="182"/>
      <c r="Z412" s="182"/>
      <c r="AA412" s="182"/>
      <c r="AB412" s="182"/>
      <c r="AC412" s="210"/>
      <c r="AD412" s="182"/>
      <c r="AE412" s="182"/>
      <c r="AF412" s="211"/>
    </row>
    <row r="413" spans="2:32" ht="17.25" customHeight="1">
      <c r="B413" s="180">
        <v>66</v>
      </c>
      <c r="C413" s="816"/>
      <c r="D413" s="765"/>
      <c r="E413" s="186" t="s">
        <v>10</v>
      </c>
      <c r="F413" s="187" t="str">
        <f t="shared" si="16"/>
        <v>IB21142</v>
      </c>
      <c r="G413" s="259"/>
      <c r="H413" s="260"/>
      <c r="I413" s="260"/>
      <c r="J413" s="261"/>
      <c r="K413" s="182"/>
      <c r="L413" s="212"/>
      <c r="M413" s="639"/>
      <c r="N413" s="190" t="s">
        <v>11</v>
      </c>
      <c r="O413" s="195" t="str">
        <f t="shared" si="15"/>
        <v>OB21142</v>
      </c>
      <c r="P413" s="246"/>
      <c r="Q413" s="247"/>
      <c r="R413" s="247"/>
      <c r="S413" s="248"/>
      <c r="T413" s="190"/>
      <c r="U413" s="191"/>
      <c r="V413" s="909"/>
      <c r="W413" s="909"/>
      <c r="X413" s="187"/>
      <c r="Y413" s="182"/>
      <c r="Z413" s="182"/>
      <c r="AA413" s="182"/>
      <c r="AB413" s="182"/>
      <c r="AC413" s="210"/>
      <c r="AD413" s="182"/>
      <c r="AE413" s="182"/>
      <c r="AF413" s="211"/>
    </row>
    <row r="414" spans="2:32" ht="17.25" customHeight="1">
      <c r="B414" s="180">
        <v>67</v>
      </c>
      <c r="C414" s="816"/>
      <c r="D414" s="765"/>
      <c r="E414" s="186" t="s">
        <v>10</v>
      </c>
      <c r="F414" s="187" t="str">
        <f t="shared" si="16"/>
        <v>IB21143</v>
      </c>
      <c r="G414" s="259"/>
      <c r="H414" s="260"/>
      <c r="I414" s="260"/>
      <c r="J414" s="261"/>
      <c r="K414" s="182"/>
      <c r="L414" s="212"/>
      <c r="M414" s="639"/>
      <c r="N414" s="190" t="s">
        <v>11</v>
      </c>
      <c r="O414" s="195" t="str">
        <f t="shared" si="15"/>
        <v>OB21143</v>
      </c>
      <c r="P414" s="246"/>
      <c r="Q414" s="247"/>
      <c r="R414" s="247"/>
      <c r="S414" s="248"/>
      <c r="T414" s="190"/>
      <c r="U414" s="191"/>
      <c r="V414" s="909"/>
      <c r="W414" s="909"/>
      <c r="X414" s="187"/>
      <c r="Y414" s="182"/>
      <c r="Z414" s="182"/>
      <c r="AA414" s="182"/>
      <c r="AB414" s="182"/>
      <c r="AC414" s="210"/>
      <c r="AD414" s="182"/>
      <c r="AE414" s="182"/>
      <c r="AF414" s="211"/>
    </row>
    <row r="415" spans="2:32" ht="17.25" customHeight="1">
      <c r="B415" s="180">
        <v>68</v>
      </c>
      <c r="C415" s="816"/>
      <c r="D415" s="765"/>
      <c r="E415" s="186" t="s">
        <v>10</v>
      </c>
      <c r="F415" s="187" t="str">
        <f t="shared" si="16"/>
        <v>IB21144</v>
      </c>
      <c r="G415" s="259"/>
      <c r="H415" s="260"/>
      <c r="I415" s="260"/>
      <c r="J415" s="261"/>
      <c r="K415" s="182"/>
      <c r="L415" s="188"/>
      <c r="M415" s="182"/>
      <c r="N415" s="190" t="s">
        <v>11</v>
      </c>
      <c r="O415" s="195" t="str">
        <f t="shared" si="15"/>
        <v>OB21144</v>
      </c>
      <c r="P415" s="246"/>
      <c r="Q415" s="247"/>
      <c r="R415" s="247"/>
      <c r="S415" s="248"/>
      <c r="T415" s="190"/>
      <c r="U415" s="191"/>
      <c r="V415" s="909"/>
      <c r="W415" s="909"/>
      <c r="X415" s="187"/>
      <c r="Y415" s="182"/>
      <c r="Z415" s="182"/>
      <c r="AA415" s="182"/>
      <c r="AB415" s="182"/>
      <c r="AC415" s="210"/>
      <c r="AD415" s="182"/>
      <c r="AE415" s="182"/>
      <c r="AF415" s="211"/>
    </row>
    <row r="416" spans="2:32" ht="17.25" customHeight="1">
      <c r="B416" s="180">
        <v>69</v>
      </c>
      <c r="C416" s="816"/>
      <c r="D416" s="765"/>
      <c r="E416" s="186" t="s">
        <v>10</v>
      </c>
      <c r="F416" s="187" t="str">
        <f t="shared" si="16"/>
        <v>IB21145</v>
      </c>
      <c r="G416" s="259"/>
      <c r="H416" s="260"/>
      <c r="I416" s="260"/>
      <c r="J416" s="261"/>
      <c r="K416" s="182"/>
      <c r="L416" s="188"/>
      <c r="M416" s="182"/>
      <c r="N416" s="190" t="s">
        <v>11</v>
      </c>
      <c r="O416" s="195" t="str">
        <f t="shared" si="15"/>
        <v>OB21145</v>
      </c>
      <c r="P416" s="246"/>
      <c r="Q416" s="247"/>
      <c r="R416" s="247"/>
      <c r="S416" s="248"/>
      <c r="T416" s="190"/>
      <c r="U416" s="191"/>
      <c r="V416" s="909"/>
      <c r="W416" s="909"/>
      <c r="X416" s="187"/>
      <c r="Y416" s="182"/>
      <c r="Z416" s="182"/>
      <c r="AA416" s="182"/>
      <c r="AB416" s="182"/>
      <c r="AC416" s="210"/>
      <c r="AD416" s="182"/>
      <c r="AE416" s="182"/>
      <c r="AF416" s="211"/>
    </row>
    <row r="417" spans="2:32" ht="17.25" customHeight="1">
      <c r="B417" s="180">
        <v>70</v>
      </c>
      <c r="C417" s="816"/>
      <c r="D417" s="765"/>
      <c r="E417" s="186" t="s">
        <v>10</v>
      </c>
      <c r="F417" s="187" t="str">
        <f t="shared" si="16"/>
        <v>IB21146</v>
      </c>
      <c r="G417" s="259"/>
      <c r="H417" s="260"/>
      <c r="I417" s="260"/>
      <c r="J417" s="261"/>
      <c r="K417" s="182"/>
      <c r="L417" s="188"/>
      <c r="M417" s="182"/>
      <c r="N417" s="190" t="s">
        <v>11</v>
      </c>
      <c r="O417" s="195" t="str">
        <f t="shared" si="15"/>
        <v>OB21146</v>
      </c>
      <c r="P417" s="246"/>
      <c r="Q417" s="247"/>
      <c r="R417" s="247"/>
      <c r="S417" s="248"/>
      <c r="T417" s="190"/>
      <c r="U417" s="191"/>
      <c r="V417" s="909"/>
      <c r="W417" s="909"/>
      <c r="X417" s="187"/>
      <c r="Y417" s="182"/>
      <c r="Z417" s="182"/>
      <c r="AA417" s="182"/>
      <c r="AB417" s="182"/>
      <c r="AC417" s="210"/>
      <c r="AD417" s="182"/>
      <c r="AE417" s="182"/>
      <c r="AF417" s="211"/>
    </row>
    <row r="418" spans="2:32" ht="17.25" customHeight="1">
      <c r="B418" s="180">
        <v>71</v>
      </c>
      <c r="C418" s="816"/>
      <c r="D418" s="765"/>
      <c r="E418" s="186" t="s">
        <v>10</v>
      </c>
      <c r="F418" s="187" t="str">
        <f t="shared" si="16"/>
        <v>IB21147</v>
      </c>
      <c r="G418" s="259"/>
      <c r="H418" s="260"/>
      <c r="I418" s="260"/>
      <c r="J418" s="261"/>
      <c r="K418" s="182"/>
      <c r="L418" s="188"/>
      <c r="M418" s="182"/>
      <c r="N418" s="190" t="s">
        <v>11</v>
      </c>
      <c r="O418" s="195" t="str">
        <f t="shared" si="15"/>
        <v>OB21147</v>
      </c>
      <c r="P418" s="246"/>
      <c r="Q418" s="247"/>
      <c r="R418" s="247"/>
      <c r="S418" s="248"/>
      <c r="T418" s="190"/>
      <c r="U418" s="191"/>
      <c r="V418" s="909"/>
      <c r="W418" s="909"/>
      <c r="X418" s="187"/>
      <c r="Y418" s="182"/>
      <c r="Z418" s="182"/>
      <c r="AA418" s="182"/>
      <c r="AB418" s="182"/>
      <c r="AC418" s="210"/>
      <c r="AD418" s="182"/>
      <c r="AE418" s="182"/>
      <c r="AF418" s="211"/>
    </row>
    <row r="419" spans="2:32" ht="17.25" customHeight="1">
      <c r="B419" s="180">
        <v>72</v>
      </c>
      <c r="C419" s="816"/>
      <c r="D419" s="765"/>
      <c r="E419" s="186" t="s">
        <v>10</v>
      </c>
      <c r="F419" s="187" t="str">
        <f t="shared" si="16"/>
        <v>IB21148</v>
      </c>
      <c r="G419" s="259"/>
      <c r="H419" s="260"/>
      <c r="I419" s="260"/>
      <c r="J419" s="261"/>
      <c r="K419" s="182"/>
      <c r="L419" s="188"/>
      <c r="M419" s="182"/>
      <c r="N419" s="190" t="s">
        <v>11</v>
      </c>
      <c r="O419" s="195" t="str">
        <f t="shared" si="15"/>
        <v>OB21148</v>
      </c>
      <c r="P419" s="246"/>
      <c r="Q419" s="247"/>
      <c r="R419" s="247"/>
      <c r="S419" s="248"/>
      <c r="T419" s="190"/>
      <c r="U419" s="191"/>
      <c r="V419" s="909"/>
      <c r="W419" s="909"/>
      <c r="X419" s="187"/>
      <c r="Y419" s="182"/>
      <c r="Z419" s="182"/>
      <c r="AA419" s="182"/>
      <c r="AB419" s="182"/>
      <c r="AC419" s="210"/>
      <c r="AD419" s="182"/>
      <c r="AE419" s="182"/>
      <c r="AF419" s="211"/>
    </row>
    <row r="420" spans="2:32" ht="17.25" customHeight="1">
      <c r="B420" s="180">
        <v>73</v>
      </c>
      <c r="C420" s="816"/>
      <c r="D420" s="765"/>
      <c r="E420" s="186" t="s">
        <v>10</v>
      </c>
      <c r="F420" s="187" t="str">
        <f t="shared" si="16"/>
        <v>IB21149</v>
      </c>
      <c r="G420" s="259"/>
      <c r="H420" s="260"/>
      <c r="I420" s="260"/>
      <c r="J420" s="261"/>
      <c r="K420" s="182"/>
      <c r="L420" s="188"/>
      <c r="M420" s="182"/>
      <c r="N420" s="190" t="s">
        <v>11</v>
      </c>
      <c r="O420" s="195" t="str">
        <f t="shared" si="15"/>
        <v>OB21149</v>
      </c>
      <c r="P420" s="246"/>
      <c r="Q420" s="247"/>
      <c r="R420" s="247"/>
      <c r="S420" s="248"/>
      <c r="T420" s="190"/>
      <c r="U420" s="191"/>
      <c r="V420" s="909"/>
      <c r="W420" s="909"/>
      <c r="X420" s="187"/>
      <c r="Y420" s="182"/>
      <c r="Z420" s="182"/>
      <c r="AA420" s="182"/>
      <c r="AB420" s="182"/>
      <c r="AC420" s="210"/>
      <c r="AD420" s="182"/>
      <c r="AE420" s="182"/>
      <c r="AF420" s="211"/>
    </row>
    <row r="421" spans="2:32" ht="17.25" customHeight="1">
      <c r="B421" s="180">
        <v>74</v>
      </c>
      <c r="C421" s="816"/>
      <c r="D421" s="765"/>
      <c r="E421" s="186" t="s">
        <v>10</v>
      </c>
      <c r="F421" s="187" t="str">
        <f t="shared" si="16"/>
        <v>IB2114A</v>
      </c>
      <c r="G421" s="259"/>
      <c r="H421" s="260"/>
      <c r="I421" s="260"/>
      <c r="J421" s="261"/>
      <c r="K421" s="182"/>
      <c r="L421" s="188"/>
      <c r="M421" s="182"/>
      <c r="N421" s="190" t="s">
        <v>11</v>
      </c>
      <c r="O421" s="195" t="str">
        <f t="shared" si="15"/>
        <v>OB2114A</v>
      </c>
      <c r="P421" s="246"/>
      <c r="Q421" s="247"/>
      <c r="R421" s="247"/>
      <c r="S421" s="248"/>
      <c r="T421" s="190"/>
      <c r="U421" s="191"/>
      <c r="V421" s="909"/>
      <c r="W421" s="909"/>
      <c r="X421" s="187"/>
      <c r="Y421" s="182"/>
      <c r="Z421" s="182"/>
      <c r="AA421" s="182"/>
      <c r="AB421" s="182"/>
      <c r="AC421" s="210"/>
      <c r="AD421" s="182"/>
      <c r="AE421" s="182"/>
      <c r="AF421" s="211"/>
    </row>
    <row r="422" spans="2:32" ht="17.25" customHeight="1">
      <c r="B422" s="180">
        <v>75</v>
      </c>
      <c r="C422" s="816"/>
      <c r="D422" s="765"/>
      <c r="E422" s="186" t="s">
        <v>10</v>
      </c>
      <c r="F422" s="187" t="str">
        <f t="shared" si="16"/>
        <v>IB2114B</v>
      </c>
      <c r="G422" s="259"/>
      <c r="H422" s="260"/>
      <c r="I422" s="260"/>
      <c r="J422" s="261"/>
      <c r="K422" s="182"/>
      <c r="L422" s="188"/>
      <c r="M422" s="182"/>
      <c r="N422" s="190" t="s">
        <v>11</v>
      </c>
      <c r="O422" s="195" t="str">
        <f t="shared" si="15"/>
        <v>OB2114B</v>
      </c>
      <c r="P422" s="246"/>
      <c r="Q422" s="247"/>
      <c r="R422" s="247"/>
      <c r="S422" s="248"/>
      <c r="T422" s="190"/>
      <c r="U422" s="191"/>
      <c r="V422" s="909"/>
      <c r="W422" s="909"/>
      <c r="X422" s="187"/>
      <c r="Y422" s="182"/>
      <c r="Z422" s="182"/>
      <c r="AA422" s="182"/>
      <c r="AB422" s="182"/>
      <c r="AC422" s="210"/>
      <c r="AD422" s="182"/>
      <c r="AE422" s="182"/>
      <c r="AF422" s="211"/>
    </row>
    <row r="423" spans="2:32" ht="17.25" customHeight="1">
      <c r="B423" s="180">
        <v>76</v>
      </c>
      <c r="C423" s="816"/>
      <c r="D423" s="765"/>
      <c r="E423" s="186" t="s">
        <v>10</v>
      </c>
      <c r="F423" s="187" t="str">
        <f t="shared" si="16"/>
        <v>IB2114C</v>
      </c>
      <c r="G423" s="259"/>
      <c r="H423" s="260"/>
      <c r="I423" s="260"/>
      <c r="J423" s="261"/>
      <c r="K423" s="182"/>
      <c r="L423" s="188"/>
      <c r="M423" s="182"/>
      <c r="N423" s="190" t="s">
        <v>11</v>
      </c>
      <c r="O423" s="195" t="str">
        <f t="shared" si="15"/>
        <v>OB2114C</v>
      </c>
      <c r="P423" s="243" t="s">
        <v>1079</v>
      </c>
      <c r="Q423" s="244"/>
      <c r="R423" s="244"/>
      <c r="S423" s="245"/>
      <c r="T423" s="196" t="s">
        <v>1531</v>
      </c>
      <c r="U423" s="209" t="s">
        <v>1513</v>
      </c>
      <c r="V423" s="909"/>
      <c r="W423" s="909"/>
      <c r="X423" s="187"/>
      <c r="Y423" s="182"/>
      <c r="Z423" s="182"/>
      <c r="AA423" s="182"/>
      <c r="AB423" s="182"/>
      <c r="AC423" s="210"/>
      <c r="AD423" s="182"/>
      <c r="AE423" s="182"/>
      <c r="AF423" s="211"/>
    </row>
    <row r="424" spans="2:32" ht="17.25" customHeight="1">
      <c r="B424" s="180">
        <v>77</v>
      </c>
      <c r="C424" s="816"/>
      <c r="D424" s="765"/>
      <c r="E424" s="186" t="s">
        <v>10</v>
      </c>
      <c r="F424" s="187" t="str">
        <f t="shared" si="16"/>
        <v>IB2114D</v>
      </c>
      <c r="G424" s="259"/>
      <c r="H424" s="260"/>
      <c r="I424" s="260"/>
      <c r="J424" s="261"/>
      <c r="K424" s="182"/>
      <c r="L424" s="188"/>
      <c r="M424" s="182"/>
      <c r="N424" s="190" t="s">
        <v>11</v>
      </c>
      <c r="O424" s="195" t="str">
        <f t="shared" si="15"/>
        <v>OB2114D</v>
      </c>
      <c r="P424" s="243" t="s">
        <v>1080</v>
      </c>
      <c r="Q424" s="244"/>
      <c r="R424" s="244"/>
      <c r="S424" s="245"/>
      <c r="T424" s="196" t="s">
        <v>1531</v>
      </c>
      <c r="U424" s="209" t="s">
        <v>1513</v>
      </c>
      <c r="V424" s="909"/>
      <c r="W424" s="909"/>
      <c r="X424" s="187"/>
      <c r="Y424" s="182"/>
      <c r="Z424" s="182"/>
      <c r="AA424" s="182"/>
      <c r="AB424" s="182"/>
      <c r="AC424" s="210"/>
      <c r="AD424" s="182"/>
      <c r="AE424" s="182"/>
      <c r="AF424" s="211"/>
    </row>
    <row r="425" spans="2:32" ht="17.25" customHeight="1">
      <c r="B425" s="180">
        <v>78</v>
      </c>
      <c r="C425" s="816"/>
      <c r="D425" s="765"/>
      <c r="E425" s="186" t="s">
        <v>10</v>
      </c>
      <c r="F425" s="187" t="str">
        <f t="shared" si="16"/>
        <v>IB2114E</v>
      </c>
      <c r="G425" s="262"/>
      <c r="H425" s="263"/>
      <c r="I425" s="263"/>
      <c r="J425" s="264"/>
      <c r="K425" s="182"/>
      <c r="L425" s="188"/>
      <c r="M425" s="182"/>
      <c r="N425" s="190" t="s">
        <v>11</v>
      </c>
      <c r="O425" s="195" t="str">
        <f t="shared" si="15"/>
        <v>OB2114E</v>
      </c>
      <c r="P425" s="243" t="s">
        <v>1081</v>
      </c>
      <c r="Q425" s="244"/>
      <c r="R425" s="244"/>
      <c r="S425" s="245"/>
      <c r="T425" s="196" t="s">
        <v>1531</v>
      </c>
      <c r="U425" s="209" t="s">
        <v>1513</v>
      </c>
      <c r="V425" s="909"/>
      <c r="W425" s="909"/>
      <c r="X425" s="187"/>
      <c r="Y425" s="182"/>
      <c r="Z425" s="182"/>
      <c r="AA425" s="182"/>
      <c r="AB425" s="182"/>
      <c r="AC425" s="210"/>
      <c r="AD425" s="182"/>
      <c r="AE425" s="182"/>
      <c r="AF425" s="211"/>
    </row>
    <row r="426" spans="2:32" ht="17.25" customHeight="1">
      <c r="B426" s="180">
        <v>79</v>
      </c>
      <c r="C426" s="926"/>
      <c r="D426" s="765"/>
      <c r="E426" s="186" t="s">
        <v>10</v>
      </c>
      <c r="F426" s="187" t="str">
        <f t="shared" si="16"/>
        <v>IB2114F</v>
      </c>
      <c r="G426" s="259"/>
      <c r="H426" s="260"/>
      <c r="I426" s="260"/>
      <c r="J426" s="261"/>
      <c r="K426" s="182"/>
      <c r="L426" s="188"/>
      <c r="M426" s="182"/>
      <c r="N426" s="190" t="s">
        <v>11</v>
      </c>
      <c r="O426" s="195" t="str">
        <f t="shared" si="15"/>
        <v>OB2114F</v>
      </c>
      <c r="P426" s="246"/>
      <c r="Q426" s="247"/>
      <c r="R426" s="247"/>
      <c r="S426" s="248"/>
      <c r="T426" s="190"/>
      <c r="U426" s="191"/>
      <c r="V426" s="909"/>
      <c r="W426" s="909"/>
      <c r="X426" s="187"/>
      <c r="Y426" s="182"/>
      <c r="Z426" s="182"/>
      <c r="AA426" s="182"/>
      <c r="AB426" s="182"/>
      <c r="AC426" s="210"/>
      <c r="AD426" s="182"/>
      <c r="AE426" s="182"/>
      <c r="AF426" s="211"/>
    </row>
    <row r="427" spans="2:32" ht="17.25" customHeight="1">
      <c r="B427" s="180">
        <v>80</v>
      </c>
      <c r="C427" s="927" t="s">
        <v>54</v>
      </c>
      <c r="D427" s="901" t="s">
        <v>1406</v>
      </c>
      <c r="E427" s="186" t="s">
        <v>10</v>
      </c>
      <c r="F427" s="187" t="str">
        <f t="shared" si="16"/>
        <v>IB21150</v>
      </c>
      <c r="G427" s="108" t="s">
        <v>720</v>
      </c>
      <c r="H427" s="244"/>
      <c r="I427" s="244"/>
      <c r="J427" s="245"/>
      <c r="K427" s="190" t="s">
        <v>1513</v>
      </c>
      <c r="L427" s="188"/>
      <c r="M427" s="182"/>
      <c r="N427" s="186" t="s">
        <v>11</v>
      </c>
      <c r="O427" s="195" t="str">
        <f t="shared" si="15"/>
        <v>OB21150</v>
      </c>
      <c r="P427" s="268"/>
      <c r="Q427" s="269"/>
      <c r="R427" s="269"/>
      <c r="S427" s="270"/>
      <c r="T427" s="190"/>
      <c r="U427" s="191"/>
      <c r="V427" s="909"/>
      <c r="W427" s="909"/>
      <c r="X427" s="187"/>
      <c r="Y427" s="182"/>
      <c r="Z427" s="182"/>
      <c r="AA427" s="182"/>
      <c r="AB427" s="182"/>
      <c r="AC427" s="210"/>
      <c r="AD427" s="182"/>
      <c r="AE427" s="182"/>
      <c r="AF427" s="211"/>
    </row>
    <row r="428" spans="2:32" ht="17.25" customHeight="1">
      <c r="B428" s="180">
        <v>81</v>
      </c>
      <c r="C428" s="811"/>
      <c r="D428" s="765"/>
      <c r="E428" s="186" t="s">
        <v>10</v>
      </c>
      <c r="F428" s="187" t="str">
        <f t="shared" si="16"/>
        <v>IB21151</v>
      </c>
      <c r="G428" s="108" t="s">
        <v>721</v>
      </c>
      <c r="H428" s="244"/>
      <c r="I428" s="244"/>
      <c r="J428" s="245"/>
      <c r="K428" s="190" t="s">
        <v>1513</v>
      </c>
      <c r="L428" s="188"/>
      <c r="M428" s="182"/>
      <c r="N428" s="186" t="s">
        <v>11</v>
      </c>
      <c r="O428" s="195" t="str">
        <f t="shared" si="15"/>
        <v>OB21151</v>
      </c>
      <c r="P428" s="268"/>
      <c r="Q428" s="269"/>
      <c r="R428" s="269"/>
      <c r="S428" s="270"/>
      <c r="T428" s="190"/>
      <c r="U428" s="191"/>
      <c r="V428" s="909"/>
      <c r="W428" s="909"/>
      <c r="X428" s="187"/>
      <c r="Y428" s="182"/>
      <c r="Z428" s="182"/>
      <c r="AA428" s="182"/>
      <c r="AB428" s="182"/>
      <c r="AC428" s="210"/>
      <c r="AD428" s="182"/>
      <c r="AE428" s="182"/>
      <c r="AF428" s="211"/>
    </row>
    <row r="429" spans="2:32" ht="17.25" customHeight="1">
      <c r="B429" s="180">
        <v>82</v>
      </c>
      <c r="C429" s="811"/>
      <c r="D429" s="765"/>
      <c r="E429" s="186" t="s">
        <v>10</v>
      </c>
      <c r="F429" s="187" t="str">
        <f t="shared" si="16"/>
        <v>IB21152</v>
      </c>
      <c r="G429" s="108" t="s">
        <v>722</v>
      </c>
      <c r="H429" s="244"/>
      <c r="I429" s="244"/>
      <c r="J429" s="245"/>
      <c r="K429" s="190" t="s">
        <v>1513</v>
      </c>
      <c r="L429" s="188"/>
      <c r="M429" s="182"/>
      <c r="N429" s="186" t="s">
        <v>11</v>
      </c>
      <c r="O429" s="195" t="str">
        <f t="shared" si="15"/>
        <v>OB21152</v>
      </c>
      <c r="P429" s="268"/>
      <c r="Q429" s="269"/>
      <c r="R429" s="269"/>
      <c r="S429" s="270"/>
      <c r="T429" s="190"/>
      <c r="U429" s="191"/>
      <c r="V429" s="909"/>
      <c r="W429" s="909"/>
      <c r="X429" s="187"/>
      <c r="Y429" s="182"/>
      <c r="Z429" s="182"/>
      <c r="AA429" s="182"/>
      <c r="AB429" s="182"/>
      <c r="AC429" s="210"/>
      <c r="AD429" s="182"/>
      <c r="AE429" s="182"/>
      <c r="AF429" s="211"/>
    </row>
    <row r="430" spans="2:32" ht="17.25" customHeight="1">
      <c r="B430" s="180">
        <v>83</v>
      </c>
      <c r="C430" s="811"/>
      <c r="D430" s="765"/>
      <c r="E430" s="186" t="s">
        <v>10</v>
      </c>
      <c r="F430" s="187" t="str">
        <f t="shared" si="16"/>
        <v>IB21153</v>
      </c>
      <c r="G430" s="108" t="s">
        <v>723</v>
      </c>
      <c r="H430" s="244"/>
      <c r="I430" s="244"/>
      <c r="J430" s="245"/>
      <c r="K430" s="190" t="s">
        <v>1513</v>
      </c>
      <c r="L430" s="188"/>
      <c r="M430" s="182"/>
      <c r="N430" s="186" t="s">
        <v>11</v>
      </c>
      <c r="O430" s="195" t="str">
        <f t="shared" si="15"/>
        <v>OB21153</v>
      </c>
      <c r="P430" s="268"/>
      <c r="Q430" s="269"/>
      <c r="R430" s="269"/>
      <c r="S430" s="270"/>
      <c r="T430" s="190"/>
      <c r="U430" s="191"/>
      <c r="V430" s="909"/>
      <c r="W430" s="909"/>
      <c r="X430" s="187"/>
      <c r="Y430" s="182"/>
      <c r="Z430" s="182"/>
      <c r="AA430" s="182"/>
      <c r="AB430" s="182"/>
      <c r="AC430" s="210"/>
      <c r="AD430" s="182"/>
      <c r="AE430" s="182"/>
      <c r="AF430" s="211"/>
    </row>
    <row r="431" spans="2:32" ht="17.25" customHeight="1">
      <c r="B431" s="180">
        <v>84</v>
      </c>
      <c r="C431" s="811"/>
      <c r="D431" s="765"/>
      <c r="E431" s="186" t="s">
        <v>10</v>
      </c>
      <c r="F431" s="187" t="str">
        <f t="shared" si="16"/>
        <v>IB21154</v>
      </c>
      <c r="G431" s="108" t="s">
        <v>724</v>
      </c>
      <c r="H431" s="244"/>
      <c r="I431" s="244"/>
      <c r="J431" s="245"/>
      <c r="K431" s="190" t="s">
        <v>1513</v>
      </c>
      <c r="L431" s="188"/>
      <c r="M431" s="182"/>
      <c r="N431" s="186" t="s">
        <v>11</v>
      </c>
      <c r="O431" s="195" t="str">
        <f t="shared" si="15"/>
        <v>OB21154</v>
      </c>
      <c r="P431" s="268"/>
      <c r="Q431" s="269"/>
      <c r="R431" s="269"/>
      <c r="S431" s="270"/>
      <c r="T431" s="190"/>
      <c r="U431" s="191"/>
      <c r="V431" s="909"/>
      <c r="W431" s="909"/>
      <c r="X431" s="187"/>
      <c r="Y431" s="182"/>
      <c r="Z431" s="182"/>
      <c r="AA431" s="182"/>
      <c r="AB431" s="182"/>
      <c r="AC431" s="210"/>
      <c r="AD431" s="182"/>
      <c r="AE431" s="182"/>
      <c r="AF431" s="211"/>
    </row>
    <row r="432" spans="2:32" ht="17.25" customHeight="1">
      <c r="B432" s="180">
        <v>85</v>
      </c>
      <c r="C432" s="811"/>
      <c r="D432" s="765"/>
      <c r="E432" s="186" t="s">
        <v>10</v>
      </c>
      <c r="F432" s="187" t="str">
        <f t="shared" si="16"/>
        <v>IB21155</v>
      </c>
      <c r="G432" s="108" t="s">
        <v>725</v>
      </c>
      <c r="H432" s="244"/>
      <c r="I432" s="244"/>
      <c r="J432" s="245" t="s">
        <v>284</v>
      </c>
      <c r="K432" s="190" t="s">
        <v>1513</v>
      </c>
      <c r="L432" s="188"/>
      <c r="M432" s="182"/>
      <c r="N432" s="186" t="s">
        <v>11</v>
      </c>
      <c r="O432" s="195" t="str">
        <f t="shared" si="15"/>
        <v>OB21155</v>
      </c>
      <c r="P432" s="268"/>
      <c r="Q432" s="269"/>
      <c r="R432" s="269"/>
      <c r="S432" s="270"/>
      <c r="T432" s="190"/>
      <c r="U432" s="191"/>
      <c r="V432" s="909"/>
      <c r="W432" s="909"/>
      <c r="X432" s="187"/>
      <c r="Y432" s="182"/>
      <c r="Z432" s="182"/>
      <c r="AA432" s="182"/>
      <c r="AB432" s="182"/>
      <c r="AC432" s="210"/>
      <c r="AD432" s="182"/>
      <c r="AE432" s="182"/>
      <c r="AF432" s="211"/>
    </row>
    <row r="433" spans="2:32" ht="17.25" customHeight="1">
      <c r="B433" s="180">
        <v>86</v>
      </c>
      <c r="C433" s="811"/>
      <c r="D433" s="765"/>
      <c r="E433" s="186" t="s">
        <v>10</v>
      </c>
      <c r="F433" s="187" t="str">
        <f t="shared" si="16"/>
        <v>IB21156</v>
      </c>
      <c r="G433" s="108" t="s">
        <v>726</v>
      </c>
      <c r="H433" s="244"/>
      <c r="I433" s="244"/>
      <c r="J433" s="245"/>
      <c r="K433" s="190" t="s">
        <v>1513</v>
      </c>
      <c r="L433" s="188"/>
      <c r="M433" s="182"/>
      <c r="N433" s="186" t="s">
        <v>11</v>
      </c>
      <c r="O433" s="195" t="str">
        <f t="shared" si="15"/>
        <v>OB21156</v>
      </c>
      <c r="P433" s="268"/>
      <c r="Q433" s="269"/>
      <c r="R433" s="269"/>
      <c r="S433" s="270"/>
      <c r="T433" s="190"/>
      <c r="U433" s="191"/>
      <c r="V433" s="909"/>
      <c r="W433" s="909"/>
      <c r="X433" s="187"/>
      <c r="Y433" s="182"/>
      <c r="Z433" s="182"/>
      <c r="AA433" s="182"/>
      <c r="AB433" s="182"/>
      <c r="AC433" s="210"/>
      <c r="AD433" s="182"/>
      <c r="AE433" s="182"/>
      <c r="AF433" s="211"/>
    </row>
    <row r="434" spans="2:32" ht="17.25" customHeight="1">
      <c r="B434" s="180">
        <v>87</v>
      </c>
      <c r="C434" s="811"/>
      <c r="D434" s="765"/>
      <c r="E434" s="186" t="s">
        <v>10</v>
      </c>
      <c r="F434" s="187" t="str">
        <f t="shared" si="16"/>
        <v>IB21157</v>
      </c>
      <c r="G434" s="108" t="s">
        <v>727</v>
      </c>
      <c r="H434" s="244"/>
      <c r="I434" s="244"/>
      <c r="J434" s="245"/>
      <c r="K434" s="190" t="s">
        <v>1513</v>
      </c>
      <c r="L434" s="188"/>
      <c r="M434" s="182"/>
      <c r="N434" s="186" t="s">
        <v>11</v>
      </c>
      <c r="O434" s="195" t="str">
        <f t="shared" si="15"/>
        <v>OB21157</v>
      </c>
      <c r="P434" s="268"/>
      <c r="Q434" s="269"/>
      <c r="R434" s="269"/>
      <c r="S434" s="270"/>
      <c r="T434" s="190"/>
      <c r="U434" s="191"/>
      <c r="V434" s="909"/>
      <c r="W434" s="909"/>
      <c r="X434" s="187"/>
      <c r="Y434" s="182"/>
      <c r="Z434" s="182"/>
      <c r="AA434" s="182"/>
      <c r="AB434" s="182"/>
      <c r="AC434" s="210"/>
      <c r="AD434" s="182"/>
      <c r="AE434" s="182"/>
      <c r="AF434" s="211"/>
    </row>
    <row r="435" spans="2:32" ht="17.25" customHeight="1">
      <c r="B435" s="180">
        <v>88</v>
      </c>
      <c r="C435" s="811"/>
      <c r="D435" s="765"/>
      <c r="E435" s="186" t="s">
        <v>10</v>
      </c>
      <c r="F435" s="187" t="str">
        <f t="shared" si="16"/>
        <v>IB21158</v>
      </c>
      <c r="G435" s="243"/>
      <c r="H435" s="244"/>
      <c r="I435" s="244"/>
      <c r="J435" s="245"/>
      <c r="K435" s="190"/>
      <c r="L435" s="191"/>
      <c r="M435" s="609"/>
      <c r="N435" s="186" t="s">
        <v>11</v>
      </c>
      <c r="O435" s="195" t="str">
        <f t="shared" si="15"/>
        <v>OB21158</v>
      </c>
      <c r="P435" s="268"/>
      <c r="Q435" s="269"/>
      <c r="R435" s="269"/>
      <c r="S435" s="270"/>
      <c r="T435" s="190"/>
      <c r="U435" s="191"/>
      <c r="V435" s="909"/>
      <c r="W435" s="909"/>
      <c r="X435" s="187"/>
      <c r="Y435" s="182"/>
      <c r="Z435" s="182"/>
      <c r="AA435" s="182"/>
      <c r="AB435" s="182"/>
      <c r="AC435" s="210"/>
      <c r="AD435" s="182"/>
      <c r="AE435" s="182"/>
      <c r="AF435" s="211"/>
    </row>
    <row r="436" spans="2:32" ht="17.25" customHeight="1">
      <c r="B436" s="180">
        <v>89</v>
      </c>
      <c r="C436" s="811"/>
      <c r="D436" s="765"/>
      <c r="E436" s="186" t="s">
        <v>10</v>
      </c>
      <c r="F436" s="187" t="str">
        <f t="shared" si="16"/>
        <v>IB21159</v>
      </c>
      <c r="G436" s="243"/>
      <c r="H436" s="244"/>
      <c r="I436" s="244"/>
      <c r="J436" s="245"/>
      <c r="K436" s="190"/>
      <c r="L436" s="191"/>
      <c r="M436" s="609"/>
      <c r="N436" s="186" t="s">
        <v>11</v>
      </c>
      <c r="O436" s="195" t="str">
        <f t="shared" si="15"/>
        <v>OB21159</v>
      </c>
      <c r="P436" s="268"/>
      <c r="Q436" s="269"/>
      <c r="R436" s="269"/>
      <c r="S436" s="270"/>
      <c r="T436" s="190"/>
      <c r="U436" s="191"/>
      <c r="V436" s="909"/>
      <c r="W436" s="909"/>
      <c r="X436" s="187"/>
      <c r="Y436" s="182"/>
      <c r="Z436" s="182"/>
      <c r="AA436" s="182"/>
      <c r="AB436" s="182"/>
      <c r="AC436" s="210"/>
      <c r="AD436" s="182"/>
      <c r="AE436" s="182"/>
      <c r="AF436" s="211"/>
    </row>
    <row r="437" spans="2:32" ht="17.25" customHeight="1">
      <c r="B437" s="180">
        <v>90</v>
      </c>
      <c r="C437" s="811"/>
      <c r="D437" s="765"/>
      <c r="E437" s="186" t="s">
        <v>10</v>
      </c>
      <c r="F437" s="187" t="str">
        <f t="shared" si="16"/>
        <v>IB2115A</v>
      </c>
      <c r="G437" s="243"/>
      <c r="H437" s="244"/>
      <c r="I437" s="244"/>
      <c r="J437" s="245"/>
      <c r="K437" s="190"/>
      <c r="L437" s="191"/>
      <c r="M437" s="609"/>
      <c r="N437" s="186" t="s">
        <v>11</v>
      </c>
      <c r="O437" s="195" t="str">
        <f t="shared" si="15"/>
        <v>OB2115A</v>
      </c>
      <c r="P437" s="268"/>
      <c r="Q437" s="269"/>
      <c r="R437" s="269"/>
      <c r="S437" s="270"/>
      <c r="T437" s="190"/>
      <c r="U437" s="191"/>
      <c r="V437" s="909"/>
      <c r="W437" s="909"/>
      <c r="X437" s="187"/>
      <c r="Y437" s="182"/>
      <c r="Z437" s="182"/>
      <c r="AA437" s="182"/>
      <c r="AB437" s="182"/>
      <c r="AC437" s="210"/>
      <c r="AD437" s="182"/>
      <c r="AE437" s="182"/>
      <c r="AF437" s="211"/>
    </row>
    <row r="438" spans="2:32" ht="17.25" customHeight="1">
      <c r="B438" s="180">
        <v>91</v>
      </c>
      <c r="C438" s="811"/>
      <c r="D438" s="765"/>
      <c r="E438" s="186" t="s">
        <v>10</v>
      </c>
      <c r="F438" s="187" t="str">
        <f t="shared" si="16"/>
        <v>IB2115B</v>
      </c>
      <c r="G438" s="243"/>
      <c r="H438" s="244"/>
      <c r="I438" s="244"/>
      <c r="J438" s="245"/>
      <c r="K438" s="190"/>
      <c r="L438" s="191"/>
      <c r="M438" s="609"/>
      <c r="N438" s="186" t="s">
        <v>11</v>
      </c>
      <c r="O438" s="195" t="str">
        <f t="shared" si="15"/>
        <v>OB2115B</v>
      </c>
      <c r="P438" s="268"/>
      <c r="Q438" s="269"/>
      <c r="R438" s="269"/>
      <c r="S438" s="270"/>
      <c r="T438" s="190"/>
      <c r="U438" s="191"/>
      <c r="V438" s="909"/>
      <c r="W438" s="909"/>
      <c r="X438" s="187"/>
      <c r="Y438" s="182"/>
      <c r="Z438" s="182"/>
      <c r="AA438" s="182"/>
      <c r="AB438" s="182"/>
      <c r="AC438" s="210"/>
      <c r="AD438" s="182"/>
      <c r="AE438" s="182"/>
      <c r="AF438" s="211"/>
    </row>
    <row r="439" spans="2:32" ht="17.25" customHeight="1">
      <c r="B439" s="180">
        <v>92</v>
      </c>
      <c r="C439" s="811"/>
      <c r="D439" s="765"/>
      <c r="E439" s="186" t="s">
        <v>10</v>
      </c>
      <c r="F439" s="187" t="str">
        <f t="shared" si="16"/>
        <v>IB2115C</v>
      </c>
      <c r="G439" s="243"/>
      <c r="H439" s="244"/>
      <c r="I439" s="244"/>
      <c r="J439" s="245"/>
      <c r="K439" s="213"/>
      <c r="L439" s="214"/>
      <c r="M439" s="213"/>
      <c r="N439" s="186" t="s">
        <v>11</v>
      </c>
      <c r="O439" s="195" t="str">
        <f t="shared" si="15"/>
        <v>OB2115C</v>
      </c>
      <c r="P439" s="268"/>
      <c r="Q439" s="269"/>
      <c r="R439" s="269"/>
      <c r="S439" s="270"/>
      <c r="T439" s="190"/>
      <c r="U439" s="191"/>
      <c r="V439" s="909"/>
      <c r="W439" s="909"/>
      <c r="X439" s="187"/>
      <c r="Y439" s="182"/>
      <c r="Z439" s="182"/>
      <c r="AA439" s="182"/>
      <c r="AB439" s="182"/>
      <c r="AC439" s="210"/>
      <c r="AD439" s="182"/>
      <c r="AE439" s="182"/>
      <c r="AF439" s="211"/>
    </row>
    <row r="440" spans="2:32" ht="17.25" customHeight="1">
      <c r="B440" s="180">
        <v>93</v>
      </c>
      <c r="C440" s="811"/>
      <c r="D440" s="765"/>
      <c r="E440" s="186" t="s">
        <v>10</v>
      </c>
      <c r="F440" s="187" t="str">
        <f t="shared" si="16"/>
        <v>IB2115D</v>
      </c>
      <c r="G440" s="243"/>
      <c r="H440" s="244"/>
      <c r="I440" s="244"/>
      <c r="J440" s="245"/>
      <c r="K440" s="213"/>
      <c r="L440" s="214"/>
      <c r="M440" s="213"/>
      <c r="N440" s="186" t="s">
        <v>11</v>
      </c>
      <c r="O440" s="195" t="str">
        <f t="shared" si="15"/>
        <v>OB2115D</v>
      </c>
      <c r="P440" s="268"/>
      <c r="Q440" s="269"/>
      <c r="R440" s="269"/>
      <c r="S440" s="270"/>
      <c r="T440" s="190"/>
      <c r="U440" s="191"/>
      <c r="V440" s="909"/>
      <c r="W440" s="909"/>
      <c r="X440" s="187"/>
      <c r="Y440" s="182"/>
      <c r="Z440" s="182"/>
      <c r="AA440" s="182"/>
      <c r="AB440" s="182"/>
      <c r="AC440" s="210"/>
      <c r="AD440" s="182"/>
      <c r="AE440" s="182"/>
      <c r="AF440" s="211"/>
    </row>
    <row r="441" spans="2:32" ht="17.25" customHeight="1">
      <c r="B441" s="180">
        <v>94</v>
      </c>
      <c r="C441" s="811"/>
      <c r="D441" s="765"/>
      <c r="E441" s="186" t="s">
        <v>10</v>
      </c>
      <c r="F441" s="187" t="str">
        <f t="shared" si="16"/>
        <v>IB2115E</v>
      </c>
      <c r="G441" s="243" t="s">
        <v>729</v>
      </c>
      <c r="H441" s="244"/>
      <c r="I441" s="244"/>
      <c r="J441" s="245"/>
      <c r="K441" s="182" t="s">
        <v>1513</v>
      </c>
      <c r="L441" s="214"/>
      <c r="M441" s="213"/>
      <c r="N441" s="186" t="s">
        <v>11</v>
      </c>
      <c r="O441" s="195" t="str">
        <f t="shared" si="15"/>
        <v>OB2115E</v>
      </c>
      <c r="P441" s="268"/>
      <c r="Q441" s="269"/>
      <c r="R441" s="269"/>
      <c r="S441" s="270"/>
      <c r="T441" s="190"/>
      <c r="U441" s="191"/>
      <c r="V441" s="909"/>
      <c r="W441" s="909"/>
      <c r="X441" s="187"/>
      <c r="Y441" s="182"/>
      <c r="Z441" s="182"/>
      <c r="AA441" s="182"/>
      <c r="AB441" s="182"/>
      <c r="AC441" s="210"/>
      <c r="AD441" s="182"/>
      <c r="AE441" s="182"/>
      <c r="AF441" s="211"/>
    </row>
    <row r="442" spans="2:32" ht="17.25" customHeight="1">
      <c r="B442" s="180">
        <v>95</v>
      </c>
      <c r="C442" s="928"/>
      <c r="D442" s="765"/>
      <c r="E442" s="186" t="s">
        <v>10</v>
      </c>
      <c r="F442" s="187" t="str">
        <f t="shared" si="16"/>
        <v>IB2115F</v>
      </c>
      <c r="G442" s="243" t="s">
        <v>728</v>
      </c>
      <c r="H442" s="244"/>
      <c r="I442" s="244"/>
      <c r="J442" s="245"/>
      <c r="K442" s="182" t="s">
        <v>1513</v>
      </c>
      <c r="L442" s="214"/>
      <c r="M442" s="213"/>
      <c r="N442" s="186" t="s">
        <v>11</v>
      </c>
      <c r="O442" s="195" t="str">
        <f t="shared" si="15"/>
        <v>OB2115F</v>
      </c>
      <c r="P442" s="268"/>
      <c r="Q442" s="269"/>
      <c r="R442" s="269"/>
      <c r="S442" s="270"/>
      <c r="T442" s="190"/>
      <c r="U442" s="191"/>
      <c r="V442" s="909"/>
      <c r="W442" s="909"/>
      <c r="X442" s="187"/>
      <c r="Y442" s="182"/>
      <c r="Z442" s="182"/>
      <c r="AA442" s="182"/>
      <c r="AB442" s="182"/>
      <c r="AC442" s="210"/>
      <c r="AD442" s="182"/>
      <c r="AE442" s="182"/>
      <c r="AF442" s="211"/>
    </row>
    <row r="443" spans="2:32" ht="17.25" customHeight="1">
      <c r="B443" s="180">
        <v>96</v>
      </c>
      <c r="C443" s="925" t="s">
        <v>55</v>
      </c>
      <c r="D443" s="901" t="s">
        <v>1406</v>
      </c>
      <c r="E443" s="186" t="s">
        <v>10</v>
      </c>
      <c r="F443" s="187" t="str">
        <f t="shared" si="16"/>
        <v>IB21160</v>
      </c>
      <c r="G443" s="271"/>
      <c r="H443" s="272"/>
      <c r="I443" s="272"/>
      <c r="J443" s="273"/>
      <c r="K443" s="190"/>
      <c r="L443" s="209"/>
      <c r="M443" s="190"/>
      <c r="N443" s="186" t="s">
        <v>11</v>
      </c>
      <c r="O443" s="195" t="str">
        <f t="shared" si="15"/>
        <v>OB21160</v>
      </c>
      <c r="P443" s="463" t="s">
        <v>870</v>
      </c>
      <c r="Q443" s="250"/>
      <c r="R443" s="250"/>
      <c r="S443" s="251"/>
      <c r="T443" s="190" t="s">
        <v>1513</v>
      </c>
      <c r="U443" s="191"/>
      <c r="V443" s="909"/>
      <c r="W443" s="909"/>
      <c r="X443" s="187"/>
      <c r="Y443" s="182"/>
      <c r="Z443" s="182"/>
      <c r="AA443" s="182"/>
      <c r="AB443" s="182"/>
      <c r="AC443" s="210"/>
      <c r="AD443" s="182"/>
      <c r="AE443" s="182"/>
      <c r="AF443" s="211"/>
    </row>
    <row r="444" spans="2:32" ht="17.25" customHeight="1">
      <c r="B444" s="180">
        <v>97</v>
      </c>
      <c r="C444" s="816"/>
      <c r="D444" s="765"/>
      <c r="E444" s="186" t="s">
        <v>10</v>
      </c>
      <c r="F444" s="187" t="str">
        <f t="shared" si="16"/>
        <v>IB21161</v>
      </c>
      <c r="G444" s="271"/>
      <c r="H444" s="272"/>
      <c r="I444" s="272"/>
      <c r="J444" s="273"/>
      <c r="K444" s="190"/>
      <c r="L444" s="209"/>
      <c r="M444" s="190"/>
      <c r="N444" s="186" t="s">
        <v>11</v>
      </c>
      <c r="O444" s="195" t="str">
        <f t="shared" si="15"/>
        <v>OB21161</v>
      </c>
      <c r="P444" s="463" t="s">
        <v>871</v>
      </c>
      <c r="Q444" s="250"/>
      <c r="R444" s="250"/>
      <c r="S444" s="251"/>
      <c r="T444" s="190" t="s">
        <v>1513</v>
      </c>
      <c r="U444" s="191"/>
      <c r="V444" s="909"/>
      <c r="W444" s="909"/>
      <c r="X444" s="187"/>
      <c r="Y444" s="182"/>
      <c r="Z444" s="182"/>
      <c r="AA444" s="182"/>
      <c r="AB444" s="182"/>
      <c r="AC444" s="210"/>
      <c r="AD444" s="182"/>
      <c r="AE444" s="182"/>
      <c r="AF444" s="211"/>
    </row>
    <row r="445" spans="2:32" ht="17.25" customHeight="1">
      <c r="B445" s="180">
        <v>98</v>
      </c>
      <c r="C445" s="816"/>
      <c r="D445" s="765"/>
      <c r="E445" s="186" t="s">
        <v>10</v>
      </c>
      <c r="F445" s="187" t="str">
        <f t="shared" si="16"/>
        <v>IB21162</v>
      </c>
      <c r="G445" s="271"/>
      <c r="H445" s="272"/>
      <c r="I445" s="272"/>
      <c r="J445" s="273"/>
      <c r="K445" s="190"/>
      <c r="L445" s="209"/>
      <c r="M445" s="190"/>
      <c r="N445" s="186" t="s">
        <v>11</v>
      </c>
      <c r="O445" s="195" t="str">
        <f t="shared" si="15"/>
        <v>OB21162</v>
      </c>
      <c r="P445" s="463" t="s">
        <v>872</v>
      </c>
      <c r="Q445" s="250"/>
      <c r="R445" s="250"/>
      <c r="S445" s="251"/>
      <c r="T445" s="190" t="s">
        <v>1513</v>
      </c>
      <c r="U445" s="191"/>
      <c r="V445" s="909"/>
      <c r="W445" s="909"/>
      <c r="X445" s="187"/>
      <c r="Y445" s="182"/>
      <c r="Z445" s="182"/>
      <c r="AA445" s="182"/>
      <c r="AB445" s="182"/>
      <c r="AC445" s="210"/>
      <c r="AD445" s="182"/>
      <c r="AE445" s="182"/>
      <c r="AF445" s="211"/>
    </row>
    <row r="446" spans="2:32" ht="17.25" customHeight="1">
      <c r="B446" s="180">
        <v>99</v>
      </c>
      <c r="C446" s="816"/>
      <c r="D446" s="765"/>
      <c r="E446" s="186" t="s">
        <v>10</v>
      </c>
      <c r="F446" s="187" t="str">
        <f t="shared" si="16"/>
        <v>IB21163</v>
      </c>
      <c r="G446" s="271"/>
      <c r="H446" s="272"/>
      <c r="I446" s="272"/>
      <c r="J446" s="273"/>
      <c r="K446" s="190"/>
      <c r="L446" s="209"/>
      <c r="M446" s="190"/>
      <c r="N446" s="186" t="s">
        <v>11</v>
      </c>
      <c r="O446" s="195" t="str">
        <f t="shared" si="15"/>
        <v>OB21163</v>
      </c>
      <c r="P446" s="463" t="s">
        <v>873</v>
      </c>
      <c r="Q446" s="250"/>
      <c r="R446" s="250"/>
      <c r="S446" s="251"/>
      <c r="T446" s="190" t="s">
        <v>1513</v>
      </c>
      <c r="U446" s="191"/>
      <c r="V446" s="909"/>
      <c r="W446" s="909"/>
      <c r="X446" s="187"/>
      <c r="Y446" s="182"/>
      <c r="Z446" s="182"/>
      <c r="AA446" s="182"/>
      <c r="AB446" s="182"/>
      <c r="AC446" s="210"/>
      <c r="AD446" s="182"/>
      <c r="AE446" s="182"/>
      <c r="AF446" s="211"/>
    </row>
    <row r="447" spans="2:32" ht="17.25" customHeight="1">
      <c r="B447" s="180">
        <v>100</v>
      </c>
      <c r="C447" s="816"/>
      <c r="D447" s="765"/>
      <c r="E447" s="186" t="s">
        <v>10</v>
      </c>
      <c r="F447" s="187" t="str">
        <f t="shared" si="16"/>
        <v>IB21164</v>
      </c>
      <c r="G447" s="271"/>
      <c r="H447" s="272"/>
      <c r="I447" s="272"/>
      <c r="J447" s="273"/>
      <c r="K447" s="190"/>
      <c r="L447" s="209"/>
      <c r="M447" s="190"/>
      <c r="N447" s="186" t="s">
        <v>11</v>
      </c>
      <c r="O447" s="195" t="str">
        <f t="shared" si="15"/>
        <v>OB21164</v>
      </c>
      <c r="P447" s="463" t="s">
        <v>874</v>
      </c>
      <c r="Q447" s="250"/>
      <c r="R447" s="250"/>
      <c r="S447" s="251"/>
      <c r="T447" s="190" t="s">
        <v>1513</v>
      </c>
      <c r="U447" s="191"/>
      <c r="V447" s="909"/>
      <c r="W447" s="909"/>
      <c r="X447" s="187"/>
      <c r="Y447" s="182"/>
      <c r="Z447" s="182"/>
      <c r="AA447" s="182"/>
      <c r="AB447" s="182"/>
      <c r="AC447" s="210"/>
      <c r="AD447" s="182"/>
      <c r="AE447" s="182"/>
      <c r="AF447" s="211"/>
    </row>
    <row r="448" spans="2:32" ht="17.25" customHeight="1">
      <c r="B448" s="180">
        <v>101</v>
      </c>
      <c r="C448" s="816"/>
      <c r="D448" s="765"/>
      <c r="E448" s="186" t="s">
        <v>10</v>
      </c>
      <c r="F448" s="187" t="str">
        <f t="shared" si="16"/>
        <v>IB21165</v>
      </c>
      <c r="G448" s="271"/>
      <c r="H448" s="272"/>
      <c r="I448" s="272"/>
      <c r="J448" s="273"/>
      <c r="K448" s="190"/>
      <c r="L448" s="209"/>
      <c r="M448" s="190"/>
      <c r="N448" s="186" t="s">
        <v>11</v>
      </c>
      <c r="O448" s="195" t="str">
        <f t="shared" si="15"/>
        <v>OB21165</v>
      </c>
      <c r="P448" s="463" t="s">
        <v>875</v>
      </c>
      <c r="Q448" s="250"/>
      <c r="R448" s="250"/>
      <c r="S448" s="251"/>
      <c r="T448" s="190" t="s">
        <v>1513</v>
      </c>
      <c r="U448" s="191"/>
      <c r="V448" s="909"/>
      <c r="W448" s="909"/>
      <c r="X448" s="187"/>
      <c r="Y448" s="182"/>
      <c r="Z448" s="182"/>
      <c r="AA448" s="182"/>
      <c r="AB448" s="182"/>
      <c r="AC448" s="210"/>
      <c r="AD448" s="182"/>
      <c r="AE448" s="182"/>
      <c r="AF448" s="211"/>
    </row>
    <row r="449" spans="2:32" ht="17.25" customHeight="1">
      <c r="B449" s="180">
        <v>102</v>
      </c>
      <c r="C449" s="816"/>
      <c r="D449" s="765"/>
      <c r="E449" s="186" t="s">
        <v>10</v>
      </c>
      <c r="F449" s="187" t="str">
        <f t="shared" si="16"/>
        <v>IB21166</v>
      </c>
      <c r="G449" s="271"/>
      <c r="H449" s="272"/>
      <c r="I449" s="272"/>
      <c r="J449" s="273"/>
      <c r="K449" s="190"/>
      <c r="L449" s="209"/>
      <c r="M449" s="190"/>
      <c r="N449" s="186" t="s">
        <v>11</v>
      </c>
      <c r="O449" s="195" t="str">
        <f t="shared" si="15"/>
        <v>OB21166</v>
      </c>
      <c r="P449" s="463" t="s">
        <v>876</v>
      </c>
      <c r="Q449" s="250"/>
      <c r="R449" s="250"/>
      <c r="S449" s="251"/>
      <c r="T449" s="190" t="s">
        <v>1513</v>
      </c>
      <c r="U449" s="191"/>
      <c r="V449" s="909"/>
      <c r="W449" s="909"/>
      <c r="X449" s="187"/>
      <c r="Y449" s="182"/>
      <c r="Z449" s="182"/>
      <c r="AA449" s="182"/>
      <c r="AB449" s="182"/>
      <c r="AC449" s="210"/>
      <c r="AD449" s="182"/>
      <c r="AE449" s="182"/>
      <c r="AF449" s="211"/>
    </row>
    <row r="450" spans="2:32" ht="17.25" customHeight="1">
      <c r="B450" s="180">
        <v>103</v>
      </c>
      <c r="C450" s="816"/>
      <c r="D450" s="765"/>
      <c r="E450" s="186" t="s">
        <v>10</v>
      </c>
      <c r="F450" s="187" t="str">
        <f t="shared" si="16"/>
        <v>IB21167</v>
      </c>
      <c r="G450" s="271"/>
      <c r="H450" s="272"/>
      <c r="I450" s="272"/>
      <c r="J450" s="273"/>
      <c r="K450" s="190"/>
      <c r="L450" s="209"/>
      <c r="M450" s="190"/>
      <c r="N450" s="186" t="s">
        <v>11</v>
      </c>
      <c r="O450" s="195" t="str">
        <f t="shared" si="15"/>
        <v>OB21167</v>
      </c>
      <c r="P450" s="463" t="s">
        <v>877</v>
      </c>
      <c r="Q450" s="250"/>
      <c r="R450" s="250"/>
      <c r="S450" s="251"/>
      <c r="T450" s="190" t="s">
        <v>1513</v>
      </c>
      <c r="U450" s="191"/>
      <c r="V450" s="909"/>
      <c r="W450" s="909"/>
      <c r="X450" s="187"/>
      <c r="Y450" s="182"/>
      <c r="Z450" s="182"/>
      <c r="AA450" s="182"/>
      <c r="AB450" s="182"/>
      <c r="AC450" s="210"/>
      <c r="AD450" s="182"/>
      <c r="AE450" s="182"/>
      <c r="AF450" s="211"/>
    </row>
    <row r="451" spans="2:32" ht="17.25" customHeight="1">
      <c r="B451" s="180">
        <v>104</v>
      </c>
      <c r="C451" s="816"/>
      <c r="D451" s="765"/>
      <c r="E451" s="186" t="s">
        <v>10</v>
      </c>
      <c r="F451" s="187" t="str">
        <f t="shared" si="16"/>
        <v>IB21168</v>
      </c>
      <c r="G451" s="271"/>
      <c r="H451" s="272"/>
      <c r="I451" s="272"/>
      <c r="J451" s="273"/>
      <c r="K451" s="190"/>
      <c r="L451" s="209"/>
      <c r="M451" s="190"/>
      <c r="N451" s="186" t="s">
        <v>11</v>
      </c>
      <c r="O451" s="195" t="str">
        <f t="shared" si="15"/>
        <v>OB21168</v>
      </c>
      <c r="P451" s="463" t="s">
        <v>878</v>
      </c>
      <c r="Q451" s="250"/>
      <c r="R451" s="250"/>
      <c r="S451" s="251"/>
      <c r="T451" s="190" t="s">
        <v>1513</v>
      </c>
      <c r="U451" s="191"/>
      <c r="V451" s="909"/>
      <c r="W451" s="909"/>
      <c r="X451" s="187"/>
      <c r="Y451" s="182"/>
      <c r="Z451" s="182"/>
      <c r="AA451" s="182"/>
      <c r="AB451" s="182"/>
      <c r="AC451" s="210"/>
      <c r="AD451" s="182"/>
      <c r="AE451" s="182"/>
      <c r="AF451" s="211"/>
    </row>
    <row r="452" spans="2:32" ht="17.25" customHeight="1">
      <c r="B452" s="180">
        <v>105</v>
      </c>
      <c r="C452" s="816"/>
      <c r="D452" s="765"/>
      <c r="E452" s="186" t="s">
        <v>10</v>
      </c>
      <c r="F452" s="187" t="str">
        <f t="shared" si="16"/>
        <v>IB21169</v>
      </c>
      <c r="G452" s="271"/>
      <c r="H452" s="272"/>
      <c r="I452" s="272"/>
      <c r="J452" s="273"/>
      <c r="K452" s="190"/>
      <c r="L452" s="209"/>
      <c r="M452" s="190"/>
      <c r="N452" s="186" t="s">
        <v>11</v>
      </c>
      <c r="O452" s="195" t="str">
        <f t="shared" si="15"/>
        <v>OB21169</v>
      </c>
      <c r="P452" s="463" t="s">
        <v>879</v>
      </c>
      <c r="Q452" s="250"/>
      <c r="R452" s="250"/>
      <c r="S452" s="251"/>
      <c r="T452" s="190" t="s">
        <v>1513</v>
      </c>
      <c r="U452" s="191"/>
      <c r="V452" s="909"/>
      <c r="W452" s="909"/>
      <c r="X452" s="187"/>
      <c r="Y452" s="182"/>
      <c r="Z452" s="182"/>
      <c r="AA452" s="182"/>
      <c r="AB452" s="182"/>
      <c r="AC452" s="210"/>
      <c r="AD452" s="182"/>
      <c r="AE452" s="182"/>
      <c r="AF452" s="211"/>
    </row>
    <row r="453" spans="2:32" ht="17.25" customHeight="1">
      <c r="B453" s="180">
        <v>106</v>
      </c>
      <c r="C453" s="816"/>
      <c r="D453" s="765"/>
      <c r="E453" s="186" t="s">
        <v>10</v>
      </c>
      <c r="F453" s="187" t="str">
        <f t="shared" si="16"/>
        <v>IB2116A</v>
      </c>
      <c r="G453" s="271"/>
      <c r="H453" s="272"/>
      <c r="I453" s="272"/>
      <c r="J453" s="273"/>
      <c r="K453" s="190"/>
      <c r="L453" s="209"/>
      <c r="M453" s="190"/>
      <c r="N453" s="186" t="s">
        <v>11</v>
      </c>
      <c r="O453" s="195" t="str">
        <f t="shared" si="15"/>
        <v>OB2116A</v>
      </c>
      <c r="P453" s="463" t="s">
        <v>880</v>
      </c>
      <c r="Q453" s="250"/>
      <c r="R453" s="250"/>
      <c r="S453" s="251"/>
      <c r="T453" s="190" t="s">
        <v>1513</v>
      </c>
      <c r="U453" s="191"/>
      <c r="V453" s="909"/>
      <c r="W453" s="909"/>
      <c r="X453" s="187"/>
      <c r="Y453" s="182"/>
      <c r="Z453" s="182"/>
      <c r="AA453" s="182"/>
      <c r="AB453" s="182"/>
      <c r="AC453" s="210"/>
      <c r="AD453" s="182"/>
      <c r="AE453" s="182"/>
      <c r="AF453" s="211"/>
    </row>
    <row r="454" spans="2:32" ht="17.25" customHeight="1">
      <c r="B454" s="180">
        <v>107</v>
      </c>
      <c r="C454" s="816"/>
      <c r="D454" s="765"/>
      <c r="E454" s="186" t="s">
        <v>10</v>
      </c>
      <c r="F454" s="187" t="str">
        <f t="shared" si="16"/>
        <v>IB2116B</v>
      </c>
      <c r="G454" s="271"/>
      <c r="H454" s="272"/>
      <c r="I454" s="272"/>
      <c r="J454" s="273"/>
      <c r="K454" s="190"/>
      <c r="L454" s="209"/>
      <c r="M454" s="190"/>
      <c r="N454" s="186" t="s">
        <v>11</v>
      </c>
      <c r="O454" s="195" t="str">
        <f t="shared" si="15"/>
        <v>OB2116B</v>
      </c>
      <c r="P454" s="249"/>
      <c r="Q454" s="250"/>
      <c r="R454" s="250"/>
      <c r="S454" s="251"/>
      <c r="T454" s="190"/>
      <c r="U454" s="191"/>
      <c r="V454" s="909"/>
      <c r="W454" s="909"/>
      <c r="X454" s="187"/>
      <c r="Y454" s="182"/>
      <c r="Z454" s="182"/>
      <c r="AA454" s="182"/>
      <c r="AB454" s="182"/>
      <c r="AC454" s="210"/>
      <c r="AD454" s="182"/>
      <c r="AE454" s="182"/>
      <c r="AF454" s="211"/>
    </row>
    <row r="455" spans="2:32" ht="17.25" customHeight="1">
      <c r="B455" s="180">
        <v>108</v>
      </c>
      <c r="C455" s="816"/>
      <c r="D455" s="765"/>
      <c r="E455" s="186" t="s">
        <v>10</v>
      </c>
      <c r="F455" s="187" t="str">
        <f t="shared" si="16"/>
        <v>IB2116C</v>
      </c>
      <c r="G455" s="271"/>
      <c r="H455" s="272"/>
      <c r="I455" s="272"/>
      <c r="J455" s="273"/>
      <c r="K455" s="190"/>
      <c r="L455" s="209"/>
      <c r="M455" s="190"/>
      <c r="N455" s="186" t="s">
        <v>11</v>
      </c>
      <c r="O455" s="195" t="str">
        <f t="shared" si="15"/>
        <v>OB2116C</v>
      </c>
      <c r="P455" s="463" t="s">
        <v>882</v>
      </c>
      <c r="Q455" s="250"/>
      <c r="R455" s="250"/>
      <c r="S455" s="251"/>
      <c r="T455" s="190" t="s">
        <v>1513</v>
      </c>
      <c r="U455" s="191"/>
      <c r="V455" s="909"/>
      <c r="W455" s="909"/>
      <c r="X455" s="187"/>
      <c r="Y455" s="182"/>
      <c r="Z455" s="182"/>
      <c r="AA455" s="182"/>
      <c r="AB455" s="182"/>
      <c r="AC455" s="210"/>
      <c r="AD455" s="182"/>
      <c r="AE455" s="182"/>
      <c r="AF455" s="211"/>
    </row>
    <row r="456" spans="2:32" ht="17.25" customHeight="1">
      <c r="B456" s="180">
        <v>109</v>
      </c>
      <c r="C456" s="816"/>
      <c r="D456" s="765"/>
      <c r="E456" s="186" t="s">
        <v>10</v>
      </c>
      <c r="F456" s="187" t="str">
        <f t="shared" si="16"/>
        <v>IB2116D</v>
      </c>
      <c r="G456" s="271"/>
      <c r="H456" s="272"/>
      <c r="I456" s="272"/>
      <c r="J456" s="273"/>
      <c r="K456" s="190"/>
      <c r="L456" s="209"/>
      <c r="M456" s="190"/>
      <c r="N456" s="186" t="s">
        <v>11</v>
      </c>
      <c r="O456" s="195" t="str">
        <f t="shared" si="15"/>
        <v>OB2116D</v>
      </c>
      <c r="P456" s="463" t="s">
        <v>883</v>
      </c>
      <c r="Q456" s="250"/>
      <c r="R456" s="250"/>
      <c r="S456" s="251"/>
      <c r="T456" s="190" t="s">
        <v>1513</v>
      </c>
      <c r="U456" s="191"/>
      <c r="V456" s="909"/>
      <c r="W456" s="909"/>
      <c r="X456" s="187"/>
      <c r="Y456" s="182"/>
      <c r="Z456" s="182"/>
      <c r="AA456" s="182"/>
      <c r="AB456" s="182"/>
      <c r="AC456" s="210"/>
      <c r="AD456" s="182"/>
      <c r="AE456" s="182"/>
      <c r="AF456" s="211"/>
    </row>
    <row r="457" spans="2:32" ht="17.25" customHeight="1">
      <c r="B457" s="180">
        <v>110</v>
      </c>
      <c r="C457" s="816"/>
      <c r="D457" s="765"/>
      <c r="E457" s="186" t="s">
        <v>10</v>
      </c>
      <c r="F457" s="187" t="str">
        <f t="shared" si="16"/>
        <v>IB2116E</v>
      </c>
      <c r="G457" s="271"/>
      <c r="H457" s="272"/>
      <c r="I457" s="272"/>
      <c r="J457" s="273"/>
      <c r="K457" s="182"/>
      <c r="L457" s="188"/>
      <c r="M457" s="182"/>
      <c r="N457" s="186" t="s">
        <v>11</v>
      </c>
      <c r="O457" s="195" t="str">
        <f t="shared" si="15"/>
        <v>OB2116E</v>
      </c>
      <c r="P457" s="463" t="s">
        <v>881</v>
      </c>
      <c r="Q457" s="250"/>
      <c r="R457" s="250"/>
      <c r="S457" s="251"/>
      <c r="T457" s="190" t="s">
        <v>1513</v>
      </c>
      <c r="U457" s="191"/>
      <c r="V457" s="909"/>
      <c r="W457" s="909"/>
      <c r="X457" s="187"/>
      <c r="Y457" s="182"/>
      <c r="Z457" s="182"/>
      <c r="AA457" s="182"/>
      <c r="AB457" s="182"/>
      <c r="AC457" s="210"/>
      <c r="AD457" s="182"/>
      <c r="AE457" s="182"/>
      <c r="AF457" s="211"/>
    </row>
    <row r="458" spans="2:32" ht="17.25" customHeight="1">
      <c r="B458" s="180">
        <v>111</v>
      </c>
      <c r="C458" s="926"/>
      <c r="D458" s="765"/>
      <c r="E458" s="186" t="s">
        <v>10</v>
      </c>
      <c r="F458" s="187" t="str">
        <f t="shared" si="16"/>
        <v>IB2116F</v>
      </c>
      <c r="G458" s="271"/>
      <c r="H458" s="272"/>
      <c r="I458" s="272"/>
      <c r="J458" s="273"/>
      <c r="K458" s="190"/>
      <c r="L458" s="209"/>
      <c r="M458" s="190"/>
      <c r="N458" s="186" t="s">
        <v>11</v>
      </c>
      <c r="O458" s="195" t="str">
        <f t="shared" si="15"/>
        <v>OB2116F</v>
      </c>
      <c r="P458" s="249"/>
      <c r="Q458" s="250"/>
      <c r="R458" s="250"/>
      <c r="S458" s="251"/>
      <c r="T458" s="190"/>
      <c r="U458" s="191"/>
      <c r="V458" s="909"/>
      <c r="W458" s="909"/>
      <c r="X458" s="187"/>
      <c r="Y458" s="182"/>
      <c r="Z458" s="182"/>
      <c r="AA458" s="182"/>
      <c r="AB458" s="182"/>
      <c r="AC458" s="210"/>
      <c r="AD458" s="182"/>
      <c r="AE458" s="182"/>
      <c r="AF458" s="211"/>
    </row>
    <row r="459" spans="2:32" ht="17.25" customHeight="1">
      <c r="B459" s="180">
        <v>112</v>
      </c>
      <c r="C459" s="927" t="s">
        <v>56</v>
      </c>
      <c r="D459" s="901" t="s">
        <v>1406</v>
      </c>
      <c r="E459" s="186" t="s">
        <v>10</v>
      </c>
      <c r="F459" s="187" t="str">
        <f t="shared" si="16"/>
        <v>IB21170</v>
      </c>
      <c r="G459" s="108" t="s">
        <v>730</v>
      </c>
      <c r="H459" s="244"/>
      <c r="I459" s="244"/>
      <c r="J459" s="245"/>
      <c r="K459" s="190" t="s">
        <v>1513</v>
      </c>
      <c r="L459" s="209"/>
      <c r="M459" s="190"/>
      <c r="N459" s="186" t="s">
        <v>11</v>
      </c>
      <c r="O459" s="195" t="str">
        <f t="shared" si="15"/>
        <v>OB21170</v>
      </c>
      <c r="P459" s="254"/>
      <c r="Q459" s="255"/>
      <c r="R459" s="255"/>
      <c r="S459" s="256"/>
      <c r="T459" s="190"/>
      <c r="U459" s="191"/>
      <c r="V459" s="909"/>
      <c r="W459" s="909"/>
      <c r="X459" s="187"/>
      <c r="Y459" s="182"/>
      <c r="Z459" s="182"/>
      <c r="AA459" s="182"/>
      <c r="AB459" s="182"/>
      <c r="AC459" s="210"/>
      <c r="AD459" s="182"/>
      <c r="AE459" s="182"/>
      <c r="AF459" s="211"/>
    </row>
    <row r="460" spans="2:32" ht="17.25" customHeight="1">
      <c r="B460" s="180">
        <v>113</v>
      </c>
      <c r="C460" s="811"/>
      <c r="D460" s="765"/>
      <c r="E460" s="186" t="s">
        <v>10</v>
      </c>
      <c r="F460" s="187" t="str">
        <f t="shared" si="16"/>
        <v>IB21171</v>
      </c>
      <c r="G460" s="108" t="s">
        <v>731</v>
      </c>
      <c r="H460" s="244"/>
      <c r="I460" s="244"/>
      <c r="J460" s="245"/>
      <c r="K460" s="190" t="s">
        <v>1513</v>
      </c>
      <c r="L460" s="209"/>
      <c r="M460" s="190"/>
      <c r="N460" s="186" t="s">
        <v>11</v>
      </c>
      <c r="O460" s="195" t="str">
        <f t="shared" si="15"/>
        <v>OB21171</v>
      </c>
      <c r="P460" s="254"/>
      <c r="Q460" s="255"/>
      <c r="R460" s="255"/>
      <c r="S460" s="256"/>
      <c r="T460" s="190"/>
      <c r="U460" s="191"/>
      <c r="V460" s="909"/>
      <c r="W460" s="909"/>
      <c r="X460" s="187"/>
      <c r="Y460" s="182"/>
      <c r="Z460" s="182"/>
      <c r="AA460" s="182"/>
      <c r="AB460" s="182"/>
      <c r="AC460" s="210"/>
      <c r="AD460" s="182"/>
      <c r="AE460" s="182"/>
      <c r="AF460" s="211"/>
    </row>
    <row r="461" spans="2:32" ht="17.25" customHeight="1">
      <c r="B461" s="180">
        <v>114</v>
      </c>
      <c r="C461" s="811"/>
      <c r="D461" s="765"/>
      <c r="E461" s="186" t="s">
        <v>10</v>
      </c>
      <c r="F461" s="187" t="str">
        <f t="shared" si="16"/>
        <v>IB21172</v>
      </c>
      <c r="G461" s="108" t="s">
        <v>732</v>
      </c>
      <c r="H461" s="244"/>
      <c r="I461" s="244"/>
      <c r="J461" s="245"/>
      <c r="K461" s="190" t="s">
        <v>1513</v>
      </c>
      <c r="L461" s="209"/>
      <c r="M461" s="190"/>
      <c r="N461" s="186" t="s">
        <v>11</v>
      </c>
      <c r="O461" s="195" t="str">
        <f t="shared" ref="O461:O524" si="17">LEFT(O460,1)&amp;DEC2HEX(HEX2DEC(MID(O460,2,LENB(O460)-1))+1,LENB(O460)-1)</f>
        <v>OB21172</v>
      </c>
      <c r="P461" s="254"/>
      <c r="Q461" s="255"/>
      <c r="R461" s="255"/>
      <c r="S461" s="256"/>
      <c r="T461" s="190"/>
      <c r="U461" s="191"/>
      <c r="V461" s="909"/>
      <c r="W461" s="909"/>
      <c r="X461" s="187"/>
      <c r="Y461" s="182"/>
      <c r="Z461" s="182"/>
      <c r="AA461" s="182"/>
      <c r="AB461" s="182"/>
      <c r="AC461" s="210"/>
      <c r="AD461" s="182"/>
      <c r="AE461" s="182"/>
      <c r="AF461" s="211"/>
    </row>
    <row r="462" spans="2:32" ht="17.25" customHeight="1">
      <c r="B462" s="180">
        <v>115</v>
      </c>
      <c r="C462" s="811"/>
      <c r="D462" s="765"/>
      <c r="E462" s="186" t="s">
        <v>10</v>
      </c>
      <c r="F462" s="187" t="str">
        <f t="shared" si="16"/>
        <v>IB21173</v>
      </c>
      <c r="G462" s="108" t="s">
        <v>733</v>
      </c>
      <c r="H462" s="244"/>
      <c r="I462" s="244"/>
      <c r="J462" s="245"/>
      <c r="K462" s="190" t="s">
        <v>1513</v>
      </c>
      <c r="L462" s="209"/>
      <c r="M462" s="190"/>
      <c r="N462" s="186" t="s">
        <v>11</v>
      </c>
      <c r="O462" s="195" t="str">
        <f t="shared" si="17"/>
        <v>OB21173</v>
      </c>
      <c r="P462" s="254"/>
      <c r="Q462" s="255"/>
      <c r="R462" s="255"/>
      <c r="S462" s="256"/>
      <c r="T462" s="190"/>
      <c r="U462" s="191"/>
      <c r="V462" s="909"/>
      <c r="W462" s="909"/>
      <c r="X462" s="187"/>
      <c r="Y462" s="182"/>
      <c r="Z462" s="182"/>
      <c r="AA462" s="182"/>
      <c r="AB462" s="182"/>
      <c r="AC462" s="210"/>
      <c r="AD462" s="182"/>
      <c r="AE462" s="182"/>
      <c r="AF462" s="211"/>
    </row>
    <row r="463" spans="2:32" ht="17.25" customHeight="1">
      <c r="B463" s="180">
        <v>116</v>
      </c>
      <c r="C463" s="811"/>
      <c r="D463" s="765"/>
      <c r="E463" s="186" t="s">
        <v>10</v>
      </c>
      <c r="F463" s="187" t="str">
        <f t="shared" si="16"/>
        <v>IB21174</v>
      </c>
      <c r="G463" s="108" t="s">
        <v>734</v>
      </c>
      <c r="H463" s="244"/>
      <c r="I463" s="244"/>
      <c r="J463" s="245"/>
      <c r="K463" s="190" t="s">
        <v>1513</v>
      </c>
      <c r="L463" s="209"/>
      <c r="M463" s="190"/>
      <c r="N463" s="186" t="s">
        <v>11</v>
      </c>
      <c r="O463" s="195" t="str">
        <f t="shared" si="17"/>
        <v>OB21174</v>
      </c>
      <c r="P463" s="254"/>
      <c r="Q463" s="255"/>
      <c r="R463" s="255"/>
      <c r="S463" s="256"/>
      <c r="T463" s="190"/>
      <c r="U463" s="191"/>
      <c r="V463" s="909"/>
      <c r="W463" s="909"/>
      <c r="X463" s="187"/>
      <c r="Y463" s="182"/>
      <c r="Z463" s="182"/>
      <c r="AA463" s="182"/>
      <c r="AB463" s="182"/>
      <c r="AC463" s="210"/>
      <c r="AD463" s="182"/>
      <c r="AE463" s="182"/>
      <c r="AF463" s="211"/>
    </row>
    <row r="464" spans="2:32" ht="17.25" customHeight="1">
      <c r="B464" s="180">
        <v>117</v>
      </c>
      <c r="C464" s="811"/>
      <c r="D464" s="765"/>
      <c r="E464" s="186" t="s">
        <v>10</v>
      </c>
      <c r="F464" s="187" t="str">
        <f t="shared" si="16"/>
        <v>IB21175</v>
      </c>
      <c r="G464" s="108" t="s">
        <v>735</v>
      </c>
      <c r="H464" s="244"/>
      <c r="I464" s="244"/>
      <c r="J464" s="245"/>
      <c r="K464" s="190" t="s">
        <v>1513</v>
      </c>
      <c r="L464" s="209"/>
      <c r="M464" s="190"/>
      <c r="N464" s="186" t="s">
        <v>11</v>
      </c>
      <c r="O464" s="195" t="str">
        <f t="shared" si="17"/>
        <v>OB21175</v>
      </c>
      <c r="P464" s="254"/>
      <c r="Q464" s="255"/>
      <c r="R464" s="255"/>
      <c r="S464" s="256"/>
      <c r="T464" s="190"/>
      <c r="U464" s="191"/>
      <c r="V464" s="909"/>
      <c r="W464" s="909"/>
      <c r="X464" s="187"/>
      <c r="Y464" s="182"/>
      <c r="Z464" s="182"/>
      <c r="AA464" s="182"/>
      <c r="AB464" s="182"/>
      <c r="AC464" s="210"/>
      <c r="AD464" s="182"/>
      <c r="AE464" s="182"/>
      <c r="AF464" s="211"/>
    </row>
    <row r="465" spans="2:32" ht="17.25" customHeight="1">
      <c r="B465" s="180">
        <v>118</v>
      </c>
      <c r="C465" s="811"/>
      <c r="D465" s="765"/>
      <c r="E465" s="186" t="s">
        <v>10</v>
      </c>
      <c r="F465" s="187" t="str">
        <f t="shared" si="16"/>
        <v>IB21176</v>
      </c>
      <c r="G465" s="108" t="s">
        <v>736</v>
      </c>
      <c r="H465" s="244"/>
      <c r="I465" s="244"/>
      <c r="J465" s="245"/>
      <c r="K465" s="190" t="s">
        <v>1513</v>
      </c>
      <c r="L465" s="209"/>
      <c r="M465" s="190"/>
      <c r="N465" s="186" t="s">
        <v>11</v>
      </c>
      <c r="O465" s="195" t="str">
        <f t="shared" si="17"/>
        <v>OB21176</v>
      </c>
      <c r="P465" s="254"/>
      <c r="Q465" s="255"/>
      <c r="R465" s="255"/>
      <c r="S465" s="256"/>
      <c r="T465" s="190"/>
      <c r="U465" s="191"/>
      <c r="V465" s="909"/>
      <c r="W465" s="909"/>
      <c r="X465" s="187"/>
      <c r="Y465" s="182"/>
      <c r="Z465" s="182"/>
      <c r="AA465" s="182"/>
      <c r="AB465" s="182"/>
      <c r="AC465" s="210"/>
      <c r="AD465" s="182"/>
      <c r="AE465" s="182"/>
      <c r="AF465" s="211"/>
    </row>
    <row r="466" spans="2:32" ht="17.25" customHeight="1">
      <c r="B466" s="180">
        <v>119</v>
      </c>
      <c r="C466" s="811"/>
      <c r="D466" s="765"/>
      <c r="E466" s="186" t="s">
        <v>10</v>
      </c>
      <c r="F466" s="187" t="str">
        <f t="shared" si="16"/>
        <v>IB21177</v>
      </c>
      <c r="G466" s="108" t="s">
        <v>737</v>
      </c>
      <c r="H466" s="244"/>
      <c r="I466" s="244"/>
      <c r="J466" s="245"/>
      <c r="K466" s="190" t="s">
        <v>1513</v>
      </c>
      <c r="L466" s="209"/>
      <c r="M466" s="190"/>
      <c r="N466" s="186" t="s">
        <v>11</v>
      </c>
      <c r="O466" s="195" t="str">
        <f t="shared" si="17"/>
        <v>OB21177</v>
      </c>
      <c r="P466" s="254"/>
      <c r="Q466" s="255"/>
      <c r="R466" s="255"/>
      <c r="S466" s="256"/>
      <c r="T466" s="190"/>
      <c r="U466" s="191"/>
      <c r="V466" s="909"/>
      <c r="W466" s="909"/>
      <c r="X466" s="187"/>
      <c r="Y466" s="182"/>
      <c r="Z466" s="182"/>
      <c r="AA466" s="182"/>
      <c r="AB466" s="182"/>
      <c r="AC466" s="210"/>
      <c r="AD466" s="182"/>
      <c r="AE466" s="182"/>
      <c r="AF466" s="211"/>
    </row>
    <row r="467" spans="2:32" ht="17.25" customHeight="1">
      <c r="B467" s="180">
        <v>120</v>
      </c>
      <c r="C467" s="811"/>
      <c r="D467" s="765"/>
      <c r="E467" s="186" t="s">
        <v>10</v>
      </c>
      <c r="F467" s="187" t="str">
        <f t="shared" si="16"/>
        <v>IB21178</v>
      </c>
      <c r="G467" s="249" t="s">
        <v>756</v>
      </c>
      <c r="H467" s="250"/>
      <c r="I467" s="250"/>
      <c r="J467" s="251"/>
      <c r="K467" s="190" t="s">
        <v>1513</v>
      </c>
      <c r="L467" s="209"/>
      <c r="M467" s="190"/>
      <c r="N467" s="186" t="s">
        <v>11</v>
      </c>
      <c r="O467" s="195" t="str">
        <f t="shared" si="17"/>
        <v>OB21178</v>
      </c>
      <c r="P467" s="254"/>
      <c r="Q467" s="255"/>
      <c r="R467" s="255"/>
      <c r="S467" s="256"/>
      <c r="T467" s="190"/>
      <c r="U467" s="191"/>
      <c r="V467" s="909"/>
      <c r="W467" s="909"/>
      <c r="X467" s="187"/>
      <c r="Y467" s="182"/>
      <c r="Z467" s="182"/>
      <c r="AA467" s="182"/>
      <c r="AB467" s="182"/>
      <c r="AC467" s="210"/>
      <c r="AD467" s="182"/>
      <c r="AE467" s="182"/>
      <c r="AF467" s="211"/>
    </row>
    <row r="468" spans="2:32" ht="17.25" customHeight="1">
      <c r="B468" s="180">
        <v>121</v>
      </c>
      <c r="C468" s="811"/>
      <c r="D468" s="765"/>
      <c r="E468" s="186" t="s">
        <v>10</v>
      </c>
      <c r="F468" s="187" t="str">
        <f t="shared" si="16"/>
        <v>IB21179</v>
      </c>
      <c r="G468" s="249" t="s">
        <v>757</v>
      </c>
      <c r="H468" s="250"/>
      <c r="I468" s="250"/>
      <c r="J468" s="251"/>
      <c r="K468" s="190" t="s">
        <v>1513</v>
      </c>
      <c r="L468" s="209"/>
      <c r="M468" s="190"/>
      <c r="N468" s="186" t="s">
        <v>11</v>
      </c>
      <c r="O468" s="195" t="str">
        <f t="shared" si="17"/>
        <v>OB21179</v>
      </c>
      <c r="P468" s="254"/>
      <c r="Q468" s="255"/>
      <c r="R468" s="255"/>
      <c r="S468" s="256"/>
      <c r="T468" s="190"/>
      <c r="U468" s="191"/>
      <c r="V468" s="909"/>
      <c r="W468" s="909"/>
      <c r="X468" s="187"/>
      <c r="Y468" s="182"/>
      <c r="Z468" s="182"/>
      <c r="AA468" s="182"/>
      <c r="AB468" s="182"/>
      <c r="AC468" s="210"/>
      <c r="AD468" s="182"/>
      <c r="AE468" s="182"/>
      <c r="AF468" s="211"/>
    </row>
    <row r="469" spans="2:32" ht="17.25" customHeight="1">
      <c r="B469" s="180">
        <v>122</v>
      </c>
      <c r="C469" s="811"/>
      <c r="D469" s="765"/>
      <c r="E469" s="186" t="s">
        <v>10</v>
      </c>
      <c r="F469" s="187" t="str">
        <f t="shared" si="16"/>
        <v>IB2117A</v>
      </c>
      <c r="G469" s="249" t="s">
        <v>758</v>
      </c>
      <c r="H469" s="250"/>
      <c r="I469" s="250"/>
      <c r="J469" s="251"/>
      <c r="K469" s="213" t="s">
        <v>1513</v>
      </c>
      <c r="L469" s="209"/>
      <c r="M469" s="190"/>
      <c r="N469" s="186" t="s">
        <v>11</v>
      </c>
      <c r="O469" s="195" t="str">
        <f t="shared" si="17"/>
        <v>OB2117A</v>
      </c>
      <c r="P469" s="254"/>
      <c r="Q469" s="255"/>
      <c r="R469" s="255"/>
      <c r="S469" s="256"/>
      <c r="T469" s="190"/>
      <c r="U469" s="191"/>
      <c r="V469" s="909"/>
      <c r="W469" s="909"/>
      <c r="X469" s="187"/>
      <c r="Y469" s="182"/>
      <c r="Z469" s="182"/>
      <c r="AA469" s="182"/>
      <c r="AB469" s="182"/>
      <c r="AC469" s="210"/>
      <c r="AD469" s="182"/>
      <c r="AE469" s="182"/>
      <c r="AF469" s="211"/>
    </row>
    <row r="470" spans="2:32" ht="17.25" customHeight="1">
      <c r="B470" s="180">
        <v>123</v>
      </c>
      <c r="C470" s="811"/>
      <c r="D470" s="765"/>
      <c r="E470" s="186" t="s">
        <v>10</v>
      </c>
      <c r="F470" s="187" t="str">
        <f t="shared" si="16"/>
        <v>IB2117B</v>
      </c>
      <c r="G470" s="249" t="s">
        <v>759</v>
      </c>
      <c r="H470" s="250"/>
      <c r="I470" s="250"/>
      <c r="J470" s="251"/>
      <c r="K470" s="213" t="s">
        <v>1513</v>
      </c>
      <c r="L470" s="209"/>
      <c r="M470" s="190"/>
      <c r="N470" s="186" t="s">
        <v>11</v>
      </c>
      <c r="O470" s="195" t="str">
        <f t="shared" si="17"/>
        <v>OB2117B</v>
      </c>
      <c r="P470" s="254"/>
      <c r="Q470" s="255"/>
      <c r="R470" s="255"/>
      <c r="S470" s="256"/>
      <c r="T470" s="190"/>
      <c r="U470" s="191"/>
      <c r="V470" s="909"/>
      <c r="W470" s="909"/>
      <c r="X470" s="187"/>
      <c r="Y470" s="182"/>
      <c r="Z470" s="182"/>
      <c r="AA470" s="182"/>
      <c r="AB470" s="182"/>
      <c r="AC470" s="210"/>
      <c r="AD470" s="182"/>
      <c r="AE470" s="182"/>
      <c r="AF470" s="211"/>
    </row>
    <row r="471" spans="2:32" ht="17.25" customHeight="1">
      <c r="B471" s="180">
        <v>124</v>
      </c>
      <c r="C471" s="811"/>
      <c r="D471" s="765"/>
      <c r="E471" s="186" t="s">
        <v>10</v>
      </c>
      <c r="F471" s="187" t="str">
        <f t="shared" si="16"/>
        <v>IB2117C</v>
      </c>
      <c r="G471" s="108" t="s">
        <v>738</v>
      </c>
      <c r="H471" s="250"/>
      <c r="I471" s="250"/>
      <c r="J471" s="251"/>
      <c r="K471" s="213" t="s">
        <v>1513</v>
      </c>
      <c r="L471" s="209"/>
      <c r="M471" s="190"/>
      <c r="N471" s="186" t="s">
        <v>11</v>
      </c>
      <c r="O471" s="195" t="str">
        <f t="shared" si="17"/>
        <v>OB2117C</v>
      </c>
      <c r="P471" s="254"/>
      <c r="Q471" s="255"/>
      <c r="R471" s="255"/>
      <c r="S471" s="256"/>
      <c r="T471" s="190"/>
      <c r="U471" s="191"/>
      <c r="V471" s="909"/>
      <c r="W471" s="909"/>
      <c r="X471" s="187"/>
      <c r="Y471" s="182"/>
      <c r="Z471" s="182"/>
      <c r="AA471" s="182"/>
      <c r="AB471" s="182"/>
      <c r="AC471" s="210"/>
      <c r="AD471" s="182"/>
      <c r="AE471" s="182"/>
      <c r="AF471" s="211"/>
    </row>
    <row r="472" spans="2:32" ht="17.25" customHeight="1">
      <c r="B472" s="180">
        <v>125</v>
      </c>
      <c r="C472" s="811"/>
      <c r="D472" s="765"/>
      <c r="E472" s="186" t="s">
        <v>10</v>
      </c>
      <c r="F472" s="187" t="str">
        <f t="shared" si="16"/>
        <v>IB2117D</v>
      </c>
      <c r="G472" s="108" t="s">
        <v>739</v>
      </c>
      <c r="H472" s="250"/>
      <c r="I472" s="250"/>
      <c r="J472" s="251"/>
      <c r="K472" s="213" t="s">
        <v>1513</v>
      </c>
      <c r="L472" s="209"/>
      <c r="M472" s="190"/>
      <c r="N472" s="186" t="s">
        <v>11</v>
      </c>
      <c r="O472" s="195" t="str">
        <f t="shared" si="17"/>
        <v>OB2117D</v>
      </c>
      <c r="P472" s="254"/>
      <c r="Q472" s="255"/>
      <c r="R472" s="255"/>
      <c r="S472" s="256"/>
      <c r="T472" s="190"/>
      <c r="U472" s="191"/>
      <c r="V472" s="909"/>
      <c r="W472" s="909"/>
      <c r="X472" s="187"/>
      <c r="Y472" s="182"/>
      <c r="Z472" s="182"/>
      <c r="AA472" s="182"/>
      <c r="AB472" s="182"/>
      <c r="AC472" s="210"/>
      <c r="AD472" s="182"/>
      <c r="AE472" s="182"/>
      <c r="AF472" s="211"/>
    </row>
    <row r="473" spans="2:32" ht="17.25" customHeight="1">
      <c r="B473" s="180">
        <v>126</v>
      </c>
      <c r="C473" s="811"/>
      <c r="D473" s="765"/>
      <c r="E473" s="186" t="s">
        <v>10</v>
      </c>
      <c r="F473" s="187" t="str">
        <f t="shared" si="16"/>
        <v>IB2117E</v>
      </c>
      <c r="G473" s="108" t="s">
        <v>740</v>
      </c>
      <c r="H473" s="244"/>
      <c r="I473" s="244"/>
      <c r="J473" s="245"/>
      <c r="K473" s="213" t="s">
        <v>1513</v>
      </c>
      <c r="L473" s="209"/>
      <c r="M473" s="190"/>
      <c r="N473" s="186" t="s">
        <v>11</v>
      </c>
      <c r="O473" s="195" t="str">
        <f t="shared" si="17"/>
        <v>OB2117E</v>
      </c>
      <c r="P473" s="254"/>
      <c r="Q473" s="255"/>
      <c r="R473" s="255"/>
      <c r="S473" s="256"/>
      <c r="T473" s="190"/>
      <c r="U473" s="191"/>
      <c r="V473" s="909"/>
      <c r="W473" s="909"/>
      <c r="X473" s="187"/>
      <c r="Y473" s="182"/>
      <c r="Z473" s="182"/>
      <c r="AA473" s="182"/>
      <c r="AB473" s="182"/>
      <c r="AC473" s="210"/>
      <c r="AD473" s="182"/>
      <c r="AE473" s="182"/>
      <c r="AF473" s="211"/>
    </row>
    <row r="474" spans="2:32" ht="17.25" customHeight="1">
      <c r="B474" s="180">
        <v>127</v>
      </c>
      <c r="C474" s="928"/>
      <c r="D474" s="765"/>
      <c r="E474" s="186" t="s">
        <v>10</v>
      </c>
      <c r="F474" s="187" t="str">
        <f t="shared" si="16"/>
        <v>IB2117F</v>
      </c>
      <c r="G474" s="108" t="s">
        <v>741</v>
      </c>
      <c r="H474" s="244"/>
      <c r="I474" s="244"/>
      <c r="J474" s="245"/>
      <c r="K474" s="213" t="s">
        <v>1513</v>
      </c>
      <c r="L474" s="209"/>
      <c r="M474" s="190"/>
      <c r="N474" s="186" t="s">
        <v>11</v>
      </c>
      <c r="O474" s="195" t="str">
        <f t="shared" si="17"/>
        <v>OB2117F</v>
      </c>
      <c r="P474" s="254"/>
      <c r="Q474" s="255"/>
      <c r="R474" s="255"/>
      <c r="S474" s="256"/>
      <c r="T474" s="190"/>
      <c r="U474" s="191"/>
      <c r="V474" s="909"/>
      <c r="W474" s="909"/>
      <c r="X474" s="187"/>
      <c r="Y474" s="182"/>
      <c r="Z474" s="182"/>
      <c r="AA474" s="182"/>
      <c r="AB474" s="182"/>
      <c r="AC474" s="210"/>
      <c r="AD474" s="182"/>
      <c r="AE474" s="182"/>
      <c r="AF474" s="211"/>
    </row>
    <row r="475" spans="2:32" ht="17.25" customHeight="1">
      <c r="B475" s="180">
        <v>128</v>
      </c>
      <c r="C475" s="927" t="s">
        <v>1567</v>
      </c>
      <c r="D475" s="901" t="s">
        <v>1406</v>
      </c>
      <c r="E475" s="186" t="s">
        <v>10</v>
      </c>
      <c r="F475" s="187" t="str">
        <f t="shared" si="16"/>
        <v>IB21180</v>
      </c>
      <c r="G475" s="108" t="s">
        <v>742</v>
      </c>
      <c r="H475" s="244"/>
      <c r="I475" s="244"/>
      <c r="J475" s="245"/>
      <c r="K475" s="190" t="s">
        <v>1513</v>
      </c>
      <c r="L475" s="209"/>
      <c r="M475" s="190"/>
      <c r="N475" s="186" t="s">
        <v>11</v>
      </c>
      <c r="O475" s="195" t="str">
        <f t="shared" si="17"/>
        <v>OB21180</v>
      </c>
      <c r="P475" s="254"/>
      <c r="Q475" s="255"/>
      <c r="R475" s="255"/>
      <c r="S475" s="256"/>
      <c r="T475" s="190"/>
      <c r="U475" s="191"/>
      <c r="V475" s="909"/>
      <c r="W475" s="909"/>
      <c r="X475" s="187"/>
      <c r="Y475" s="182"/>
      <c r="Z475" s="182"/>
      <c r="AA475" s="182"/>
      <c r="AB475" s="182"/>
      <c r="AC475" s="210"/>
      <c r="AD475" s="182"/>
      <c r="AE475" s="182"/>
      <c r="AF475" s="211"/>
    </row>
    <row r="476" spans="2:32" ht="17.25" customHeight="1">
      <c r="B476" s="180">
        <v>129</v>
      </c>
      <c r="C476" s="811"/>
      <c r="D476" s="765"/>
      <c r="E476" s="186" t="s">
        <v>10</v>
      </c>
      <c r="F476" s="187" t="str">
        <f t="shared" ref="F476:F539" si="18">LEFT(F475,1)&amp;DEC2HEX(HEX2DEC(MID(F475,2,LENB(F475)-1))+1,LENB(F475)-1)</f>
        <v>IB21181</v>
      </c>
      <c r="G476" s="108" t="s">
        <v>743</v>
      </c>
      <c r="H476" s="244"/>
      <c r="I476" s="244"/>
      <c r="J476" s="245"/>
      <c r="K476" s="190" t="s">
        <v>1513</v>
      </c>
      <c r="L476" s="209"/>
      <c r="M476" s="190"/>
      <c r="N476" s="186" t="s">
        <v>11</v>
      </c>
      <c r="O476" s="195" t="str">
        <f t="shared" si="17"/>
        <v>OB21181</v>
      </c>
      <c r="P476" s="254"/>
      <c r="Q476" s="255"/>
      <c r="R476" s="255"/>
      <c r="S476" s="256"/>
      <c r="T476" s="190"/>
      <c r="U476" s="191"/>
      <c r="V476" s="909"/>
      <c r="W476" s="909"/>
      <c r="X476" s="187"/>
      <c r="Y476" s="182"/>
      <c r="Z476" s="182"/>
      <c r="AA476" s="182"/>
      <c r="AB476" s="182"/>
      <c r="AC476" s="210"/>
      <c r="AD476" s="182"/>
      <c r="AE476" s="182"/>
      <c r="AF476" s="211"/>
    </row>
    <row r="477" spans="2:32" ht="17.25" customHeight="1">
      <c r="B477" s="180">
        <v>130</v>
      </c>
      <c r="C477" s="811"/>
      <c r="D477" s="765"/>
      <c r="E477" s="186" t="s">
        <v>10</v>
      </c>
      <c r="F477" s="187" t="str">
        <f t="shared" si="18"/>
        <v>IB21182</v>
      </c>
      <c r="G477" s="108" t="s">
        <v>744</v>
      </c>
      <c r="H477" s="244"/>
      <c r="I477" s="244"/>
      <c r="J477" s="245"/>
      <c r="K477" s="190" t="s">
        <v>1513</v>
      </c>
      <c r="L477" s="209"/>
      <c r="M477" s="190"/>
      <c r="N477" s="186" t="s">
        <v>11</v>
      </c>
      <c r="O477" s="195" t="str">
        <f t="shared" si="17"/>
        <v>OB21182</v>
      </c>
      <c r="P477" s="254"/>
      <c r="Q477" s="255"/>
      <c r="R477" s="255"/>
      <c r="S477" s="256"/>
      <c r="T477" s="190"/>
      <c r="U477" s="191"/>
      <c r="V477" s="909"/>
      <c r="W477" s="909"/>
      <c r="X477" s="187"/>
      <c r="Y477" s="182"/>
      <c r="Z477" s="182"/>
      <c r="AA477" s="182"/>
      <c r="AB477" s="182"/>
      <c r="AC477" s="210"/>
      <c r="AD477" s="182"/>
      <c r="AE477" s="182"/>
      <c r="AF477" s="211"/>
    </row>
    <row r="478" spans="2:32" ht="17.25" customHeight="1">
      <c r="B478" s="180">
        <v>131</v>
      </c>
      <c r="C478" s="811"/>
      <c r="D478" s="765"/>
      <c r="E478" s="186" t="s">
        <v>10</v>
      </c>
      <c r="F478" s="187" t="str">
        <f t="shared" si="18"/>
        <v>IB21183</v>
      </c>
      <c r="G478" s="108" t="s">
        <v>745</v>
      </c>
      <c r="H478" s="244"/>
      <c r="I478" s="244"/>
      <c r="J478" s="245"/>
      <c r="K478" s="213" t="s">
        <v>1513</v>
      </c>
      <c r="L478" s="209"/>
      <c r="M478" s="190"/>
      <c r="N478" s="186" t="s">
        <v>11</v>
      </c>
      <c r="O478" s="195" t="str">
        <f t="shared" si="17"/>
        <v>OB21183</v>
      </c>
      <c r="P478" s="254"/>
      <c r="Q478" s="255"/>
      <c r="R478" s="255"/>
      <c r="S478" s="256"/>
      <c r="T478" s="190"/>
      <c r="U478" s="191"/>
      <c r="V478" s="909"/>
      <c r="W478" s="909"/>
      <c r="X478" s="187"/>
      <c r="Y478" s="182"/>
      <c r="Z478" s="182"/>
      <c r="AA478" s="182"/>
      <c r="AB478" s="182"/>
      <c r="AC478" s="210"/>
      <c r="AD478" s="182"/>
      <c r="AE478" s="182"/>
      <c r="AF478" s="211"/>
    </row>
    <row r="479" spans="2:32" ht="17.25" customHeight="1">
      <c r="B479" s="180">
        <v>132</v>
      </c>
      <c r="C479" s="811"/>
      <c r="D479" s="765"/>
      <c r="E479" s="186" t="s">
        <v>10</v>
      </c>
      <c r="F479" s="187" t="str">
        <f t="shared" si="18"/>
        <v>IB21184</v>
      </c>
      <c r="G479" s="108" t="s">
        <v>746</v>
      </c>
      <c r="H479" s="244"/>
      <c r="I479" s="244"/>
      <c r="J479" s="245"/>
      <c r="K479" s="213" t="s">
        <v>1513</v>
      </c>
      <c r="L479" s="209"/>
      <c r="M479" s="190"/>
      <c r="N479" s="186" t="s">
        <v>11</v>
      </c>
      <c r="O479" s="195" t="str">
        <f t="shared" si="17"/>
        <v>OB21184</v>
      </c>
      <c r="P479" s="254"/>
      <c r="Q479" s="255"/>
      <c r="R479" s="255"/>
      <c r="S479" s="256"/>
      <c r="T479" s="190"/>
      <c r="U479" s="191"/>
      <c r="V479" s="909"/>
      <c r="W479" s="909"/>
      <c r="X479" s="187"/>
      <c r="Y479" s="182"/>
      <c r="Z479" s="182"/>
      <c r="AA479" s="182"/>
      <c r="AB479" s="182"/>
      <c r="AC479" s="210"/>
      <c r="AD479" s="182"/>
      <c r="AE479" s="182"/>
      <c r="AF479" s="211"/>
    </row>
    <row r="480" spans="2:32" ht="17.25" customHeight="1">
      <c r="B480" s="180">
        <v>133</v>
      </c>
      <c r="C480" s="811"/>
      <c r="D480" s="765"/>
      <c r="E480" s="186" t="s">
        <v>10</v>
      </c>
      <c r="F480" s="187" t="str">
        <f t="shared" si="18"/>
        <v>IB21185</v>
      </c>
      <c r="G480" s="108" t="s">
        <v>747</v>
      </c>
      <c r="H480" s="244"/>
      <c r="I480" s="244"/>
      <c r="J480" s="245"/>
      <c r="K480" s="213" t="s">
        <v>1513</v>
      </c>
      <c r="L480" s="209"/>
      <c r="M480" s="190"/>
      <c r="N480" s="186" t="s">
        <v>11</v>
      </c>
      <c r="O480" s="195" t="str">
        <f t="shared" si="17"/>
        <v>OB21185</v>
      </c>
      <c r="P480" s="254"/>
      <c r="Q480" s="255"/>
      <c r="R480" s="255"/>
      <c r="S480" s="256"/>
      <c r="T480" s="190"/>
      <c r="U480" s="191"/>
      <c r="V480" s="909"/>
      <c r="W480" s="909"/>
      <c r="X480" s="187"/>
      <c r="Y480" s="182"/>
      <c r="Z480" s="182"/>
      <c r="AA480" s="182"/>
      <c r="AB480" s="182"/>
      <c r="AC480" s="210"/>
      <c r="AD480" s="182"/>
      <c r="AE480" s="182"/>
      <c r="AF480" s="211"/>
    </row>
    <row r="481" spans="2:32" ht="17.25" customHeight="1">
      <c r="B481" s="180">
        <v>134</v>
      </c>
      <c r="C481" s="811"/>
      <c r="D481" s="765"/>
      <c r="E481" s="186" t="s">
        <v>10</v>
      </c>
      <c r="F481" s="187" t="str">
        <f t="shared" si="18"/>
        <v>IB21186</v>
      </c>
      <c r="G481" s="108" t="s">
        <v>748</v>
      </c>
      <c r="H481" s="244"/>
      <c r="I481" s="244"/>
      <c r="J481" s="245"/>
      <c r="K481" s="213" t="s">
        <v>1513</v>
      </c>
      <c r="L481" s="209"/>
      <c r="M481" s="190"/>
      <c r="N481" s="186" t="s">
        <v>11</v>
      </c>
      <c r="O481" s="195" t="str">
        <f t="shared" si="17"/>
        <v>OB21186</v>
      </c>
      <c r="P481" s="254"/>
      <c r="Q481" s="255"/>
      <c r="R481" s="255"/>
      <c r="S481" s="256"/>
      <c r="T481" s="190"/>
      <c r="U481" s="191"/>
      <c r="V481" s="909"/>
      <c r="W481" s="909"/>
      <c r="X481" s="187"/>
      <c r="Y481" s="182"/>
      <c r="Z481" s="182"/>
      <c r="AA481" s="182"/>
      <c r="AB481" s="182"/>
      <c r="AC481" s="210"/>
      <c r="AD481" s="182"/>
      <c r="AE481" s="182"/>
      <c r="AF481" s="211"/>
    </row>
    <row r="482" spans="2:32" ht="17.25" customHeight="1">
      <c r="B482" s="180">
        <v>135</v>
      </c>
      <c r="C482" s="811"/>
      <c r="D482" s="765"/>
      <c r="E482" s="186" t="s">
        <v>10</v>
      </c>
      <c r="F482" s="187" t="str">
        <f t="shared" si="18"/>
        <v>IB21187</v>
      </c>
      <c r="G482" s="108" t="s">
        <v>749</v>
      </c>
      <c r="H482" s="244"/>
      <c r="I482" s="244"/>
      <c r="J482" s="245"/>
      <c r="K482" s="216" t="s">
        <v>1513</v>
      </c>
      <c r="L482" s="209"/>
      <c r="M482" s="190"/>
      <c r="N482" s="186" t="s">
        <v>11</v>
      </c>
      <c r="O482" s="195" t="str">
        <f t="shared" si="17"/>
        <v>OB21187</v>
      </c>
      <c r="P482" s="254"/>
      <c r="Q482" s="255"/>
      <c r="R482" s="255"/>
      <c r="S482" s="256"/>
      <c r="T482" s="190"/>
      <c r="U482" s="191"/>
      <c r="V482" s="909"/>
      <c r="W482" s="909"/>
      <c r="X482" s="187"/>
      <c r="Y482" s="182"/>
      <c r="Z482" s="182"/>
      <c r="AA482" s="182"/>
      <c r="AB482" s="182"/>
      <c r="AC482" s="210"/>
      <c r="AD482" s="182"/>
      <c r="AE482" s="182"/>
      <c r="AF482" s="211"/>
    </row>
    <row r="483" spans="2:32" ht="17.25" customHeight="1">
      <c r="B483" s="180">
        <v>136</v>
      </c>
      <c r="C483" s="811"/>
      <c r="D483" s="765"/>
      <c r="E483" s="186" t="s">
        <v>10</v>
      </c>
      <c r="F483" s="187" t="str">
        <f t="shared" si="18"/>
        <v>IB21188</v>
      </c>
      <c r="G483" s="108" t="s">
        <v>750</v>
      </c>
      <c r="H483" s="244"/>
      <c r="I483" s="244"/>
      <c r="J483" s="245"/>
      <c r="K483" s="190" t="s">
        <v>1513</v>
      </c>
      <c r="L483" s="209"/>
      <c r="M483" s="190"/>
      <c r="N483" s="186" t="s">
        <v>11</v>
      </c>
      <c r="O483" s="195" t="str">
        <f t="shared" si="17"/>
        <v>OB21188</v>
      </c>
      <c r="P483" s="254"/>
      <c r="Q483" s="255"/>
      <c r="R483" s="255"/>
      <c r="S483" s="256"/>
      <c r="T483" s="190"/>
      <c r="U483" s="191"/>
      <c r="V483" s="909"/>
      <c r="W483" s="909"/>
      <c r="X483" s="187"/>
      <c r="Y483" s="182"/>
      <c r="Z483" s="182"/>
      <c r="AA483" s="182"/>
      <c r="AB483" s="182"/>
      <c r="AC483" s="210"/>
      <c r="AD483" s="182"/>
      <c r="AE483" s="182"/>
      <c r="AF483" s="211"/>
    </row>
    <row r="484" spans="2:32" ht="17.25" customHeight="1">
      <c r="B484" s="180">
        <v>137</v>
      </c>
      <c r="C484" s="811"/>
      <c r="D484" s="765"/>
      <c r="E484" s="186" t="s">
        <v>10</v>
      </c>
      <c r="F484" s="187" t="str">
        <f t="shared" si="18"/>
        <v>IB21189</v>
      </c>
      <c r="G484" s="108" t="s">
        <v>751</v>
      </c>
      <c r="H484" s="244"/>
      <c r="I484" s="244"/>
      <c r="J484" s="245"/>
      <c r="K484" s="190" t="s">
        <v>1513</v>
      </c>
      <c r="L484" s="209"/>
      <c r="M484" s="190"/>
      <c r="N484" s="186" t="s">
        <v>11</v>
      </c>
      <c r="O484" s="195" t="str">
        <f t="shared" si="17"/>
        <v>OB21189</v>
      </c>
      <c r="P484" s="254"/>
      <c r="Q484" s="255"/>
      <c r="R484" s="255"/>
      <c r="S484" s="256"/>
      <c r="T484" s="190"/>
      <c r="U484" s="191"/>
      <c r="V484" s="909"/>
      <c r="W484" s="909"/>
      <c r="X484" s="187"/>
      <c r="Y484" s="182"/>
      <c r="Z484" s="182"/>
      <c r="AA484" s="182"/>
      <c r="AB484" s="182"/>
      <c r="AC484" s="210"/>
      <c r="AD484" s="182"/>
      <c r="AE484" s="182"/>
      <c r="AF484" s="211"/>
    </row>
    <row r="485" spans="2:32" ht="17.25" customHeight="1">
      <c r="B485" s="180">
        <v>138</v>
      </c>
      <c r="C485" s="811"/>
      <c r="D485" s="765"/>
      <c r="E485" s="186" t="s">
        <v>10</v>
      </c>
      <c r="F485" s="187" t="str">
        <f t="shared" si="18"/>
        <v>IB2118A</v>
      </c>
      <c r="G485" s="108" t="s">
        <v>752</v>
      </c>
      <c r="H485" s="244"/>
      <c r="I485" s="244"/>
      <c r="J485" s="245"/>
      <c r="K485" s="190" t="s">
        <v>1513</v>
      </c>
      <c r="L485" s="209"/>
      <c r="M485" s="190"/>
      <c r="N485" s="186" t="s">
        <v>11</v>
      </c>
      <c r="O485" s="195" t="str">
        <f t="shared" si="17"/>
        <v>OB2118A</v>
      </c>
      <c r="P485" s="254"/>
      <c r="Q485" s="255"/>
      <c r="R485" s="255"/>
      <c r="S485" s="256"/>
      <c r="T485" s="190"/>
      <c r="U485" s="191"/>
      <c r="V485" s="909"/>
      <c r="W485" s="909"/>
      <c r="X485" s="187"/>
      <c r="Y485" s="182"/>
      <c r="Z485" s="182"/>
      <c r="AA485" s="182"/>
      <c r="AB485" s="182"/>
      <c r="AC485" s="210"/>
      <c r="AD485" s="182"/>
      <c r="AE485" s="182"/>
      <c r="AF485" s="211"/>
    </row>
    <row r="486" spans="2:32" ht="17.25" customHeight="1">
      <c r="B486" s="180">
        <v>139</v>
      </c>
      <c r="C486" s="811"/>
      <c r="D486" s="765"/>
      <c r="E486" s="186" t="s">
        <v>10</v>
      </c>
      <c r="F486" s="187" t="str">
        <f t="shared" si="18"/>
        <v>IB2118B</v>
      </c>
      <c r="G486" s="108" t="s">
        <v>753</v>
      </c>
      <c r="H486" s="244"/>
      <c r="I486" s="244"/>
      <c r="J486" s="245"/>
      <c r="K486" s="190" t="s">
        <v>1513</v>
      </c>
      <c r="L486" s="209"/>
      <c r="M486" s="190"/>
      <c r="N486" s="186" t="s">
        <v>11</v>
      </c>
      <c r="O486" s="195" t="str">
        <f t="shared" si="17"/>
        <v>OB2118B</v>
      </c>
      <c r="P486" s="254"/>
      <c r="Q486" s="255"/>
      <c r="R486" s="255"/>
      <c r="S486" s="256"/>
      <c r="T486" s="190"/>
      <c r="U486" s="191"/>
      <c r="V486" s="909"/>
      <c r="W486" s="909"/>
      <c r="X486" s="187"/>
      <c r="Y486" s="182"/>
      <c r="Z486" s="182"/>
      <c r="AA486" s="182"/>
      <c r="AB486" s="182"/>
      <c r="AC486" s="210"/>
      <c r="AD486" s="182"/>
      <c r="AE486" s="182"/>
      <c r="AF486" s="211"/>
    </row>
    <row r="487" spans="2:32" ht="17.25" customHeight="1">
      <c r="B487" s="180">
        <v>140</v>
      </c>
      <c r="C487" s="811"/>
      <c r="D487" s="765"/>
      <c r="E487" s="186" t="s">
        <v>10</v>
      </c>
      <c r="F487" s="187" t="str">
        <f t="shared" si="18"/>
        <v>IB2118C</v>
      </c>
      <c r="G487" s="108" t="s">
        <v>754</v>
      </c>
      <c r="H487" s="244"/>
      <c r="I487" s="244"/>
      <c r="J487" s="245"/>
      <c r="K487" s="190" t="s">
        <v>1513</v>
      </c>
      <c r="L487" s="209"/>
      <c r="M487" s="190"/>
      <c r="N487" s="186" t="s">
        <v>11</v>
      </c>
      <c r="O487" s="195" t="str">
        <f t="shared" si="17"/>
        <v>OB2118C</v>
      </c>
      <c r="P487" s="254"/>
      <c r="Q487" s="255"/>
      <c r="R487" s="255"/>
      <c r="S487" s="256"/>
      <c r="T487" s="190"/>
      <c r="U487" s="191"/>
      <c r="V487" s="909"/>
      <c r="W487" s="909"/>
      <c r="X487" s="187"/>
      <c r="Y487" s="182"/>
      <c r="Z487" s="182"/>
      <c r="AA487" s="182"/>
      <c r="AB487" s="182"/>
      <c r="AC487" s="210"/>
      <c r="AD487" s="182"/>
      <c r="AE487" s="182"/>
      <c r="AF487" s="211"/>
    </row>
    <row r="488" spans="2:32" ht="17.25" customHeight="1">
      <c r="B488" s="180">
        <v>141</v>
      </c>
      <c r="C488" s="811"/>
      <c r="D488" s="765"/>
      <c r="E488" s="186" t="s">
        <v>10</v>
      </c>
      <c r="F488" s="187" t="str">
        <f t="shared" si="18"/>
        <v>IB2118D</v>
      </c>
      <c r="G488" s="108" t="s">
        <v>755</v>
      </c>
      <c r="H488" s="244"/>
      <c r="I488" s="244"/>
      <c r="J488" s="245"/>
      <c r="K488" s="190" t="s">
        <v>1513</v>
      </c>
      <c r="L488" s="209"/>
      <c r="M488" s="190"/>
      <c r="N488" s="186" t="s">
        <v>11</v>
      </c>
      <c r="O488" s="195" t="str">
        <f t="shared" si="17"/>
        <v>OB2118D</v>
      </c>
      <c r="P488" s="254"/>
      <c r="Q488" s="255"/>
      <c r="R488" s="255"/>
      <c r="S488" s="256"/>
      <c r="T488" s="190"/>
      <c r="U488" s="191"/>
      <c r="V488" s="909"/>
      <c r="W488" s="909"/>
      <c r="X488" s="187"/>
      <c r="Y488" s="182"/>
      <c r="Z488" s="182"/>
      <c r="AA488" s="182"/>
      <c r="AB488" s="182"/>
      <c r="AC488" s="210"/>
      <c r="AD488" s="182"/>
      <c r="AE488" s="182"/>
      <c r="AF488" s="211"/>
    </row>
    <row r="489" spans="2:32" ht="17.25" customHeight="1">
      <c r="B489" s="180">
        <v>142</v>
      </c>
      <c r="C489" s="811"/>
      <c r="D489" s="765"/>
      <c r="E489" s="186" t="s">
        <v>10</v>
      </c>
      <c r="F489" s="187" t="str">
        <f t="shared" si="18"/>
        <v>IB2118E</v>
      </c>
      <c r="G489" s="249"/>
      <c r="H489" s="250"/>
      <c r="I489" s="250"/>
      <c r="J489" s="251"/>
      <c r="K489" s="190"/>
      <c r="L489" s="209"/>
      <c r="M489" s="190"/>
      <c r="N489" s="186" t="s">
        <v>11</v>
      </c>
      <c r="O489" s="195" t="str">
        <f t="shared" si="17"/>
        <v>OB2118E</v>
      </c>
      <c r="P489" s="254"/>
      <c r="Q489" s="255"/>
      <c r="R489" s="255"/>
      <c r="S489" s="256"/>
      <c r="T489" s="190"/>
      <c r="U489" s="191"/>
      <c r="V489" s="909"/>
      <c r="W489" s="909"/>
      <c r="X489" s="187"/>
      <c r="Y489" s="182"/>
      <c r="Z489" s="182"/>
      <c r="AA489" s="182"/>
      <c r="AB489" s="182"/>
      <c r="AC489" s="210"/>
      <c r="AD489" s="182"/>
      <c r="AE489" s="182"/>
      <c r="AF489" s="211"/>
    </row>
    <row r="490" spans="2:32" ht="17.25" customHeight="1">
      <c r="B490" s="180">
        <v>143</v>
      </c>
      <c r="C490" s="928"/>
      <c r="D490" s="765"/>
      <c r="E490" s="186" t="s">
        <v>10</v>
      </c>
      <c r="F490" s="187" t="str">
        <f t="shared" si="18"/>
        <v>IB2118F</v>
      </c>
      <c r="G490" s="243"/>
      <c r="H490" s="244"/>
      <c r="I490" s="244"/>
      <c r="J490" s="245"/>
      <c r="K490" s="216"/>
      <c r="L490" s="209"/>
      <c r="M490" s="190"/>
      <c r="N490" s="186" t="s">
        <v>11</v>
      </c>
      <c r="O490" s="195" t="str">
        <f t="shared" si="17"/>
        <v>OB2118F</v>
      </c>
      <c r="P490" s="254"/>
      <c r="Q490" s="255"/>
      <c r="R490" s="255"/>
      <c r="S490" s="256"/>
      <c r="T490" s="190"/>
      <c r="U490" s="191"/>
      <c r="V490" s="909"/>
      <c r="W490" s="909"/>
      <c r="X490" s="187"/>
      <c r="Y490" s="182"/>
      <c r="Z490" s="182"/>
      <c r="AA490" s="182"/>
      <c r="AB490" s="182"/>
      <c r="AC490" s="210"/>
      <c r="AD490" s="182"/>
      <c r="AE490" s="182"/>
      <c r="AF490" s="211"/>
    </row>
    <row r="491" spans="2:32" ht="17.25" customHeight="1">
      <c r="B491" s="180">
        <v>144</v>
      </c>
      <c r="C491" s="925" t="s">
        <v>1568</v>
      </c>
      <c r="D491" s="901" t="s">
        <v>1406</v>
      </c>
      <c r="E491" s="186" t="s">
        <v>10</v>
      </c>
      <c r="F491" s="187" t="str">
        <f t="shared" si="18"/>
        <v>IB21190</v>
      </c>
      <c r="G491" s="271"/>
      <c r="H491" s="272"/>
      <c r="I491" s="272"/>
      <c r="J491" s="273"/>
      <c r="K491" s="190"/>
      <c r="L491" s="209"/>
      <c r="M491" s="190"/>
      <c r="N491" s="186" t="s">
        <v>11</v>
      </c>
      <c r="O491" s="195" t="str">
        <f t="shared" si="17"/>
        <v>OB21190</v>
      </c>
      <c r="P491" s="463" t="s">
        <v>855</v>
      </c>
      <c r="Q491" s="250"/>
      <c r="R491" s="250"/>
      <c r="S491" s="251"/>
      <c r="T491" s="190" t="s">
        <v>1513</v>
      </c>
      <c r="U491" s="191"/>
      <c r="V491" s="909"/>
      <c r="W491" s="909"/>
      <c r="X491" s="187"/>
      <c r="Y491" s="182"/>
      <c r="Z491" s="182"/>
      <c r="AA491" s="182"/>
      <c r="AB491" s="182"/>
      <c r="AC491" s="210"/>
      <c r="AD491" s="182"/>
      <c r="AE491" s="182"/>
      <c r="AF491" s="211"/>
    </row>
    <row r="492" spans="2:32" ht="17.25" customHeight="1">
      <c r="B492" s="180">
        <v>145</v>
      </c>
      <c r="C492" s="816"/>
      <c r="D492" s="765"/>
      <c r="E492" s="186" t="s">
        <v>10</v>
      </c>
      <c r="F492" s="187" t="str">
        <f t="shared" si="18"/>
        <v>IB21191</v>
      </c>
      <c r="G492" s="271"/>
      <c r="H492" s="272"/>
      <c r="I492" s="272"/>
      <c r="J492" s="273"/>
      <c r="K492" s="190"/>
      <c r="L492" s="209"/>
      <c r="M492" s="190"/>
      <c r="N492" s="186" t="s">
        <v>11</v>
      </c>
      <c r="O492" s="195" t="str">
        <f t="shared" si="17"/>
        <v>OB21191</v>
      </c>
      <c r="P492" s="463" t="s">
        <v>856</v>
      </c>
      <c r="Q492" s="250"/>
      <c r="R492" s="250"/>
      <c r="S492" s="251"/>
      <c r="T492" s="190" t="s">
        <v>1513</v>
      </c>
      <c r="U492" s="191"/>
      <c r="V492" s="909"/>
      <c r="W492" s="909"/>
      <c r="X492" s="187"/>
      <c r="Y492" s="182"/>
      <c r="Z492" s="182"/>
      <c r="AA492" s="182"/>
      <c r="AB492" s="182"/>
      <c r="AC492" s="210"/>
      <c r="AD492" s="182"/>
      <c r="AE492" s="182"/>
      <c r="AF492" s="211"/>
    </row>
    <row r="493" spans="2:32" ht="17.25" customHeight="1">
      <c r="B493" s="180">
        <v>146</v>
      </c>
      <c r="C493" s="816"/>
      <c r="D493" s="765"/>
      <c r="E493" s="186" t="s">
        <v>10</v>
      </c>
      <c r="F493" s="187" t="str">
        <f t="shared" si="18"/>
        <v>IB21192</v>
      </c>
      <c r="G493" s="271"/>
      <c r="H493" s="272"/>
      <c r="I493" s="272"/>
      <c r="J493" s="273"/>
      <c r="K493" s="190"/>
      <c r="L493" s="209"/>
      <c r="M493" s="190"/>
      <c r="N493" s="186" t="s">
        <v>11</v>
      </c>
      <c r="O493" s="195" t="str">
        <f t="shared" si="17"/>
        <v>OB21192</v>
      </c>
      <c r="P493" s="463" t="s">
        <v>857</v>
      </c>
      <c r="Q493" s="250"/>
      <c r="R493" s="250"/>
      <c r="S493" s="251"/>
      <c r="T493" s="190" t="s">
        <v>1513</v>
      </c>
      <c r="U493" s="191"/>
      <c r="V493" s="909"/>
      <c r="W493" s="909"/>
      <c r="X493" s="187"/>
      <c r="Y493" s="182"/>
      <c r="Z493" s="182"/>
      <c r="AA493" s="182"/>
      <c r="AB493" s="182"/>
      <c r="AC493" s="210"/>
      <c r="AD493" s="182"/>
      <c r="AE493" s="182"/>
      <c r="AF493" s="211"/>
    </row>
    <row r="494" spans="2:32" ht="17.25" customHeight="1">
      <c r="B494" s="180">
        <v>147</v>
      </c>
      <c r="C494" s="816"/>
      <c r="D494" s="765"/>
      <c r="E494" s="186" t="s">
        <v>10</v>
      </c>
      <c r="F494" s="187" t="str">
        <f t="shared" si="18"/>
        <v>IB21193</v>
      </c>
      <c r="G494" s="271"/>
      <c r="H494" s="272"/>
      <c r="I494" s="272"/>
      <c r="J494" s="273"/>
      <c r="K494" s="190"/>
      <c r="L494" s="209"/>
      <c r="M494" s="190"/>
      <c r="N494" s="186" t="s">
        <v>11</v>
      </c>
      <c r="O494" s="195" t="str">
        <f t="shared" si="17"/>
        <v>OB21193</v>
      </c>
      <c r="P494" s="463" t="s">
        <v>858</v>
      </c>
      <c r="Q494" s="250"/>
      <c r="R494" s="250"/>
      <c r="S494" s="251"/>
      <c r="T494" s="190" t="s">
        <v>1513</v>
      </c>
      <c r="U494" s="191"/>
      <c r="V494" s="909"/>
      <c r="W494" s="909"/>
      <c r="X494" s="187"/>
      <c r="Y494" s="182"/>
      <c r="Z494" s="182"/>
      <c r="AA494" s="182"/>
      <c r="AB494" s="182"/>
      <c r="AC494" s="210"/>
      <c r="AD494" s="182"/>
      <c r="AE494" s="182"/>
      <c r="AF494" s="211"/>
    </row>
    <row r="495" spans="2:32" ht="17.25" customHeight="1">
      <c r="B495" s="180">
        <v>148</v>
      </c>
      <c r="C495" s="816"/>
      <c r="D495" s="765"/>
      <c r="E495" s="186" t="s">
        <v>10</v>
      </c>
      <c r="F495" s="187" t="str">
        <f t="shared" si="18"/>
        <v>IB21194</v>
      </c>
      <c r="G495" s="271"/>
      <c r="H495" s="272"/>
      <c r="I495" s="272"/>
      <c r="J495" s="273"/>
      <c r="K495" s="190"/>
      <c r="L495" s="209"/>
      <c r="M495" s="190"/>
      <c r="N495" s="186" t="s">
        <v>11</v>
      </c>
      <c r="O495" s="195" t="str">
        <f t="shared" si="17"/>
        <v>OB21194</v>
      </c>
      <c r="P495" s="463" t="s">
        <v>859</v>
      </c>
      <c r="Q495" s="250"/>
      <c r="R495" s="250"/>
      <c r="S495" s="251"/>
      <c r="T495" s="190" t="s">
        <v>1513</v>
      </c>
      <c r="U495" s="191"/>
      <c r="V495" s="909"/>
      <c r="W495" s="909"/>
      <c r="X495" s="187"/>
      <c r="Y495" s="182"/>
      <c r="Z495" s="182"/>
      <c r="AA495" s="182"/>
      <c r="AB495" s="182"/>
      <c r="AC495" s="210"/>
      <c r="AD495" s="182"/>
      <c r="AE495" s="182"/>
      <c r="AF495" s="211"/>
    </row>
    <row r="496" spans="2:32" ht="17.25" customHeight="1">
      <c r="B496" s="180">
        <v>149</v>
      </c>
      <c r="C496" s="816"/>
      <c r="D496" s="765"/>
      <c r="E496" s="186" t="s">
        <v>10</v>
      </c>
      <c r="F496" s="187" t="str">
        <f t="shared" si="18"/>
        <v>IB21195</v>
      </c>
      <c r="G496" s="271"/>
      <c r="H496" s="272"/>
      <c r="I496" s="272"/>
      <c r="J496" s="273"/>
      <c r="K496" s="190"/>
      <c r="L496" s="209"/>
      <c r="M496" s="190"/>
      <c r="N496" s="186" t="s">
        <v>11</v>
      </c>
      <c r="O496" s="195" t="str">
        <f t="shared" si="17"/>
        <v>OB21195</v>
      </c>
      <c r="P496" s="463" t="s">
        <v>860</v>
      </c>
      <c r="Q496" s="250"/>
      <c r="R496" s="250"/>
      <c r="S496" s="251"/>
      <c r="T496" s="190" t="s">
        <v>1513</v>
      </c>
      <c r="U496" s="191"/>
      <c r="V496" s="909"/>
      <c r="W496" s="909"/>
      <c r="X496" s="187"/>
      <c r="Y496" s="182"/>
      <c r="Z496" s="182"/>
      <c r="AA496" s="182"/>
      <c r="AB496" s="182"/>
      <c r="AC496" s="210"/>
      <c r="AD496" s="182"/>
      <c r="AE496" s="182"/>
      <c r="AF496" s="211"/>
    </row>
    <row r="497" spans="2:32" ht="17.25" customHeight="1">
      <c r="B497" s="180">
        <v>150</v>
      </c>
      <c r="C497" s="816"/>
      <c r="D497" s="765"/>
      <c r="E497" s="186" t="s">
        <v>10</v>
      </c>
      <c r="F497" s="187" t="str">
        <f t="shared" si="18"/>
        <v>IB21196</v>
      </c>
      <c r="G497" s="271"/>
      <c r="H497" s="272"/>
      <c r="I497" s="272"/>
      <c r="J497" s="273"/>
      <c r="K497" s="190"/>
      <c r="L497" s="209"/>
      <c r="M497" s="190"/>
      <c r="N497" s="186" t="s">
        <v>11</v>
      </c>
      <c r="O497" s="195" t="str">
        <f t="shared" si="17"/>
        <v>OB21196</v>
      </c>
      <c r="P497" s="463" t="s">
        <v>861</v>
      </c>
      <c r="Q497" s="250"/>
      <c r="R497" s="250"/>
      <c r="S497" s="251"/>
      <c r="T497" s="190" t="s">
        <v>1513</v>
      </c>
      <c r="U497" s="191"/>
      <c r="V497" s="909"/>
      <c r="W497" s="909"/>
      <c r="X497" s="187"/>
      <c r="Y497" s="182"/>
      <c r="Z497" s="182"/>
      <c r="AA497" s="182"/>
      <c r="AB497" s="182"/>
      <c r="AC497" s="210"/>
      <c r="AD497" s="182"/>
      <c r="AE497" s="182"/>
      <c r="AF497" s="211"/>
    </row>
    <row r="498" spans="2:32" ht="17.25" customHeight="1">
      <c r="B498" s="180">
        <v>151</v>
      </c>
      <c r="C498" s="816"/>
      <c r="D498" s="765"/>
      <c r="E498" s="186" t="s">
        <v>10</v>
      </c>
      <c r="F498" s="187" t="str">
        <f t="shared" si="18"/>
        <v>IB21197</v>
      </c>
      <c r="G498" s="271"/>
      <c r="H498" s="272"/>
      <c r="I498" s="272"/>
      <c r="J498" s="273"/>
      <c r="K498" s="190"/>
      <c r="L498" s="209"/>
      <c r="M498" s="190"/>
      <c r="N498" s="186" t="s">
        <v>11</v>
      </c>
      <c r="O498" s="195" t="str">
        <f t="shared" si="17"/>
        <v>OB21197</v>
      </c>
      <c r="P498" s="463" t="s">
        <v>862</v>
      </c>
      <c r="Q498" s="250"/>
      <c r="R498" s="250"/>
      <c r="S498" s="251"/>
      <c r="T498" s="190" t="s">
        <v>1513</v>
      </c>
      <c r="U498" s="191"/>
      <c r="V498" s="909"/>
      <c r="W498" s="909"/>
      <c r="X498" s="187"/>
      <c r="Y498" s="182"/>
      <c r="Z498" s="182"/>
      <c r="AA498" s="182"/>
      <c r="AB498" s="182"/>
      <c r="AC498" s="210"/>
      <c r="AD498" s="182"/>
      <c r="AE498" s="182"/>
      <c r="AF498" s="211"/>
    </row>
    <row r="499" spans="2:32" ht="17.25" customHeight="1">
      <c r="B499" s="180">
        <v>152</v>
      </c>
      <c r="C499" s="816"/>
      <c r="D499" s="765"/>
      <c r="E499" s="186" t="s">
        <v>10</v>
      </c>
      <c r="F499" s="187" t="str">
        <f t="shared" si="18"/>
        <v>IB21198</v>
      </c>
      <c r="G499" s="271"/>
      <c r="H499" s="272"/>
      <c r="I499" s="272"/>
      <c r="J499" s="273"/>
      <c r="K499" s="213"/>
      <c r="L499" s="209"/>
      <c r="M499" s="190"/>
      <c r="N499" s="186" t="s">
        <v>11</v>
      </c>
      <c r="O499" s="195" t="str">
        <f t="shared" si="17"/>
        <v>OB21198</v>
      </c>
      <c r="P499" s="463" t="s">
        <v>863</v>
      </c>
      <c r="Q499" s="250"/>
      <c r="R499" s="250"/>
      <c r="S499" s="251"/>
      <c r="T499" s="190" t="s">
        <v>1513</v>
      </c>
      <c r="U499" s="191"/>
      <c r="V499" s="909"/>
      <c r="W499" s="909"/>
      <c r="X499" s="187"/>
      <c r="Y499" s="182"/>
      <c r="Z499" s="182"/>
      <c r="AA499" s="182"/>
      <c r="AB499" s="182"/>
      <c r="AC499" s="210"/>
      <c r="AD499" s="182"/>
      <c r="AE499" s="182"/>
      <c r="AF499" s="211"/>
    </row>
    <row r="500" spans="2:32" ht="17.25" customHeight="1">
      <c r="B500" s="180">
        <v>153</v>
      </c>
      <c r="C500" s="816"/>
      <c r="D500" s="765"/>
      <c r="E500" s="186" t="s">
        <v>10</v>
      </c>
      <c r="F500" s="187" t="str">
        <f t="shared" si="18"/>
        <v>IB21199</v>
      </c>
      <c r="G500" s="271"/>
      <c r="H500" s="272"/>
      <c r="I500" s="272"/>
      <c r="J500" s="273"/>
      <c r="K500" s="213"/>
      <c r="L500" s="209"/>
      <c r="M500" s="190"/>
      <c r="N500" s="186" t="s">
        <v>11</v>
      </c>
      <c r="O500" s="195" t="str">
        <f t="shared" si="17"/>
        <v>OB21199</v>
      </c>
      <c r="P500" s="463" t="s">
        <v>864</v>
      </c>
      <c r="Q500" s="250"/>
      <c r="R500" s="250"/>
      <c r="S500" s="251"/>
      <c r="T500" s="190" t="s">
        <v>1513</v>
      </c>
      <c r="U500" s="191"/>
      <c r="V500" s="909"/>
      <c r="W500" s="909"/>
      <c r="X500" s="187"/>
      <c r="Y500" s="182"/>
      <c r="Z500" s="182"/>
      <c r="AA500" s="182"/>
      <c r="AB500" s="182"/>
      <c r="AC500" s="210"/>
      <c r="AD500" s="182"/>
      <c r="AE500" s="182"/>
      <c r="AF500" s="211"/>
    </row>
    <row r="501" spans="2:32" ht="17.25" customHeight="1">
      <c r="B501" s="180">
        <v>154</v>
      </c>
      <c r="C501" s="816"/>
      <c r="D501" s="765"/>
      <c r="E501" s="186" t="s">
        <v>10</v>
      </c>
      <c r="F501" s="187" t="str">
        <f t="shared" si="18"/>
        <v>IB2119A</v>
      </c>
      <c r="G501" s="271"/>
      <c r="H501" s="272"/>
      <c r="I501" s="272"/>
      <c r="J501" s="273"/>
      <c r="K501" s="213"/>
      <c r="L501" s="209"/>
      <c r="M501" s="190"/>
      <c r="N501" s="186" t="s">
        <v>11</v>
      </c>
      <c r="O501" s="195" t="str">
        <f t="shared" si="17"/>
        <v>OB2119A</v>
      </c>
      <c r="P501" s="463" t="s">
        <v>865</v>
      </c>
      <c r="Q501" s="250"/>
      <c r="R501" s="250"/>
      <c r="S501" s="251"/>
      <c r="T501" s="190" t="s">
        <v>1513</v>
      </c>
      <c r="U501" s="191"/>
      <c r="V501" s="909"/>
      <c r="W501" s="909"/>
      <c r="X501" s="187"/>
      <c r="Y501" s="182"/>
      <c r="Z501" s="182"/>
      <c r="AA501" s="182"/>
      <c r="AB501" s="182"/>
      <c r="AC501" s="210"/>
      <c r="AD501" s="182"/>
      <c r="AE501" s="182"/>
      <c r="AF501" s="211"/>
    </row>
    <row r="502" spans="2:32" ht="17.25" customHeight="1">
      <c r="B502" s="180">
        <v>155</v>
      </c>
      <c r="C502" s="816"/>
      <c r="D502" s="765"/>
      <c r="E502" s="186" t="s">
        <v>10</v>
      </c>
      <c r="F502" s="187" t="str">
        <f t="shared" si="18"/>
        <v>IB2119B</v>
      </c>
      <c r="G502" s="271"/>
      <c r="H502" s="272"/>
      <c r="I502" s="272"/>
      <c r="J502" s="273"/>
      <c r="K502" s="213"/>
      <c r="L502" s="214"/>
      <c r="M502" s="213"/>
      <c r="N502" s="186" t="s">
        <v>11</v>
      </c>
      <c r="O502" s="195" t="str">
        <f t="shared" si="17"/>
        <v>OB2119B</v>
      </c>
      <c r="P502" s="463" t="s">
        <v>866</v>
      </c>
      <c r="Q502" s="250"/>
      <c r="R502" s="250"/>
      <c r="S502" s="251"/>
      <c r="T502" s="190" t="s">
        <v>1513</v>
      </c>
      <c r="U502" s="191"/>
      <c r="V502" s="909"/>
      <c r="W502" s="909"/>
      <c r="X502" s="187"/>
      <c r="Y502" s="182"/>
      <c r="Z502" s="182"/>
      <c r="AA502" s="182"/>
      <c r="AB502" s="182"/>
      <c r="AC502" s="210"/>
      <c r="AD502" s="182"/>
      <c r="AE502" s="182"/>
      <c r="AF502" s="211"/>
    </row>
    <row r="503" spans="2:32" ht="17.25" customHeight="1">
      <c r="B503" s="180">
        <v>156</v>
      </c>
      <c r="C503" s="816"/>
      <c r="D503" s="765"/>
      <c r="E503" s="186" t="s">
        <v>10</v>
      </c>
      <c r="F503" s="187" t="str">
        <f t="shared" si="18"/>
        <v>IB2119C</v>
      </c>
      <c r="G503" s="271"/>
      <c r="H503" s="272"/>
      <c r="I503" s="272"/>
      <c r="J503" s="273"/>
      <c r="K503" s="216"/>
      <c r="L503" s="217"/>
      <c r="M503" s="216"/>
      <c r="N503" s="186" t="s">
        <v>11</v>
      </c>
      <c r="O503" s="195" t="str">
        <f t="shared" si="17"/>
        <v>OB2119C</v>
      </c>
      <c r="P503" s="463" t="s">
        <v>867</v>
      </c>
      <c r="Q503" s="250"/>
      <c r="R503" s="250"/>
      <c r="S503" s="251"/>
      <c r="T503" s="190" t="s">
        <v>1513</v>
      </c>
      <c r="U503" s="191"/>
      <c r="V503" s="909"/>
      <c r="W503" s="909"/>
      <c r="X503" s="187"/>
      <c r="Y503" s="182"/>
      <c r="Z503" s="182"/>
      <c r="AA503" s="182"/>
      <c r="AB503" s="182"/>
      <c r="AC503" s="210"/>
      <c r="AD503" s="182"/>
      <c r="AE503" s="182"/>
      <c r="AF503" s="211"/>
    </row>
    <row r="504" spans="2:32" ht="17.25" customHeight="1">
      <c r="B504" s="180">
        <v>157</v>
      </c>
      <c r="C504" s="816"/>
      <c r="D504" s="765"/>
      <c r="E504" s="186" t="s">
        <v>10</v>
      </c>
      <c r="F504" s="187" t="str">
        <f t="shared" si="18"/>
        <v>IB2119D</v>
      </c>
      <c r="G504" s="271"/>
      <c r="H504" s="272"/>
      <c r="I504" s="272"/>
      <c r="J504" s="273"/>
      <c r="K504" s="182"/>
      <c r="L504" s="188"/>
      <c r="M504" s="182"/>
      <c r="N504" s="186" t="s">
        <v>11</v>
      </c>
      <c r="O504" s="195" t="str">
        <f t="shared" si="17"/>
        <v>OB2119D</v>
      </c>
      <c r="P504" s="463" t="s">
        <v>868</v>
      </c>
      <c r="Q504" s="250"/>
      <c r="R504" s="250"/>
      <c r="S504" s="251"/>
      <c r="T504" s="190" t="s">
        <v>1513</v>
      </c>
      <c r="U504" s="191"/>
      <c r="V504" s="909"/>
      <c r="W504" s="909"/>
      <c r="X504" s="187"/>
      <c r="Y504" s="182"/>
      <c r="Z504" s="182"/>
      <c r="AA504" s="182"/>
      <c r="AB504" s="182"/>
      <c r="AC504" s="210"/>
      <c r="AD504" s="182"/>
      <c r="AE504" s="182"/>
      <c r="AF504" s="211"/>
    </row>
    <row r="505" spans="2:32" ht="17.25" customHeight="1">
      <c r="B505" s="180">
        <v>158</v>
      </c>
      <c r="C505" s="816"/>
      <c r="D505" s="765"/>
      <c r="E505" s="186" t="s">
        <v>10</v>
      </c>
      <c r="F505" s="187" t="str">
        <f t="shared" si="18"/>
        <v>IB2119E</v>
      </c>
      <c r="G505" s="271"/>
      <c r="H505" s="272"/>
      <c r="I505" s="272"/>
      <c r="J505" s="273"/>
      <c r="K505" s="182"/>
      <c r="L505" s="188"/>
      <c r="M505" s="182"/>
      <c r="N505" s="186" t="s">
        <v>11</v>
      </c>
      <c r="O505" s="195" t="str">
        <f t="shared" si="17"/>
        <v>OB2119E</v>
      </c>
      <c r="P505" s="463" t="s">
        <v>869</v>
      </c>
      <c r="Q505" s="250"/>
      <c r="R505" s="250"/>
      <c r="S505" s="251"/>
      <c r="T505" s="190" t="s">
        <v>1513</v>
      </c>
      <c r="U505" s="191"/>
      <c r="V505" s="909"/>
      <c r="W505" s="909"/>
      <c r="X505" s="187"/>
      <c r="Y505" s="182"/>
      <c r="Z505" s="182"/>
      <c r="AA505" s="182"/>
      <c r="AB505" s="182"/>
      <c r="AC505" s="210"/>
      <c r="AD505" s="182"/>
      <c r="AE505" s="182"/>
      <c r="AF505" s="211"/>
    </row>
    <row r="506" spans="2:32" ht="17.25" customHeight="1">
      <c r="B506" s="180">
        <v>159</v>
      </c>
      <c r="C506" s="926"/>
      <c r="D506" s="765"/>
      <c r="E506" s="186" t="s">
        <v>10</v>
      </c>
      <c r="F506" s="187" t="str">
        <f t="shared" si="18"/>
        <v>IB2119F</v>
      </c>
      <c r="G506" s="271"/>
      <c r="H506" s="272"/>
      <c r="I506" s="272"/>
      <c r="J506" s="273"/>
      <c r="K506" s="182"/>
      <c r="L506" s="188"/>
      <c r="M506" s="182"/>
      <c r="N506" s="186" t="s">
        <v>11</v>
      </c>
      <c r="O506" s="195" t="str">
        <f t="shared" si="17"/>
        <v>OB2119F</v>
      </c>
      <c r="P506" s="249"/>
      <c r="Q506" s="250"/>
      <c r="R506" s="250"/>
      <c r="S506" s="251"/>
      <c r="T506" s="190"/>
      <c r="U506" s="191"/>
      <c r="V506" s="909"/>
      <c r="W506" s="909"/>
      <c r="X506" s="187"/>
      <c r="Y506" s="182"/>
      <c r="Z506" s="182"/>
      <c r="AA506" s="182"/>
      <c r="AB506" s="182"/>
      <c r="AC506" s="210"/>
      <c r="AD506" s="182"/>
      <c r="AE506" s="182"/>
      <c r="AF506" s="211"/>
    </row>
    <row r="507" spans="2:32" ht="17.25" customHeight="1">
      <c r="B507" s="180">
        <v>160</v>
      </c>
      <c r="C507" s="927" t="s">
        <v>64</v>
      </c>
      <c r="D507" s="901" t="s">
        <v>1406</v>
      </c>
      <c r="E507" s="186" t="s">
        <v>10</v>
      </c>
      <c r="F507" s="187" t="str">
        <f t="shared" si="18"/>
        <v>IB211A0</v>
      </c>
      <c r="G507" s="243" t="s">
        <v>760</v>
      </c>
      <c r="H507" s="244"/>
      <c r="I507" s="244"/>
      <c r="J507" s="245"/>
      <c r="K507" s="190" t="s">
        <v>1513</v>
      </c>
      <c r="L507" s="191"/>
      <c r="M507" s="609"/>
      <c r="N507" s="186" t="s">
        <v>11</v>
      </c>
      <c r="O507" s="195" t="str">
        <f t="shared" si="17"/>
        <v>OB211A0</v>
      </c>
      <c r="P507" s="254"/>
      <c r="Q507" s="255"/>
      <c r="R507" s="255"/>
      <c r="S507" s="256"/>
      <c r="T507" s="190"/>
      <c r="U507" s="191"/>
      <c r="V507" s="909"/>
      <c r="W507" s="909"/>
      <c r="X507" s="187"/>
      <c r="Y507" s="182"/>
      <c r="Z507" s="182"/>
      <c r="AA507" s="182"/>
      <c r="AB507" s="182"/>
      <c r="AC507" s="210"/>
      <c r="AD507" s="182"/>
      <c r="AE507" s="182"/>
      <c r="AF507" s="211"/>
    </row>
    <row r="508" spans="2:32" ht="17.25" customHeight="1">
      <c r="B508" s="180">
        <v>161</v>
      </c>
      <c r="C508" s="811"/>
      <c r="D508" s="765"/>
      <c r="E508" s="186" t="s">
        <v>10</v>
      </c>
      <c r="F508" s="187" t="str">
        <f t="shared" si="18"/>
        <v>IB211A1</v>
      </c>
      <c r="G508" s="243" t="s">
        <v>761</v>
      </c>
      <c r="H508" s="244"/>
      <c r="I508" s="244"/>
      <c r="J508" s="245"/>
      <c r="K508" s="190" t="s">
        <v>1513</v>
      </c>
      <c r="L508" s="191"/>
      <c r="M508" s="609"/>
      <c r="N508" s="186" t="s">
        <v>11</v>
      </c>
      <c r="O508" s="195" t="str">
        <f t="shared" si="17"/>
        <v>OB211A1</v>
      </c>
      <c r="P508" s="254"/>
      <c r="Q508" s="255"/>
      <c r="R508" s="255"/>
      <c r="S508" s="256"/>
      <c r="T508" s="190"/>
      <c r="U508" s="191"/>
      <c r="V508" s="909"/>
      <c r="W508" s="909"/>
      <c r="X508" s="187"/>
      <c r="Y508" s="182"/>
      <c r="Z508" s="182"/>
      <c r="AA508" s="182"/>
      <c r="AB508" s="182"/>
      <c r="AC508" s="210"/>
      <c r="AD508" s="182"/>
      <c r="AE508" s="182"/>
      <c r="AF508" s="211"/>
    </row>
    <row r="509" spans="2:32" ht="17.25" customHeight="1">
      <c r="B509" s="180">
        <v>162</v>
      </c>
      <c r="C509" s="811"/>
      <c r="D509" s="765"/>
      <c r="E509" s="186" t="s">
        <v>10</v>
      </c>
      <c r="F509" s="187" t="str">
        <f t="shared" si="18"/>
        <v>IB211A2</v>
      </c>
      <c r="G509" s="243" t="s">
        <v>762</v>
      </c>
      <c r="H509" s="244"/>
      <c r="I509" s="244"/>
      <c r="J509" s="245"/>
      <c r="K509" s="213" t="s">
        <v>1513</v>
      </c>
      <c r="L509" s="191"/>
      <c r="M509" s="609"/>
      <c r="N509" s="186" t="s">
        <v>11</v>
      </c>
      <c r="O509" s="195" t="str">
        <f t="shared" si="17"/>
        <v>OB211A2</v>
      </c>
      <c r="P509" s="254"/>
      <c r="Q509" s="255"/>
      <c r="R509" s="255"/>
      <c r="S509" s="256"/>
      <c r="T509" s="190"/>
      <c r="U509" s="191"/>
      <c r="V509" s="909"/>
      <c r="W509" s="909"/>
      <c r="X509" s="187"/>
      <c r="Y509" s="182"/>
      <c r="Z509" s="182"/>
      <c r="AA509" s="182"/>
      <c r="AB509" s="182"/>
      <c r="AC509" s="210"/>
      <c r="AD509" s="182"/>
      <c r="AE509" s="182"/>
      <c r="AF509" s="211"/>
    </row>
    <row r="510" spans="2:32" ht="17.25" customHeight="1">
      <c r="B510" s="180">
        <v>163</v>
      </c>
      <c r="C510" s="811"/>
      <c r="D510" s="765"/>
      <c r="E510" s="186" t="s">
        <v>10</v>
      </c>
      <c r="F510" s="187" t="str">
        <f t="shared" si="18"/>
        <v>IB211A3</v>
      </c>
      <c r="G510" s="243" t="s">
        <v>763</v>
      </c>
      <c r="H510" s="244"/>
      <c r="I510" s="244"/>
      <c r="J510" s="245"/>
      <c r="K510" s="213" t="s">
        <v>1513</v>
      </c>
      <c r="L510" s="191"/>
      <c r="M510" s="609"/>
      <c r="N510" s="186" t="s">
        <v>11</v>
      </c>
      <c r="O510" s="195" t="str">
        <f t="shared" si="17"/>
        <v>OB211A3</v>
      </c>
      <c r="P510" s="254"/>
      <c r="Q510" s="255"/>
      <c r="R510" s="255"/>
      <c r="S510" s="256"/>
      <c r="T510" s="190"/>
      <c r="U510" s="191"/>
      <c r="V510" s="909"/>
      <c r="W510" s="909"/>
      <c r="X510" s="187"/>
      <c r="Y510" s="182"/>
      <c r="Z510" s="182"/>
      <c r="AA510" s="182"/>
      <c r="AB510" s="182"/>
      <c r="AC510" s="210"/>
      <c r="AD510" s="182"/>
      <c r="AE510" s="182"/>
      <c r="AF510" s="211"/>
    </row>
    <row r="511" spans="2:32" ht="17.25" customHeight="1">
      <c r="B511" s="180">
        <v>164</v>
      </c>
      <c r="C511" s="811"/>
      <c r="D511" s="765"/>
      <c r="E511" s="186" t="s">
        <v>10</v>
      </c>
      <c r="F511" s="187" t="str">
        <f t="shared" si="18"/>
        <v>IB211A4</v>
      </c>
      <c r="G511" s="243" t="s">
        <v>764</v>
      </c>
      <c r="H511" s="244"/>
      <c r="I511" s="244"/>
      <c r="J511" s="245"/>
      <c r="K511" s="190" t="s">
        <v>1513</v>
      </c>
      <c r="L511" s="191"/>
      <c r="M511" s="609"/>
      <c r="N511" s="186" t="s">
        <v>11</v>
      </c>
      <c r="O511" s="195" t="str">
        <f t="shared" si="17"/>
        <v>OB211A4</v>
      </c>
      <c r="P511" s="254"/>
      <c r="Q511" s="255"/>
      <c r="R511" s="255"/>
      <c r="S511" s="256"/>
      <c r="T511" s="190"/>
      <c r="U511" s="191"/>
      <c r="V511" s="909"/>
      <c r="W511" s="909"/>
      <c r="X511" s="187"/>
      <c r="Y511" s="182"/>
      <c r="Z511" s="182"/>
      <c r="AA511" s="182"/>
      <c r="AB511" s="182"/>
      <c r="AC511" s="210"/>
      <c r="AD511" s="182"/>
      <c r="AE511" s="182"/>
      <c r="AF511" s="211"/>
    </row>
    <row r="512" spans="2:32" ht="17.25" customHeight="1">
      <c r="B512" s="180">
        <v>165</v>
      </c>
      <c r="C512" s="811"/>
      <c r="D512" s="765"/>
      <c r="E512" s="186" t="s">
        <v>10</v>
      </c>
      <c r="F512" s="187" t="str">
        <f t="shared" si="18"/>
        <v>IB211A5</v>
      </c>
      <c r="G512" s="243" t="s">
        <v>765</v>
      </c>
      <c r="H512" s="244"/>
      <c r="I512" s="244"/>
      <c r="J512" s="245"/>
      <c r="K512" s="190" t="s">
        <v>1513</v>
      </c>
      <c r="L512" s="191"/>
      <c r="M512" s="609"/>
      <c r="N512" s="186" t="s">
        <v>11</v>
      </c>
      <c r="O512" s="195" t="str">
        <f t="shared" si="17"/>
        <v>OB211A5</v>
      </c>
      <c r="P512" s="254"/>
      <c r="Q512" s="255"/>
      <c r="R512" s="255"/>
      <c r="S512" s="256"/>
      <c r="T512" s="190"/>
      <c r="U512" s="191"/>
      <c r="V512" s="909"/>
      <c r="W512" s="909"/>
      <c r="X512" s="187"/>
      <c r="Y512" s="182"/>
      <c r="Z512" s="182"/>
      <c r="AA512" s="182"/>
      <c r="AB512" s="182"/>
      <c r="AC512" s="210"/>
      <c r="AD512" s="182"/>
      <c r="AE512" s="182"/>
      <c r="AF512" s="211"/>
    </row>
    <row r="513" spans="2:32" ht="17.25" customHeight="1">
      <c r="B513" s="180">
        <v>166</v>
      </c>
      <c r="C513" s="811"/>
      <c r="D513" s="765"/>
      <c r="E513" s="186" t="s">
        <v>10</v>
      </c>
      <c r="F513" s="187" t="str">
        <f t="shared" si="18"/>
        <v>IB211A6</v>
      </c>
      <c r="G513" s="243" t="s">
        <v>766</v>
      </c>
      <c r="H513" s="244"/>
      <c r="I513" s="244"/>
      <c r="J513" s="245"/>
      <c r="K513" s="213" t="s">
        <v>1513</v>
      </c>
      <c r="L513" s="191"/>
      <c r="M513" s="609"/>
      <c r="N513" s="186" t="s">
        <v>11</v>
      </c>
      <c r="O513" s="195" t="str">
        <f t="shared" si="17"/>
        <v>OB211A6</v>
      </c>
      <c r="P513" s="254"/>
      <c r="Q513" s="255"/>
      <c r="R513" s="255"/>
      <c r="S513" s="256"/>
      <c r="T513" s="190"/>
      <c r="U513" s="191"/>
      <c r="V513" s="909"/>
      <c r="W513" s="909"/>
      <c r="X513" s="187"/>
      <c r="Y513" s="182"/>
      <c r="Z513" s="182"/>
      <c r="AA513" s="182"/>
      <c r="AB513" s="182"/>
      <c r="AC513" s="210"/>
      <c r="AD513" s="182"/>
      <c r="AE513" s="182"/>
      <c r="AF513" s="211"/>
    </row>
    <row r="514" spans="2:32" ht="17.25" customHeight="1">
      <c r="B514" s="180">
        <v>167</v>
      </c>
      <c r="C514" s="811"/>
      <c r="D514" s="765"/>
      <c r="E514" s="186" t="s">
        <v>10</v>
      </c>
      <c r="F514" s="187" t="str">
        <f t="shared" si="18"/>
        <v>IB211A7</v>
      </c>
      <c r="G514" s="243" t="s">
        <v>767</v>
      </c>
      <c r="H514" s="244"/>
      <c r="I514" s="244"/>
      <c r="J514" s="245"/>
      <c r="K514" s="213" t="s">
        <v>1513</v>
      </c>
      <c r="L514" s="191"/>
      <c r="M514" s="609"/>
      <c r="N514" s="186" t="s">
        <v>11</v>
      </c>
      <c r="O514" s="195" t="str">
        <f t="shared" si="17"/>
        <v>OB211A7</v>
      </c>
      <c r="P514" s="254"/>
      <c r="Q514" s="255"/>
      <c r="R514" s="255"/>
      <c r="S514" s="256"/>
      <c r="T514" s="190"/>
      <c r="U514" s="191"/>
      <c r="V514" s="909"/>
      <c r="W514" s="909"/>
      <c r="X514" s="187"/>
      <c r="Y514" s="182"/>
      <c r="Z514" s="182"/>
      <c r="AA514" s="182"/>
      <c r="AB514" s="182"/>
      <c r="AC514" s="210"/>
      <c r="AD514" s="182"/>
      <c r="AE514" s="182"/>
      <c r="AF514" s="211"/>
    </row>
    <row r="515" spans="2:32" ht="17.25" customHeight="1">
      <c r="B515" s="180">
        <v>168</v>
      </c>
      <c r="C515" s="811"/>
      <c r="D515" s="765"/>
      <c r="E515" s="186" t="s">
        <v>10</v>
      </c>
      <c r="F515" s="187" t="str">
        <f t="shared" si="18"/>
        <v>IB211A8</v>
      </c>
      <c r="G515" s="381"/>
      <c r="H515" s="382"/>
      <c r="I515" s="382"/>
      <c r="J515" s="383"/>
      <c r="K515" s="213"/>
      <c r="L515" s="214"/>
      <c r="M515" s="213"/>
      <c r="N515" s="186" t="s">
        <v>11</v>
      </c>
      <c r="O515" s="195" t="str">
        <f t="shared" si="17"/>
        <v>OB211A8</v>
      </c>
      <c r="P515" s="254"/>
      <c r="Q515" s="255"/>
      <c r="R515" s="255"/>
      <c r="S515" s="256"/>
      <c r="T515" s="190"/>
      <c r="U515" s="191"/>
      <c r="V515" s="909"/>
      <c r="W515" s="909"/>
      <c r="X515" s="187"/>
      <c r="Y515" s="182"/>
      <c r="Z515" s="182"/>
      <c r="AA515" s="182"/>
      <c r="AB515" s="182"/>
      <c r="AC515" s="210"/>
      <c r="AD515" s="182"/>
      <c r="AE515" s="182"/>
      <c r="AF515" s="211"/>
    </row>
    <row r="516" spans="2:32" ht="17.25" customHeight="1">
      <c r="B516" s="180">
        <v>169</v>
      </c>
      <c r="C516" s="811"/>
      <c r="D516" s="765"/>
      <c r="E516" s="186" t="s">
        <v>10</v>
      </c>
      <c r="F516" s="187" t="str">
        <f t="shared" si="18"/>
        <v>IB211A9</v>
      </c>
      <c r="G516" s="381"/>
      <c r="H516" s="382"/>
      <c r="I516" s="382"/>
      <c r="J516" s="383"/>
      <c r="K516" s="213"/>
      <c r="L516" s="214"/>
      <c r="M516" s="213"/>
      <c r="N516" s="186" t="s">
        <v>11</v>
      </c>
      <c r="O516" s="195" t="str">
        <f t="shared" si="17"/>
        <v>OB211A9</v>
      </c>
      <c r="P516" s="254"/>
      <c r="Q516" s="255"/>
      <c r="R516" s="255"/>
      <c r="S516" s="256"/>
      <c r="T516" s="190"/>
      <c r="U516" s="191"/>
      <c r="V516" s="909"/>
      <c r="W516" s="909"/>
      <c r="X516" s="187"/>
      <c r="Y516" s="182"/>
      <c r="Z516" s="182"/>
      <c r="AA516" s="182"/>
      <c r="AB516" s="182"/>
      <c r="AC516" s="210"/>
      <c r="AD516" s="182"/>
      <c r="AE516" s="182"/>
      <c r="AF516" s="211"/>
    </row>
    <row r="517" spans="2:32" ht="17.25" customHeight="1">
      <c r="B517" s="180">
        <v>170</v>
      </c>
      <c r="C517" s="811"/>
      <c r="D517" s="765"/>
      <c r="E517" s="186" t="s">
        <v>10</v>
      </c>
      <c r="F517" s="187" t="str">
        <f t="shared" si="18"/>
        <v>IB211AA</v>
      </c>
      <c r="G517" s="381"/>
      <c r="H517" s="382"/>
      <c r="I517" s="382"/>
      <c r="J517" s="383"/>
      <c r="K517" s="213"/>
      <c r="L517" s="214"/>
      <c r="M517" s="213"/>
      <c r="N517" s="186" t="s">
        <v>11</v>
      </c>
      <c r="O517" s="195" t="str">
        <f t="shared" si="17"/>
        <v>OB211AA</v>
      </c>
      <c r="P517" s="254"/>
      <c r="Q517" s="255"/>
      <c r="R517" s="255"/>
      <c r="S517" s="256"/>
      <c r="T517" s="190"/>
      <c r="U517" s="191"/>
      <c r="V517" s="909"/>
      <c r="W517" s="909"/>
      <c r="X517" s="187"/>
      <c r="Y517" s="182"/>
      <c r="Z517" s="182"/>
      <c r="AA517" s="182"/>
      <c r="AB517" s="182"/>
      <c r="AC517" s="210"/>
      <c r="AD517" s="182"/>
      <c r="AE517" s="182"/>
      <c r="AF517" s="211"/>
    </row>
    <row r="518" spans="2:32" ht="17.25" customHeight="1">
      <c r="B518" s="180">
        <v>171</v>
      </c>
      <c r="C518" s="811"/>
      <c r="D518" s="765"/>
      <c r="E518" s="186" t="s">
        <v>10</v>
      </c>
      <c r="F518" s="187" t="str">
        <f t="shared" si="18"/>
        <v>IB211AB</v>
      </c>
      <c r="G518" s="381"/>
      <c r="H518" s="382"/>
      <c r="I518" s="382"/>
      <c r="J518" s="383"/>
      <c r="K518" s="213"/>
      <c r="L518" s="214"/>
      <c r="M518" s="213"/>
      <c r="N518" s="186" t="s">
        <v>11</v>
      </c>
      <c r="O518" s="195" t="str">
        <f t="shared" si="17"/>
        <v>OB211AB</v>
      </c>
      <c r="P518" s="254"/>
      <c r="Q518" s="255"/>
      <c r="R518" s="255"/>
      <c r="S518" s="256"/>
      <c r="T518" s="190"/>
      <c r="U518" s="191"/>
      <c r="V518" s="909"/>
      <c r="W518" s="909"/>
      <c r="X518" s="187"/>
      <c r="Y518" s="182"/>
      <c r="Z518" s="182"/>
      <c r="AA518" s="182"/>
      <c r="AB518" s="182"/>
      <c r="AC518" s="210"/>
      <c r="AD518" s="182"/>
      <c r="AE518" s="182"/>
      <c r="AF518" s="211"/>
    </row>
    <row r="519" spans="2:32" ht="17.25" customHeight="1">
      <c r="B519" s="180">
        <v>172</v>
      </c>
      <c r="C519" s="811"/>
      <c r="D519" s="765"/>
      <c r="E519" s="186" t="s">
        <v>10</v>
      </c>
      <c r="F519" s="187" t="str">
        <f t="shared" si="18"/>
        <v>IB211AC</v>
      </c>
      <c r="G519" s="381"/>
      <c r="H519" s="382"/>
      <c r="I519" s="382"/>
      <c r="J519" s="383"/>
      <c r="K519" s="216"/>
      <c r="L519" s="217"/>
      <c r="M519" s="216"/>
      <c r="N519" s="186" t="s">
        <v>11</v>
      </c>
      <c r="O519" s="195" t="str">
        <f t="shared" si="17"/>
        <v>OB211AC</v>
      </c>
      <c r="P519" s="254"/>
      <c r="Q519" s="255"/>
      <c r="R519" s="255"/>
      <c r="S519" s="256"/>
      <c r="T519" s="190"/>
      <c r="U519" s="191"/>
      <c r="V519" s="909"/>
      <c r="W519" s="909"/>
      <c r="X519" s="187"/>
      <c r="Y519" s="182"/>
      <c r="Z519" s="182"/>
      <c r="AA519" s="182"/>
      <c r="AB519" s="182"/>
      <c r="AC519" s="210"/>
      <c r="AD519" s="182"/>
      <c r="AE519" s="182"/>
      <c r="AF519" s="211"/>
    </row>
    <row r="520" spans="2:32" ht="17.25" customHeight="1">
      <c r="B520" s="180">
        <v>173</v>
      </c>
      <c r="C520" s="811"/>
      <c r="D520" s="765"/>
      <c r="E520" s="186" t="s">
        <v>10</v>
      </c>
      <c r="F520" s="187" t="str">
        <f t="shared" si="18"/>
        <v>IB211AD</v>
      </c>
      <c r="G520" s="381"/>
      <c r="H520" s="382"/>
      <c r="I520" s="382"/>
      <c r="J520" s="383"/>
      <c r="K520" s="182"/>
      <c r="L520" s="188"/>
      <c r="M520" s="182"/>
      <c r="N520" s="186" t="s">
        <v>11</v>
      </c>
      <c r="O520" s="195" t="str">
        <f t="shared" si="17"/>
        <v>OB211AD</v>
      </c>
      <c r="P520" s="254"/>
      <c r="Q520" s="255"/>
      <c r="R520" s="255"/>
      <c r="S520" s="256"/>
      <c r="T520" s="190"/>
      <c r="U520" s="191"/>
      <c r="V520" s="909"/>
      <c r="W520" s="909"/>
      <c r="X520" s="187"/>
      <c r="Y520" s="182"/>
      <c r="Z520" s="182"/>
      <c r="AA520" s="182"/>
      <c r="AB520" s="182"/>
      <c r="AC520" s="210"/>
      <c r="AD520" s="182"/>
      <c r="AE520" s="182"/>
      <c r="AF520" s="211"/>
    </row>
    <row r="521" spans="2:32" ht="17.25" customHeight="1">
      <c r="B521" s="180">
        <v>174</v>
      </c>
      <c r="C521" s="811"/>
      <c r="D521" s="765"/>
      <c r="E521" s="186" t="s">
        <v>10</v>
      </c>
      <c r="F521" s="187" t="str">
        <f t="shared" si="18"/>
        <v>IB211AE</v>
      </c>
      <c r="G521" s="381"/>
      <c r="H521" s="382"/>
      <c r="I521" s="382"/>
      <c r="J521" s="383"/>
      <c r="K521" s="182"/>
      <c r="L521" s="188"/>
      <c r="M521" s="182"/>
      <c r="N521" s="186" t="s">
        <v>11</v>
      </c>
      <c r="O521" s="195" t="str">
        <f t="shared" si="17"/>
        <v>OB211AE</v>
      </c>
      <c r="P521" s="254"/>
      <c r="Q521" s="255"/>
      <c r="R521" s="255"/>
      <c r="S521" s="256"/>
      <c r="T521" s="190"/>
      <c r="U521" s="191"/>
      <c r="V521" s="909"/>
      <c r="W521" s="909"/>
      <c r="X521" s="187"/>
      <c r="Y521" s="182"/>
      <c r="Z521" s="182"/>
      <c r="AA521" s="182"/>
      <c r="AB521" s="182"/>
      <c r="AC521" s="210"/>
      <c r="AD521" s="182"/>
      <c r="AE521" s="182"/>
      <c r="AF521" s="211"/>
    </row>
    <row r="522" spans="2:32" ht="17.25" customHeight="1">
      <c r="B522" s="180">
        <v>175</v>
      </c>
      <c r="C522" s="928"/>
      <c r="D522" s="765"/>
      <c r="E522" s="186" t="s">
        <v>10</v>
      </c>
      <c r="F522" s="187" t="str">
        <f t="shared" si="18"/>
        <v>IB211AF</v>
      </c>
      <c r="G522" s="381"/>
      <c r="H522" s="382"/>
      <c r="I522" s="382"/>
      <c r="J522" s="383"/>
      <c r="K522" s="182"/>
      <c r="L522" s="188"/>
      <c r="M522" s="182"/>
      <c r="N522" s="186" t="s">
        <v>11</v>
      </c>
      <c r="O522" s="195" t="str">
        <f t="shared" si="17"/>
        <v>OB211AF</v>
      </c>
      <c r="P522" s="254"/>
      <c r="Q522" s="255"/>
      <c r="R522" s="255"/>
      <c r="S522" s="256"/>
      <c r="T522" s="190"/>
      <c r="U522" s="191"/>
      <c r="V522" s="909"/>
      <c r="W522" s="909"/>
      <c r="X522" s="187"/>
      <c r="Y522" s="182"/>
      <c r="Z522" s="182"/>
      <c r="AA522" s="182"/>
      <c r="AB522" s="182"/>
      <c r="AC522" s="210"/>
      <c r="AD522" s="182"/>
      <c r="AE522" s="182"/>
      <c r="AF522" s="211"/>
    </row>
    <row r="523" spans="2:32" ht="17.25" customHeight="1">
      <c r="B523" s="180">
        <v>176</v>
      </c>
      <c r="C523" s="927" t="s">
        <v>57</v>
      </c>
      <c r="D523" s="901" t="s">
        <v>1406</v>
      </c>
      <c r="E523" s="186" t="s">
        <v>10</v>
      </c>
      <c r="F523" s="187" t="str">
        <f t="shared" si="18"/>
        <v>IB211B0</v>
      </c>
      <c r="G523" s="463" t="s">
        <v>768</v>
      </c>
      <c r="H523" s="250"/>
      <c r="I523" s="250"/>
      <c r="J523" s="251"/>
      <c r="K523" s="190" t="s">
        <v>1513</v>
      </c>
      <c r="L523" s="188"/>
      <c r="M523" s="182"/>
      <c r="N523" s="186" t="s">
        <v>11</v>
      </c>
      <c r="O523" s="195" t="str">
        <f t="shared" si="17"/>
        <v>OB211B0</v>
      </c>
      <c r="P523" s="254"/>
      <c r="Q523" s="255"/>
      <c r="R523" s="255"/>
      <c r="S523" s="256"/>
      <c r="T523" s="190"/>
      <c r="U523" s="191"/>
      <c r="V523" s="909"/>
      <c r="W523" s="909"/>
      <c r="X523" s="187"/>
      <c r="Y523" s="182"/>
      <c r="Z523" s="182"/>
      <c r="AA523" s="182"/>
      <c r="AB523" s="182"/>
      <c r="AC523" s="210"/>
      <c r="AD523" s="182"/>
      <c r="AE523" s="182"/>
      <c r="AF523" s="211"/>
    </row>
    <row r="524" spans="2:32" ht="17.25" customHeight="1">
      <c r="B524" s="180">
        <v>177</v>
      </c>
      <c r="C524" s="811"/>
      <c r="D524" s="765"/>
      <c r="E524" s="186" t="s">
        <v>10</v>
      </c>
      <c r="F524" s="187" t="str">
        <f t="shared" si="18"/>
        <v>IB211B1</v>
      </c>
      <c r="G524" s="463" t="s">
        <v>769</v>
      </c>
      <c r="H524" s="250"/>
      <c r="I524" s="250"/>
      <c r="J524" s="251"/>
      <c r="K524" s="190" t="s">
        <v>1513</v>
      </c>
      <c r="L524" s="209"/>
      <c r="M524" s="190"/>
      <c r="N524" s="186" t="s">
        <v>11</v>
      </c>
      <c r="O524" s="195" t="str">
        <f t="shared" si="17"/>
        <v>OB211B1</v>
      </c>
      <c r="P524" s="254"/>
      <c r="Q524" s="255"/>
      <c r="R524" s="255"/>
      <c r="S524" s="256"/>
      <c r="T524" s="190"/>
      <c r="U524" s="191"/>
      <c r="V524" s="909"/>
      <c r="W524" s="909"/>
      <c r="X524" s="187"/>
      <c r="Y524" s="182"/>
      <c r="Z524" s="182"/>
      <c r="AA524" s="182"/>
      <c r="AB524" s="182"/>
      <c r="AC524" s="210"/>
      <c r="AD524" s="182"/>
      <c r="AE524" s="182"/>
      <c r="AF524" s="211"/>
    </row>
    <row r="525" spans="2:32" ht="17.25" customHeight="1">
      <c r="B525" s="180">
        <v>178</v>
      </c>
      <c r="C525" s="811"/>
      <c r="D525" s="765"/>
      <c r="E525" s="186" t="s">
        <v>10</v>
      </c>
      <c r="F525" s="187" t="str">
        <f t="shared" si="18"/>
        <v>IB211B2</v>
      </c>
      <c r="G525" s="463" t="s">
        <v>770</v>
      </c>
      <c r="H525" s="250"/>
      <c r="I525" s="250"/>
      <c r="J525" s="251"/>
      <c r="K525" s="190" t="s">
        <v>1513</v>
      </c>
      <c r="L525" s="209"/>
      <c r="M525" s="190"/>
      <c r="N525" s="186" t="s">
        <v>11</v>
      </c>
      <c r="O525" s="195" t="str">
        <f t="shared" ref="O525:O588" si="19">LEFT(O524,1)&amp;DEC2HEX(HEX2DEC(MID(O524,2,LENB(O524)-1))+1,LENB(O524)-1)</f>
        <v>OB211B2</v>
      </c>
      <c r="P525" s="254"/>
      <c r="Q525" s="255"/>
      <c r="R525" s="255"/>
      <c r="S525" s="256"/>
      <c r="T525" s="190"/>
      <c r="U525" s="191"/>
      <c r="V525" s="909"/>
      <c r="W525" s="909"/>
      <c r="X525" s="187"/>
      <c r="Y525" s="182"/>
      <c r="Z525" s="182"/>
      <c r="AA525" s="182"/>
      <c r="AB525" s="182"/>
      <c r="AC525" s="210"/>
      <c r="AD525" s="182"/>
      <c r="AE525" s="182"/>
      <c r="AF525" s="211"/>
    </row>
    <row r="526" spans="2:32" ht="17.25" customHeight="1">
      <c r="B526" s="180">
        <v>179</v>
      </c>
      <c r="C526" s="811"/>
      <c r="D526" s="765"/>
      <c r="E526" s="186" t="s">
        <v>10</v>
      </c>
      <c r="F526" s="187" t="str">
        <f t="shared" si="18"/>
        <v>IB211B3</v>
      </c>
      <c r="G526" s="463" t="s">
        <v>771</v>
      </c>
      <c r="H526" s="250"/>
      <c r="I526" s="250"/>
      <c r="J526" s="251"/>
      <c r="K526" s="190" t="s">
        <v>1513</v>
      </c>
      <c r="L526" s="209"/>
      <c r="M526" s="190"/>
      <c r="N526" s="186" t="s">
        <v>11</v>
      </c>
      <c r="O526" s="195" t="str">
        <f t="shared" si="19"/>
        <v>OB211B3</v>
      </c>
      <c r="P526" s="254"/>
      <c r="Q526" s="255"/>
      <c r="R526" s="255"/>
      <c r="S526" s="256"/>
      <c r="T526" s="190"/>
      <c r="U526" s="191"/>
      <c r="V526" s="909"/>
      <c r="W526" s="909"/>
      <c r="X526" s="187"/>
      <c r="Y526" s="182"/>
      <c r="Z526" s="182"/>
      <c r="AA526" s="182"/>
      <c r="AB526" s="182"/>
      <c r="AC526" s="210"/>
      <c r="AD526" s="182"/>
      <c r="AE526" s="182"/>
      <c r="AF526" s="211"/>
    </row>
    <row r="527" spans="2:32" ht="17.25" customHeight="1">
      <c r="B527" s="180">
        <v>180</v>
      </c>
      <c r="C527" s="811"/>
      <c r="D527" s="765"/>
      <c r="E527" s="186" t="s">
        <v>10</v>
      </c>
      <c r="F527" s="187" t="str">
        <f t="shared" si="18"/>
        <v>IB211B4</v>
      </c>
      <c r="G527" s="463" t="s">
        <v>772</v>
      </c>
      <c r="H527" s="250"/>
      <c r="I527" s="250"/>
      <c r="J527" s="251"/>
      <c r="K527" s="190" t="s">
        <v>1513</v>
      </c>
      <c r="L527" s="209"/>
      <c r="M527" s="190"/>
      <c r="N527" s="186" t="s">
        <v>11</v>
      </c>
      <c r="O527" s="195" t="str">
        <f t="shared" si="19"/>
        <v>OB211B4</v>
      </c>
      <c r="P527" s="254"/>
      <c r="Q527" s="255"/>
      <c r="R527" s="255"/>
      <c r="S527" s="256"/>
      <c r="T527" s="190"/>
      <c r="U527" s="191"/>
      <c r="V527" s="909"/>
      <c r="W527" s="909"/>
      <c r="X527" s="187"/>
      <c r="Y527" s="182"/>
      <c r="Z527" s="182"/>
      <c r="AA527" s="182"/>
      <c r="AB527" s="182"/>
      <c r="AC527" s="210"/>
      <c r="AD527" s="182"/>
      <c r="AE527" s="182"/>
      <c r="AF527" s="211"/>
    </row>
    <row r="528" spans="2:32" ht="17.25" customHeight="1">
      <c r="B528" s="180">
        <v>181</v>
      </c>
      <c r="C528" s="811"/>
      <c r="D528" s="765"/>
      <c r="E528" s="186" t="s">
        <v>10</v>
      </c>
      <c r="F528" s="187" t="str">
        <f t="shared" si="18"/>
        <v>IB211B5</v>
      </c>
      <c r="G528" s="249"/>
      <c r="H528" s="250"/>
      <c r="I528" s="250"/>
      <c r="J528" s="251"/>
      <c r="K528" s="190"/>
      <c r="L528" s="209"/>
      <c r="M528" s="190"/>
      <c r="N528" s="186" t="s">
        <v>11</v>
      </c>
      <c r="O528" s="195" t="str">
        <f t="shared" si="19"/>
        <v>OB211B5</v>
      </c>
      <c r="P528" s="254"/>
      <c r="Q528" s="255"/>
      <c r="R528" s="255"/>
      <c r="S528" s="256"/>
      <c r="T528" s="190"/>
      <c r="U528" s="191"/>
      <c r="V528" s="909"/>
      <c r="W528" s="909"/>
      <c r="X528" s="187"/>
      <c r="Y528" s="182"/>
      <c r="Z528" s="182"/>
      <c r="AA528" s="182"/>
      <c r="AB528" s="182"/>
      <c r="AC528" s="210"/>
      <c r="AD528" s="182"/>
      <c r="AE528" s="182"/>
      <c r="AF528" s="211"/>
    </row>
    <row r="529" spans="2:32" ht="17.25" customHeight="1">
      <c r="B529" s="180">
        <v>182</v>
      </c>
      <c r="C529" s="811"/>
      <c r="D529" s="765"/>
      <c r="E529" s="186" t="s">
        <v>10</v>
      </c>
      <c r="F529" s="187" t="str">
        <f t="shared" si="18"/>
        <v>IB211B6</v>
      </c>
      <c r="G529" s="243" t="s">
        <v>773</v>
      </c>
      <c r="H529" s="244"/>
      <c r="I529" s="244"/>
      <c r="J529" s="245"/>
      <c r="K529" s="190" t="s">
        <v>1516</v>
      </c>
      <c r="L529" s="209"/>
      <c r="M529" s="190"/>
      <c r="N529" s="186" t="s">
        <v>11</v>
      </c>
      <c r="O529" s="195" t="str">
        <f t="shared" si="19"/>
        <v>OB211B6</v>
      </c>
      <c r="P529" s="254"/>
      <c r="Q529" s="255"/>
      <c r="R529" s="255"/>
      <c r="S529" s="256"/>
      <c r="T529" s="190"/>
      <c r="U529" s="191"/>
      <c r="V529" s="909"/>
      <c r="W529" s="909"/>
      <c r="X529" s="187"/>
      <c r="Y529" s="182"/>
      <c r="Z529" s="182"/>
      <c r="AA529" s="182"/>
      <c r="AB529" s="182"/>
      <c r="AC529" s="210"/>
      <c r="AD529" s="182"/>
      <c r="AE529" s="182"/>
      <c r="AF529" s="211"/>
    </row>
    <row r="530" spans="2:32" ht="17.25" customHeight="1">
      <c r="B530" s="180">
        <v>183</v>
      </c>
      <c r="C530" s="811"/>
      <c r="D530" s="765"/>
      <c r="E530" s="186" t="s">
        <v>10</v>
      </c>
      <c r="F530" s="187" t="str">
        <f t="shared" si="18"/>
        <v>IB211B7</v>
      </c>
      <c r="G530" s="243" t="s">
        <v>774</v>
      </c>
      <c r="H530" s="244"/>
      <c r="I530" s="244"/>
      <c r="J530" s="245"/>
      <c r="K530" s="190" t="s">
        <v>1513</v>
      </c>
      <c r="L530" s="209"/>
      <c r="M530" s="190"/>
      <c r="N530" s="186" t="s">
        <v>11</v>
      </c>
      <c r="O530" s="195" t="str">
        <f t="shared" si="19"/>
        <v>OB211B7</v>
      </c>
      <c r="P530" s="254"/>
      <c r="Q530" s="255"/>
      <c r="R530" s="255"/>
      <c r="S530" s="256"/>
      <c r="T530" s="190"/>
      <c r="U530" s="191"/>
      <c r="V530" s="909"/>
      <c r="W530" s="909"/>
      <c r="X530" s="187"/>
      <c r="Y530" s="182"/>
      <c r="Z530" s="182"/>
      <c r="AA530" s="182"/>
      <c r="AB530" s="182"/>
      <c r="AC530" s="210"/>
      <c r="AD530" s="182"/>
      <c r="AE530" s="182"/>
      <c r="AF530" s="211"/>
    </row>
    <row r="531" spans="2:32" ht="17.25" customHeight="1">
      <c r="B531" s="180">
        <v>184</v>
      </c>
      <c r="C531" s="811"/>
      <c r="D531" s="765"/>
      <c r="E531" s="186" t="s">
        <v>10</v>
      </c>
      <c r="F531" s="187" t="str">
        <f t="shared" si="18"/>
        <v>IB211B8</v>
      </c>
      <c r="G531" s="463" t="s">
        <v>775</v>
      </c>
      <c r="H531" s="250"/>
      <c r="I531" s="250"/>
      <c r="J531" s="251"/>
      <c r="K531" s="190" t="s">
        <v>1513</v>
      </c>
      <c r="L531" s="209"/>
      <c r="M531" s="190"/>
      <c r="N531" s="186" t="s">
        <v>11</v>
      </c>
      <c r="O531" s="195" t="str">
        <f t="shared" si="19"/>
        <v>OB211B8</v>
      </c>
      <c r="P531" s="254"/>
      <c r="Q531" s="255"/>
      <c r="R531" s="255"/>
      <c r="S531" s="256"/>
      <c r="T531" s="190"/>
      <c r="U531" s="191"/>
      <c r="V531" s="909"/>
      <c r="W531" s="909"/>
      <c r="X531" s="187"/>
      <c r="Y531" s="182"/>
      <c r="Z531" s="182"/>
      <c r="AA531" s="182"/>
      <c r="AB531" s="182"/>
      <c r="AC531" s="210"/>
      <c r="AD531" s="182"/>
      <c r="AE531" s="182"/>
      <c r="AF531" s="211"/>
    </row>
    <row r="532" spans="2:32" ht="17.25" customHeight="1">
      <c r="B532" s="180">
        <v>185</v>
      </c>
      <c r="C532" s="811"/>
      <c r="D532" s="765"/>
      <c r="E532" s="186" t="s">
        <v>10</v>
      </c>
      <c r="F532" s="187" t="str">
        <f t="shared" si="18"/>
        <v>IB211B9</v>
      </c>
      <c r="G532" s="463" t="s">
        <v>776</v>
      </c>
      <c r="H532" s="250"/>
      <c r="I532" s="250"/>
      <c r="J532" s="251"/>
      <c r="K532" s="190" t="s">
        <v>1513</v>
      </c>
      <c r="L532" s="209"/>
      <c r="M532" s="190"/>
      <c r="N532" s="186" t="s">
        <v>11</v>
      </c>
      <c r="O532" s="195" t="str">
        <f t="shared" si="19"/>
        <v>OB211B9</v>
      </c>
      <c r="P532" s="254"/>
      <c r="Q532" s="255"/>
      <c r="R532" s="255"/>
      <c r="S532" s="256"/>
      <c r="T532" s="190"/>
      <c r="U532" s="191"/>
      <c r="V532" s="909"/>
      <c r="W532" s="909"/>
      <c r="X532" s="187"/>
      <c r="Y532" s="182"/>
      <c r="Z532" s="182"/>
      <c r="AA532" s="182"/>
      <c r="AB532" s="182"/>
      <c r="AC532" s="210"/>
      <c r="AD532" s="182"/>
      <c r="AE532" s="182"/>
      <c r="AF532" s="211"/>
    </row>
    <row r="533" spans="2:32" ht="17.25" customHeight="1">
      <c r="B533" s="180">
        <v>186</v>
      </c>
      <c r="C533" s="811"/>
      <c r="D533" s="765"/>
      <c r="E533" s="186" t="s">
        <v>10</v>
      </c>
      <c r="F533" s="187" t="str">
        <f t="shared" si="18"/>
        <v>IB211BA</v>
      </c>
      <c r="G533" s="463" t="s">
        <v>777</v>
      </c>
      <c r="H533" s="250"/>
      <c r="I533" s="250"/>
      <c r="J533" s="251"/>
      <c r="K533" s="190" t="s">
        <v>1513</v>
      </c>
      <c r="L533" s="209"/>
      <c r="M533" s="190"/>
      <c r="N533" s="186" t="s">
        <v>11</v>
      </c>
      <c r="O533" s="195" t="str">
        <f t="shared" si="19"/>
        <v>OB211BA</v>
      </c>
      <c r="P533" s="254"/>
      <c r="Q533" s="255"/>
      <c r="R533" s="255"/>
      <c r="S533" s="256"/>
      <c r="T533" s="190"/>
      <c r="U533" s="191"/>
      <c r="V533" s="909"/>
      <c r="W533" s="909"/>
      <c r="X533" s="187"/>
      <c r="Y533" s="182"/>
      <c r="Z533" s="182"/>
      <c r="AA533" s="182"/>
      <c r="AB533" s="182"/>
      <c r="AC533" s="210"/>
      <c r="AD533" s="182"/>
      <c r="AE533" s="182"/>
      <c r="AF533" s="211"/>
    </row>
    <row r="534" spans="2:32" ht="17.25" customHeight="1">
      <c r="B534" s="180">
        <v>187</v>
      </c>
      <c r="C534" s="811"/>
      <c r="D534" s="765"/>
      <c r="E534" s="186" t="s">
        <v>10</v>
      </c>
      <c r="F534" s="187" t="str">
        <f t="shared" si="18"/>
        <v>IB211BB</v>
      </c>
      <c r="G534" s="463" t="s">
        <v>778</v>
      </c>
      <c r="H534" s="250"/>
      <c r="I534" s="250"/>
      <c r="J534" s="251"/>
      <c r="K534" s="190" t="s">
        <v>1513</v>
      </c>
      <c r="L534" s="209"/>
      <c r="M534" s="190"/>
      <c r="N534" s="186" t="s">
        <v>11</v>
      </c>
      <c r="O534" s="195" t="str">
        <f t="shared" si="19"/>
        <v>OB211BB</v>
      </c>
      <c r="P534" s="254"/>
      <c r="Q534" s="255"/>
      <c r="R534" s="255"/>
      <c r="S534" s="256"/>
      <c r="T534" s="190"/>
      <c r="U534" s="191"/>
      <c r="V534" s="909"/>
      <c r="W534" s="909"/>
      <c r="X534" s="187"/>
      <c r="Y534" s="182"/>
      <c r="Z534" s="182"/>
      <c r="AA534" s="182"/>
      <c r="AB534" s="182"/>
      <c r="AC534" s="210"/>
      <c r="AD534" s="182"/>
      <c r="AE534" s="182"/>
      <c r="AF534" s="211"/>
    </row>
    <row r="535" spans="2:32" ht="17.25" customHeight="1">
      <c r="B535" s="180">
        <v>188</v>
      </c>
      <c r="C535" s="811"/>
      <c r="D535" s="765"/>
      <c r="E535" s="186" t="s">
        <v>10</v>
      </c>
      <c r="F535" s="187" t="str">
        <f t="shared" si="18"/>
        <v>IB211BC</v>
      </c>
      <c r="G535" s="463" t="s">
        <v>779</v>
      </c>
      <c r="H535" s="250"/>
      <c r="I535" s="250"/>
      <c r="J535" s="251"/>
      <c r="K535" s="213" t="s">
        <v>1513</v>
      </c>
      <c r="L535" s="191"/>
      <c r="M535" s="609"/>
      <c r="N535" s="186" t="s">
        <v>11</v>
      </c>
      <c r="O535" s="195" t="str">
        <f t="shared" si="19"/>
        <v>OB211BC</v>
      </c>
      <c r="P535" s="254"/>
      <c r="Q535" s="255"/>
      <c r="R535" s="255"/>
      <c r="S535" s="256"/>
      <c r="T535" s="190"/>
      <c r="U535" s="191"/>
      <c r="V535" s="909"/>
      <c r="W535" s="909"/>
      <c r="X535" s="187"/>
      <c r="Y535" s="182"/>
      <c r="Z535" s="182"/>
      <c r="AA535" s="182"/>
      <c r="AB535" s="182"/>
      <c r="AC535" s="210"/>
      <c r="AD535" s="182"/>
      <c r="AE535" s="182"/>
      <c r="AF535" s="211"/>
    </row>
    <row r="536" spans="2:32" ht="17.25" customHeight="1">
      <c r="B536" s="180">
        <v>189</v>
      </c>
      <c r="C536" s="811"/>
      <c r="D536" s="765"/>
      <c r="E536" s="186" t="s">
        <v>10</v>
      </c>
      <c r="F536" s="187" t="str">
        <f t="shared" si="18"/>
        <v>IB211BD</v>
      </c>
      <c r="G536" s="463" t="s">
        <v>780</v>
      </c>
      <c r="H536" s="250"/>
      <c r="I536" s="250"/>
      <c r="J536" s="251"/>
      <c r="K536" s="213" t="s">
        <v>1513</v>
      </c>
      <c r="L536" s="191"/>
      <c r="M536" s="609"/>
      <c r="N536" s="186" t="s">
        <v>11</v>
      </c>
      <c r="O536" s="195" t="str">
        <f t="shared" si="19"/>
        <v>OB211BD</v>
      </c>
      <c r="P536" s="254"/>
      <c r="Q536" s="255"/>
      <c r="R536" s="255"/>
      <c r="S536" s="256"/>
      <c r="T536" s="190"/>
      <c r="U536" s="191"/>
      <c r="V536" s="909"/>
      <c r="W536" s="909"/>
      <c r="X536" s="187"/>
      <c r="Y536" s="182"/>
      <c r="Z536" s="182"/>
      <c r="AA536" s="182"/>
      <c r="AB536" s="182"/>
      <c r="AC536" s="210"/>
      <c r="AD536" s="182"/>
      <c r="AE536" s="182"/>
      <c r="AF536" s="211"/>
    </row>
    <row r="537" spans="2:32" ht="17.25" customHeight="1">
      <c r="B537" s="180">
        <v>190</v>
      </c>
      <c r="C537" s="811"/>
      <c r="D537" s="765"/>
      <c r="E537" s="186" t="s">
        <v>10</v>
      </c>
      <c r="F537" s="187" t="str">
        <f t="shared" si="18"/>
        <v>IB211BE</v>
      </c>
      <c r="G537" s="463" t="s">
        <v>781</v>
      </c>
      <c r="H537" s="250"/>
      <c r="I537" s="250"/>
      <c r="J537" s="251"/>
      <c r="K537" s="213" t="s">
        <v>1513</v>
      </c>
      <c r="L537" s="191"/>
      <c r="M537" s="609"/>
      <c r="N537" s="186" t="s">
        <v>11</v>
      </c>
      <c r="O537" s="195" t="str">
        <f t="shared" si="19"/>
        <v>OB211BE</v>
      </c>
      <c r="P537" s="254"/>
      <c r="Q537" s="255"/>
      <c r="R537" s="255"/>
      <c r="S537" s="256"/>
      <c r="T537" s="190"/>
      <c r="U537" s="191"/>
      <c r="V537" s="909"/>
      <c r="W537" s="909"/>
      <c r="X537" s="187"/>
      <c r="Y537" s="182"/>
      <c r="Z537" s="182"/>
      <c r="AA537" s="182"/>
      <c r="AB537" s="182"/>
      <c r="AC537" s="210"/>
      <c r="AD537" s="182"/>
      <c r="AE537" s="182"/>
      <c r="AF537" s="211"/>
    </row>
    <row r="538" spans="2:32" ht="17.25" customHeight="1">
      <c r="B538" s="180">
        <v>191</v>
      </c>
      <c r="C538" s="928"/>
      <c r="D538" s="765"/>
      <c r="E538" s="186" t="s">
        <v>10</v>
      </c>
      <c r="F538" s="187" t="str">
        <f t="shared" si="18"/>
        <v>IB211BF</v>
      </c>
      <c r="G538" s="463" t="s">
        <v>782</v>
      </c>
      <c r="H538" s="250"/>
      <c r="I538" s="250"/>
      <c r="J538" s="251"/>
      <c r="K538" s="213" t="s">
        <v>1513</v>
      </c>
      <c r="L538" s="191"/>
      <c r="M538" s="609"/>
      <c r="N538" s="186" t="s">
        <v>11</v>
      </c>
      <c r="O538" s="195" t="str">
        <f t="shared" si="19"/>
        <v>OB211BF</v>
      </c>
      <c r="P538" s="254"/>
      <c r="Q538" s="255"/>
      <c r="R538" s="255"/>
      <c r="S538" s="256"/>
      <c r="T538" s="190"/>
      <c r="U538" s="191"/>
      <c r="V538" s="909"/>
      <c r="W538" s="909"/>
      <c r="X538" s="187"/>
      <c r="Y538" s="182"/>
      <c r="Z538" s="182"/>
      <c r="AA538" s="182"/>
      <c r="AB538" s="182"/>
      <c r="AC538" s="210"/>
      <c r="AD538" s="182"/>
      <c r="AE538" s="182"/>
      <c r="AF538" s="211"/>
    </row>
    <row r="539" spans="2:32" ht="17.25" customHeight="1">
      <c r="B539" s="180">
        <v>192</v>
      </c>
      <c r="C539" s="925" t="s">
        <v>1591</v>
      </c>
      <c r="D539" s="901" t="s">
        <v>1406</v>
      </c>
      <c r="E539" s="186" t="s">
        <v>10</v>
      </c>
      <c r="F539" s="187" t="str">
        <f t="shared" si="18"/>
        <v>IB211C0</v>
      </c>
      <c r="G539" s="271"/>
      <c r="H539" s="272"/>
      <c r="I539" s="272"/>
      <c r="J539" s="273"/>
      <c r="K539" s="190"/>
      <c r="L539" s="191"/>
      <c r="M539" s="609"/>
      <c r="N539" s="186" t="s">
        <v>11</v>
      </c>
      <c r="O539" s="195" t="str">
        <f t="shared" si="19"/>
        <v>OB211C0</v>
      </c>
      <c r="P539" s="463" t="s">
        <v>847</v>
      </c>
      <c r="Q539" s="250"/>
      <c r="R539" s="250"/>
      <c r="S539" s="251"/>
      <c r="T539" s="190" t="s">
        <v>1513</v>
      </c>
      <c r="U539" s="191"/>
      <c r="V539" s="909"/>
      <c r="W539" s="909"/>
      <c r="X539" s="187"/>
      <c r="Y539" s="182"/>
      <c r="Z539" s="182"/>
      <c r="AA539" s="182"/>
      <c r="AB539" s="182"/>
      <c r="AC539" s="210"/>
      <c r="AD539" s="182"/>
      <c r="AE539" s="182"/>
      <c r="AF539" s="211"/>
    </row>
    <row r="540" spans="2:32" ht="17.25" customHeight="1">
      <c r="B540" s="180">
        <v>193</v>
      </c>
      <c r="C540" s="816"/>
      <c r="D540" s="765"/>
      <c r="E540" s="186" t="s">
        <v>10</v>
      </c>
      <c r="F540" s="187" t="str">
        <f t="shared" ref="F540:F602" si="20">LEFT(F539,1)&amp;DEC2HEX(HEX2DEC(MID(F539,2,LENB(F539)-1))+1,LENB(F539)-1)</f>
        <v>IB211C1</v>
      </c>
      <c r="G540" s="271"/>
      <c r="H540" s="272"/>
      <c r="I540" s="272"/>
      <c r="J540" s="273"/>
      <c r="K540" s="190"/>
      <c r="L540" s="209"/>
      <c r="M540" s="190"/>
      <c r="N540" s="186" t="s">
        <v>11</v>
      </c>
      <c r="O540" s="195" t="str">
        <f t="shared" si="19"/>
        <v>OB211C1</v>
      </c>
      <c r="P540" s="463" t="s">
        <v>848</v>
      </c>
      <c r="Q540" s="250"/>
      <c r="R540" s="250"/>
      <c r="S540" s="251"/>
      <c r="T540" s="190" t="s">
        <v>1513</v>
      </c>
      <c r="U540" s="191"/>
      <c r="V540" s="909"/>
      <c r="W540" s="909"/>
      <c r="X540" s="187"/>
      <c r="Y540" s="182"/>
      <c r="Z540" s="182"/>
      <c r="AA540" s="182"/>
      <c r="AB540" s="182"/>
      <c r="AC540" s="210"/>
      <c r="AD540" s="182"/>
      <c r="AE540" s="182"/>
      <c r="AF540" s="211"/>
    </row>
    <row r="541" spans="2:32" ht="17.25" customHeight="1">
      <c r="B541" s="180">
        <v>194</v>
      </c>
      <c r="C541" s="816"/>
      <c r="D541" s="765"/>
      <c r="E541" s="186" t="s">
        <v>10</v>
      </c>
      <c r="F541" s="187" t="str">
        <f t="shared" si="20"/>
        <v>IB211C2</v>
      </c>
      <c r="G541" s="271"/>
      <c r="H541" s="272"/>
      <c r="I541" s="272"/>
      <c r="J541" s="273"/>
      <c r="K541" s="190"/>
      <c r="L541" s="209"/>
      <c r="M541" s="190"/>
      <c r="N541" s="186" t="s">
        <v>11</v>
      </c>
      <c r="O541" s="195" t="str">
        <f t="shared" si="19"/>
        <v>OB211C2</v>
      </c>
      <c r="P541" s="463" t="s">
        <v>849</v>
      </c>
      <c r="Q541" s="250"/>
      <c r="R541" s="250"/>
      <c r="S541" s="251"/>
      <c r="T541" s="190" t="s">
        <v>1513</v>
      </c>
      <c r="U541" s="191"/>
      <c r="V541" s="909"/>
      <c r="W541" s="909"/>
      <c r="X541" s="187"/>
      <c r="Y541" s="182"/>
      <c r="Z541" s="182"/>
      <c r="AA541" s="182"/>
      <c r="AB541" s="182"/>
      <c r="AC541" s="210"/>
      <c r="AD541" s="182"/>
      <c r="AE541" s="182"/>
      <c r="AF541" s="211"/>
    </row>
    <row r="542" spans="2:32" ht="17.25" customHeight="1">
      <c r="B542" s="180">
        <v>195</v>
      </c>
      <c r="C542" s="816"/>
      <c r="D542" s="765"/>
      <c r="E542" s="186" t="s">
        <v>10</v>
      </c>
      <c r="F542" s="187" t="str">
        <f t="shared" si="20"/>
        <v>IB211C3</v>
      </c>
      <c r="G542" s="271"/>
      <c r="H542" s="272"/>
      <c r="I542" s="272"/>
      <c r="J542" s="273"/>
      <c r="K542" s="190"/>
      <c r="L542" s="209"/>
      <c r="M542" s="190"/>
      <c r="N542" s="186" t="s">
        <v>11</v>
      </c>
      <c r="O542" s="195" t="str">
        <f t="shared" si="19"/>
        <v>OB211C3</v>
      </c>
      <c r="P542" s="463" t="s">
        <v>850</v>
      </c>
      <c r="Q542" s="250"/>
      <c r="R542" s="250"/>
      <c r="S542" s="251"/>
      <c r="T542" s="190" t="s">
        <v>1513</v>
      </c>
      <c r="U542" s="191"/>
      <c r="V542" s="909"/>
      <c r="W542" s="909"/>
      <c r="X542" s="187"/>
      <c r="Y542" s="182"/>
      <c r="Z542" s="182"/>
      <c r="AA542" s="182"/>
      <c r="AB542" s="182"/>
      <c r="AC542" s="210"/>
      <c r="AD542" s="182"/>
      <c r="AE542" s="182"/>
      <c r="AF542" s="211"/>
    </row>
    <row r="543" spans="2:32" ht="17.25" customHeight="1">
      <c r="B543" s="180">
        <v>196</v>
      </c>
      <c r="C543" s="816"/>
      <c r="D543" s="765"/>
      <c r="E543" s="186" t="s">
        <v>10</v>
      </c>
      <c r="F543" s="187" t="str">
        <f t="shared" si="20"/>
        <v>IB211C4</v>
      </c>
      <c r="G543" s="271"/>
      <c r="H543" s="272"/>
      <c r="I543" s="272"/>
      <c r="J543" s="273"/>
      <c r="K543" s="190"/>
      <c r="L543" s="209"/>
      <c r="M543" s="190"/>
      <c r="N543" s="186" t="s">
        <v>11</v>
      </c>
      <c r="O543" s="195" t="str">
        <f t="shared" si="19"/>
        <v>OB211C4</v>
      </c>
      <c r="P543" s="463" t="s">
        <v>851</v>
      </c>
      <c r="Q543" s="250"/>
      <c r="R543" s="250"/>
      <c r="S543" s="251"/>
      <c r="T543" s="190" t="s">
        <v>1513</v>
      </c>
      <c r="U543" s="191"/>
      <c r="V543" s="909"/>
      <c r="W543" s="909"/>
      <c r="X543" s="187"/>
      <c r="Y543" s="182"/>
      <c r="Z543" s="182"/>
      <c r="AA543" s="182"/>
      <c r="AB543" s="182"/>
      <c r="AC543" s="210"/>
      <c r="AD543" s="182"/>
      <c r="AE543" s="182"/>
      <c r="AF543" s="211"/>
    </row>
    <row r="544" spans="2:32" ht="17.25" customHeight="1">
      <c r="B544" s="180">
        <v>197</v>
      </c>
      <c r="C544" s="816"/>
      <c r="D544" s="765"/>
      <c r="E544" s="186" t="s">
        <v>10</v>
      </c>
      <c r="F544" s="187" t="str">
        <f t="shared" si="20"/>
        <v>IB211C5</v>
      </c>
      <c r="G544" s="271"/>
      <c r="H544" s="272"/>
      <c r="I544" s="272"/>
      <c r="J544" s="273"/>
      <c r="K544" s="190"/>
      <c r="L544" s="209"/>
      <c r="M544" s="190"/>
      <c r="N544" s="186" t="s">
        <v>11</v>
      </c>
      <c r="O544" s="195" t="str">
        <f t="shared" si="19"/>
        <v>OB211C5</v>
      </c>
      <c r="P544" s="463" t="s">
        <v>852</v>
      </c>
      <c r="Q544" s="250"/>
      <c r="R544" s="250"/>
      <c r="S544" s="251"/>
      <c r="T544" s="190" t="s">
        <v>1513</v>
      </c>
      <c r="U544" s="191"/>
      <c r="V544" s="909"/>
      <c r="W544" s="909"/>
      <c r="X544" s="187"/>
      <c r="Y544" s="182"/>
      <c r="Z544" s="182"/>
      <c r="AA544" s="182"/>
      <c r="AB544" s="182"/>
      <c r="AC544" s="210"/>
      <c r="AD544" s="182"/>
      <c r="AE544" s="182"/>
      <c r="AF544" s="211"/>
    </row>
    <row r="545" spans="2:32" ht="17.25" customHeight="1">
      <c r="B545" s="180">
        <v>198</v>
      </c>
      <c r="C545" s="816"/>
      <c r="D545" s="765"/>
      <c r="E545" s="186" t="s">
        <v>10</v>
      </c>
      <c r="F545" s="187" t="str">
        <f t="shared" si="20"/>
        <v>IB211C6</v>
      </c>
      <c r="G545" s="271"/>
      <c r="H545" s="272"/>
      <c r="I545" s="272"/>
      <c r="J545" s="273"/>
      <c r="K545" s="190"/>
      <c r="L545" s="209"/>
      <c r="M545" s="190"/>
      <c r="N545" s="186" t="s">
        <v>11</v>
      </c>
      <c r="O545" s="195" t="str">
        <f t="shared" si="19"/>
        <v>OB211C6</v>
      </c>
      <c r="P545" s="463" t="s">
        <v>853</v>
      </c>
      <c r="Q545" s="250"/>
      <c r="R545" s="250"/>
      <c r="S545" s="251"/>
      <c r="T545" s="190" t="s">
        <v>1513</v>
      </c>
      <c r="U545" s="191"/>
      <c r="V545" s="909"/>
      <c r="W545" s="909"/>
      <c r="X545" s="187"/>
      <c r="Y545" s="182"/>
      <c r="Z545" s="182"/>
      <c r="AA545" s="182"/>
      <c r="AB545" s="182"/>
      <c r="AC545" s="210"/>
      <c r="AD545" s="182"/>
      <c r="AE545" s="182"/>
      <c r="AF545" s="211"/>
    </row>
    <row r="546" spans="2:32" ht="17.25" customHeight="1">
      <c r="B546" s="180">
        <v>199</v>
      </c>
      <c r="C546" s="816"/>
      <c r="D546" s="765"/>
      <c r="E546" s="186" t="s">
        <v>10</v>
      </c>
      <c r="F546" s="187" t="str">
        <f t="shared" si="20"/>
        <v>IB211C7</v>
      </c>
      <c r="G546" s="271"/>
      <c r="H546" s="272"/>
      <c r="I546" s="272"/>
      <c r="J546" s="273"/>
      <c r="K546" s="190"/>
      <c r="L546" s="209"/>
      <c r="M546" s="190"/>
      <c r="N546" s="186" t="s">
        <v>11</v>
      </c>
      <c r="O546" s="195" t="str">
        <f t="shared" si="19"/>
        <v>OB211C7</v>
      </c>
      <c r="P546" s="463" t="s">
        <v>854</v>
      </c>
      <c r="Q546" s="250"/>
      <c r="R546" s="250"/>
      <c r="S546" s="251"/>
      <c r="T546" s="190" t="s">
        <v>1513</v>
      </c>
      <c r="U546" s="191"/>
      <c r="V546" s="909"/>
      <c r="W546" s="909"/>
      <c r="X546" s="187"/>
      <c r="Y546" s="182"/>
      <c r="Z546" s="182"/>
      <c r="AA546" s="182"/>
      <c r="AB546" s="182"/>
      <c r="AC546" s="210"/>
      <c r="AD546" s="182"/>
      <c r="AE546" s="182"/>
      <c r="AF546" s="211"/>
    </row>
    <row r="547" spans="2:32" ht="17.25" customHeight="1">
      <c r="B547" s="180">
        <v>200</v>
      </c>
      <c r="C547" s="816"/>
      <c r="D547" s="765"/>
      <c r="E547" s="186" t="s">
        <v>10</v>
      </c>
      <c r="F547" s="187" t="str">
        <f t="shared" si="20"/>
        <v>IB211C8</v>
      </c>
      <c r="G547" s="271"/>
      <c r="H547" s="272"/>
      <c r="I547" s="272"/>
      <c r="J547" s="273"/>
      <c r="K547" s="190"/>
      <c r="L547" s="209"/>
      <c r="M547" s="190"/>
      <c r="N547" s="186" t="s">
        <v>11</v>
      </c>
      <c r="O547" s="195" t="str">
        <f t="shared" si="19"/>
        <v>OB211C8</v>
      </c>
      <c r="P547" s="249"/>
      <c r="Q547" s="250"/>
      <c r="R547" s="250"/>
      <c r="S547" s="251"/>
      <c r="T547" s="196"/>
      <c r="U547" s="191"/>
      <c r="V547" s="909"/>
      <c r="W547" s="909"/>
      <c r="X547" s="187"/>
      <c r="Y547" s="182"/>
      <c r="Z547" s="182"/>
      <c r="AA547" s="182"/>
      <c r="AB547" s="182"/>
      <c r="AC547" s="210"/>
      <c r="AD547" s="182"/>
      <c r="AE547" s="182"/>
      <c r="AF547" s="211"/>
    </row>
    <row r="548" spans="2:32" ht="17.25" customHeight="1">
      <c r="B548" s="180">
        <v>201</v>
      </c>
      <c r="C548" s="816"/>
      <c r="D548" s="765"/>
      <c r="E548" s="186" t="s">
        <v>10</v>
      </c>
      <c r="F548" s="187" t="str">
        <f t="shared" si="20"/>
        <v>IB211C9</v>
      </c>
      <c r="G548" s="271"/>
      <c r="H548" s="272"/>
      <c r="I548" s="272"/>
      <c r="J548" s="273"/>
      <c r="K548" s="190"/>
      <c r="L548" s="209"/>
      <c r="M548" s="190"/>
      <c r="N548" s="186" t="s">
        <v>11</v>
      </c>
      <c r="O548" s="195" t="str">
        <f t="shared" si="19"/>
        <v>OB211C9</v>
      </c>
      <c r="P548" s="249"/>
      <c r="Q548" s="250"/>
      <c r="R548" s="250"/>
      <c r="S548" s="251"/>
      <c r="T548" s="196"/>
      <c r="U548" s="191"/>
      <c r="V548" s="909"/>
      <c r="W548" s="909"/>
      <c r="X548" s="187"/>
      <c r="Y548" s="182"/>
      <c r="Z548" s="182"/>
      <c r="AA548" s="182"/>
      <c r="AB548" s="182"/>
      <c r="AC548" s="210"/>
      <c r="AD548" s="182"/>
      <c r="AE548" s="182"/>
      <c r="AF548" s="211"/>
    </row>
    <row r="549" spans="2:32" ht="17.25" customHeight="1">
      <c r="B549" s="180">
        <v>202</v>
      </c>
      <c r="C549" s="816"/>
      <c r="D549" s="765"/>
      <c r="E549" s="186" t="s">
        <v>10</v>
      </c>
      <c r="F549" s="187" t="str">
        <f t="shared" si="20"/>
        <v>IB211CA</v>
      </c>
      <c r="G549" s="271"/>
      <c r="H549" s="272"/>
      <c r="I549" s="272"/>
      <c r="J549" s="273"/>
      <c r="K549" s="190"/>
      <c r="L549" s="209"/>
      <c r="M549" s="190"/>
      <c r="N549" s="186" t="s">
        <v>11</v>
      </c>
      <c r="O549" s="195" t="str">
        <f t="shared" si="19"/>
        <v>OB211CA</v>
      </c>
      <c r="P549" s="243" t="s">
        <v>841</v>
      </c>
      <c r="Q549" s="244"/>
      <c r="R549" s="244"/>
      <c r="S549" s="245"/>
      <c r="T549" s="196" t="s">
        <v>1531</v>
      </c>
      <c r="U549" s="209" t="s">
        <v>1513</v>
      </c>
      <c r="V549" s="909"/>
      <c r="W549" s="909"/>
      <c r="X549" s="187"/>
      <c r="Y549" s="182"/>
      <c r="Z549" s="182"/>
      <c r="AA549" s="182"/>
      <c r="AB549" s="182"/>
      <c r="AC549" s="210"/>
      <c r="AD549" s="182"/>
      <c r="AE549" s="182"/>
      <c r="AF549" s="211"/>
    </row>
    <row r="550" spans="2:32" ht="17.25" customHeight="1">
      <c r="B550" s="180">
        <v>203</v>
      </c>
      <c r="C550" s="816"/>
      <c r="D550" s="765"/>
      <c r="E550" s="186" t="s">
        <v>10</v>
      </c>
      <c r="F550" s="187" t="str">
        <f t="shared" si="20"/>
        <v>IB211CB</v>
      </c>
      <c r="G550" s="271"/>
      <c r="H550" s="272"/>
      <c r="I550" s="272"/>
      <c r="J550" s="273"/>
      <c r="K550" s="190"/>
      <c r="L550" s="209"/>
      <c r="M550" s="190"/>
      <c r="N550" s="186" t="s">
        <v>11</v>
      </c>
      <c r="O550" s="195" t="str">
        <f t="shared" si="19"/>
        <v>OB211CB</v>
      </c>
      <c r="P550" s="243" t="s">
        <v>843</v>
      </c>
      <c r="Q550" s="244"/>
      <c r="R550" s="244"/>
      <c r="S550" s="245"/>
      <c r="T550" s="196" t="s">
        <v>1531</v>
      </c>
      <c r="U550" s="209" t="s">
        <v>1513</v>
      </c>
      <c r="V550" s="909"/>
      <c r="W550" s="909"/>
      <c r="X550" s="187"/>
      <c r="Y550" s="182"/>
      <c r="Z550" s="182"/>
      <c r="AA550" s="182"/>
      <c r="AB550" s="182"/>
      <c r="AC550" s="210"/>
      <c r="AD550" s="182"/>
      <c r="AE550" s="182"/>
      <c r="AF550" s="211"/>
    </row>
    <row r="551" spans="2:32" ht="17.25" customHeight="1">
      <c r="B551" s="180">
        <v>204</v>
      </c>
      <c r="C551" s="816"/>
      <c r="D551" s="765"/>
      <c r="E551" s="186" t="s">
        <v>10</v>
      </c>
      <c r="F551" s="187" t="str">
        <f t="shared" si="20"/>
        <v>IB211CC</v>
      </c>
      <c r="G551" s="271"/>
      <c r="H551" s="272"/>
      <c r="I551" s="272"/>
      <c r="J551" s="273"/>
      <c r="K551" s="190"/>
      <c r="L551" s="209"/>
      <c r="M551" s="190"/>
      <c r="N551" s="186" t="s">
        <v>11</v>
      </c>
      <c r="O551" s="195" t="str">
        <f t="shared" si="19"/>
        <v>OB211CC</v>
      </c>
      <c r="P551" s="243" t="s">
        <v>845</v>
      </c>
      <c r="Q551" s="244"/>
      <c r="R551" s="244"/>
      <c r="S551" s="245"/>
      <c r="T551" s="196" t="s">
        <v>1531</v>
      </c>
      <c r="U551" s="209" t="s">
        <v>1513</v>
      </c>
      <c r="V551" s="909"/>
      <c r="W551" s="909"/>
      <c r="X551" s="187"/>
      <c r="Y551" s="182"/>
      <c r="Z551" s="182"/>
      <c r="AA551" s="182"/>
      <c r="AB551" s="182"/>
      <c r="AC551" s="210"/>
      <c r="AD551" s="182"/>
      <c r="AE551" s="182"/>
      <c r="AF551" s="211"/>
    </row>
    <row r="552" spans="2:32" ht="17.25" customHeight="1">
      <c r="B552" s="180">
        <v>205</v>
      </c>
      <c r="C552" s="816"/>
      <c r="D552" s="765"/>
      <c r="E552" s="186" t="s">
        <v>10</v>
      </c>
      <c r="F552" s="187" t="str">
        <f t="shared" si="20"/>
        <v>IB211CD</v>
      </c>
      <c r="G552" s="271"/>
      <c r="H552" s="272"/>
      <c r="I552" s="272"/>
      <c r="J552" s="273"/>
      <c r="K552" s="190"/>
      <c r="L552" s="209"/>
      <c r="M552" s="190"/>
      <c r="N552" s="186" t="s">
        <v>11</v>
      </c>
      <c r="O552" s="195" t="str">
        <f t="shared" si="19"/>
        <v>OB211CD</v>
      </c>
      <c r="P552" s="243" t="s">
        <v>842</v>
      </c>
      <c r="Q552" s="244"/>
      <c r="R552" s="244"/>
      <c r="S552" s="245"/>
      <c r="T552" s="196" t="s">
        <v>1531</v>
      </c>
      <c r="U552" s="209" t="s">
        <v>1513</v>
      </c>
      <c r="V552" s="909"/>
      <c r="W552" s="909"/>
      <c r="X552" s="187"/>
      <c r="Y552" s="182"/>
      <c r="Z552" s="182"/>
      <c r="AA552" s="182"/>
      <c r="AB552" s="182"/>
      <c r="AC552" s="210"/>
      <c r="AD552" s="182"/>
      <c r="AE552" s="182"/>
      <c r="AF552" s="211"/>
    </row>
    <row r="553" spans="2:32" ht="17.25" customHeight="1">
      <c r="B553" s="180">
        <v>206</v>
      </c>
      <c r="C553" s="816"/>
      <c r="D553" s="765"/>
      <c r="E553" s="186" t="s">
        <v>10</v>
      </c>
      <c r="F553" s="187" t="str">
        <f t="shared" si="20"/>
        <v>IB211CE</v>
      </c>
      <c r="G553" s="271"/>
      <c r="H553" s="272"/>
      <c r="I553" s="272"/>
      <c r="J553" s="273"/>
      <c r="K553" s="190"/>
      <c r="L553" s="209"/>
      <c r="M553" s="190"/>
      <c r="N553" s="186" t="s">
        <v>11</v>
      </c>
      <c r="O553" s="195" t="str">
        <f t="shared" si="19"/>
        <v>OB211CE</v>
      </c>
      <c r="P553" s="243" t="s">
        <v>844</v>
      </c>
      <c r="Q553" s="244"/>
      <c r="R553" s="244"/>
      <c r="S553" s="245"/>
      <c r="T553" s="196" t="s">
        <v>1531</v>
      </c>
      <c r="U553" s="209" t="s">
        <v>1513</v>
      </c>
      <c r="V553" s="909"/>
      <c r="W553" s="909"/>
      <c r="X553" s="187"/>
      <c r="Y553" s="182"/>
      <c r="Z553" s="182"/>
      <c r="AA553" s="182"/>
      <c r="AB553" s="182"/>
      <c r="AC553" s="210"/>
      <c r="AD553" s="182"/>
      <c r="AE553" s="182"/>
      <c r="AF553" s="211"/>
    </row>
    <row r="554" spans="2:32" ht="17.25" customHeight="1">
      <c r="B554" s="180">
        <v>207</v>
      </c>
      <c r="C554" s="926"/>
      <c r="D554" s="765"/>
      <c r="E554" s="186" t="s">
        <v>10</v>
      </c>
      <c r="F554" s="187" t="str">
        <f t="shared" si="20"/>
        <v>IB211CF</v>
      </c>
      <c r="G554" s="271"/>
      <c r="H554" s="272"/>
      <c r="I554" s="272"/>
      <c r="J554" s="273"/>
      <c r="K554" s="190"/>
      <c r="L554" s="209"/>
      <c r="M554" s="190"/>
      <c r="N554" s="186" t="s">
        <v>11</v>
      </c>
      <c r="O554" s="195" t="str">
        <f t="shared" si="19"/>
        <v>OB211CF</v>
      </c>
      <c r="P554" s="243" t="s">
        <v>846</v>
      </c>
      <c r="Q554" s="244"/>
      <c r="R554" s="244"/>
      <c r="S554" s="245"/>
      <c r="T554" s="196" t="s">
        <v>1531</v>
      </c>
      <c r="U554" s="209" t="s">
        <v>1513</v>
      </c>
      <c r="V554" s="909"/>
      <c r="W554" s="909"/>
      <c r="X554" s="187"/>
      <c r="Y554" s="182"/>
      <c r="Z554" s="182"/>
      <c r="AA554" s="182"/>
      <c r="AB554" s="182"/>
      <c r="AC554" s="210"/>
      <c r="AD554" s="182"/>
      <c r="AE554" s="182"/>
      <c r="AF554" s="211"/>
    </row>
    <row r="555" spans="2:32" ht="17.25" customHeight="1">
      <c r="B555" s="180">
        <v>208</v>
      </c>
      <c r="C555" s="927" t="s">
        <v>59</v>
      </c>
      <c r="D555" s="901" t="s">
        <v>1406</v>
      </c>
      <c r="E555" s="186" t="s">
        <v>10</v>
      </c>
      <c r="F555" s="187" t="str">
        <f t="shared" si="20"/>
        <v>IB211D0</v>
      </c>
      <c r="G555" s="108" t="s">
        <v>783</v>
      </c>
      <c r="H555" s="244"/>
      <c r="I555" s="244"/>
      <c r="J555" s="245"/>
      <c r="K555" s="190" t="s">
        <v>1513</v>
      </c>
      <c r="L555" s="209"/>
      <c r="M555" s="190"/>
      <c r="N555" s="186" t="s">
        <v>11</v>
      </c>
      <c r="O555" s="195" t="str">
        <f t="shared" si="19"/>
        <v>OB211D0</v>
      </c>
      <c r="P555" s="254"/>
      <c r="Q555" s="255"/>
      <c r="R555" s="255"/>
      <c r="S555" s="256"/>
      <c r="T555" s="190"/>
      <c r="U555" s="191"/>
      <c r="V555" s="909"/>
      <c r="W555" s="909"/>
      <c r="X555" s="187"/>
      <c r="Y555" s="182"/>
      <c r="Z555" s="182"/>
      <c r="AA555" s="182"/>
      <c r="AB555" s="182"/>
      <c r="AC555" s="210"/>
      <c r="AD555" s="182"/>
      <c r="AE555" s="182"/>
      <c r="AF555" s="211"/>
    </row>
    <row r="556" spans="2:32" ht="17.25" customHeight="1">
      <c r="B556" s="180">
        <v>209</v>
      </c>
      <c r="C556" s="811"/>
      <c r="D556" s="765"/>
      <c r="E556" s="186" t="s">
        <v>10</v>
      </c>
      <c r="F556" s="187" t="str">
        <f t="shared" si="20"/>
        <v>IB211D1</v>
      </c>
      <c r="G556" s="108" t="s">
        <v>784</v>
      </c>
      <c r="H556" s="244"/>
      <c r="I556" s="244"/>
      <c r="J556" s="245"/>
      <c r="K556" s="190" t="s">
        <v>1513</v>
      </c>
      <c r="L556" s="209"/>
      <c r="M556" s="190"/>
      <c r="N556" s="186" t="s">
        <v>11</v>
      </c>
      <c r="O556" s="195" t="str">
        <f t="shared" si="19"/>
        <v>OB211D1</v>
      </c>
      <c r="P556" s="254"/>
      <c r="Q556" s="255"/>
      <c r="R556" s="255"/>
      <c r="S556" s="256"/>
      <c r="T556" s="190"/>
      <c r="U556" s="191"/>
      <c r="V556" s="909"/>
      <c r="W556" s="909"/>
      <c r="X556" s="187"/>
      <c r="Y556" s="182"/>
      <c r="Z556" s="182"/>
      <c r="AA556" s="182"/>
      <c r="AB556" s="182"/>
      <c r="AC556" s="210"/>
      <c r="AD556" s="182"/>
      <c r="AE556" s="182"/>
      <c r="AF556" s="211"/>
    </row>
    <row r="557" spans="2:32" ht="17.25" customHeight="1">
      <c r="B557" s="180">
        <v>210</v>
      </c>
      <c r="C557" s="811"/>
      <c r="D557" s="765"/>
      <c r="E557" s="186" t="s">
        <v>10</v>
      </c>
      <c r="F557" s="187" t="str">
        <f t="shared" si="20"/>
        <v>IB211D2</v>
      </c>
      <c r="G557" s="108" t="s">
        <v>785</v>
      </c>
      <c r="H557" s="244"/>
      <c r="I557" s="244"/>
      <c r="J557" s="245"/>
      <c r="K557" s="190" t="s">
        <v>1513</v>
      </c>
      <c r="L557" s="209"/>
      <c r="M557" s="190"/>
      <c r="N557" s="186" t="s">
        <v>11</v>
      </c>
      <c r="O557" s="195" t="str">
        <f t="shared" si="19"/>
        <v>OB211D2</v>
      </c>
      <c r="P557" s="254"/>
      <c r="Q557" s="255"/>
      <c r="R557" s="255"/>
      <c r="S557" s="256"/>
      <c r="T557" s="190"/>
      <c r="U557" s="191"/>
      <c r="V557" s="909"/>
      <c r="W557" s="909"/>
      <c r="X557" s="187"/>
      <c r="Y557" s="182"/>
      <c r="Z557" s="182"/>
      <c r="AA557" s="182"/>
      <c r="AB557" s="182"/>
      <c r="AC557" s="210"/>
      <c r="AD557" s="182"/>
      <c r="AE557" s="182"/>
      <c r="AF557" s="211"/>
    </row>
    <row r="558" spans="2:32" ht="17.25" customHeight="1">
      <c r="B558" s="180">
        <v>211</v>
      </c>
      <c r="C558" s="811"/>
      <c r="D558" s="765"/>
      <c r="E558" s="186" t="s">
        <v>10</v>
      </c>
      <c r="F558" s="187" t="str">
        <f t="shared" si="20"/>
        <v>IB211D3</v>
      </c>
      <c r="G558" s="108" t="s">
        <v>786</v>
      </c>
      <c r="H558" s="244"/>
      <c r="I558" s="244"/>
      <c r="J558" s="245"/>
      <c r="K558" s="190" t="s">
        <v>1513</v>
      </c>
      <c r="L558" s="209"/>
      <c r="M558" s="190"/>
      <c r="N558" s="186" t="s">
        <v>11</v>
      </c>
      <c r="O558" s="195" t="str">
        <f t="shared" si="19"/>
        <v>OB211D3</v>
      </c>
      <c r="P558" s="254"/>
      <c r="Q558" s="255"/>
      <c r="R558" s="255"/>
      <c r="S558" s="256"/>
      <c r="T558" s="190"/>
      <c r="U558" s="191"/>
      <c r="V558" s="909"/>
      <c r="W558" s="909"/>
      <c r="X558" s="187"/>
      <c r="Y558" s="182"/>
      <c r="Z558" s="182"/>
      <c r="AA558" s="182"/>
      <c r="AB558" s="182"/>
      <c r="AC558" s="210"/>
      <c r="AD558" s="182"/>
      <c r="AE558" s="182"/>
      <c r="AF558" s="211"/>
    </row>
    <row r="559" spans="2:32" ht="17.25" customHeight="1">
      <c r="B559" s="180">
        <v>212</v>
      </c>
      <c r="C559" s="811"/>
      <c r="D559" s="765"/>
      <c r="E559" s="186" t="s">
        <v>10</v>
      </c>
      <c r="F559" s="187" t="str">
        <f t="shared" si="20"/>
        <v>IB211D4</v>
      </c>
      <c r="G559" s="108" t="s">
        <v>787</v>
      </c>
      <c r="H559" s="244"/>
      <c r="I559" s="244"/>
      <c r="J559" s="245"/>
      <c r="K559" s="190" t="s">
        <v>1513</v>
      </c>
      <c r="L559" s="209"/>
      <c r="M559" s="190"/>
      <c r="N559" s="186" t="s">
        <v>11</v>
      </c>
      <c r="O559" s="195" t="str">
        <f t="shared" si="19"/>
        <v>OB211D4</v>
      </c>
      <c r="P559" s="254"/>
      <c r="Q559" s="255"/>
      <c r="R559" s="255"/>
      <c r="S559" s="256"/>
      <c r="T559" s="190"/>
      <c r="U559" s="191"/>
      <c r="V559" s="909"/>
      <c r="W559" s="909"/>
      <c r="X559" s="187"/>
      <c r="Y559" s="182"/>
      <c r="Z559" s="182"/>
      <c r="AA559" s="182"/>
      <c r="AB559" s="182"/>
      <c r="AC559" s="210"/>
      <c r="AD559" s="182"/>
      <c r="AE559" s="182"/>
      <c r="AF559" s="211"/>
    </row>
    <row r="560" spans="2:32" ht="17.25" customHeight="1">
      <c r="B560" s="180">
        <v>213</v>
      </c>
      <c r="C560" s="811"/>
      <c r="D560" s="765"/>
      <c r="E560" s="186" t="s">
        <v>10</v>
      </c>
      <c r="F560" s="187" t="str">
        <f t="shared" si="20"/>
        <v>IB211D5</v>
      </c>
      <c r="G560" s="249"/>
      <c r="H560" s="250"/>
      <c r="I560" s="250"/>
      <c r="J560" s="251"/>
      <c r="K560" s="190"/>
      <c r="L560" s="209"/>
      <c r="M560" s="190"/>
      <c r="N560" s="186" t="s">
        <v>11</v>
      </c>
      <c r="O560" s="195" t="str">
        <f t="shared" si="19"/>
        <v>OB211D5</v>
      </c>
      <c r="P560" s="254"/>
      <c r="Q560" s="255"/>
      <c r="R560" s="255"/>
      <c r="S560" s="256"/>
      <c r="T560" s="190"/>
      <c r="U560" s="191"/>
      <c r="V560" s="909"/>
      <c r="W560" s="909"/>
      <c r="X560" s="187"/>
      <c r="Y560" s="182"/>
      <c r="Z560" s="182"/>
      <c r="AA560" s="182"/>
      <c r="AB560" s="182"/>
      <c r="AC560" s="210"/>
      <c r="AD560" s="182"/>
      <c r="AE560" s="182"/>
      <c r="AF560" s="211"/>
    </row>
    <row r="561" spans="2:32" ht="17.25" customHeight="1">
      <c r="B561" s="180">
        <v>214</v>
      </c>
      <c r="C561" s="811"/>
      <c r="D561" s="765"/>
      <c r="E561" s="186" t="s">
        <v>10</v>
      </c>
      <c r="F561" s="187" t="str">
        <f t="shared" si="20"/>
        <v>IB211D6</v>
      </c>
      <c r="G561" s="582" t="s">
        <v>830</v>
      </c>
      <c r="H561" s="471"/>
      <c r="I561" s="471"/>
      <c r="J561" s="583"/>
      <c r="K561" s="584" t="s">
        <v>1513</v>
      </c>
      <c r="L561" s="209"/>
      <c r="M561" s="190"/>
      <c r="N561" s="186" t="s">
        <v>11</v>
      </c>
      <c r="O561" s="195" t="str">
        <f t="shared" si="19"/>
        <v>OB211D6</v>
      </c>
      <c r="P561" s="254"/>
      <c r="Q561" s="255"/>
      <c r="R561" s="255"/>
      <c r="S561" s="256"/>
      <c r="T561" s="190"/>
      <c r="U561" s="191"/>
      <c r="V561" s="909"/>
      <c r="W561" s="909"/>
      <c r="X561" s="187"/>
      <c r="Y561" s="182"/>
      <c r="Z561" s="182"/>
      <c r="AA561" s="182"/>
      <c r="AB561" s="182"/>
      <c r="AC561" s="210"/>
      <c r="AD561" s="182"/>
      <c r="AE561" s="182"/>
      <c r="AF561" s="211"/>
    </row>
    <row r="562" spans="2:32" ht="17.25" customHeight="1">
      <c r="B562" s="180">
        <v>215</v>
      </c>
      <c r="C562" s="811"/>
      <c r="D562" s="765"/>
      <c r="E562" s="186" t="s">
        <v>10</v>
      </c>
      <c r="F562" s="187" t="str">
        <f t="shared" si="20"/>
        <v>IB211D7</v>
      </c>
      <c r="G562" s="582" t="s">
        <v>831</v>
      </c>
      <c r="H562" s="471"/>
      <c r="I562" s="471"/>
      <c r="J562" s="583"/>
      <c r="K562" s="584" t="s">
        <v>1513</v>
      </c>
      <c r="L562" s="209"/>
      <c r="M562" s="190"/>
      <c r="N562" s="186" t="s">
        <v>11</v>
      </c>
      <c r="O562" s="195" t="str">
        <f t="shared" si="19"/>
        <v>OB211D7</v>
      </c>
      <c r="P562" s="254"/>
      <c r="Q562" s="255"/>
      <c r="R562" s="255"/>
      <c r="S562" s="256"/>
      <c r="T562" s="190"/>
      <c r="U562" s="191"/>
      <c r="V562" s="909"/>
      <c r="W562" s="909"/>
      <c r="X562" s="187"/>
      <c r="Y562" s="182"/>
      <c r="Z562" s="182"/>
      <c r="AA562" s="182"/>
      <c r="AB562" s="182"/>
      <c r="AC562" s="210"/>
      <c r="AD562" s="182"/>
      <c r="AE562" s="182"/>
      <c r="AF562" s="211"/>
    </row>
    <row r="563" spans="2:32" ht="17.25" customHeight="1">
      <c r="B563" s="180">
        <v>216</v>
      </c>
      <c r="C563" s="811"/>
      <c r="D563" s="765"/>
      <c r="E563" s="186" t="s">
        <v>10</v>
      </c>
      <c r="F563" s="187" t="str">
        <f t="shared" si="20"/>
        <v>IB211D8</v>
      </c>
      <c r="G563" s="249" t="s">
        <v>788</v>
      </c>
      <c r="H563" s="250"/>
      <c r="I563" s="250"/>
      <c r="J563" s="251"/>
      <c r="K563" s="182" t="s">
        <v>1513</v>
      </c>
      <c r="L563" s="209"/>
      <c r="M563" s="190"/>
      <c r="N563" s="186" t="s">
        <v>11</v>
      </c>
      <c r="O563" s="195" t="str">
        <f t="shared" si="19"/>
        <v>OB211D8</v>
      </c>
      <c r="P563" s="254"/>
      <c r="Q563" s="255"/>
      <c r="R563" s="255"/>
      <c r="S563" s="256"/>
      <c r="T563" s="190"/>
      <c r="U563" s="191"/>
      <c r="V563" s="909"/>
      <c r="W563" s="909"/>
      <c r="X563" s="187"/>
      <c r="Y563" s="182"/>
      <c r="Z563" s="182"/>
      <c r="AA563" s="182"/>
      <c r="AB563" s="182"/>
      <c r="AC563" s="210"/>
      <c r="AD563" s="182"/>
      <c r="AE563" s="182"/>
      <c r="AF563" s="211"/>
    </row>
    <row r="564" spans="2:32" ht="17.25" customHeight="1">
      <c r="B564" s="180">
        <v>217</v>
      </c>
      <c r="C564" s="811"/>
      <c r="D564" s="765"/>
      <c r="E564" s="186" t="s">
        <v>10</v>
      </c>
      <c r="F564" s="187" t="str">
        <f t="shared" si="20"/>
        <v>IB211D9</v>
      </c>
      <c r="G564" s="249" t="s">
        <v>789</v>
      </c>
      <c r="H564" s="250"/>
      <c r="I564" s="250"/>
      <c r="J564" s="251"/>
      <c r="K564" s="182" t="s">
        <v>1513</v>
      </c>
      <c r="L564" s="209"/>
      <c r="M564" s="190"/>
      <c r="N564" s="186" t="s">
        <v>11</v>
      </c>
      <c r="O564" s="195" t="str">
        <f t="shared" si="19"/>
        <v>OB211D9</v>
      </c>
      <c r="P564" s="254"/>
      <c r="Q564" s="255"/>
      <c r="R564" s="255"/>
      <c r="S564" s="256"/>
      <c r="T564" s="190"/>
      <c r="U564" s="191"/>
      <c r="V564" s="909"/>
      <c r="W564" s="909"/>
      <c r="X564" s="187"/>
      <c r="Y564" s="182"/>
      <c r="Z564" s="182"/>
      <c r="AA564" s="182"/>
      <c r="AB564" s="182"/>
      <c r="AC564" s="210"/>
      <c r="AD564" s="182"/>
      <c r="AE564" s="182"/>
      <c r="AF564" s="211"/>
    </row>
    <row r="565" spans="2:32" ht="17.25" customHeight="1">
      <c r="B565" s="180">
        <v>218</v>
      </c>
      <c r="C565" s="811"/>
      <c r="D565" s="765"/>
      <c r="E565" s="186" t="s">
        <v>10</v>
      </c>
      <c r="F565" s="187" t="str">
        <f t="shared" si="20"/>
        <v>IB211DA</v>
      </c>
      <c r="G565" s="249" t="s">
        <v>790</v>
      </c>
      <c r="H565" s="250"/>
      <c r="I565" s="250"/>
      <c r="J565" s="251"/>
      <c r="K565" s="182" t="s">
        <v>1513</v>
      </c>
      <c r="L565" s="209"/>
      <c r="M565" s="190"/>
      <c r="N565" s="186" t="s">
        <v>11</v>
      </c>
      <c r="O565" s="195" t="str">
        <f t="shared" si="19"/>
        <v>OB211DA</v>
      </c>
      <c r="P565" s="254"/>
      <c r="Q565" s="255"/>
      <c r="R565" s="255"/>
      <c r="S565" s="256"/>
      <c r="T565" s="190"/>
      <c r="U565" s="191"/>
      <c r="V565" s="909"/>
      <c r="W565" s="909"/>
      <c r="X565" s="187"/>
      <c r="Y565" s="182"/>
      <c r="Z565" s="182"/>
      <c r="AA565" s="182"/>
      <c r="AB565" s="182"/>
      <c r="AC565" s="210"/>
      <c r="AD565" s="182"/>
      <c r="AE565" s="182"/>
      <c r="AF565" s="211"/>
    </row>
    <row r="566" spans="2:32" ht="17.25" customHeight="1">
      <c r="B566" s="180">
        <v>219</v>
      </c>
      <c r="C566" s="811"/>
      <c r="D566" s="765"/>
      <c r="E566" s="186" t="s">
        <v>10</v>
      </c>
      <c r="F566" s="187" t="str">
        <f t="shared" si="20"/>
        <v>IB211DB</v>
      </c>
      <c r="G566" s="249" t="s">
        <v>791</v>
      </c>
      <c r="H566" s="250"/>
      <c r="I566" s="250"/>
      <c r="J566" s="251"/>
      <c r="K566" s="182" t="s">
        <v>1513</v>
      </c>
      <c r="L566" s="209"/>
      <c r="M566" s="190"/>
      <c r="N566" s="186" t="s">
        <v>11</v>
      </c>
      <c r="O566" s="195" t="str">
        <f t="shared" si="19"/>
        <v>OB211DB</v>
      </c>
      <c r="P566" s="254"/>
      <c r="Q566" s="255"/>
      <c r="R566" s="255"/>
      <c r="S566" s="256"/>
      <c r="T566" s="190"/>
      <c r="U566" s="191"/>
      <c r="V566" s="909"/>
      <c r="W566" s="909"/>
      <c r="X566" s="187"/>
      <c r="Y566" s="182"/>
      <c r="Z566" s="182"/>
      <c r="AA566" s="182"/>
      <c r="AB566" s="182"/>
      <c r="AC566" s="210"/>
      <c r="AD566" s="182"/>
      <c r="AE566" s="182"/>
      <c r="AF566" s="211"/>
    </row>
    <row r="567" spans="2:32" ht="17.25" customHeight="1">
      <c r="B567" s="180">
        <v>220</v>
      </c>
      <c r="C567" s="811"/>
      <c r="D567" s="765"/>
      <c r="E567" s="186" t="s">
        <v>10</v>
      </c>
      <c r="F567" s="187" t="str">
        <f t="shared" si="20"/>
        <v>IB211DC</v>
      </c>
      <c r="G567" s="249" t="s">
        <v>792</v>
      </c>
      <c r="H567" s="250"/>
      <c r="I567" s="250"/>
      <c r="J567" s="251"/>
      <c r="K567" s="190" t="s">
        <v>1513</v>
      </c>
      <c r="L567" s="209"/>
      <c r="M567" s="190"/>
      <c r="N567" s="186" t="s">
        <v>11</v>
      </c>
      <c r="O567" s="195" t="str">
        <f t="shared" si="19"/>
        <v>OB211DC</v>
      </c>
      <c r="P567" s="254"/>
      <c r="Q567" s="255"/>
      <c r="R567" s="255"/>
      <c r="S567" s="256"/>
      <c r="T567" s="190"/>
      <c r="U567" s="191"/>
      <c r="V567" s="909"/>
      <c r="W567" s="909"/>
      <c r="X567" s="187"/>
      <c r="Y567" s="182"/>
      <c r="Z567" s="182"/>
      <c r="AA567" s="182"/>
      <c r="AB567" s="182"/>
      <c r="AC567" s="210"/>
      <c r="AD567" s="182"/>
      <c r="AE567" s="182"/>
      <c r="AF567" s="211"/>
    </row>
    <row r="568" spans="2:32" ht="17.25" customHeight="1">
      <c r="B568" s="180">
        <v>221</v>
      </c>
      <c r="C568" s="811"/>
      <c r="D568" s="765"/>
      <c r="E568" s="186" t="s">
        <v>10</v>
      </c>
      <c r="F568" s="187" t="str">
        <f t="shared" si="20"/>
        <v>IB211DD</v>
      </c>
      <c r="G568" s="249" t="s">
        <v>793</v>
      </c>
      <c r="H568" s="250"/>
      <c r="I568" s="250"/>
      <c r="J568" s="251"/>
      <c r="K568" s="190" t="s">
        <v>1513</v>
      </c>
      <c r="L568" s="209"/>
      <c r="M568" s="190"/>
      <c r="N568" s="186" t="s">
        <v>11</v>
      </c>
      <c r="O568" s="195" t="str">
        <f t="shared" si="19"/>
        <v>OB211DD</v>
      </c>
      <c r="P568" s="254"/>
      <c r="Q568" s="255"/>
      <c r="R568" s="255"/>
      <c r="S568" s="256"/>
      <c r="T568" s="190"/>
      <c r="U568" s="191"/>
      <c r="V568" s="909"/>
      <c r="W568" s="909"/>
      <c r="X568" s="187"/>
      <c r="Y568" s="182"/>
      <c r="Z568" s="182"/>
      <c r="AA568" s="182"/>
      <c r="AB568" s="182"/>
      <c r="AC568" s="210"/>
      <c r="AD568" s="182"/>
      <c r="AE568" s="182"/>
      <c r="AF568" s="211"/>
    </row>
    <row r="569" spans="2:32" ht="17.25" customHeight="1">
      <c r="B569" s="180">
        <v>222</v>
      </c>
      <c r="C569" s="811"/>
      <c r="D569" s="765"/>
      <c r="E569" s="186" t="s">
        <v>10</v>
      </c>
      <c r="F569" s="187" t="str">
        <f t="shared" si="20"/>
        <v>IB211DE</v>
      </c>
      <c r="G569" s="249" t="s">
        <v>794</v>
      </c>
      <c r="H569" s="250"/>
      <c r="I569" s="250"/>
      <c r="J569" s="251"/>
      <c r="K569" s="190" t="s">
        <v>1513</v>
      </c>
      <c r="L569" s="209"/>
      <c r="M569" s="190"/>
      <c r="N569" s="186" t="s">
        <v>11</v>
      </c>
      <c r="O569" s="195" t="str">
        <f t="shared" si="19"/>
        <v>OB211DE</v>
      </c>
      <c r="P569" s="254"/>
      <c r="Q569" s="255"/>
      <c r="R569" s="255"/>
      <c r="S569" s="256"/>
      <c r="T569" s="190"/>
      <c r="U569" s="191"/>
      <c r="V569" s="909"/>
      <c r="W569" s="909"/>
      <c r="X569" s="187"/>
      <c r="Y569" s="182"/>
      <c r="Z569" s="182"/>
      <c r="AA569" s="182"/>
      <c r="AB569" s="182"/>
      <c r="AC569" s="210"/>
      <c r="AD569" s="182"/>
      <c r="AE569" s="182"/>
      <c r="AF569" s="211"/>
    </row>
    <row r="570" spans="2:32" ht="17.25" customHeight="1">
      <c r="B570" s="180">
        <v>223</v>
      </c>
      <c r="C570" s="928"/>
      <c r="D570" s="765"/>
      <c r="E570" s="186" t="s">
        <v>10</v>
      </c>
      <c r="F570" s="187" t="str">
        <f t="shared" si="20"/>
        <v>IB211DF</v>
      </c>
      <c r="G570" s="249" t="s">
        <v>795</v>
      </c>
      <c r="H570" s="250"/>
      <c r="I570" s="250"/>
      <c r="J570" s="251"/>
      <c r="K570" s="190" t="s">
        <v>1513</v>
      </c>
      <c r="L570" s="209"/>
      <c r="M570" s="190"/>
      <c r="N570" s="186" t="s">
        <v>11</v>
      </c>
      <c r="O570" s="195" t="str">
        <f t="shared" si="19"/>
        <v>OB211DF</v>
      </c>
      <c r="P570" s="254"/>
      <c r="Q570" s="255"/>
      <c r="R570" s="255"/>
      <c r="S570" s="256"/>
      <c r="T570" s="190"/>
      <c r="U570" s="191"/>
      <c r="V570" s="909"/>
      <c r="W570" s="909"/>
      <c r="X570" s="187"/>
      <c r="Y570" s="182"/>
      <c r="Z570" s="182"/>
      <c r="AA570" s="182"/>
      <c r="AB570" s="182"/>
      <c r="AC570" s="210"/>
      <c r="AD570" s="182"/>
      <c r="AE570" s="182"/>
      <c r="AF570" s="211"/>
    </row>
    <row r="571" spans="2:32" ht="17.25" customHeight="1">
      <c r="B571" s="180">
        <v>224</v>
      </c>
      <c r="C571" s="925" t="s">
        <v>1592</v>
      </c>
      <c r="D571" s="901" t="s">
        <v>1406</v>
      </c>
      <c r="E571" s="186" t="s">
        <v>10</v>
      </c>
      <c r="F571" s="187" t="str">
        <f t="shared" si="20"/>
        <v>IB211E0</v>
      </c>
      <c r="G571" s="271"/>
      <c r="H571" s="272"/>
      <c r="I571" s="272"/>
      <c r="J571" s="273"/>
      <c r="K571" s="190"/>
      <c r="L571" s="209"/>
      <c r="M571" s="190"/>
      <c r="N571" s="186" t="s">
        <v>11</v>
      </c>
      <c r="O571" s="195" t="str">
        <f t="shared" si="19"/>
        <v>OB211E0</v>
      </c>
      <c r="P571" s="463" t="s">
        <v>822</v>
      </c>
      <c r="Q571" s="250"/>
      <c r="R571" s="250"/>
      <c r="S571" s="251"/>
      <c r="T571" s="190" t="s">
        <v>1513</v>
      </c>
      <c r="U571" s="191"/>
      <c r="V571" s="909"/>
      <c r="W571" s="909"/>
      <c r="X571" s="187"/>
      <c r="Y571" s="182"/>
      <c r="Z571" s="182"/>
      <c r="AA571" s="182"/>
      <c r="AB571" s="182"/>
      <c r="AC571" s="210"/>
      <c r="AD571" s="182"/>
      <c r="AE571" s="182"/>
      <c r="AF571" s="211"/>
    </row>
    <row r="572" spans="2:32" ht="17.25" customHeight="1">
      <c r="B572" s="180">
        <v>225</v>
      </c>
      <c r="C572" s="816"/>
      <c r="D572" s="765"/>
      <c r="E572" s="186" t="s">
        <v>10</v>
      </c>
      <c r="F572" s="187" t="str">
        <f t="shared" si="20"/>
        <v>IB211E1</v>
      </c>
      <c r="G572" s="271"/>
      <c r="H572" s="272"/>
      <c r="I572" s="272"/>
      <c r="J572" s="273"/>
      <c r="K572" s="190"/>
      <c r="L572" s="209"/>
      <c r="M572" s="190"/>
      <c r="N572" s="186" t="s">
        <v>11</v>
      </c>
      <c r="O572" s="195" t="str">
        <f t="shared" si="19"/>
        <v>OB211E1</v>
      </c>
      <c r="P572" s="463" t="s">
        <v>823</v>
      </c>
      <c r="Q572" s="250"/>
      <c r="R572" s="250"/>
      <c r="S572" s="251"/>
      <c r="T572" s="190" t="s">
        <v>1513</v>
      </c>
      <c r="U572" s="191"/>
      <c r="V572" s="909"/>
      <c r="W572" s="909"/>
      <c r="X572" s="187"/>
      <c r="Y572" s="182"/>
      <c r="Z572" s="182"/>
      <c r="AA572" s="182"/>
      <c r="AB572" s="182"/>
      <c r="AC572" s="210"/>
      <c r="AD572" s="182"/>
      <c r="AE572" s="182"/>
      <c r="AF572" s="211"/>
    </row>
    <row r="573" spans="2:32" ht="17.25" customHeight="1">
      <c r="B573" s="180">
        <v>226</v>
      </c>
      <c r="C573" s="816"/>
      <c r="D573" s="765"/>
      <c r="E573" s="186" t="s">
        <v>10</v>
      </c>
      <c r="F573" s="187" t="str">
        <f t="shared" si="20"/>
        <v>IB211E2</v>
      </c>
      <c r="G573" s="271"/>
      <c r="H573" s="272"/>
      <c r="I573" s="272"/>
      <c r="J573" s="273"/>
      <c r="K573" s="190"/>
      <c r="L573" s="209"/>
      <c r="M573" s="190"/>
      <c r="N573" s="186" t="s">
        <v>11</v>
      </c>
      <c r="O573" s="195" t="str">
        <f t="shared" si="19"/>
        <v>OB211E2</v>
      </c>
      <c r="P573" s="463" t="s">
        <v>824</v>
      </c>
      <c r="Q573" s="250"/>
      <c r="R573" s="250"/>
      <c r="S573" s="251"/>
      <c r="T573" s="190" t="s">
        <v>1513</v>
      </c>
      <c r="U573" s="191"/>
      <c r="V573" s="909"/>
      <c r="W573" s="909"/>
      <c r="X573" s="187"/>
      <c r="Y573" s="182"/>
      <c r="Z573" s="182"/>
      <c r="AA573" s="182"/>
      <c r="AB573" s="182"/>
      <c r="AC573" s="210"/>
      <c r="AD573" s="182"/>
      <c r="AE573" s="182"/>
      <c r="AF573" s="211"/>
    </row>
    <row r="574" spans="2:32" ht="17.25" customHeight="1">
      <c r="B574" s="180">
        <v>227</v>
      </c>
      <c r="C574" s="816"/>
      <c r="D574" s="765"/>
      <c r="E574" s="186" t="s">
        <v>10</v>
      </c>
      <c r="F574" s="187" t="str">
        <f t="shared" si="20"/>
        <v>IB211E3</v>
      </c>
      <c r="G574" s="271"/>
      <c r="H574" s="272"/>
      <c r="I574" s="272"/>
      <c r="J574" s="273"/>
      <c r="K574" s="190"/>
      <c r="L574" s="209"/>
      <c r="M574" s="190"/>
      <c r="N574" s="186" t="s">
        <v>11</v>
      </c>
      <c r="O574" s="195" t="str">
        <f t="shared" si="19"/>
        <v>OB211E3</v>
      </c>
      <c r="P574" s="463" t="s">
        <v>825</v>
      </c>
      <c r="Q574" s="250"/>
      <c r="R574" s="250"/>
      <c r="S574" s="251"/>
      <c r="T574" s="190" t="s">
        <v>1513</v>
      </c>
      <c r="U574" s="191"/>
      <c r="V574" s="909"/>
      <c r="W574" s="909"/>
      <c r="X574" s="187"/>
      <c r="Y574" s="182"/>
      <c r="Z574" s="182"/>
      <c r="AA574" s="182"/>
      <c r="AB574" s="182"/>
      <c r="AC574" s="210"/>
      <c r="AD574" s="182"/>
      <c r="AE574" s="182"/>
      <c r="AF574" s="211"/>
    </row>
    <row r="575" spans="2:32" ht="17.25" customHeight="1">
      <c r="B575" s="180">
        <v>228</v>
      </c>
      <c r="C575" s="816"/>
      <c r="D575" s="765"/>
      <c r="E575" s="186" t="s">
        <v>10</v>
      </c>
      <c r="F575" s="187" t="str">
        <f t="shared" si="20"/>
        <v>IB211E4</v>
      </c>
      <c r="G575" s="271"/>
      <c r="H575" s="272"/>
      <c r="I575" s="272"/>
      <c r="J575" s="273"/>
      <c r="K575" s="190"/>
      <c r="L575" s="209"/>
      <c r="M575" s="190"/>
      <c r="N575" s="186" t="s">
        <v>11</v>
      </c>
      <c r="O575" s="195" t="str">
        <f t="shared" si="19"/>
        <v>OB211E4</v>
      </c>
      <c r="P575" s="463" t="s">
        <v>826</v>
      </c>
      <c r="Q575" s="250"/>
      <c r="R575" s="250"/>
      <c r="S575" s="251"/>
      <c r="T575" s="190" t="s">
        <v>1513</v>
      </c>
      <c r="U575" s="191"/>
      <c r="V575" s="909"/>
      <c r="W575" s="909"/>
      <c r="X575" s="187"/>
      <c r="Y575" s="182"/>
      <c r="Z575" s="182"/>
      <c r="AA575" s="182"/>
      <c r="AB575" s="182"/>
      <c r="AC575" s="210"/>
      <c r="AD575" s="182"/>
      <c r="AE575" s="182"/>
      <c r="AF575" s="211"/>
    </row>
    <row r="576" spans="2:32" ht="17.25" customHeight="1">
      <c r="B576" s="180">
        <v>229</v>
      </c>
      <c r="C576" s="816"/>
      <c r="D576" s="765"/>
      <c r="E576" s="186" t="s">
        <v>10</v>
      </c>
      <c r="F576" s="187" t="str">
        <f t="shared" si="20"/>
        <v>IB211E5</v>
      </c>
      <c r="G576" s="271"/>
      <c r="H576" s="272"/>
      <c r="I576" s="272"/>
      <c r="J576" s="273"/>
      <c r="K576" s="190"/>
      <c r="L576" s="209"/>
      <c r="M576" s="190"/>
      <c r="N576" s="186" t="s">
        <v>11</v>
      </c>
      <c r="O576" s="195" t="str">
        <f t="shared" si="19"/>
        <v>OB211E5</v>
      </c>
      <c r="P576" s="463" t="s">
        <v>827</v>
      </c>
      <c r="Q576" s="250"/>
      <c r="R576" s="250"/>
      <c r="S576" s="251"/>
      <c r="T576" s="190" t="s">
        <v>1513</v>
      </c>
      <c r="U576" s="191"/>
      <c r="V576" s="909"/>
      <c r="W576" s="909"/>
      <c r="X576" s="187"/>
      <c r="Y576" s="182"/>
      <c r="Z576" s="182"/>
      <c r="AA576" s="182"/>
      <c r="AB576" s="182"/>
      <c r="AC576" s="210"/>
      <c r="AD576" s="182"/>
      <c r="AE576" s="182"/>
      <c r="AF576" s="211"/>
    </row>
    <row r="577" spans="2:32" ht="17.25" customHeight="1">
      <c r="B577" s="180">
        <v>230</v>
      </c>
      <c r="C577" s="816"/>
      <c r="D577" s="765"/>
      <c r="E577" s="186" t="s">
        <v>10</v>
      </c>
      <c r="F577" s="187" t="str">
        <f t="shared" si="20"/>
        <v>IB211E6</v>
      </c>
      <c r="G577" s="271"/>
      <c r="H577" s="272"/>
      <c r="I577" s="272"/>
      <c r="J577" s="273"/>
      <c r="K577" s="190"/>
      <c r="L577" s="209"/>
      <c r="M577" s="190"/>
      <c r="N577" s="186" t="s">
        <v>11</v>
      </c>
      <c r="O577" s="195" t="str">
        <f t="shared" si="19"/>
        <v>OB211E6</v>
      </c>
      <c r="P577" s="463" t="s">
        <v>828</v>
      </c>
      <c r="Q577" s="250"/>
      <c r="R577" s="250"/>
      <c r="S577" s="251"/>
      <c r="T577" s="190" t="s">
        <v>1513</v>
      </c>
      <c r="U577" s="191"/>
      <c r="V577" s="909"/>
      <c r="W577" s="909"/>
      <c r="X577" s="187"/>
      <c r="Y577" s="182"/>
      <c r="Z577" s="182"/>
      <c r="AA577" s="182"/>
      <c r="AB577" s="182"/>
      <c r="AC577" s="210"/>
      <c r="AD577" s="182"/>
      <c r="AE577" s="182"/>
      <c r="AF577" s="211"/>
    </row>
    <row r="578" spans="2:32" ht="17.25" customHeight="1">
      <c r="B578" s="180">
        <v>231</v>
      </c>
      <c r="C578" s="816"/>
      <c r="D578" s="765"/>
      <c r="E578" s="186" t="s">
        <v>10</v>
      </c>
      <c r="F578" s="187" t="str">
        <f t="shared" si="20"/>
        <v>IB211E7</v>
      </c>
      <c r="G578" s="271"/>
      <c r="H578" s="272"/>
      <c r="I578" s="272"/>
      <c r="J578" s="273"/>
      <c r="K578" s="190"/>
      <c r="L578" s="209"/>
      <c r="M578" s="190"/>
      <c r="N578" s="186" t="s">
        <v>11</v>
      </c>
      <c r="O578" s="195" t="str">
        <f t="shared" si="19"/>
        <v>OB211E7</v>
      </c>
      <c r="P578" s="463" t="s">
        <v>829</v>
      </c>
      <c r="Q578" s="250"/>
      <c r="R578" s="250"/>
      <c r="S578" s="251"/>
      <c r="T578" s="190" t="s">
        <v>1513</v>
      </c>
      <c r="U578" s="191"/>
      <c r="V578" s="909"/>
      <c r="W578" s="909"/>
      <c r="X578" s="187"/>
      <c r="Y578" s="182"/>
      <c r="Z578" s="182"/>
      <c r="AA578" s="182"/>
      <c r="AB578" s="182"/>
      <c r="AC578" s="210"/>
      <c r="AD578" s="182"/>
      <c r="AE578" s="182"/>
      <c r="AF578" s="211"/>
    </row>
    <row r="579" spans="2:32" ht="17.25" customHeight="1">
      <c r="B579" s="180">
        <v>232</v>
      </c>
      <c r="C579" s="816"/>
      <c r="D579" s="765"/>
      <c r="E579" s="186" t="s">
        <v>10</v>
      </c>
      <c r="F579" s="187" t="str">
        <f t="shared" si="20"/>
        <v>IB211E8</v>
      </c>
      <c r="G579" s="271"/>
      <c r="H579" s="272"/>
      <c r="I579" s="272"/>
      <c r="J579" s="273"/>
      <c r="K579" s="190"/>
      <c r="L579" s="209"/>
      <c r="M579" s="190"/>
      <c r="N579" s="186" t="s">
        <v>11</v>
      </c>
      <c r="O579" s="195" t="str">
        <f t="shared" si="19"/>
        <v>OB211E8</v>
      </c>
      <c r="P579" s="463" t="s">
        <v>830</v>
      </c>
      <c r="Q579" s="250"/>
      <c r="R579" s="250"/>
      <c r="S579" s="251"/>
      <c r="T579" s="190" t="s">
        <v>1513</v>
      </c>
      <c r="U579" s="191"/>
      <c r="V579" s="909"/>
      <c r="W579" s="909"/>
      <c r="X579" s="187"/>
      <c r="Y579" s="182"/>
      <c r="Z579" s="182"/>
      <c r="AA579" s="182"/>
      <c r="AB579" s="182"/>
      <c r="AC579" s="210"/>
      <c r="AD579" s="182"/>
      <c r="AE579" s="182"/>
      <c r="AF579" s="211"/>
    </row>
    <row r="580" spans="2:32" ht="17.25" customHeight="1">
      <c r="B580" s="180">
        <v>233</v>
      </c>
      <c r="C580" s="816"/>
      <c r="D580" s="765"/>
      <c r="E580" s="186" t="s">
        <v>10</v>
      </c>
      <c r="F580" s="187" t="str">
        <f t="shared" si="20"/>
        <v>IB211E9</v>
      </c>
      <c r="G580" s="271"/>
      <c r="H580" s="272"/>
      <c r="I580" s="272"/>
      <c r="J580" s="273"/>
      <c r="K580" s="190"/>
      <c r="L580" s="209"/>
      <c r="M580" s="190"/>
      <c r="N580" s="186" t="s">
        <v>11</v>
      </c>
      <c r="O580" s="195" t="str">
        <f t="shared" si="19"/>
        <v>OB211E9</v>
      </c>
      <c r="P580" s="463" t="s">
        <v>831</v>
      </c>
      <c r="Q580" s="250"/>
      <c r="R580" s="250"/>
      <c r="S580" s="251"/>
      <c r="T580" s="190" t="s">
        <v>1513</v>
      </c>
      <c r="U580" s="191"/>
      <c r="V580" s="909"/>
      <c r="W580" s="909"/>
      <c r="X580" s="187"/>
      <c r="Y580" s="182"/>
      <c r="Z580" s="182"/>
      <c r="AA580" s="182"/>
      <c r="AB580" s="182"/>
      <c r="AC580" s="210"/>
      <c r="AD580" s="182"/>
      <c r="AE580" s="182"/>
      <c r="AF580" s="211"/>
    </row>
    <row r="581" spans="2:32" ht="17.25" customHeight="1">
      <c r="B581" s="180">
        <v>234</v>
      </c>
      <c r="C581" s="816"/>
      <c r="D581" s="765"/>
      <c r="E581" s="186" t="s">
        <v>10</v>
      </c>
      <c r="F581" s="187" t="str">
        <f t="shared" si="20"/>
        <v>IB211EA</v>
      </c>
      <c r="G581" s="271"/>
      <c r="H581" s="272"/>
      <c r="I581" s="272"/>
      <c r="J581" s="273"/>
      <c r="K581" s="190"/>
      <c r="L581" s="209"/>
      <c r="M581" s="190"/>
      <c r="N581" s="186" t="s">
        <v>11</v>
      </c>
      <c r="O581" s="195" t="str">
        <f t="shared" si="19"/>
        <v>OB211EA</v>
      </c>
      <c r="P581" s="469" t="s">
        <v>833</v>
      </c>
      <c r="Q581" s="470"/>
      <c r="R581" s="471"/>
      <c r="S581" s="251"/>
      <c r="T581" s="190" t="s">
        <v>1513</v>
      </c>
      <c r="U581" s="191"/>
      <c r="V581" s="909"/>
      <c r="W581" s="909"/>
      <c r="X581" s="187"/>
      <c r="Y581" s="182"/>
      <c r="Z581" s="182"/>
      <c r="AA581" s="182"/>
      <c r="AB581" s="182"/>
      <c r="AC581" s="210"/>
      <c r="AD581" s="182"/>
      <c r="AE581" s="182"/>
      <c r="AF581" s="211"/>
    </row>
    <row r="582" spans="2:32" ht="17.25" customHeight="1">
      <c r="B582" s="180">
        <v>235</v>
      </c>
      <c r="C582" s="816"/>
      <c r="D582" s="765"/>
      <c r="E582" s="186" t="s">
        <v>10</v>
      </c>
      <c r="F582" s="187" t="str">
        <f t="shared" si="20"/>
        <v>IB211EB</v>
      </c>
      <c r="G582" s="271"/>
      <c r="H582" s="272"/>
      <c r="I582" s="272"/>
      <c r="J582" s="273"/>
      <c r="K582" s="190"/>
      <c r="L582" s="209"/>
      <c r="M582" s="190"/>
      <c r="N582" s="186" t="s">
        <v>11</v>
      </c>
      <c r="O582" s="195" t="str">
        <f t="shared" si="19"/>
        <v>OB211EB</v>
      </c>
      <c r="P582" s="469" t="s">
        <v>834</v>
      </c>
      <c r="Q582" s="470"/>
      <c r="R582" s="471"/>
      <c r="S582" s="251"/>
      <c r="T582" s="190" t="s">
        <v>1513</v>
      </c>
      <c r="U582" s="191"/>
      <c r="V582" s="909"/>
      <c r="W582" s="909"/>
      <c r="X582" s="187"/>
      <c r="Y582" s="182"/>
      <c r="Z582" s="182"/>
      <c r="AA582" s="182"/>
      <c r="AB582" s="182"/>
      <c r="AC582" s="210"/>
      <c r="AD582" s="182"/>
      <c r="AE582" s="182"/>
      <c r="AF582" s="211"/>
    </row>
    <row r="583" spans="2:32" ht="17.25" customHeight="1">
      <c r="B583" s="180">
        <v>236</v>
      </c>
      <c r="C583" s="816"/>
      <c r="D583" s="765"/>
      <c r="E583" s="186" t="s">
        <v>10</v>
      </c>
      <c r="F583" s="187" t="str">
        <f t="shared" si="20"/>
        <v>IB211EC</v>
      </c>
      <c r="G583" s="271"/>
      <c r="H583" s="272"/>
      <c r="I583" s="272"/>
      <c r="J583" s="273"/>
      <c r="K583" s="190"/>
      <c r="L583" s="209"/>
      <c r="M583" s="190"/>
      <c r="N583" s="186" t="s">
        <v>11</v>
      </c>
      <c r="O583" s="195" t="str">
        <f t="shared" si="19"/>
        <v>OB211EC</v>
      </c>
      <c r="P583" s="469" t="s">
        <v>835</v>
      </c>
      <c r="Q583" s="250"/>
      <c r="R583" s="250"/>
      <c r="S583" s="251"/>
      <c r="T583" s="190" t="s">
        <v>1513</v>
      </c>
      <c r="U583" s="191"/>
      <c r="V583" s="909"/>
      <c r="W583" s="909"/>
      <c r="X583" s="187"/>
      <c r="Y583" s="182"/>
      <c r="Z583" s="182"/>
      <c r="AA583" s="182"/>
      <c r="AB583" s="182"/>
      <c r="AC583" s="210"/>
      <c r="AD583" s="182"/>
      <c r="AE583" s="182"/>
      <c r="AF583" s="211"/>
    </row>
    <row r="584" spans="2:32" ht="17.25" customHeight="1">
      <c r="B584" s="180">
        <v>237</v>
      </c>
      <c r="C584" s="816"/>
      <c r="D584" s="765"/>
      <c r="E584" s="186" t="s">
        <v>10</v>
      </c>
      <c r="F584" s="187" t="str">
        <f t="shared" si="20"/>
        <v>IB211ED</v>
      </c>
      <c r="G584" s="271"/>
      <c r="H584" s="272"/>
      <c r="I584" s="272"/>
      <c r="J584" s="273"/>
      <c r="K584" s="190"/>
      <c r="L584" s="188"/>
      <c r="M584" s="182"/>
      <c r="N584" s="186" t="s">
        <v>11</v>
      </c>
      <c r="O584" s="195" t="str">
        <f t="shared" si="19"/>
        <v>OB211ED</v>
      </c>
      <c r="P584" s="469" t="s">
        <v>836</v>
      </c>
      <c r="Q584" s="250"/>
      <c r="R584" s="250"/>
      <c r="S584" s="251"/>
      <c r="T584" s="190" t="s">
        <v>1513</v>
      </c>
      <c r="U584" s="191"/>
      <c r="V584" s="909"/>
      <c r="W584" s="909"/>
      <c r="X584" s="187"/>
      <c r="Y584" s="182"/>
      <c r="Z584" s="182"/>
      <c r="AA584" s="182"/>
      <c r="AB584" s="182"/>
      <c r="AC584" s="210"/>
      <c r="AD584" s="182"/>
      <c r="AE584" s="182"/>
      <c r="AF584" s="211"/>
    </row>
    <row r="585" spans="2:32" ht="17.25" customHeight="1">
      <c r="B585" s="180">
        <v>238</v>
      </c>
      <c r="C585" s="816"/>
      <c r="D585" s="765"/>
      <c r="E585" s="186" t="s">
        <v>10</v>
      </c>
      <c r="F585" s="187" t="str">
        <f t="shared" si="20"/>
        <v>IB211EE</v>
      </c>
      <c r="G585" s="271"/>
      <c r="H585" s="272"/>
      <c r="I585" s="272"/>
      <c r="J585" s="273"/>
      <c r="K585" s="190"/>
      <c r="L585" s="212"/>
      <c r="M585" s="639"/>
      <c r="N585" s="186" t="s">
        <v>11</v>
      </c>
      <c r="O585" s="195" t="str">
        <f t="shared" si="19"/>
        <v>OB211EE</v>
      </c>
      <c r="P585" s="108" t="s">
        <v>838</v>
      </c>
      <c r="Q585" s="250"/>
      <c r="R585" s="250"/>
      <c r="S585" s="251"/>
      <c r="T585" s="190" t="s">
        <v>1513</v>
      </c>
      <c r="U585" s="191"/>
      <c r="V585" s="909"/>
      <c r="W585" s="909"/>
      <c r="X585" s="187"/>
      <c r="Y585" s="182"/>
      <c r="Z585" s="182"/>
      <c r="AA585" s="182"/>
      <c r="AB585" s="182"/>
      <c r="AC585" s="210"/>
      <c r="AD585" s="182"/>
      <c r="AE585" s="182"/>
      <c r="AF585" s="211"/>
    </row>
    <row r="586" spans="2:32" ht="17.25" customHeight="1">
      <c r="B586" s="180">
        <v>239</v>
      </c>
      <c r="C586" s="926"/>
      <c r="D586" s="765"/>
      <c r="E586" s="186" t="s">
        <v>10</v>
      </c>
      <c r="F586" s="187" t="str">
        <f t="shared" si="20"/>
        <v>IB211EF</v>
      </c>
      <c r="G586" s="271"/>
      <c r="H586" s="272"/>
      <c r="I586" s="272"/>
      <c r="J586" s="273"/>
      <c r="K586" s="190"/>
      <c r="L586" s="212"/>
      <c r="M586" s="639"/>
      <c r="N586" s="186" t="s">
        <v>11</v>
      </c>
      <c r="O586" s="195" t="str">
        <f t="shared" si="19"/>
        <v>OB211EF</v>
      </c>
      <c r="P586" s="249"/>
      <c r="Q586" s="250"/>
      <c r="R586" s="250"/>
      <c r="S586" s="251"/>
      <c r="T586" s="190"/>
      <c r="U586" s="191"/>
      <c r="V586" s="909"/>
      <c r="W586" s="909"/>
      <c r="X586" s="187"/>
      <c r="Y586" s="182"/>
      <c r="Z586" s="182"/>
      <c r="AA586" s="182"/>
      <c r="AB586" s="182"/>
      <c r="AC586" s="210"/>
      <c r="AD586" s="182"/>
      <c r="AE586" s="182"/>
      <c r="AF586" s="211"/>
    </row>
    <row r="587" spans="2:32" ht="17.25" customHeight="1">
      <c r="B587" s="180">
        <v>240</v>
      </c>
      <c r="C587" s="927" t="s">
        <v>70</v>
      </c>
      <c r="D587" s="901" t="s">
        <v>1406</v>
      </c>
      <c r="E587" s="186" t="s">
        <v>10</v>
      </c>
      <c r="F587" s="187" t="str">
        <f t="shared" si="20"/>
        <v>IB211F0</v>
      </c>
      <c r="G587" s="466" t="s">
        <v>796</v>
      </c>
      <c r="H587" s="244"/>
      <c r="I587" s="244"/>
      <c r="J587" s="245"/>
      <c r="K587" s="182" t="s">
        <v>1513</v>
      </c>
      <c r="L587" s="188"/>
      <c r="M587" s="182"/>
      <c r="N587" s="186" t="s">
        <v>11</v>
      </c>
      <c r="O587" s="195" t="str">
        <f t="shared" si="19"/>
        <v>OB211F0</v>
      </c>
      <c r="P587" s="268"/>
      <c r="Q587" s="269"/>
      <c r="R587" s="269"/>
      <c r="S587" s="270"/>
      <c r="T587" s="190"/>
      <c r="U587" s="191"/>
      <c r="V587" s="909"/>
      <c r="W587" s="909"/>
      <c r="X587" s="187"/>
      <c r="Y587" s="182"/>
      <c r="Z587" s="182"/>
      <c r="AA587" s="182"/>
      <c r="AB587" s="182"/>
      <c r="AC587" s="210"/>
      <c r="AD587" s="182"/>
      <c r="AE587" s="182"/>
      <c r="AF587" s="211"/>
    </row>
    <row r="588" spans="2:32" ht="17.25" customHeight="1">
      <c r="B588" s="180">
        <v>241</v>
      </c>
      <c r="C588" s="811"/>
      <c r="D588" s="765"/>
      <c r="E588" s="186" t="s">
        <v>10</v>
      </c>
      <c r="F588" s="187" t="str">
        <f t="shared" si="20"/>
        <v>IB211F1</v>
      </c>
      <c r="G588" s="466" t="s">
        <v>797</v>
      </c>
      <c r="H588" s="244"/>
      <c r="I588" s="244"/>
      <c r="J588" s="245"/>
      <c r="K588" s="182" t="s">
        <v>1513</v>
      </c>
      <c r="L588" s="188"/>
      <c r="M588" s="182"/>
      <c r="N588" s="186" t="s">
        <v>11</v>
      </c>
      <c r="O588" s="195" t="str">
        <f t="shared" si="19"/>
        <v>OB211F1</v>
      </c>
      <c r="P588" s="268"/>
      <c r="Q588" s="269"/>
      <c r="R588" s="269"/>
      <c r="S588" s="270"/>
      <c r="T588" s="190"/>
      <c r="U588" s="191"/>
      <c r="V588" s="909"/>
      <c r="W588" s="909"/>
      <c r="X588" s="187"/>
      <c r="Y588" s="182"/>
      <c r="Z588" s="182"/>
      <c r="AA588" s="182"/>
      <c r="AB588" s="182"/>
      <c r="AC588" s="210"/>
      <c r="AD588" s="182"/>
      <c r="AE588" s="182"/>
      <c r="AF588" s="211"/>
    </row>
    <row r="589" spans="2:32" ht="17.25" customHeight="1">
      <c r="B589" s="180">
        <v>242</v>
      </c>
      <c r="C589" s="811"/>
      <c r="D589" s="765"/>
      <c r="E589" s="186" t="s">
        <v>10</v>
      </c>
      <c r="F589" s="187" t="str">
        <f t="shared" si="20"/>
        <v>IB211F2</v>
      </c>
      <c r="G589" s="466" t="s">
        <v>798</v>
      </c>
      <c r="H589" s="244"/>
      <c r="I589" s="244"/>
      <c r="J589" s="245"/>
      <c r="K589" s="182" t="s">
        <v>1513</v>
      </c>
      <c r="L589" s="188"/>
      <c r="M589" s="182"/>
      <c r="N589" s="186" t="s">
        <v>11</v>
      </c>
      <c r="O589" s="195" t="str">
        <f t="shared" ref="O589:O652" si="21">LEFT(O588,1)&amp;DEC2HEX(HEX2DEC(MID(O588,2,LENB(O588)-1))+1,LENB(O588)-1)</f>
        <v>OB211F2</v>
      </c>
      <c r="P589" s="268"/>
      <c r="Q589" s="269"/>
      <c r="R589" s="269"/>
      <c r="S589" s="270"/>
      <c r="T589" s="190"/>
      <c r="U589" s="191"/>
      <c r="V589" s="909"/>
      <c r="W589" s="909"/>
      <c r="X589" s="187"/>
      <c r="Y589" s="182"/>
      <c r="Z589" s="182"/>
      <c r="AA589" s="182"/>
      <c r="AB589" s="182"/>
      <c r="AC589" s="210"/>
      <c r="AD589" s="182"/>
      <c r="AE589" s="182"/>
      <c r="AF589" s="211"/>
    </row>
    <row r="590" spans="2:32" ht="17.25" customHeight="1">
      <c r="B590" s="180">
        <v>243</v>
      </c>
      <c r="C590" s="811"/>
      <c r="D590" s="765"/>
      <c r="E590" s="186" t="s">
        <v>10</v>
      </c>
      <c r="F590" s="187" t="str">
        <f t="shared" si="20"/>
        <v>IB211F3</v>
      </c>
      <c r="G590" s="466" t="s">
        <v>799</v>
      </c>
      <c r="H590" s="244"/>
      <c r="I590" s="244"/>
      <c r="J590" s="245"/>
      <c r="K590" s="182" t="s">
        <v>1513</v>
      </c>
      <c r="L590" s="188"/>
      <c r="M590" s="182"/>
      <c r="N590" s="186" t="s">
        <v>11</v>
      </c>
      <c r="O590" s="195" t="str">
        <f t="shared" si="21"/>
        <v>OB211F3</v>
      </c>
      <c r="P590" s="268"/>
      <c r="Q590" s="269"/>
      <c r="R590" s="269"/>
      <c r="S590" s="270"/>
      <c r="T590" s="190"/>
      <c r="U590" s="191"/>
      <c r="V590" s="909"/>
      <c r="W590" s="909"/>
      <c r="X590" s="187"/>
      <c r="Y590" s="182"/>
      <c r="Z590" s="182"/>
      <c r="AA590" s="182"/>
      <c r="AB590" s="182"/>
      <c r="AC590" s="210"/>
      <c r="AD590" s="182"/>
      <c r="AE590" s="182"/>
      <c r="AF590" s="211"/>
    </row>
    <row r="591" spans="2:32" ht="17.25" customHeight="1">
      <c r="B591" s="180">
        <v>244</v>
      </c>
      <c r="C591" s="811"/>
      <c r="D591" s="765"/>
      <c r="E591" s="186" t="s">
        <v>10</v>
      </c>
      <c r="F591" s="187" t="str">
        <f t="shared" si="20"/>
        <v>IB211F4</v>
      </c>
      <c r="G591" s="466" t="s">
        <v>800</v>
      </c>
      <c r="H591" s="244"/>
      <c r="I591" s="244"/>
      <c r="J591" s="245"/>
      <c r="K591" s="182" t="s">
        <v>1513</v>
      </c>
      <c r="L591" s="188"/>
      <c r="M591" s="182"/>
      <c r="N591" s="186" t="s">
        <v>11</v>
      </c>
      <c r="O591" s="195" t="str">
        <f t="shared" si="21"/>
        <v>OB211F4</v>
      </c>
      <c r="P591" s="268"/>
      <c r="Q591" s="269"/>
      <c r="R591" s="269"/>
      <c r="S591" s="270"/>
      <c r="T591" s="190"/>
      <c r="U591" s="191"/>
      <c r="V591" s="909"/>
      <c r="W591" s="909"/>
      <c r="X591" s="187"/>
      <c r="Y591" s="182"/>
      <c r="Z591" s="182"/>
      <c r="AA591" s="182"/>
      <c r="AB591" s="182"/>
      <c r="AC591" s="210"/>
      <c r="AD591" s="182"/>
      <c r="AE591" s="182"/>
      <c r="AF591" s="211"/>
    </row>
    <row r="592" spans="2:32" ht="17.25" customHeight="1">
      <c r="B592" s="180">
        <v>245</v>
      </c>
      <c r="C592" s="811"/>
      <c r="D592" s="765"/>
      <c r="E592" s="186" t="s">
        <v>10</v>
      </c>
      <c r="F592" s="187" t="str">
        <f t="shared" si="20"/>
        <v>IB211F5</v>
      </c>
      <c r="G592" s="466" t="s">
        <v>801</v>
      </c>
      <c r="H592" s="244"/>
      <c r="I592" s="244"/>
      <c r="J592" s="245"/>
      <c r="K592" s="182" t="s">
        <v>1513</v>
      </c>
      <c r="L592" s="183"/>
      <c r="M592" s="642"/>
      <c r="N592" s="186" t="s">
        <v>11</v>
      </c>
      <c r="O592" s="195" t="str">
        <f t="shared" si="21"/>
        <v>OB211F5</v>
      </c>
      <c r="P592" s="268"/>
      <c r="Q592" s="269"/>
      <c r="R592" s="269"/>
      <c r="S592" s="270"/>
      <c r="T592" s="190"/>
      <c r="U592" s="191"/>
      <c r="V592" s="909"/>
      <c r="W592" s="909"/>
      <c r="X592" s="187"/>
      <c r="Y592" s="182"/>
      <c r="Z592" s="182"/>
      <c r="AA592" s="182"/>
      <c r="AB592" s="182"/>
      <c r="AC592" s="210"/>
      <c r="AD592" s="182"/>
      <c r="AE592" s="182"/>
      <c r="AF592" s="211"/>
    </row>
    <row r="593" spans="1:32" ht="17.25" customHeight="1">
      <c r="B593" s="180">
        <v>246</v>
      </c>
      <c r="C593" s="811"/>
      <c r="D593" s="765"/>
      <c r="E593" s="186" t="s">
        <v>10</v>
      </c>
      <c r="F593" s="187" t="str">
        <f t="shared" si="20"/>
        <v>IB211F6</v>
      </c>
      <c r="G593" s="466" t="s">
        <v>802</v>
      </c>
      <c r="H593" s="244"/>
      <c r="I593" s="244"/>
      <c r="J593" s="245"/>
      <c r="K593" s="182" t="s">
        <v>1513</v>
      </c>
      <c r="L593" s="183"/>
      <c r="M593" s="642"/>
      <c r="N593" s="186" t="s">
        <v>11</v>
      </c>
      <c r="O593" s="195" t="str">
        <f t="shared" si="21"/>
        <v>OB211F6</v>
      </c>
      <c r="P593" s="268"/>
      <c r="Q593" s="269"/>
      <c r="R593" s="269"/>
      <c r="S593" s="270"/>
      <c r="T593" s="190"/>
      <c r="U593" s="191"/>
      <c r="V593" s="909"/>
      <c r="W593" s="909"/>
      <c r="X593" s="187"/>
      <c r="Y593" s="182"/>
      <c r="Z593" s="182"/>
      <c r="AA593" s="182"/>
      <c r="AB593" s="182"/>
      <c r="AC593" s="210"/>
      <c r="AD593" s="182"/>
      <c r="AE593" s="182"/>
      <c r="AF593" s="211"/>
    </row>
    <row r="594" spans="1:32" ht="17.25" customHeight="1">
      <c r="B594" s="180">
        <v>247</v>
      </c>
      <c r="C594" s="811"/>
      <c r="D594" s="765"/>
      <c r="E594" s="186" t="s">
        <v>10</v>
      </c>
      <c r="F594" s="187" t="str">
        <f t="shared" si="20"/>
        <v>IB211F7</v>
      </c>
      <c r="G594" s="466" t="s">
        <v>803</v>
      </c>
      <c r="H594" s="244"/>
      <c r="I594" s="244"/>
      <c r="J594" s="245"/>
      <c r="K594" s="182" t="s">
        <v>1513</v>
      </c>
      <c r="L594" s="183"/>
      <c r="M594" s="642"/>
      <c r="N594" s="186" t="s">
        <v>11</v>
      </c>
      <c r="O594" s="195" t="str">
        <f t="shared" si="21"/>
        <v>OB211F7</v>
      </c>
      <c r="P594" s="268"/>
      <c r="Q594" s="269"/>
      <c r="R594" s="269"/>
      <c r="S594" s="270"/>
      <c r="T594" s="190"/>
      <c r="U594" s="191"/>
      <c r="V594" s="909"/>
      <c r="W594" s="909"/>
      <c r="X594" s="187"/>
      <c r="Y594" s="182"/>
      <c r="Z594" s="182"/>
      <c r="AA594" s="182"/>
      <c r="AB594" s="182"/>
      <c r="AC594" s="210"/>
      <c r="AD594" s="182"/>
      <c r="AE594" s="182"/>
      <c r="AF594" s="211"/>
    </row>
    <row r="595" spans="1:32" ht="17.25" customHeight="1">
      <c r="B595" s="180">
        <v>248</v>
      </c>
      <c r="C595" s="811"/>
      <c r="D595" s="765"/>
      <c r="E595" s="186" t="s">
        <v>10</v>
      </c>
      <c r="F595" s="187" t="str">
        <f t="shared" si="20"/>
        <v>IB211F8</v>
      </c>
      <c r="G595" s="375" t="s">
        <v>1368</v>
      </c>
      <c r="H595" s="376"/>
      <c r="I595" s="376"/>
      <c r="J595" s="377"/>
      <c r="K595" s="584" t="s">
        <v>1513</v>
      </c>
      <c r="L595" s="183"/>
      <c r="M595" s="642"/>
      <c r="N595" s="186" t="s">
        <v>11</v>
      </c>
      <c r="O595" s="195" t="str">
        <f t="shared" si="21"/>
        <v>OB211F8</v>
      </c>
      <c r="P595" s="268"/>
      <c r="Q595" s="269"/>
      <c r="R595" s="269"/>
      <c r="S595" s="270"/>
      <c r="T595" s="190"/>
      <c r="U595" s="191"/>
      <c r="V595" s="909"/>
      <c r="W595" s="909"/>
      <c r="X595" s="187"/>
      <c r="Y595" s="182"/>
      <c r="Z595" s="182"/>
      <c r="AA595" s="182"/>
      <c r="AB595" s="182"/>
      <c r="AC595" s="210"/>
      <c r="AD595" s="182"/>
      <c r="AE595" s="182"/>
      <c r="AF595" s="211"/>
    </row>
    <row r="596" spans="1:32" ht="17.25" customHeight="1">
      <c r="B596" s="180">
        <v>249</v>
      </c>
      <c r="C596" s="811"/>
      <c r="D596" s="765"/>
      <c r="E596" s="186" t="s">
        <v>10</v>
      </c>
      <c r="F596" s="187" t="str">
        <f t="shared" si="20"/>
        <v>IB211F9</v>
      </c>
      <c r="G596" s="375" t="s">
        <v>1369</v>
      </c>
      <c r="H596" s="376"/>
      <c r="I596" s="376"/>
      <c r="J596" s="377"/>
      <c r="K596" s="584" t="s">
        <v>1513</v>
      </c>
      <c r="L596" s="183"/>
      <c r="M596" s="642"/>
      <c r="N596" s="186" t="s">
        <v>11</v>
      </c>
      <c r="O596" s="195" t="str">
        <f t="shared" si="21"/>
        <v>OB211F9</v>
      </c>
      <c r="P596" s="271"/>
      <c r="Q596" s="272"/>
      <c r="R596" s="272"/>
      <c r="S596" s="273"/>
      <c r="T596" s="190"/>
      <c r="U596" s="191"/>
      <c r="V596" s="909"/>
      <c r="W596" s="909"/>
      <c r="X596" s="187"/>
      <c r="Y596" s="182"/>
      <c r="Z596" s="182"/>
      <c r="AA596" s="182"/>
      <c r="AB596" s="182"/>
      <c r="AC596" s="210"/>
      <c r="AD596" s="182"/>
      <c r="AE596" s="182"/>
      <c r="AF596" s="211"/>
    </row>
    <row r="597" spans="1:32" ht="17.25" customHeight="1">
      <c r="B597" s="180">
        <v>250</v>
      </c>
      <c r="C597" s="811"/>
      <c r="D597" s="765"/>
      <c r="E597" s="186" t="s">
        <v>10</v>
      </c>
      <c r="F597" s="187" t="str">
        <f t="shared" si="20"/>
        <v>IB211FA</v>
      </c>
      <c r="G597" s="375" t="s">
        <v>1370</v>
      </c>
      <c r="H597" s="376"/>
      <c r="I597" s="376"/>
      <c r="J597" s="377"/>
      <c r="K597" s="584" t="s">
        <v>1513</v>
      </c>
      <c r="L597" s="183"/>
      <c r="M597" s="642"/>
      <c r="N597" s="186" t="s">
        <v>11</v>
      </c>
      <c r="O597" s="195" t="str">
        <f t="shared" si="21"/>
        <v>OB211FA</v>
      </c>
      <c r="P597" s="271"/>
      <c r="Q597" s="272"/>
      <c r="R597" s="272"/>
      <c r="S597" s="273"/>
      <c r="T597" s="190"/>
      <c r="U597" s="191"/>
      <c r="V597" s="909"/>
      <c r="W597" s="909"/>
      <c r="X597" s="187"/>
      <c r="Y597" s="182"/>
      <c r="Z597" s="182"/>
      <c r="AA597" s="182"/>
      <c r="AB597" s="182"/>
      <c r="AC597" s="210"/>
      <c r="AD597" s="182"/>
      <c r="AE597" s="182"/>
      <c r="AF597" s="211"/>
    </row>
    <row r="598" spans="1:32" ht="17.25" customHeight="1">
      <c r="B598" s="180">
        <v>251</v>
      </c>
      <c r="C598" s="811"/>
      <c r="D598" s="765"/>
      <c r="E598" s="186" t="s">
        <v>10</v>
      </c>
      <c r="F598" s="187" t="str">
        <f t="shared" si="20"/>
        <v>IB211FB</v>
      </c>
      <c r="G598" s="375" t="s">
        <v>1371</v>
      </c>
      <c r="H598" s="376"/>
      <c r="I598" s="376"/>
      <c r="J598" s="377"/>
      <c r="K598" s="584" t="s">
        <v>1513</v>
      </c>
      <c r="L598" s="183"/>
      <c r="M598" s="642"/>
      <c r="N598" s="186" t="s">
        <v>11</v>
      </c>
      <c r="O598" s="195" t="str">
        <f t="shared" si="21"/>
        <v>OB211FB</v>
      </c>
      <c r="P598" s="271"/>
      <c r="Q598" s="272"/>
      <c r="R598" s="272"/>
      <c r="S598" s="273"/>
      <c r="T598" s="190"/>
      <c r="U598" s="191"/>
      <c r="V598" s="909"/>
      <c r="W598" s="909"/>
      <c r="X598" s="187"/>
      <c r="Y598" s="182"/>
      <c r="Z598" s="182"/>
      <c r="AA598" s="182"/>
      <c r="AB598" s="182"/>
      <c r="AC598" s="210"/>
      <c r="AD598" s="182"/>
      <c r="AE598" s="182"/>
      <c r="AF598" s="211"/>
    </row>
    <row r="599" spans="1:32" ht="17.25" customHeight="1">
      <c r="B599" s="180">
        <v>252</v>
      </c>
      <c r="C599" s="811"/>
      <c r="D599" s="765"/>
      <c r="E599" s="186" t="s">
        <v>10</v>
      </c>
      <c r="F599" s="187" t="str">
        <f t="shared" si="20"/>
        <v>IB211FC</v>
      </c>
      <c r="G599" s="375" t="s">
        <v>1372</v>
      </c>
      <c r="H599" s="471"/>
      <c r="I599" s="471"/>
      <c r="J599" s="583"/>
      <c r="K599" s="584" t="s">
        <v>1513</v>
      </c>
      <c r="L599" s="188"/>
      <c r="M599" s="182"/>
      <c r="N599" s="186" t="s">
        <v>11</v>
      </c>
      <c r="O599" s="195" t="str">
        <f t="shared" si="21"/>
        <v>OB211FC</v>
      </c>
      <c r="P599" s="271"/>
      <c r="Q599" s="272"/>
      <c r="R599" s="272"/>
      <c r="S599" s="273"/>
      <c r="T599" s="190"/>
      <c r="U599" s="191"/>
      <c r="V599" s="909"/>
      <c r="W599" s="909"/>
      <c r="X599" s="187"/>
      <c r="Y599" s="182"/>
      <c r="Z599" s="182"/>
      <c r="AA599" s="182"/>
      <c r="AB599" s="182"/>
      <c r="AC599" s="210"/>
      <c r="AD599" s="182"/>
      <c r="AE599" s="182"/>
      <c r="AF599" s="211"/>
    </row>
    <row r="600" spans="1:32" ht="17.25" customHeight="1">
      <c r="B600" s="180">
        <v>253</v>
      </c>
      <c r="C600" s="811"/>
      <c r="D600" s="765"/>
      <c r="E600" s="186" t="s">
        <v>10</v>
      </c>
      <c r="F600" s="187" t="str">
        <f t="shared" si="20"/>
        <v>IB211FD</v>
      </c>
      <c r="G600" s="586"/>
      <c r="H600" s="471"/>
      <c r="I600" s="471"/>
      <c r="J600" s="583"/>
      <c r="K600" s="587"/>
      <c r="L600" s="220"/>
      <c r="M600" s="643"/>
      <c r="N600" s="186" t="s">
        <v>11</v>
      </c>
      <c r="O600" s="195" t="str">
        <f t="shared" si="21"/>
        <v>OB211FD</v>
      </c>
      <c r="P600" s="271"/>
      <c r="Q600" s="272"/>
      <c r="R600" s="272"/>
      <c r="S600" s="273"/>
      <c r="T600" s="190"/>
      <c r="U600" s="191"/>
      <c r="V600" s="909"/>
      <c r="W600" s="909"/>
      <c r="X600" s="187"/>
      <c r="Y600" s="182"/>
      <c r="Z600" s="182"/>
      <c r="AA600" s="182"/>
      <c r="AB600" s="182"/>
      <c r="AC600" s="210"/>
      <c r="AD600" s="182"/>
      <c r="AE600" s="182"/>
      <c r="AF600" s="211"/>
    </row>
    <row r="601" spans="1:32" ht="17.25" customHeight="1">
      <c r="B601" s="180">
        <v>254</v>
      </c>
      <c r="C601" s="811"/>
      <c r="D601" s="765"/>
      <c r="E601" s="186" t="s">
        <v>10</v>
      </c>
      <c r="F601" s="187" t="str">
        <f t="shared" si="20"/>
        <v>IB211FE</v>
      </c>
      <c r="G601" s="466" t="s">
        <v>837</v>
      </c>
      <c r="H601" s="471"/>
      <c r="I601" s="471"/>
      <c r="J601" s="583"/>
      <c r="K601" s="584" t="s">
        <v>1513</v>
      </c>
      <c r="L601" s="220"/>
      <c r="M601" s="643"/>
      <c r="N601" s="186" t="s">
        <v>11</v>
      </c>
      <c r="O601" s="195" t="str">
        <f t="shared" si="21"/>
        <v>OB211FE</v>
      </c>
      <c r="P601" s="271"/>
      <c r="Q601" s="272"/>
      <c r="R601" s="272"/>
      <c r="S601" s="273"/>
      <c r="T601" s="190"/>
      <c r="U601" s="191"/>
      <c r="V601" s="909"/>
      <c r="W601" s="909"/>
      <c r="X601" s="187"/>
      <c r="Y601" s="182"/>
      <c r="Z601" s="182"/>
      <c r="AA601" s="182"/>
      <c r="AB601" s="182"/>
      <c r="AC601" s="210"/>
      <c r="AD601" s="182"/>
      <c r="AE601" s="182"/>
      <c r="AF601" s="211"/>
    </row>
    <row r="602" spans="1:32" ht="17.25" customHeight="1" thickBot="1">
      <c r="B602" s="197">
        <v>255</v>
      </c>
      <c r="C602" s="939"/>
      <c r="D602" s="924"/>
      <c r="E602" s="198" t="s">
        <v>10</v>
      </c>
      <c r="F602" s="199" t="str">
        <f t="shared" si="20"/>
        <v>IB211FF</v>
      </c>
      <c r="G602" s="327"/>
      <c r="H602" s="252"/>
      <c r="I602" s="252"/>
      <c r="J602" s="253"/>
      <c r="K602" s="556"/>
      <c r="L602" s="221"/>
      <c r="M602" s="644"/>
      <c r="N602" s="198" t="s">
        <v>11</v>
      </c>
      <c r="O602" s="202" t="str">
        <f t="shared" si="21"/>
        <v>OB211FF</v>
      </c>
      <c r="P602" s="274"/>
      <c r="Q602" s="275"/>
      <c r="R602" s="275"/>
      <c r="S602" s="276"/>
      <c r="T602" s="203"/>
      <c r="U602" s="204"/>
      <c r="V602" s="910"/>
      <c r="W602" s="910"/>
      <c r="X602" s="199"/>
      <c r="Y602" s="200"/>
      <c r="Z602" s="200"/>
      <c r="AA602" s="200"/>
      <c r="AB602" s="200"/>
      <c r="AC602" s="222"/>
      <c r="AD602" s="200"/>
      <c r="AE602" s="200"/>
      <c r="AF602" s="223"/>
    </row>
    <row r="603" spans="1:32" ht="17.25" customHeight="1">
      <c r="B603" s="28"/>
      <c r="C603" s="409"/>
      <c r="D603" s="120"/>
      <c r="E603" s="121"/>
      <c r="F603" s="122"/>
      <c r="G603" s="410"/>
      <c r="H603" s="410"/>
      <c r="I603" s="410"/>
      <c r="J603" s="410"/>
      <c r="K603" s="165"/>
      <c r="L603" s="467"/>
      <c r="M603" s="645"/>
      <c r="N603" s="121"/>
      <c r="O603" s="411"/>
      <c r="P603" s="412"/>
      <c r="Q603" s="412"/>
      <c r="R603" s="412"/>
      <c r="S603" s="412"/>
      <c r="T603" s="413"/>
      <c r="U603" s="414"/>
      <c r="V603" s="415"/>
      <c r="W603" s="415"/>
      <c r="X603" s="122"/>
      <c r="Y603" s="28"/>
      <c r="Z603" s="28"/>
      <c r="AA603" s="28"/>
      <c r="AB603" s="28"/>
      <c r="AC603" s="128"/>
      <c r="AD603" s="28"/>
      <c r="AE603" s="28"/>
      <c r="AF603" s="128"/>
    </row>
    <row r="604" spans="1:32" ht="17.25" customHeight="1" thickBot="1">
      <c r="B604" s="71"/>
      <c r="C604" s="416"/>
      <c r="D604" s="64"/>
      <c r="E604" s="65"/>
      <c r="F604" s="129"/>
      <c r="G604" s="417"/>
      <c r="H604" s="417"/>
      <c r="I604" s="417"/>
      <c r="J604" s="417"/>
      <c r="K604" s="168"/>
      <c r="L604" s="468"/>
      <c r="M604" s="646"/>
      <c r="N604" s="65"/>
      <c r="O604" s="159"/>
      <c r="P604" s="418"/>
      <c r="Q604" s="418"/>
      <c r="R604" s="418"/>
      <c r="S604" s="418"/>
      <c r="T604" s="69"/>
      <c r="U604" s="164"/>
      <c r="V604" s="419"/>
      <c r="W604" s="419"/>
      <c r="X604" s="129"/>
      <c r="Y604" s="71"/>
      <c r="Z604" s="71"/>
      <c r="AA604" s="71"/>
      <c r="AB604" s="71"/>
      <c r="AC604" s="135"/>
      <c r="AD604" s="71"/>
      <c r="AE604" s="71"/>
      <c r="AF604" s="135"/>
    </row>
    <row r="605" spans="1:32" ht="17.25" customHeight="1">
      <c r="B605" s="177">
        <v>240</v>
      </c>
      <c r="C605" s="951" t="s">
        <v>73</v>
      </c>
      <c r="D605" s="952" t="s">
        <v>1416</v>
      </c>
      <c r="E605" s="225" t="s">
        <v>10</v>
      </c>
      <c r="F605" s="226" t="str">
        <f>LEFT(F602,1)&amp;DEC2HEX(HEX2DEC(MID(F602,2,LENB(F602)-1))+1,LENB(F602)-1)</f>
        <v>IB21200</v>
      </c>
      <c r="G605" s="358" t="s">
        <v>804</v>
      </c>
      <c r="H605" s="359"/>
      <c r="I605" s="359"/>
      <c r="J605" s="360"/>
      <c r="K605" s="178" t="s">
        <v>1513</v>
      </c>
      <c r="L605" s="227"/>
      <c r="M605" s="647"/>
      <c r="N605" s="225" t="s">
        <v>11</v>
      </c>
      <c r="O605" s="228" t="str">
        <f>LEFT(O602,1)&amp;DEC2HEX(HEX2DEC(MID(O602,2,LENB(O602)-1))+1,LENB(O602)-1)</f>
        <v>OB21200</v>
      </c>
      <c r="P605" s="370"/>
      <c r="Q605" s="371"/>
      <c r="R605" s="371"/>
      <c r="S605" s="372"/>
      <c r="T605" s="229"/>
      <c r="U605" s="230"/>
      <c r="V605" s="950"/>
      <c r="W605" s="950"/>
      <c r="X605" s="226"/>
      <c r="Y605" s="178"/>
      <c r="Z605" s="178"/>
      <c r="AA605" s="178"/>
      <c r="AB605" s="178"/>
      <c r="AC605" s="231"/>
      <c r="AD605" s="178"/>
      <c r="AE605" s="178"/>
      <c r="AF605" s="232"/>
    </row>
    <row r="606" spans="1:32" ht="17.25" customHeight="1">
      <c r="A606" s="171"/>
      <c r="B606" s="180">
        <v>241</v>
      </c>
      <c r="C606" s="811"/>
      <c r="D606" s="765"/>
      <c r="E606" s="186" t="s">
        <v>10</v>
      </c>
      <c r="F606" s="187" t="str">
        <f t="shared" ref="F606:F652" si="22">LEFT(F605,1)&amp;DEC2HEX(HEX2DEC(MID(F605,2,LENB(F605)-1))+1,LENB(F605)-1)</f>
        <v>IB21201</v>
      </c>
      <c r="G606" s="243" t="s">
        <v>805</v>
      </c>
      <c r="H606" s="244"/>
      <c r="I606" s="244"/>
      <c r="J606" s="245"/>
      <c r="K606" s="182" t="s">
        <v>1527</v>
      </c>
      <c r="L606" s="233"/>
      <c r="M606" s="648"/>
      <c r="N606" s="186" t="s">
        <v>11</v>
      </c>
      <c r="O606" s="195" t="str">
        <f t="shared" si="21"/>
        <v>OB21201</v>
      </c>
      <c r="P606" s="259"/>
      <c r="Q606" s="260"/>
      <c r="R606" s="260"/>
      <c r="S606" s="261"/>
      <c r="T606" s="190"/>
      <c r="U606" s="191"/>
      <c r="V606" s="909"/>
      <c r="W606" s="909"/>
      <c r="X606" s="187"/>
      <c r="Y606" s="182"/>
      <c r="Z606" s="182"/>
      <c r="AA606" s="182"/>
      <c r="AB606" s="182"/>
      <c r="AC606" s="210"/>
      <c r="AD606" s="182"/>
      <c r="AE606" s="182"/>
      <c r="AF606" s="211"/>
    </row>
    <row r="607" spans="1:32" ht="17.25" customHeight="1">
      <c r="B607" s="180">
        <v>242</v>
      </c>
      <c r="C607" s="811"/>
      <c r="D607" s="765"/>
      <c r="E607" s="186" t="s">
        <v>10</v>
      </c>
      <c r="F607" s="187" t="str">
        <f t="shared" si="22"/>
        <v>IB21202</v>
      </c>
      <c r="G607" s="243" t="s">
        <v>812</v>
      </c>
      <c r="H607" s="244"/>
      <c r="I607" s="244"/>
      <c r="J607" s="245"/>
      <c r="K607" s="182" t="s">
        <v>1513</v>
      </c>
      <c r="L607" s="233"/>
      <c r="M607" s="648"/>
      <c r="N607" s="186" t="s">
        <v>11</v>
      </c>
      <c r="O607" s="195" t="str">
        <f t="shared" si="21"/>
        <v>OB21202</v>
      </c>
      <c r="P607" s="259"/>
      <c r="Q607" s="260"/>
      <c r="R607" s="260"/>
      <c r="S607" s="261"/>
      <c r="T607" s="190"/>
      <c r="U607" s="191"/>
      <c r="V607" s="909"/>
      <c r="W607" s="909"/>
      <c r="X607" s="187"/>
      <c r="Y607" s="182"/>
      <c r="Z607" s="182"/>
      <c r="AA607" s="182"/>
      <c r="AB607" s="182"/>
      <c r="AC607" s="210"/>
      <c r="AD607" s="182"/>
      <c r="AE607" s="182"/>
      <c r="AF607" s="211"/>
    </row>
    <row r="608" spans="1:32" ht="13.5" customHeight="1">
      <c r="B608" s="180">
        <v>243</v>
      </c>
      <c r="C608" s="811"/>
      <c r="D608" s="765"/>
      <c r="E608" s="186" t="s">
        <v>10</v>
      </c>
      <c r="F608" s="187" t="str">
        <f t="shared" si="22"/>
        <v>IB21203</v>
      </c>
      <c r="G608" s="243" t="s">
        <v>813</v>
      </c>
      <c r="H608" s="244"/>
      <c r="I608" s="244"/>
      <c r="J608" s="245"/>
      <c r="K608" s="182" t="s">
        <v>1513</v>
      </c>
      <c r="L608" s="233" t="s">
        <v>1513</v>
      </c>
      <c r="M608" s="648"/>
      <c r="N608" s="186" t="s">
        <v>11</v>
      </c>
      <c r="O608" s="195" t="str">
        <f t="shared" si="21"/>
        <v>OB21203</v>
      </c>
      <c r="P608" s="259"/>
      <c r="Q608" s="260"/>
      <c r="R608" s="260"/>
      <c r="S608" s="261"/>
      <c r="T608" s="190"/>
      <c r="U608" s="191"/>
      <c r="V608" s="909"/>
      <c r="W608" s="909"/>
      <c r="X608" s="187"/>
      <c r="Y608" s="182"/>
      <c r="Z608" s="182"/>
      <c r="AA608" s="182"/>
      <c r="AB608" s="182"/>
      <c r="AC608" s="210"/>
      <c r="AD608" s="182"/>
      <c r="AE608" s="182"/>
      <c r="AF608" s="211"/>
    </row>
    <row r="609" spans="2:32" ht="13.5" customHeight="1">
      <c r="B609" s="180">
        <v>244</v>
      </c>
      <c r="C609" s="811"/>
      <c r="D609" s="765"/>
      <c r="E609" s="186" t="s">
        <v>10</v>
      </c>
      <c r="F609" s="187" t="str">
        <f t="shared" si="22"/>
        <v>IB21204</v>
      </c>
      <c r="G609" s="243" t="s">
        <v>245</v>
      </c>
      <c r="H609" s="244"/>
      <c r="I609" s="244"/>
      <c r="J609" s="245"/>
      <c r="K609" s="182" t="s">
        <v>1513</v>
      </c>
      <c r="L609" s="233"/>
      <c r="M609" s="648"/>
      <c r="N609" s="186" t="s">
        <v>11</v>
      </c>
      <c r="O609" s="195" t="str">
        <f t="shared" si="21"/>
        <v>OB21204</v>
      </c>
      <c r="P609" s="259"/>
      <c r="Q609" s="260"/>
      <c r="R609" s="260"/>
      <c r="S609" s="261"/>
      <c r="T609" s="190"/>
      <c r="U609" s="191"/>
      <c r="V609" s="909"/>
      <c r="W609" s="909"/>
      <c r="X609" s="187"/>
      <c r="Y609" s="182"/>
      <c r="Z609" s="182"/>
      <c r="AA609" s="182"/>
      <c r="AB609" s="182"/>
      <c r="AC609" s="210"/>
      <c r="AD609" s="182"/>
      <c r="AE609" s="182"/>
      <c r="AF609" s="211"/>
    </row>
    <row r="610" spans="2:32" ht="13.5" customHeight="1">
      <c r="B610" s="180">
        <v>245</v>
      </c>
      <c r="C610" s="811"/>
      <c r="D610" s="765"/>
      <c r="E610" s="186" t="s">
        <v>10</v>
      </c>
      <c r="F610" s="187" t="str">
        <f t="shared" si="22"/>
        <v>IB21205</v>
      </c>
      <c r="G610" s="243" t="s">
        <v>242</v>
      </c>
      <c r="H610" s="244"/>
      <c r="I610" s="244"/>
      <c r="J610" s="245"/>
      <c r="K610" s="182" t="s">
        <v>1513</v>
      </c>
      <c r="L610" s="233"/>
      <c r="M610" s="648"/>
      <c r="N610" s="186" t="s">
        <v>11</v>
      </c>
      <c r="O610" s="195" t="str">
        <f t="shared" si="21"/>
        <v>OB21205</v>
      </c>
      <c r="P610" s="259"/>
      <c r="Q610" s="260"/>
      <c r="R610" s="260"/>
      <c r="S610" s="261"/>
      <c r="T610" s="190"/>
      <c r="U610" s="191"/>
      <c r="V610" s="909"/>
      <c r="W610" s="909"/>
      <c r="X610" s="187"/>
      <c r="Y610" s="182"/>
      <c r="Z610" s="182"/>
      <c r="AA610" s="182"/>
      <c r="AB610" s="182"/>
      <c r="AC610" s="210"/>
      <c r="AD610" s="182"/>
      <c r="AE610" s="182"/>
      <c r="AF610" s="211"/>
    </row>
    <row r="611" spans="2:32" ht="13.5" customHeight="1">
      <c r="B611" s="180">
        <v>246</v>
      </c>
      <c r="C611" s="811"/>
      <c r="D611" s="765"/>
      <c r="E611" s="186" t="s">
        <v>10</v>
      </c>
      <c r="F611" s="187" t="str">
        <f t="shared" si="22"/>
        <v>IB21206</v>
      </c>
      <c r="G611" s="243" t="s">
        <v>243</v>
      </c>
      <c r="H611" s="244"/>
      <c r="I611" s="244"/>
      <c r="J611" s="245"/>
      <c r="K611" s="182" t="s">
        <v>1513</v>
      </c>
      <c r="L611" s="233"/>
      <c r="M611" s="648"/>
      <c r="N611" s="186" t="s">
        <v>11</v>
      </c>
      <c r="O611" s="195" t="str">
        <f t="shared" si="21"/>
        <v>OB21206</v>
      </c>
      <c r="P611" s="259"/>
      <c r="Q611" s="260"/>
      <c r="R611" s="260"/>
      <c r="S611" s="261"/>
      <c r="T611" s="190"/>
      <c r="U611" s="191"/>
      <c r="V611" s="909"/>
      <c r="W611" s="909"/>
      <c r="X611" s="187"/>
      <c r="Y611" s="182"/>
      <c r="Z611" s="182"/>
      <c r="AA611" s="182"/>
      <c r="AB611" s="182"/>
      <c r="AC611" s="210"/>
      <c r="AD611" s="182"/>
      <c r="AE611" s="182"/>
      <c r="AF611" s="211"/>
    </row>
    <row r="612" spans="2:32" ht="13.5" customHeight="1">
      <c r="B612" s="180">
        <v>247</v>
      </c>
      <c r="C612" s="811"/>
      <c r="D612" s="765"/>
      <c r="E612" s="186" t="s">
        <v>10</v>
      </c>
      <c r="F612" s="187" t="str">
        <f t="shared" si="22"/>
        <v>IB21207</v>
      </c>
      <c r="G612" s="243" t="s">
        <v>244</v>
      </c>
      <c r="H612" s="244"/>
      <c r="I612" s="244"/>
      <c r="J612" s="245"/>
      <c r="K612" s="182" t="s">
        <v>1513</v>
      </c>
      <c r="L612" s="233"/>
      <c r="M612" s="648"/>
      <c r="N612" s="186" t="s">
        <v>11</v>
      </c>
      <c r="O612" s="195" t="str">
        <f t="shared" si="21"/>
        <v>OB21207</v>
      </c>
      <c r="P612" s="259"/>
      <c r="Q612" s="260"/>
      <c r="R612" s="260"/>
      <c r="S612" s="261"/>
      <c r="T612" s="190"/>
      <c r="U612" s="191"/>
      <c r="V612" s="909"/>
      <c r="W612" s="909"/>
      <c r="X612" s="187"/>
      <c r="Y612" s="182"/>
      <c r="Z612" s="182"/>
      <c r="AA612" s="182"/>
      <c r="AB612" s="182"/>
      <c r="AC612" s="210"/>
      <c r="AD612" s="182"/>
      <c r="AE612" s="182"/>
      <c r="AF612" s="211"/>
    </row>
    <row r="613" spans="2:32" ht="13.5" customHeight="1">
      <c r="B613" s="180">
        <v>248</v>
      </c>
      <c r="C613" s="811"/>
      <c r="D613" s="765"/>
      <c r="E613" s="186" t="s">
        <v>10</v>
      </c>
      <c r="F613" s="187" t="str">
        <f t="shared" si="22"/>
        <v>IB21208</v>
      </c>
      <c r="G613" s="243"/>
      <c r="H613" s="244"/>
      <c r="I613" s="244"/>
      <c r="J613" s="245"/>
      <c r="K613" s="182"/>
      <c r="L613" s="233"/>
      <c r="M613" s="648"/>
      <c r="N613" s="186" t="s">
        <v>11</v>
      </c>
      <c r="O613" s="195" t="str">
        <f t="shared" si="21"/>
        <v>OB21208</v>
      </c>
      <c r="P613" s="259"/>
      <c r="Q613" s="260"/>
      <c r="R613" s="260"/>
      <c r="S613" s="261"/>
      <c r="T613" s="190"/>
      <c r="U613" s="191"/>
      <c r="V613" s="909"/>
      <c r="W613" s="909"/>
      <c r="X613" s="187"/>
      <c r="Y613" s="182"/>
      <c r="Z613" s="182"/>
      <c r="AA613" s="182"/>
      <c r="AB613" s="182"/>
      <c r="AC613" s="210"/>
      <c r="AD613" s="182"/>
      <c r="AE613" s="182"/>
      <c r="AF613" s="211"/>
    </row>
    <row r="614" spans="2:32" ht="13.5" customHeight="1">
      <c r="B614" s="180">
        <v>249</v>
      </c>
      <c r="C614" s="811"/>
      <c r="D614" s="765"/>
      <c r="E614" s="186" t="s">
        <v>10</v>
      </c>
      <c r="F614" s="187" t="str">
        <f t="shared" si="22"/>
        <v>IB21209</v>
      </c>
      <c r="G614" s="243" t="s">
        <v>818</v>
      </c>
      <c r="H614" s="244"/>
      <c r="I614" s="244"/>
      <c r="J614" s="245"/>
      <c r="K614" s="182" t="s">
        <v>1513</v>
      </c>
      <c r="L614" s="234"/>
      <c r="M614" s="649"/>
      <c r="N614" s="186" t="s">
        <v>11</v>
      </c>
      <c r="O614" s="195" t="str">
        <f t="shared" si="21"/>
        <v>OB21209</v>
      </c>
      <c r="P614" s="259"/>
      <c r="Q614" s="260"/>
      <c r="R614" s="260"/>
      <c r="S614" s="261"/>
      <c r="T614" s="190"/>
      <c r="U614" s="191"/>
      <c r="V614" s="909"/>
      <c r="W614" s="909"/>
      <c r="X614" s="187"/>
      <c r="Y614" s="182"/>
      <c r="Z614" s="182"/>
      <c r="AA614" s="182"/>
      <c r="AB614" s="182"/>
      <c r="AC614" s="210"/>
      <c r="AD614" s="182"/>
      <c r="AE614" s="182"/>
      <c r="AF614" s="211"/>
    </row>
    <row r="615" spans="2:32" ht="13.5" customHeight="1">
      <c r="B615" s="180">
        <v>250</v>
      </c>
      <c r="C615" s="811"/>
      <c r="D615" s="765"/>
      <c r="E615" s="186" t="s">
        <v>10</v>
      </c>
      <c r="F615" s="187" t="str">
        <f t="shared" si="22"/>
        <v>IB2120A</v>
      </c>
      <c r="G615" s="243" t="s">
        <v>819</v>
      </c>
      <c r="H615" s="244"/>
      <c r="I615" s="244"/>
      <c r="J615" s="245"/>
      <c r="K615" s="182" t="s">
        <v>1513</v>
      </c>
      <c r="L615" s="234"/>
      <c r="M615" s="649"/>
      <c r="N615" s="186" t="s">
        <v>11</v>
      </c>
      <c r="O615" s="195" t="str">
        <f t="shared" si="21"/>
        <v>OB2120A</v>
      </c>
      <c r="P615" s="259"/>
      <c r="Q615" s="260"/>
      <c r="R615" s="260"/>
      <c r="S615" s="261"/>
      <c r="T615" s="190"/>
      <c r="U615" s="191"/>
      <c r="V615" s="909"/>
      <c r="W615" s="909"/>
      <c r="X615" s="187"/>
      <c r="Y615" s="182"/>
      <c r="Z615" s="182"/>
      <c r="AA615" s="182"/>
      <c r="AB615" s="182"/>
      <c r="AC615" s="210"/>
      <c r="AD615" s="182"/>
      <c r="AE615" s="182"/>
      <c r="AF615" s="211"/>
    </row>
    <row r="616" spans="2:32" ht="13.5" customHeight="1">
      <c r="B616" s="180">
        <v>251</v>
      </c>
      <c r="C616" s="811"/>
      <c r="D616" s="765"/>
      <c r="E616" s="186" t="s">
        <v>10</v>
      </c>
      <c r="F616" s="187" t="str">
        <f t="shared" si="22"/>
        <v>IB2120B</v>
      </c>
      <c r="G616" s="243"/>
      <c r="H616" s="244"/>
      <c r="I616" s="244"/>
      <c r="J616" s="245"/>
      <c r="K616" s="182"/>
      <c r="L616" s="233"/>
      <c r="M616" s="648"/>
      <c r="N616" s="186" t="s">
        <v>11</v>
      </c>
      <c r="O616" s="195" t="str">
        <f t="shared" si="21"/>
        <v>OB2120B</v>
      </c>
      <c r="P616" s="259"/>
      <c r="Q616" s="260"/>
      <c r="R616" s="260"/>
      <c r="S616" s="261"/>
      <c r="T616" s="190"/>
      <c r="U616" s="191"/>
      <c r="V616" s="909"/>
      <c r="W616" s="909"/>
      <c r="X616" s="187"/>
      <c r="Y616" s="182"/>
      <c r="Z616" s="182"/>
      <c r="AA616" s="182"/>
      <c r="AB616" s="182"/>
      <c r="AC616" s="210"/>
      <c r="AD616" s="182"/>
      <c r="AE616" s="182"/>
      <c r="AF616" s="211"/>
    </row>
    <row r="617" spans="2:32" ht="13.5" customHeight="1">
      <c r="B617" s="180">
        <v>252</v>
      </c>
      <c r="C617" s="811"/>
      <c r="D617" s="765"/>
      <c r="E617" s="186" t="s">
        <v>10</v>
      </c>
      <c r="F617" s="187" t="str">
        <f t="shared" si="22"/>
        <v>IB2120C</v>
      </c>
      <c r="G617" s="243"/>
      <c r="H617" s="244"/>
      <c r="I617" s="244"/>
      <c r="J617" s="245"/>
      <c r="K617" s="182"/>
      <c r="L617" s="233"/>
      <c r="M617" s="648"/>
      <c r="N617" s="186" t="s">
        <v>11</v>
      </c>
      <c r="O617" s="195" t="str">
        <f t="shared" si="21"/>
        <v>OB2120C</v>
      </c>
      <c r="P617" s="259"/>
      <c r="Q617" s="260"/>
      <c r="R617" s="260"/>
      <c r="S617" s="261"/>
      <c r="T617" s="190"/>
      <c r="U617" s="191"/>
      <c r="V617" s="909"/>
      <c r="W617" s="909"/>
      <c r="X617" s="187"/>
      <c r="Y617" s="182"/>
      <c r="Z617" s="182"/>
      <c r="AA617" s="182"/>
      <c r="AB617" s="182"/>
      <c r="AC617" s="210"/>
      <c r="AD617" s="182"/>
      <c r="AE617" s="182"/>
      <c r="AF617" s="211"/>
    </row>
    <row r="618" spans="2:32" ht="13.5" customHeight="1">
      <c r="B618" s="180">
        <v>253</v>
      </c>
      <c r="C618" s="811"/>
      <c r="D618" s="765"/>
      <c r="E618" s="186" t="s">
        <v>10</v>
      </c>
      <c r="F618" s="187" t="str">
        <f t="shared" si="22"/>
        <v>IB2120D</v>
      </c>
      <c r="G618" s="243"/>
      <c r="H618" s="244"/>
      <c r="I618" s="244"/>
      <c r="J618" s="245"/>
      <c r="K618" s="182"/>
      <c r="L618" s="233"/>
      <c r="M618" s="648"/>
      <c r="N618" s="186" t="s">
        <v>11</v>
      </c>
      <c r="O618" s="195" t="str">
        <f t="shared" si="21"/>
        <v>OB2120D</v>
      </c>
      <c r="P618" s="259"/>
      <c r="Q618" s="260"/>
      <c r="R618" s="260"/>
      <c r="S618" s="261"/>
      <c r="T618" s="190"/>
      <c r="U618" s="191"/>
      <c r="V618" s="909"/>
      <c r="W618" s="909"/>
      <c r="X618" s="187"/>
      <c r="Y618" s="182"/>
      <c r="Z618" s="182"/>
      <c r="AA618" s="182"/>
      <c r="AB618" s="182"/>
      <c r="AC618" s="210"/>
      <c r="AD618" s="182"/>
      <c r="AE618" s="182"/>
      <c r="AF618" s="211"/>
    </row>
    <row r="619" spans="2:32" ht="13.5" customHeight="1">
      <c r="B619" s="180">
        <v>254</v>
      </c>
      <c r="C619" s="811"/>
      <c r="D619" s="765"/>
      <c r="E619" s="186" t="s">
        <v>10</v>
      </c>
      <c r="F619" s="187" t="str">
        <f t="shared" si="22"/>
        <v>IB2120E</v>
      </c>
      <c r="G619" s="243"/>
      <c r="H619" s="244"/>
      <c r="I619" s="244"/>
      <c r="J619" s="245"/>
      <c r="K619" s="182"/>
      <c r="L619" s="233"/>
      <c r="M619" s="648"/>
      <c r="N619" s="186" t="s">
        <v>11</v>
      </c>
      <c r="O619" s="195" t="str">
        <f t="shared" si="21"/>
        <v>OB2120E</v>
      </c>
      <c r="P619" s="259"/>
      <c r="Q619" s="260"/>
      <c r="R619" s="260"/>
      <c r="S619" s="261"/>
      <c r="T619" s="190"/>
      <c r="U619" s="191"/>
      <c r="V619" s="909"/>
      <c r="W619" s="909"/>
      <c r="X619" s="187"/>
      <c r="Y619" s="182"/>
      <c r="Z619" s="182"/>
      <c r="AA619" s="182"/>
      <c r="AB619" s="182"/>
      <c r="AC619" s="210"/>
      <c r="AD619" s="182"/>
      <c r="AE619" s="182"/>
      <c r="AF619" s="211"/>
    </row>
    <row r="620" spans="2:32" ht="13.5" customHeight="1">
      <c r="B620" s="180">
        <v>255</v>
      </c>
      <c r="C620" s="928"/>
      <c r="D620" s="765"/>
      <c r="E620" s="186" t="s">
        <v>10</v>
      </c>
      <c r="F620" s="187" t="str">
        <f t="shared" si="22"/>
        <v>IB2120F</v>
      </c>
      <c r="G620" s="243" t="s">
        <v>820</v>
      </c>
      <c r="H620" s="244"/>
      <c r="I620" s="244"/>
      <c r="J620" s="245"/>
      <c r="K620" s="182"/>
      <c r="L620" s="233"/>
      <c r="M620" s="648"/>
      <c r="N620" s="186" t="s">
        <v>11</v>
      </c>
      <c r="O620" s="195" t="str">
        <f t="shared" si="21"/>
        <v>OB2120F</v>
      </c>
      <c r="P620" s="259"/>
      <c r="Q620" s="260"/>
      <c r="R620" s="260"/>
      <c r="S620" s="261"/>
      <c r="T620" s="190"/>
      <c r="U620" s="191"/>
      <c r="V620" s="909"/>
      <c r="W620" s="909"/>
      <c r="X620" s="187"/>
      <c r="Y620" s="182"/>
      <c r="Z620" s="182"/>
      <c r="AA620" s="182"/>
      <c r="AB620" s="182"/>
      <c r="AC620" s="210"/>
      <c r="AD620" s="182"/>
      <c r="AE620" s="182"/>
      <c r="AF620" s="211"/>
    </row>
    <row r="621" spans="2:32" ht="13.5" customHeight="1">
      <c r="B621" s="180">
        <v>256</v>
      </c>
      <c r="C621" s="927" t="s">
        <v>71</v>
      </c>
      <c r="D621" s="901" t="s">
        <v>1406</v>
      </c>
      <c r="E621" s="186" t="s">
        <v>10</v>
      </c>
      <c r="F621" s="187" t="str">
        <f t="shared" si="22"/>
        <v>IB21210</v>
      </c>
      <c r="G621" s="243" t="s">
        <v>808</v>
      </c>
      <c r="H621" s="244"/>
      <c r="I621" s="244"/>
      <c r="J621" s="245"/>
      <c r="K621" s="182" t="s">
        <v>1519</v>
      </c>
      <c r="L621" s="233"/>
      <c r="M621" s="648"/>
      <c r="N621" s="186" t="s">
        <v>11</v>
      </c>
      <c r="O621" s="195" t="str">
        <f t="shared" si="21"/>
        <v>OB21210</v>
      </c>
      <c r="P621" s="259"/>
      <c r="Q621" s="260"/>
      <c r="R621" s="260"/>
      <c r="S621" s="261"/>
      <c r="T621" s="190"/>
      <c r="U621" s="191"/>
      <c r="V621" s="909"/>
      <c r="W621" s="909"/>
      <c r="X621" s="187"/>
      <c r="Y621" s="182"/>
      <c r="Z621" s="182"/>
      <c r="AA621" s="182"/>
      <c r="AB621" s="182"/>
      <c r="AC621" s="210"/>
      <c r="AD621" s="182"/>
      <c r="AE621" s="182"/>
      <c r="AF621" s="211"/>
    </row>
    <row r="622" spans="2:32" ht="13.5" customHeight="1">
      <c r="B622" s="180">
        <v>257</v>
      </c>
      <c r="C622" s="811"/>
      <c r="D622" s="765"/>
      <c r="E622" s="186" t="s">
        <v>10</v>
      </c>
      <c r="F622" s="187" t="str">
        <f t="shared" si="22"/>
        <v>IB21211</v>
      </c>
      <c r="G622" s="243" t="s">
        <v>809</v>
      </c>
      <c r="H622" s="244"/>
      <c r="I622" s="244"/>
      <c r="J622" s="245"/>
      <c r="K622" s="182" t="s">
        <v>1527</v>
      </c>
      <c r="L622" s="233"/>
      <c r="M622" s="648"/>
      <c r="N622" s="186" t="s">
        <v>11</v>
      </c>
      <c r="O622" s="195" t="str">
        <f t="shared" si="21"/>
        <v>OB21211</v>
      </c>
      <c r="P622" s="259"/>
      <c r="Q622" s="260"/>
      <c r="R622" s="260"/>
      <c r="S622" s="261"/>
      <c r="T622" s="190"/>
      <c r="U622" s="191"/>
      <c r="V622" s="909"/>
      <c r="W622" s="909"/>
      <c r="X622" s="187"/>
      <c r="Y622" s="182"/>
      <c r="Z622" s="182"/>
      <c r="AA622" s="182"/>
      <c r="AB622" s="182"/>
      <c r="AC622" s="210"/>
      <c r="AD622" s="182"/>
      <c r="AE622" s="182"/>
      <c r="AF622" s="211"/>
    </row>
    <row r="623" spans="2:32" ht="13.5" customHeight="1">
      <c r="B623" s="180">
        <v>258</v>
      </c>
      <c r="C623" s="811"/>
      <c r="D623" s="765"/>
      <c r="E623" s="186" t="s">
        <v>10</v>
      </c>
      <c r="F623" s="187" t="str">
        <f t="shared" si="22"/>
        <v>IB21212</v>
      </c>
      <c r="G623" s="243" t="s">
        <v>814</v>
      </c>
      <c r="H623" s="244"/>
      <c r="I623" s="244"/>
      <c r="J623" s="245"/>
      <c r="K623" s="182" t="s">
        <v>1513</v>
      </c>
      <c r="L623" s="233"/>
      <c r="M623" s="648"/>
      <c r="N623" s="186" t="s">
        <v>11</v>
      </c>
      <c r="O623" s="195" t="str">
        <f t="shared" si="21"/>
        <v>OB21212</v>
      </c>
      <c r="P623" s="259"/>
      <c r="Q623" s="260"/>
      <c r="R623" s="260"/>
      <c r="S623" s="261"/>
      <c r="T623" s="190"/>
      <c r="U623" s="191"/>
      <c r="V623" s="909"/>
      <c r="W623" s="909"/>
      <c r="X623" s="187"/>
      <c r="Y623" s="182"/>
      <c r="Z623" s="182"/>
      <c r="AA623" s="182"/>
      <c r="AB623" s="182"/>
      <c r="AC623" s="210"/>
      <c r="AD623" s="182"/>
      <c r="AE623" s="182"/>
      <c r="AF623" s="211"/>
    </row>
    <row r="624" spans="2:32" ht="13.5" customHeight="1">
      <c r="B624" s="180">
        <v>259</v>
      </c>
      <c r="C624" s="811"/>
      <c r="D624" s="765"/>
      <c r="E624" s="186" t="s">
        <v>10</v>
      </c>
      <c r="F624" s="187" t="str">
        <f t="shared" si="22"/>
        <v>IB21213</v>
      </c>
      <c r="G624" s="243" t="s">
        <v>815</v>
      </c>
      <c r="H624" s="244"/>
      <c r="I624" s="244"/>
      <c r="J624" s="245"/>
      <c r="K624" s="182" t="s">
        <v>1513</v>
      </c>
      <c r="L624" s="233" t="s">
        <v>1513</v>
      </c>
      <c r="M624" s="648"/>
      <c r="N624" s="186" t="s">
        <v>11</v>
      </c>
      <c r="O624" s="195" t="str">
        <f t="shared" si="21"/>
        <v>OB21213</v>
      </c>
      <c r="P624" s="259"/>
      <c r="Q624" s="260"/>
      <c r="R624" s="260"/>
      <c r="S624" s="261"/>
      <c r="T624" s="190"/>
      <c r="U624" s="191"/>
      <c r="V624" s="909"/>
      <c r="W624" s="909"/>
      <c r="X624" s="187"/>
      <c r="Y624" s="182"/>
      <c r="Z624" s="182"/>
      <c r="AA624" s="182"/>
      <c r="AB624" s="182"/>
      <c r="AC624" s="210"/>
      <c r="AD624" s="182"/>
      <c r="AE624" s="182"/>
      <c r="AF624" s="211"/>
    </row>
    <row r="625" spans="2:32" ht="13.5" customHeight="1">
      <c r="B625" s="180">
        <v>260</v>
      </c>
      <c r="C625" s="811"/>
      <c r="D625" s="765"/>
      <c r="E625" s="186" t="s">
        <v>10</v>
      </c>
      <c r="F625" s="187" t="str">
        <f t="shared" si="22"/>
        <v>IB21214</v>
      </c>
      <c r="G625" s="243" t="s">
        <v>246</v>
      </c>
      <c r="H625" s="244"/>
      <c r="I625" s="244"/>
      <c r="J625" s="245"/>
      <c r="K625" s="182" t="s">
        <v>1513</v>
      </c>
      <c r="L625" s="233"/>
      <c r="M625" s="648"/>
      <c r="N625" s="186" t="s">
        <v>11</v>
      </c>
      <c r="O625" s="195" t="str">
        <f t="shared" si="21"/>
        <v>OB21214</v>
      </c>
      <c r="P625" s="259"/>
      <c r="Q625" s="260"/>
      <c r="R625" s="260"/>
      <c r="S625" s="261"/>
      <c r="T625" s="190"/>
      <c r="U625" s="191"/>
      <c r="V625" s="909"/>
      <c r="W625" s="909"/>
      <c r="X625" s="187"/>
      <c r="Y625" s="182"/>
      <c r="Z625" s="182"/>
      <c r="AA625" s="182"/>
      <c r="AB625" s="182"/>
      <c r="AC625" s="210"/>
      <c r="AD625" s="182"/>
      <c r="AE625" s="182"/>
      <c r="AF625" s="211"/>
    </row>
    <row r="626" spans="2:32" ht="13.5" customHeight="1">
      <c r="B626" s="180">
        <v>261</v>
      </c>
      <c r="C626" s="811"/>
      <c r="D626" s="765"/>
      <c r="E626" s="186" t="s">
        <v>10</v>
      </c>
      <c r="F626" s="187" t="str">
        <f t="shared" si="22"/>
        <v>IB21215</v>
      </c>
      <c r="G626" s="243" t="s">
        <v>247</v>
      </c>
      <c r="H626" s="244"/>
      <c r="I626" s="244"/>
      <c r="J626" s="245"/>
      <c r="K626" s="182" t="s">
        <v>1513</v>
      </c>
      <c r="L626" s="233"/>
      <c r="M626" s="648"/>
      <c r="N626" s="186" t="s">
        <v>11</v>
      </c>
      <c r="O626" s="195" t="str">
        <f t="shared" si="21"/>
        <v>OB21215</v>
      </c>
      <c r="P626" s="259"/>
      <c r="Q626" s="260"/>
      <c r="R626" s="260"/>
      <c r="S626" s="261"/>
      <c r="T626" s="190"/>
      <c r="U626" s="191"/>
      <c r="V626" s="909"/>
      <c r="W626" s="909"/>
      <c r="X626" s="187"/>
      <c r="Y626" s="182"/>
      <c r="Z626" s="182"/>
      <c r="AA626" s="182"/>
      <c r="AB626" s="182"/>
      <c r="AC626" s="210"/>
      <c r="AD626" s="182"/>
      <c r="AE626" s="182"/>
      <c r="AF626" s="211"/>
    </row>
    <row r="627" spans="2:32" ht="13.5" customHeight="1">
      <c r="B627" s="180">
        <v>262</v>
      </c>
      <c r="C627" s="811"/>
      <c r="D627" s="765"/>
      <c r="E627" s="186" t="s">
        <v>10</v>
      </c>
      <c r="F627" s="187" t="str">
        <f t="shared" si="22"/>
        <v>IB21216</v>
      </c>
      <c r="G627" s="243" t="s">
        <v>248</v>
      </c>
      <c r="H627" s="244"/>
      <c r="I627" s="244"/>
      <c r="J627" s="245"/>
      <c r="K627" s="182" t="s">
        <v>1513</v>
      </c>
      <c r="L627" s="233"/>
      <c r="M627" s="648"/>
      <c r="N627" s="186" t="s">
        <v>11</v>
      </c>
      <c r="O627" s="195" t="str">
        <f t="shared" si="21"/>
        <v>OB21216</v>
      </c>
      <c r="P627" s="259"/>
      <c r="Q627" s="260"/>
      <c r="R627" s="260"/>
      <c r="S627" s="261"/>
      <c r="T627" s="190"/>
      <c r="U627" s="191"/>
      <c r="V627" s="909"/>
      <c r="W627" s="909"/>
      <c r="X627" s="187"/>
      <c r="Y627" s="182"/>
      <c r="Z627" s="182"/>
      <c r="AA627" s="182"/>
      <c r="AB627" s="182"/>
      <c r="AC627" s="210"/>
      <c r="AD627" s="182"/>
      <c r="AE627" s="182"/>
      <c r="AF627" s="211"/>
    </row>
    <row r="628" spans="2:32" ht="13.5" customHeight="1">
      <c r="B628" s="180">
        <v>263</v>
      </c>
      <c r="C628" s="811"/>
      <c r="D628" s="765"/>
      <c r="E628" s="186" t="s">
        <v>10</v>
      </c>
      <c r="F628" s="187" t="str">
        <f t="shared" si="22"/>
        <v>IB21217</v>
      </c>
      <c r="G628" s="243" t="s">
        <v>249</v>
      </c>
      <c r="H628" s="244"/>
      <c r="I628" s="244"/>
      <c r="J628" s="245"/>
      <c r="K628" s="182" t="s">
        <v>1513</v>
      </c>
      <c r="L628" s="233"/>
      <c r="M628" s="648"/>
      <c r="N628" s="186" t="s">
        <v>11</v>
      </c>
      <c r="O628" s="195" t="str">
        <f t="shared" si="21"/>
        <v>OB21217</v>
      </c>
      <c r="P628" s="259"/>
      <c r="Q628" s="260"/>
      <c r="R628" s="260"/>
      <c r="S628" s="261"/>
      <c r="T628" s="190"/>
      <c r="U628" s="191"/>
      <c r="V628" s="909"/>
      <c r="W628" s="909"/>
      <c r="X628" s="187"/>
      <c r="Y628" s="182"/>
      <c r="Z628" s="182"/>
      <c r="AA628" s="182"/>
      <c r="AB628" s="182"/>
      <c r="AC628" s="210"/>
      <c r="AD628" s="182"/>
      <c r="AE628" s="182"/>
      <c r="AF628" s="211"/>
    </row>
    <row r="629" spans="2:32" ht="13.5" customHeight="1">
      <c r="B629" s="180">
        <v>264</v>
      </c>
      <c r="C629" s="811"/>
      <c r="D629" s="765"/>
      <c r="E629" s="186" t="s">
        <v>10</v>
      </c>
      <c r="F629" s="187" t="str">
        <f t="shared" si="22"/>
        <v>IB21218</v>
      </c>
      <c r="G629" s="243" t="s">
        <v>250</v>
      </c>
      <c r="H629" s="244"/>
      <c r="I629" s="244"/>
      <c r="J629" s="245"/>
      <c r="K629" s="182" t="s">
        <v>1513</v>
      </c>
      <c r="L629" s="233"/>
      <c r="M629" s="648"/>
      <c r="N629" s="186" t="s">
        <v>11</v>
      </c>
      <c r="O629" s="195" t="str">
        <f t="shared" si="21"/>
        <v>OB21218</v>
      </c>
      <c r="P629" s="259"/>
      <c r="Q629" s="260"/>
      <c r="R629" s="260"/>
      <c r="S629" s="261"/>
      <c r="T629" s="190"/>
      <c r="U629" s="191"/>
      <c r="V629" s="909"/>
      <c r="W629" s="909"/>
      <c r="X629" s="187"/>
      <c r="Y629" s="182"/>
      <c r="Z629" s="182"/>
      <c r="AA629" s="182"/>
      <c r="AB629" s="182"/>
      <c r="AC629" s="210"/>
      <c r="AD629" s="182"/>
      <c r="AE629" s="182"/>
      <c r="AF629" s="211"/>
    </row>
    <row r="630" spans="2:32" ht="13.5" customHeight="1">
      <c r="B630" s="180">
        <v>265</v>
      </c>
      <c r="C630" s="811"/>
      <c r="D630" s="765"/>
      <c r="E630" s="186" t="s">
        <v>10</v>
      </c>
      <c r="F630" s="187" t="str">
        <f t="shared" si="22"/>
        <v>IB21219</v>
      </c>
      <c r="G630" s="243" t="s">
        <v>251</v>
      </c>
      <c r="H630" s="244"/>
      <c r="I630" s="244"/>
      <c r="J630" s="245"/>
      <c r="K630" s="182" t="s">
        <v>1513</v>
      </c>
      <c r="L630" s="233"/>
      <c r="M630" s="648"/>
      <c r="N630" s="186" t="s">
        <v>11</v>
      </c>
      <c r="O630" s="195" t="str">
        <f t="shared" si="21"/>
        <v>OB21219</v>
      </c>
      <c r="P630" s="259"/>
      <c r="Q630" s="260"/>
      <c r="R630" s="260"/>
      <c r="S630" s="261"/>
      <c r="T630" s="190"/>
      <c r="U630" s="191"/>
      <c r="V630" s="909"/>
      <c r="W630" s="909"/>
      <c r="X630" s="187"/>
      <c r="Y630" s="182"/>
      <c r="Z630" s="182"/>
      <c r="AA630" s="182"/>
      <c r="AB630" s="182"/>
      <c r="AC630" s="210"/>
      <c r="AD630" s="182"/>
      <c r="AE630" s="182"/>
      <c r="AF630" s="211"/>
    </row>
    <row r="631" spans="2:32" ht="13.5" customHeight="1">
      <c r="B631" s="180">
        <v>266</v>
      </c>
      <c r="C631" s="811"/>
      <c r="D631" s="765"/>
      <c r="E631" s="186" t="s">
        <v>10</v>
      </c>
      <c r="F631" s="187" t="str">
        <f t="shared" si="22"/>
        <v>IB2121A</v>
      </c>
      <c r="G631" s="243"/>
      <c r="H631" s="244"/>
      <c r="I631" s="244"/>
      <c r="J631" s="245"/>
      <c r="K631" s="182"/>
      <c r="L631" s="233"/>
      <c r="M631" s="648"/>
      <c r="N631" s="186" t="s">
        <v>11</v>
      </c>
      <c r="O631" s="195" t="str">
        <f t="shared" si="21"/>
        <v>OB2121A</v>
      </c>
      <c r="P631" s="259"/>
      <c r="Q631" s="260"/>
      <c r="R631" s="260"/>
      <c r="S631" s="261"/>
      <c r="T631" s="190"/>
      <c r="U631" s="191"/>
      <c r="V631" s="909"/>
      <c r="W631" s="909"/>
      <c r="X631" s="187"/>
      <c r="Y631" s="182"/>
      <c r="Z631" s="182"/>
      <c r="AA631" s="182"/>
      <c r="AB631" s="182"/>
      <c r="AC631" s="210"/>
      <c r="AD631" s="182"/>
      <c r="AE631" s="182"/>
      <c r="AF631" s="211"/>
    </row>
    <row r="632" spans="2:32" ht="13.5" customHeight="1">
      <c r="B632" s="180">
        <v>267</v>
      </c>
      <c r="C632" s="811"/>
      <c r="D632" s="765"/>
      <c r="E632" s="186" t="s">
        <v>10</v>
      </c>
      <c r="F632" s="187" t="str">
        <f t="shared" si="22"/>
        <v>IB2121B</v>
      </c>
      <c r="G632" s="243"/>
      <c r="H632" s="244"/>
      <c r="I632" s="244"/>
      <c r="J632" s="245"/>
      <c r="K632" s="182"/>
      <c r="L632" s="233"/>
      <c r="M632" s="648"/>
      <c r="N632" s="186" t="s">
        <v>11</v>
      </c>
      <c r="O632" s="195" t="str">
        <f t="shared" si="21"/>
        <v>OB2121B</v>
      </c>
      <c r="P632" s="259"/>
      <c r="Q632" s="260"/>
      <c r="R632" s="260"/>
      <c r="S632" s="261"/>
      <c r="T632" s="190"/>
      <c r="U632" s="191"/>
      <c r="V632" s="909"/>
      <c r="W632" s="909"/>
      <c r="X632" s="187"/>
      <c r="Y632" s="182"/>
      <c r="Z632" s="182"/>
      <c r="AA632" s="182"/>
      <c r="AB632" s="182"/>
      <c r="AC632" s="210"/>
      <c r="AD632" s="182"/>
      <c r="AE632" s="182"/>
      <c r="AF632" s="211"/>
    </row>
    <row r="633" spans="2:32" ht="13.5" customHeight="1">
      <c r="B633" s="180">
        <v>268</v>
      </c>
      <c r="C633" s="811"/>
      <c r="D633" s="765"/>
      <c r="E633" s="186" t="s">
        <v>10</v>
      </c>
      <c r="F633" s="187" t="str">
        <f t="shared" si="22"/>
        <v>IB2121C</v>
      </c>
      <c r="G633" s="243"/>
      <c r="H633" s="244"/>
      <c r="I633" s="244"/>
      <c r="J633" s="245"/>
      <c r="K633" s="182"/>
      <c r="L633" s="233"/>
      <c r="M633" s="648"/>
      <c r="N633" s="186" t="s">
        <v>11</v>
      </c>
      <c r="O633" s="195" t="str">
        <f t="shared" si="21"/>
        <v>OB2121C</v>
      </c>
      <c r="P633" s="259"/>
      <c r="Q633" s="260"/>
      <c r="R633" s="260"/>
      <c r="S633" s="261"/>
      <c r="T633" s="190"/>
      <c r="U633" s="191"/>
      <c r="V633" s="909"/>
      <c r="W633" s="909"/>
      <c r="X633" s="187"/>
      <c r="Y633" s="182"/>
      <c r="Z633" s="182"/>
      <c r="AA633" s="182"/>
      <c r="AB633" s="182"/>
      <c r="AC633" s="210"/>
      <c r="AD633" s="182"/>
      <c r="AE633" s="182"/>
      <c r="AF633" s="211"/>
    </row>
    <row r="634" spans="2:32" ht="13.5" customHeight="1">
      <c r="B634" s="180">
        <v>269</v>
      </c>
      <c r="C634" s="811"/>
      <c r="D634" s="765"/>
      <c r="E634" s="186" t="s">
        <v>10</v>
      </c>
      <c r="F634" s="187" t="str">
        <f t="shared" si="22"/>
        <v>IB2121D</v>
      </c>
      <c r="G634" s="243"/>
      <c r="H634" s="244"/>
      <c r="I634" s="244"/>
      <c r="J634" s="245"/>
      <c r="K634" s="182"/>
      <c r="L634" s="233"/>
      <c r="M634" s="648"/>
      <c r="N634" s="186" t="s">
        <v>11</v>
      </c>
      <c r="O634" s="195" t="str">
        <f t="shared" si="21"/>
        <v>OB2121D</v>
      </c>
      <c r="P634" s="259"/>
      <c r="Q634" s="260"/>
      <c r="R634" s="260"/>
      <c r="S634" s="261"/>
      <c r="T634" s="190"/>
      <c r="U634" s="191"/>
      <c r="V634" s="909"/>
      <c r="W634" s="909"/>
      <c r="X634" s="187"/>
      <c r="Y634" s="182"/>
      <c r="Z634" s="182"/>
      <c r="AA634" s="182"/>
      <c r="AB634" s="182"/>
      <c r="AC634" s="210"/>
      <c r="AD634" s="182"/>
      <c r="AE634" s="182"/>
      <c r="AF634" s="211"/>
    </row>
    <row r="635" spans="2:32" ht="13.5" customHeight="1">
      <c r="B635" s="180">
        <v>270</v>
      </c>
      <c r="C635" s="811"/>
      <c r="D635" s="765"/>
      <c r="E635" s="186" t="s">
        <v>10</v>
      </c>
      <c r="F635" s="187" t="str">
        <f t="shared" si="22"/>
        <v>IB2121E</v>
      </c>
      <c r="G635" s="243"/>
      <c r="H635" s="244"/>
      <c r="I635" s="244"/>
      <c r="J635" s="245"/>
      <c r="K635" s="182"/>
      <c r="L635" s="233"/>
      <c r="M635" s="648"/>
      <c r="N635" s="186" t="s">
        <v>11</v>
      </c>
      <c r="O635" s="195" t="str">
        <f t="shared" si="21"/>
        <v>OB2121E</v>
      </c>
      <c r="P635" s="259"/>
      <c r="Q635" s="260"/>
      <c r="R635" s="260"/>
      <c r="S635" s="261"/>
      <c r="T635" s="190"/>
      <c r="U635" s="191"/>
      <c r="V635" s="909"/>
      <c r="W635" s="909"/>
      <c r="X635" s="187"/>
      <c r="Y635" s="182"/>
      <c r="Z635" s="182"/>
      <c r="AA635" s="182"/>
      <c r="AB635" s="182"/>
      <c r="AC635" s="210"/>
      <c r="AD635" s="182"/>
      <c r="AE635" s="182"/>
      <c r="AF635" s="211"/>
    </row>
    <row r="636" spans="2:32" ht="13.5" customHeight="1">
      <c r="B636" s="180">
        <v>271</v>
      </c>
      <c r="C636" s="928"/>
      <c r="D636" s="765"/>
      <c r="E636" s="186" t="s">
        <v>10</v>
      </c>
      <c r="F636" s="187" t="str">
        <f t="shared" si="22"/>
        <v>IB2121F</v>
      </c>
      <c r="G636" s="243"/>
      <c r="H636" s="244"/>
      <c r="I636" s="244"/>
      <c r="J636" s="245"/>
      <c r="K636" s="182"/>
      <c r="L636" s="233"/>
      <c r="M636" s="648"/>
      <c r="N636" s="186" t="s">
        <v>11</v>
      </c>
      <c r="O636" s="195" t="str">
        <f t="shared" si="21"/>
        <v>OB2121F</v>
      </c>
      <c r="P636" s="259"/>
      <c r="Q636" s="260"/>
      <c r="R636" s="260"/>
      <c r="S636" s="261"/>
      <c r="T636" s="190"/>
      <c r="U636" s="191"/>
      <c r="V636" s="909"/>
      <c r="W636" s="909"/>
      <c r="X636" s="187"/>
      <c r="Y636" s="182"/>
      <c r="Z636" s="182"/>
      <c r="AA636" s="182"/>
      <c r="AB636" s="182"/>
      <c r="AC636" s="210"/>
      <c r="AD636" s="182"/>
      <c r="AE636" s="182"/>
      <c r="AF636" s="211"/>
    </row>
    <row r="637" spans="2:32" ht="13.5" customHeight="1">
      <c r="B637" s="180">
        <v>288</v>
      </c>
      <c r="C637" s="927" t="s">
        <v>1587</v>
      </c>
      <c r="D637" s="940" t="s">
        <v>72</v>
      </c>
      <c r="E637" s="186" t="s">
        <v>10</v>
      </c>
      <c r="F637" s="187" t="str">
        <f t="shared" si="22"/>
        <v>IB21220</v>
      </c>
      <c r="G637" s="243" t="s">
        <v>810</v>
      </c>
      <c r="H637" s="244"/>
      <c r="I637" s="244"/>
      <c r="J637" s="245"/>
      <c r="K637" s="182" t="s">
        <v>1519</v>
      </c>
      <c r="L637" s="234"/>
      <c r="M637" s="649"/>
      <c r="N637" s="186" t="s">
        <v>11</v>
      </c>
      <c r="O637" s="195" t="str">
        <f t="shared" si="21"/>
        <v>OB21220</v>
      </c>
      <c r="P637" s="259"/>
      <c r="Q637" s="260"/>
      <c r="R637" s="260"/>
      <c r="S637" s="261"/>
      <c r="T637" s="190"/>
      <c r="U637" s="191"/>
      <c r="V637" s="909"/>
      <c r="W637" s="909"/>
      <c r="X637" s="187"/>
      <c r="Y637" s="182"/>
      <c r="Z637" s="182"/>
      <c r="AA637" s="182"/>
      <c r="AB637" s="182"/>
      <c r="AC637" s="210"/>
      <c r="AD637" s="182"/>
      <c r="AE637" s="182"/>
      <c r="AF637" s="211"/>
    </row>
    <row r="638" spans="2:32" ht="13.5" customHeight="1">
      <c r="B638" s="180">
        <v>289</v>
      </c>
      <c r="C638" s="811"/>
      <c r="D638" s="765"/>
      <c r="E638" s="186" t="s">
        <v>10</v>
      </c>
      <c r="F638" s="187" t="str">
        <f t="shared" si="22"/>
        <v>IB21221</v>
      </c>
      <c r="G638" s="243" t="s">
        <v>811</v>
      </c>
      <c r="H638" s="244"/>
      <c r="I638" s="244"/>
      <c r="J638" s="245"/>
      <c r="K638" s="182" t="s">
        <v>1527</v>
      </c>
      <c r="L638" s="234"/>
      <c r="M638" s="649"/>
      <c r="N638" s="186" t="s">
        <v>11</v>
      </c>
      <c r="O638" s="195" t="str">
        <f t="shared" si="21"/>
        <v>OB21221</v>
      </c>
      <c r="P638" s="259"/>
      <c r="Q638" s="260"/>
      <c r="R638" s="260"/>
      <c r="S638" s="261"/>
      <c r="T638" s="190"/>
      <c r="U638" s="191"/>
      <c r="V638" s="909"/>
      <c r="W638" s="909"/>
      <c r="X638" s="187"/>
      <c r="Y638" s="182"/>
      <c r="Z638" s="182"/>
      <c r="AA638" s="182"/>
      <c r="AB638" s="182"/>
      <c r="AC638" s="210"/>
      <c r="AD638" s="182"/>
      <c r="AE638" s="182"/>
      <c r="AF638" s="211"/>
    </row>
    <row r="639" spans="2:32" ht="13.5" customHeight="1">
      <c r="B639" s="180">
        <v>290</v>
      </c>
      <c r="C639" s="811"/>
      <c r="D639" s="765"/>
      <c r="E639" s="186" t="s">
        <v>10</v>
      </c>
      <c r="F639" s="187" t="str">
        <f t="shared" si="22"/>
        <v>IB21222</v>
      </c>
      <c r="G639" s="243" t="s">
        <v>816</v>
      </c>
      <c r="H639" s="244"/>
      <c r="I639" s="244"/>
      <c r="J639" s="245"/>
      <c r="K639" s="182" t="s">
        <v>1513</v>
      </c>
      <c r="L639" s="234"/>
      <c r="M639" s="649"/>
      <c r="N639" s="186" t="s">
        <v>11</v>
      </c>
      <c r="O639" s="195" t="str">
        <f t="shared" si="21"/>
        <v>OB21222</v>
      </c>
      <c r="P639" s="259"/>
      <c r="Q639" s="260"/>
      <c r="R639" s="260"/>
      <c r="S639" s="261"/>
      <c r="T639" s="190"/>
      <c r="U639" s="191"/>
      <c r="V639" s="909"/>
      <c r="W639" s="909"/>
      <c r="X639" s="187"/>
      <c r="Y639" s="182"/>
      <c r="Z639" s="182"/>
      <c r="AA639" s="182"/>
      <c r="AB639" s="182"/>
      <c r="AC639" s="210"/>
      <c r="AD639" s="182"/>
      <c r="AE639" s="182"/>
      <c r="AF639" s="211"/>
    </row>
    <row r="640" spans="2:32" ht="13.5" customHeight="1">
      <c r="B640" s="180">
        <v>291</v>
      </c>
      <c r="C640" s="811"/>
      <c r="D640" s="765"/>
      <c r="E640" s="186" t="s">
        <v>10</v>
      </c>
      <c r="F640" s="187" t="str">
        <f t="shared" si="22"/>
        <v>IB21223</v>
      </c>
      <c r="G640" s="243" t="s">
        <v>817</v>
      </c>
      <c r="H640" s="244"/>
      <c r="I640" s="244"/>
      <c r="J640" s="245"/>
      <c r="K640" s="182" t="s">
        <v>1513</v>
      </c>
      <c r="L640" s="234" t="s">
        <v>1513</v>
      </c>
      <c r="M640" s="649"/>
      <c r="N640" s="186" t="s">
        <v>11</v>
      </c>
      <c r="O640" s="195" t="str">
        <f t="shared" si="21"/>
        <v>OB21223</v>
      </c>
      <c r="P640" s="259"/>
      <c r="Q640" s="260"/>
      <c r="R640" s="260"/>
      <c r="S640" s="261"/>
      <c r="T640" s="190"/>
      <c r="U640" s="191"/>
      <c r="V640" s="909"/>
      <c r="W640" s="909"/>
      <c r="X640" s="187"/>
      <c r="Y640" s="182"/>
      <c r="Z640" s="182"/>
      <c r="AA640" s="182"/>
      <c r="AB640" s="182"/>
      <c r="AC640" s="210"/>
      <c r="AD640" s="182"/>
      <c r="AE640" s="182"/>
      <c r="AF640" s="211"/>
    </row>
    <row r="641" spans="2:32" ht="13.5" customHeight="1">
      <c r="B641" s="180">
        <v>292</v>
      </c>
      <c r="C641" s="811"/>
      <c r="D641" s="765"/>
      <c r="E641" s="186" t="s">
        <v>10</v>
      </c>
      <c r="F641" s="187" t="str">
        <f t="shared" si="22"/>
        <v>IB21224</v>
      </c>
      <c r="G641" s="243" t="s">
        <v>252</v>
      </c>
      <c r="H641" s="244"/>
      <c r="I641" s="244"/>
      <c r="J641" s="245"/>
      <c r="K641" s="182" t="s">
        <v>1513</v>
      </c>
      <c r="L641" s="233"/>
      <c r="M641" s="648"/>
      <c r="N641" s="186" t="s">
        <v>11</v>
      </c>
      <c r="O641" s="195" t="str">
        <f t="shared" si="21"/>
        <v>OB21224</v>
      </c>
      <c r="P641" s="259"/>
      <c r="Q641" s="260"/>
      <c r="R641" s="260"/>
      <c r="S641" s="261"/>
      <c r="T641" s="190"/>
      <c r="U641" s="191"/>
      <c r="V641" s="909"/>
      <c r="W641" s="909"/>
      <c r="X641" s="187"/>
      <c r="Y641" s="182"/>
      <c r="Z641" s="182"/>
      <c r="AA641" s="182"/>
      <c r="AB641" s="182"/>
      <c r="AC641" s="210"/>
      <c r="AD641" s="182"/>
      <c r="AE641" s="182"/>
      <c r="AF641" s="211"/>
    </row>
    <row r="642" spans="2:32" ht="13.5" customHeight="1">
      <c r="B642" s="180">
        <v>293</v>
      </c>
      <c r="C642" s="811"/>
      <c r="D642" s="765"/>
      <c r="E642" s="186" t="s">
        <v>10</v>
      </c>
      <c r="F642" s="187" t="str">
        <f t="shared" si="22"/>
        <v>IB21225</v>
      </c>
      <c r="G642" s="243" t="s">
        <v>253</v>
      </c>
      <c r="H642" s="244"/>
      <c r="I642" s="244"/>
      <c r="J642" s="245"/>
      <c r="K642" s="182" t="s">
        <v>1513</v>
      </c>
      <c r="L642" s="233"/>
      <c r="M642" s="648"/>
      <c r="N642" s="186" t="s">
        <v>11</v>
      </c>
      <c r="O642" s="195" t="str">
        <f t="shared" si="21"/>
        <v>OB21225</v>
      </c>
      <c r="P642" s="259"/>
      <c r="Q642" s="260"/>
      <c r="R642" s="260"/>
      <c r="S642" s="261"/>
      <c r="T642" s="190"/>
      <c r="U642" s="191"/>
      <c r="V642" s="909"/>
      <c r="W642" s="909"/>
      <c r="X642" s="187"/>
      <c r="Y642" s="182"/>
      <c r="Z642" s="182"/>
      <c r="AA642" s="182"/>
      <c r="AB642" s="182"/>
      <c r="AC642" s="210"/>
      <c r="AD642" s="182"/>
      <c r="AE642" s="182"/>
      <c r="AF642" s="211"/>
    </row>
    <row r="643" spans="2:32" ht="13.5" customHeight="1">
      <c r="B643" s="180">
        <v>294</v>
      </c>
      <c r="C643" s="811"/>
      <c r="D643" s="765"/>
      <c r="E643" s="186" t="s">
        <v>10</v>
      </c>
      <c r="F643" s="187" t="str">
        <f t="shared" si="22"/>
        <v>IB21226</v>
      </c>
      <c r="G643" s="243" t="s">
        <v>254</v>
      </c>
      <c r="H643" s="244"/>
      <c r="I643" s="244"/>
      <c r="J643" s="245"/>
      <c r="K643" s="182" t="s">
        <v>1513</v>
      </c>
      <c r="L643" s="233"/>
      <c r="M643" s="648"/>
      <c r="N643" s="186" t="s">
        <v>11</v>
      </c>
      <c r="O643" s="195" t="str">
        <f t="shared" si="21"/>
        <v>OB21226</v>
      </c>
      <c r="P643" s="259"/>
      <c r="Q643" s="260"/>
      <c r="R643" s="260"/>
      <c r="S643" s="261"/>
      <c r="T643" s="190"/>
      <c r="U643" s="191"/>
      <c r="V643" s="909"/>
      <c r="W643" s="909"/>
      <c r="X643" s="187"/>
      <c r="Y643" s="182"/>
      <c r="Z643" s="182"/>
      <c r="AA643" s="182"/>
      <c r="AB643" s="182"/>
      <c r="AC643" s="210"/>
      <c r="AD643" s="182"/>
      <c r="AE643" s="182"/>
      <c r="AF643" s="211"/>
    </row>
    <row r="644" spans="2:32" ht="13.5" customHeight="1">
      <c r="B644" s="180">
        <v>295</v>
      </c>
      <c r="C644" s="811"/>
      <c r="D644" s="765"/>
      <c r="E644" s="186" t="s">
        <v>10</v>
      </c>
      <c r="F644" s="187" t="str">
        <f t="shared" si="22"/>
        <v>IB21227</v>
      </c>
      <c r="G644" s="243" t="s">
        <v>255</v>
      </c>
      <c r="H644" s="244"/>
      <c r="I644" s="244"/>
      <c r="J644" s="245"/>
      <c r="K644" s="182" t="s">
        <v>1513</v>
      </c>
      <c r="L644" s="233"/>
      <c r="M644" s="648"/>
      <c r="N644" s="186" t="s">
        <v>11</v>
      </c>
      <c r="O644" s="195" t="str">
        <f t="shared" si="21"/>
        <v>OB21227</v>
      </c>
      <c r="P644" s="259"/>
      <c r="Q644" s="260"/>
      <c r="R644" s="260"/>
      <c r="S644" s="261"/>
      <c r="T644" s="190"/>
      <c r="U644" s="191"/>
      <c r="V644" s="909"/>
      <c r="W644" s="909"/>
      <c r="X644" s="187"/>
      <c r="Y644" s="182"/>
      <c r="Z644" s="182"/>
      <c r="AA644" s="182"/>
      <c r="AB644" s="182"/>
      <c r="AC644" s="210"/>
      <c r="AD644" s="182"/>
      <c r="AE644" s="182"/>
      <c r="AF644" s="211"/>
    </row>
    <row r="645" spans="2:32" ht="13.5" customHeight="1">
      <c r="B645" s="180">
        <v>296</v>
      </c>
      <c r="C645" s="811"/>
      <c r="D645" s="765"/>
      <c r="E645" s="186" t="s">
        <v>10</v>
      </c>
      <c r="F645" s="187" t="str">
        <f t="shared" si="22"/>
        <v>IB21228</v>
      </c>
      <c r="G645" s="243" t="s">
        <v>256</v>
      </c>
      <c r="H645" s="244"/>
      <c r="I645" s="244"/>
      <c r="J645" s="245"/>
      <c r="K645" s="182" t="s">
        <v>1513</v>
      </c>
      <c r="L645" s="233"/>
      <c r="M645" s="648"/>
      <c r="N645" s="186" t="s">
        <v>11</v>
      </c>
      <c r="O645" s="195" t="str">
        <f t="shared" si="21"/>
        <v>OB21228</v>
      </c>
      <c r="P645" s="259"/>
      <c r="Q645" s="260"/>
      <c r="R645" s="260"/>
      <c r="S645" s="261"/>
      <c r="T645" s="190"/>
      <c r="U645" s="191"/>
      <c r="V645" s="909"/>
      <c r="W645" s="909"/>
      <c r="X645" s="187"/>
      <c r="Y645" s="182"/>
      <c r="Z645" s="182"/>
      <c r="AA645" s="182"/>
      <c r="AB645" s="182"/>
      <c r="AC645" s="210"/>
      <c r="AD645" s="182"/>
      <c r="AE645" s="182"/>
      <c r="AF645" s="211"/>
    </row>
    <row r="646" spans="2:32" ht="13.5" customHeight="1">
      <c r="B646" s="180">
        <v>297</v>
      </c>
      <c r="C646" s="811"/>
      <c r="D646" s="765"/>
      <c r="E646" s="186" t="s">
        <v>10</v>
      </c>
      <c r="F646" s="187" t="str">
        <f t="shared" si="22"/>
        <v>IB21229</v>
      </c>
      <c r="G646" s="243" t="s">
        <v>257</v>
      </c>
      <c r="H646" s="244"/>
      <c r="I646" s="244"/>
      <c r="J646" s="245"/>
      <c r="K646" s="182" t="s">
        <v>1513</v>
      </c>
      <c r="L646" s="233"/>
      <c r="M646" s="648"/>
      <c r="N646" s="186" t="s">
        <v>11</v>
      </c>
      <c r="O646" s="195" t="str">
        <f t="shared" si="21"/>
        <v>OB21229</v>
      </c>
      <c r="P646" s="259"/>
      <c r="Q646" s="260"/>
      <c r="R646" s="260"/>
      <c r="S646" s="261"/>
      <c r="T646" s="190"/>
      <c r="U646" s="191"/>
      <c r="V646" s="909"/>
      <c r="W646" s="909"/>
      <c r="X646" s="187"/>
      <c r="Y646" s="182"/>
      <c r="Z646" s="182"/>
      <c r="AA646" s="182"/>
      <c r="AB646" s="182"/>
      <c r="AC646" s="210"/>
      <c r="AD646" s="182"/>
      <c r="AE646" s="182"/>
      <c r="AF646" s="211"/>
    </row>
    <row r="647" spans="2:32" ht="13.5" customHeight="1">
      <c r="B647" s="180">
        <v>298</v>
      </c>
      <c r="C647" s="811"/>
      <c r="D647" s="765"/>
      <c r="E647" s="186" t="s">
        <v>10</v>
      </c>
      <c r="F647" s="187" t="str">
        <f t="shared" si="22"/>
        <v>IB2122A</v>
      </c>
      <c r="G647" s="243"/>
      <c r="H647" s="244"/>
      <c r="I647" s="244"/>
      <c r="J647" s="245"/>
      <c r="K647" s="182"/>
      <c r="L647" s="233"/>
      <c r="M647" s="648"/>
      <c r="N647" s="186" t="s">
        <v>11</v>
      </c>
      <c r="O647" s="195" t="str">
        <f t="shared" si="21"/>
        <v>OB2122A</v>
      </c>
      <c r="P647" s="259"/>
      <c r="Q647" s="260"/>
      <c r="R647" s="260"/>
      <c r="S647" s="261"/>
      <c r="T647" s="190"/>
      <c r="U647" s="191"/>
      <c r="V647" s="909"/>
      <c r="W647" s="909"/>
      <c r="X647" s="187"/>
      <c r="Y647" s="182"/>
      <c r="Z647" s="182"/>
      <c r="AA647" s="182"/>
      <c r="AB647" s="182"/>
      <c r="AC647" s="210"/>
      <c r="AD647" s="182"/>
      <c r="AE647" s="182"/>
      <c r="AF647" s="211"/>
    </row>
    <row r="648" spans="2:32" ht="13.5" customHeight="1">
      <c r="B648" s="180">
        <v>299</v>
      </c>
      <c r="C648" s="811"/>
      <c r="D648" s="765"/>
      <c r="E648" s="186" t="s">
        <v>10</v>
      </c>
      <c r="F648" s="187" t="str">
        <f t="shared" si="22"/>
        <v>IB2122B</v>
      </c>
      <c r="G648" s="243"/>
      <c r="H648" s="244"/>
      <c r="I648" s="244"/>
      <c r="J648" s="245"/>
      <c r="K648" s="182"/>
      <c r="L648" s="233"/>
      <c r="M648" s="648"/>
      <c r="N648" s="186" t="s">
        <v>11</v>
      </c>
      <c r="O648" s="195" t="str">
        <f t="shared" si="21"/>
        <v>OB2122B</v>
      </c>
      <c r="P648" s="259"/>
      <c r="Q648" s="260"/>
      <c r="R648" s="260"/>
      <c r="S648" s="261"/>
      <c r="T648" s="190"/>
      <c r="U648" s="191"/>
      <c r="V648" s="909"/>
      <c r="W648" s="909"/>
      <c r="X648" s="187"/>
      <c r="Y648" s="182"/>
      <c r="Z648" s="182"/>
      <c r="AA648" s="182"/>
      <c r="AB648" s="182"/>
      <c r="AC648" s="210"/>
      <c r="AD648" s="182"/>
      <c r="AE648" s="182"/>
      <c r="AF648" s="211"/>
    </row>
    <row r="649" spans="2:32" ht="13.5" customHeight="1">
      <c r="B649" s="180">
        <v>300</v>
      </c>
      <c r="C649" s="811"/>
      <c r="D649" s="765"/>
      <c r="E649" s="186" t="s">
        <v>10</v>
      </c>
      <c r="F649" s="187" t="str">
        <f t="shared" si="22"/>
        <v>IB2122C</v>
      </c>
      <c r="G649" s="243"/>
      <c r="H649" s="244"/>
      <c r="I649" s="244"/>
      <c r="J649" s="245"/>
      <c r="K649" s="182"/>
      <c r="L649" s="233"/>
      <c r="M649" s="648"/>
      <c r="N649" s="186" t="s">
        <v>11</v>
      </c>
      <c r="O649" s="195" t="str">
        <f t="shared" si="21"/>
        <v>OB2122C</v>
      </c>
      <c r="P649" s="259"/>
      <c r="Q649" s="260"/>
      <c r="R649" s="260"/>
      <c r="S649" s="261"/>
      <c r="T649" s="190"/>
      <c r="U649" s="191"/>
      <c r="V649" s="909"/>
      <c r="W649" s="909"/>
      <c r="X649" s="187"/>
      <c r="Y649" s="182"/>
      <c r="Z649" s="182"/>
      <c r="AA649" s="182"/>
      <c r="AB649" s="182"/>
      <c r="AC649" s="210"/>
      <c r="AD649" s="182"/>
      <c r="AE649" s="182"/>
      <c r="AF649" s="211"/>
    </row>
    <row r="650" spans="2:32" ht="13.5" customHeight="1">
      <c r="B650" s="180">
        <v>301</v>
      </c>
      <c r="C650" s="811"/>
      <c r="D650" s="765"/>
      <c r="E650" s="186" t="s">
        <v>10</v>
      </c>
      <c r="F650" s="187" t="str">
        <f t="shared" si="22"/>
        <v>IB2122D</v>
      </c>
      <c r="G650" s="243"/>
      <c r="H650" s="244"/>
      <c r="I650" s="244"/>
      <c r="J650" s="245"/>
      <c r="K650" s="182"/>
      <c r="L650" s="233"/>
      <c r="M650" s="648"/>
      <c r="N650" s="186" t="s">
        <v>11</v>
      </c>
      <c r="O650" s="195" t="str">
        <f t="shared" si="21"/>
        <v>OB2122D</v>
      </c>
      <c r="P650" s="259"/>
      <c r="Q650" s="260"/>
      <c r="R650" s="260"/>
      <c r="S650" s="261"/>
      <c r="T650" s="190"/>
      <c r="U650" s="191"/>
      <c r="V650" s="909"/>
      <c r="W650" s="909"/>
      <c r="X650" s="187"/>
      <c r="Y650" s="182"/>
      <c r="Z650" s="182"/>
      <c r="AA650" s="182"/>
      <c r="AB650" s="182"/>
      <c r="AC650" s="210"/>
      <c r="AD650" s="182"/>
      <c r="AE650" s="182"/>
      <c r="AF650" s="211"/>
    </row>
    <row r="651" spans="2:32" ht="13.5" customHeight="1">
      <c r="B651" s="180">
        <v>302</v>
      </c>
      <c r="C651" s="811"/>
      <c r="D651" s="765"/>
      <c r="E651" s="186" t="s">
        <v>10</v>
      </c>
      <c r="F651" s="187" t="str">
        <f t="shared" si="22"/>
        <v>IB2122E</v>
      </c>
      <c r="G651" s="243"/>
      <c r="H651" s="244"/>
      <c r="I651" s="244"/>
      <c r="J651" s="245"/>
      <c r="K651" s="182"/>
      <c r="L651" s="233"/>
      <c r="M651" s="648"/>
      <c r="N651" s="186" t="s">
        <v>11</v>
      </c>
      <c r="O651" s="195" t="str">
        <f t="shared" si="21"/>
        <v>OB2122E</v>
      </c>
      <c r="P651" s="259"/>
      <c r="Q651" s="260"/>
      <c r="R651" s="260"/>
      <c r="S651" s="261"/>
      <c r="T651" s="190"/>
      <c r="U651" s="191"/>
      <c r="V651" s="909"/>
      <c r="W651" s="909"/>
      <c r="X651" s="187"/>
      <c r="Y651" s="182"/>
      <c r="Z651" s="182"/>
      <c r="AA651" s="182"/>
      <c r="AB651" s="182"/>
      <c r="AC651" s="210"/>
      <c r="AD651" s="182"/>
      <c r="AE651" s="182"/>
      <c r="AF651" s="211"/>
    </row>
    <row r="652" spans="2:32" ht="13.5" customHeight="1">
      <c r="B652" s="180">
        <v>303</v>
      </c>
      <c r="C652" s="928"/>
      <c r="D652" s="765"/>
      <c r="E652" s="186" t="s">
        <v>10</v>
      </c>
      <c r="F652" s="187" t="str">
        <f t="shared" si="22"/>
        <v>IB2122F</v>
      </c>
      <c r="G652" s="243"/>
      <c r="H652" s="244"/>
      <c r="I652" s="244"/>
      <c r="J652" s="245"/>
      <c r="K652" s="182"/>
      <c r="L652" s="233"/>
      <c r="M652" s="648"/>
      <c r="N652" s="186" t="s">
        <v>11</v>
      </c>
      <c r="O652" s="195" t="str">
        <f t="shared" si="21"/>
        <v>OB2122F</v>
      </c>
      <c r="P652" s="259"/>
      <c r="Q652" s="260"/>
      <c r="R652" s="260"/>
      <c r="S652" s="261"/>
      <c r="T652" s="190"/>
      <c r="U652" s="191"/>
      <c r="V652" s="909"/>
      <c r="W652" s="909"/>
      <c r="X652" s="187"/>
      <c r="Y652" s="182"/>
      <c r="Z652" s="182"/>
      <c r="AA652" s="182"/>
      <c r="AB652" s="182"/>
      <c r="AC652" s="210"/>
      <c r="AD652" s="182"/>
      <c r="AE652" s="182"/>
      <c r="AF652" s="211"/>
    </row>
    <row r="653" spans="2:32" ht="13.5" customHeight="1">
      <c r="B653" s="180">
        <v>304</v>
      </c>
      <c r="C653" s="925" t="s">
        <v>1588</v>
      </c>
      <c r="D653" s="940" t="s">
        <v>72</v>
      </c>
      <c r="E653" s="186" t="s">
        <v>10</v>
      </c>
      <c r="F653" s="187" t="str">
        <f t="shared" ref="F653:F732" si="23">LEFT(F652,1)&amp;DEC2HEX(HEX2DEC(MID(F652,2,LENB(F652)-1))+1,LENB(F652)-1)</f>
        <v>IB21230</v>
      </c>
      <c r="G653" s="259"/>
      <c r="H653" s="260"/>
      <c r="I653" s="260"/>
      <c r="J653" s="261"/>
      <c r="K653" s="190"/>
      <c r="L653" s="209"/>
      <c r="M653" s="190"/>
      <c r="N653" s="186" t="s">
        <v>11</v>
      </c>
      <c r="O653" s="195" t="str">
        <f t="shared" ref="O653:O733" si="24">LEFT(O652,1)&amp;DEC2HEX(HEX2DEC(MID(O652,2,LENB(O652)-1))+1,LENB(O652)-1)</f>
        <v>OB21230</v>
      </c>
      <c r="P653" s="243"/>
      <c r="Q653" s="244"/>
      <c r="R653" s="244"/>
      <c r="S653" s="245"/>
      <c r="T653" s="190"/>
      <c r="U653" s="191"/>
      <c r="V653" s="909"/>
      <c r="W653" s="909"/>
      <c r="X653" s="187"/>
      <c r="Y653" s="182"/>
      <c r="Z653" s="182"/>
      <c r="AA653" s="182"/>
      <c r="AB653" s="182"/>
      <c r="AC653" s="210"/>
      <c r="AD653" s="182"/>
      <c r="AE653" s="182"/>
      <c r="AF653" s="211"/>
    </row>
    <row r="654" spans="2:32" ht="13.5" customHeight="1">
      <c r="B654" s="180">
        <v>305</v>
      </c>
      <c r="C654" s="816"/>
      <c r="D654" s="765"/>
      <c r="E654" s="186" t="s">
        <v>10</v>
      </c>
      <c r="F654" s="187" t="str">
        <f t="shared" si="23"/>
        <v>IB21231</v>
      </c>
      <c r="G654" s="259"/>
      <c r="H654" s="260"/>
      <c r="I654" s="260"/>
      <c r="J654" s="261"/>
      <c r="K654" s="190"/>
      <c r="L654" s="209"/>
      <c r="M654" s="190"/>
      <c r="N654" s="186" t="s">
        <v>11</v>
      </c>
      <c r="O654" s="195" t="str">
        <f t="shared" si="24"/>
        <v>OB21231</v>
      </c>
      <c r="P654" s="243" t="s">
        <v>162</v>
      </c>
      <c r="Q654" s="244"/>
      <c r="R654" s="244"/>
      <c r="S654" s="245"/>
      <c r="T654" s="190" t="s">
        <v>1513</v>
      </c>
      <c r="U654" s="191"/>
      <c r="V654" s="909"/>
      <c r="W654" s="909"/>
      <c r="X654" s="187"/>
      <c r="Y654" s="182"/>
      <c r="Z654" s="182"/>
      <c r="AA654" s="182"/>
      <c r="AB654" s="182"/>
      <c r="AC654" s="210"/>
      <c r="AD654" s="182"/>
      <c r="AE654" s="182"/>
      <c r="AF654" s="211"/>
    </row>
    <row r="655" spans="2:32" ht="13.5" customHeight="1">
      <c r="B655" s="180">
        <v>306</v>
      </c>
      <c r="C655" s="816"/>
      <c r="D655" s="765"/>
      <c r="E655" s="186" t="s">
        <v>10</v>
      </c>
      <c r="F655" s="187" t="str">
        <f t="shared" si="23"/>
        <v>IB21232</v>
      </c>
      <c r="G655" s="259"/>
      <c r="H655" s="260"/>
      <c r="I655" s="260"/>
      <c r="J655" s="261"/>
      <c r="K655" s="190"/>
      <c r="L655" s="209"/>
      <c r="M655" s="190"/>
      <c r="N655" s="186" t="s">
        <v>11</v>
      </c>
      <c r="O655" s="195" t="str">
        <f t="shared" si="24"/>
        <v>OB21232</v>
      </c>
      <c r="P655" s="243" t="s">
        <v>164</v>
      </c>
      <c r="Q655" s="244"/>
      <c r="R655" s="244"/>
      <c r="S655" s="245"/>
      <c r="T655" s="190" t="s">
        <v>1513</v>
      </c>
      <c r="U655" s="191"/>
      <c r="V655" s="909"/>
      <c r="W655" s="909"/>
      <c r="X655" s="187"/>
      <c r="Y655" s="182"/>
      <c r="Z655" s="182"/>
      <c r="AA655" s="182"/>
      <c r="AB655" s="182"/>
      <c r="AC655" s="210"/>
      <c r="AD655" s="182"/>
      <c r="AE655" s="182"/>
      <c r="AF655" s="211"/>
    </row>
    <row r="656" spans="2:32" ht="13.5" customHeight="1">
      <c r="B656" s="180">
        <v>307</v>
      </c>
      <c r="C656" s="816"/>
      <c r="D656" s="765"/>
      <c r="E656" s="186" t="s">
        <v>10</v>
      </c>
      <c r="F656" s="187" t="str">
        <f t="shared" si="23"/>
        <v>IB21233</v>
      </c>
      <c r="G656" s="259"/>
      <c r="H656" s="260"/>
      <c r="I656" s="260"/>
      <c r="J656" s="261"/>
      <c r="K656" s="190"/>
      <c r="L656" s="209"/>
      <c r="M656" s="190"/>
      <c r="N656" s="186" t="s">
        <v>11</v>
      </c>
      <c r="O656" s="195" t="str">
        <f t="shared" si="24"/>
        <v>OB21233</v>
      </c>
      <c r="P656" s="243" t="s">
        <v>166</v>
      </c>
      <c r="Q656" s="244"/>
      <c r="R656" s="244"/>
      <c r="S656" s="245"/>
      <c r="T656" s="190" t="s">
        <v>1513</v>
      </c>
      <c r="U656" s="191"/>
      <c r="V656" s="909"/>
      <c r="W656" s="909"/>
      <c r="X656" s="187"/>
      <c r="Y656" s="182"/>
      <c r="Z656" s="182"/>
      <c r="AA656" s="182"/>
      <c r="AB656" s="182"/>
      <c r="AC656" s="210"/>
      <c r="AD656" s="182"/>
      <c r="AE656" s="182"/>
      <c r="AF656" s="211"/>
    </row>
    <row r="657" spans="2:32" ht="13.5" customHeight="1">
      <c r="B657" s="180">
        <v>308</v>
      </c>
      <c r="C657" s="816"/>
      <c r="D657" s="765"/>
      <c r="E657" s="186" t="s">
        <v>10</v>
      </c>
      <c r="F657" s="187" t="str">
        <f t="shared" si="23"/>
        <v>IB21234</v>
      </c>
      <c r="G657" s="259"/>
      <c r="H657" s="260"/>
      <c r="I657" s="260"/>
      <c r="J657" s="261"/>
      <c r="K657" s="190"/>
      <c r="L657" s="209"/>
      <c r="M657" s="190"/>
      <c r="N657" s="186" t="s">
        <v>11</v>
      </c>
      <c r="O657" s="195" t="str">
        <f t="shared" si="24"/>
        <v>OB21234</v>
      </c>
      <c r="P657" s="375" t="s">
        <v>1510</v>
      </c>
      <c r="Q657" s="376"/>
      <c r="R657" s="376"/>
      <c r="S657" s="377"/>
      <c r="T657" s="190" t="s">
        <v>1513</v>
      </c>
      <c r="U657" s="191"/>
      <c r="V657" s="957" t="s">
        <v>1575</v>
      </c>
      <c r="W657" s="957"/>
      <c r="X657" s="187"/>
      <c r="Y657" s="182"/>
      <c r="Z657" s="182"/>
      <c r="AA657" s="182"/>
      <c r="AB657" s="182"/>
      <c r="AC657" s="210"/>
      <c r="AD657" s="182"/>
      <c r="AE657" s="182"/>
      <c r="AF657" s="211"/>
    </row>
    <row r="658" spans="2:32" ht="13.5" customHeight="1">
      <c r="B658" s="180">
        <v>309</v>
      </c>
      <c r="C658" s="816"/>
      <c r="D658" s="765"/>
      <c r="E658" s="186" t="s">
        <v>10</v>
      </c>
      <c r="F658" s="187" t="str">
        <f t="shared" si="23"/>
        <v>IB21235</v>
      </c>
      <c r="G658" s="259"/>
      <c r="H658" s="260"/>
      <c r="I658" s="260"/>
      <c r="J658" s="261"/>
      <c r="K658" s="190"/>
      <c r="L658" s="209"/>
      <c r="M658" s="190"/>
      <c r="N658" s="186" t="s">
        <v>11</v>
      </c>
      <c r="O658" s="195" t="str">
        <f t="shared" si="24"/>
        <v>OB21235</v>
      </c>
      <c r="P658" s="243"/>
      <c r="Q658" s="244"/>
      <c r="R658" s="244"/>
      <c r="S658" s="245"/>
      <c r="T658" s="190"/>
      <c r="U658" s="191"/>
      <c r="V658" s="909"/>
      <c r="W658" s="909"/>
      <c r="X658" s="187"/>
      <c r="Y658" s="182"/>
      <c r="Z658" s="182"/>
      <c r="AA658" s="182"/>
      <c r="AB658" s="182"/>
      <c r="AC658" s="210"/>
      <c r="AD658" s="182"/>
      <c r="AE658" s="182"/>
      <c r="AF658" s="211"/>
    </row>
    <row r="659" spans="2:32" ht="13.5" customHeight="1">
      <c r="B659" s="180">
        <v>310</v>
      </c>
      <c r="C659" s="816"/>
      <c r="D659" s="765"/>
      <c r="E659" s="186" t="s">
        <v>10</v>
      </c>
      <c r="F659" s="187" t="str">
        <f t="shared" si="23"/>
        <v>IB21236</v>
      </c>
      <c r="G659" s="259"/>
      <c r="H659" s="260"/>
      <c r="I659" s="260"/>
      <c r="J659" s="261"/>
      <c r="K659" s="190"/>
      <c r="L659" s="209"/>
      <c r="M659" s="190"/>
      <c r="N659" s="186" t="s">
        <v>11</v>
      </c>
      <c r="O659" s="195" t="str">
        <f t="shared" si="24"/>
        <v>OB21236</v>
      </c>
      <c r="P659" s="243"/>
      <c r="Q659" s="244"/>
      <c r="R659" s="244"/>
      <c r="S659" s="245"/>
      <c r="T659" s="190"/>
      <c r="U659" s="191"/>
      <c r="V659" s="909"/>
      <c r="W659" s="909"/>
      <c r="X659" s="187"/>
      <c r="Y659" s="182"/>
      <c r="Z659" s="182"/>
      <c r="AA659" s="182"/>
      <c r="AB659" s="182"/>
      <c r="AC659" s="210"/>
      <c r="AD659" s="182"/>
      <c r="AE659" s="182"/>
      <c r="AF659" s="211"/>
    </row>
    <row r="660" spans="2:32" ht="13.5" customHeight="1">
      <c r="B660" s="180">
        <v>311</v>
      </c>
      <c r="C660" s="816"/>
      <c r="D660" s="765"/>
      <c r="E660" s="186" t="s">
        <v>10</v>
      </c>
      <c r="F660" s="187" t="str">
        <f t="shared" si="23"/>
        <v>IB21237</v>
      </c>
      <c r="G660" s="259"/>
      <c r="H660" s="260"/>
      <c r="I660" s="260"/>
      <c r="J660" s="261"/>
      <c r="K660" s="190"/>
      <c r="L660" s="209"/>
      <c r="M660" s="190"/>
      <c r="N660" s="186" t="s">
        <v>11</v>
      </c>
      <c r="O660" s="195" t="str">
        <f t="shared" si="24"/>
        <v>OB21237</v>
      </c>
      <c r="P660" s="243"/>
      <c r="Q660" s="244"/>
      <c r="R660" s="244"/>
      <c r="S660" s="245"/>
      <c r="T660" s="190"/>
      <c r="U660" s="191"/>
      <c r="V660" s="909"/>
      <c r="W660" s="909"/>
      <c r="X660" s="187"/>
      <c r="Y660" s="182"/>
      <c r="Z660" s="182"/>
      <c r="AA660" s="182"/>
      <c r="AB660" s="182"/>
      <c r="AC660" s="210"/>
      <c r="AD660" s="182"/>
      <c r="AE660" s="182"/>
      <c r="AF660" s="211"/>
    </row>
    <row r="661" spans="2:32" ht="13.5" customHeight="1">
      <c r="B661" s="180">
        <v>312</v>
      </c>
      <c r="C661" s="816"/>
      <c r="D661" s="765"/>
      <c r="E661" s="186" t="s">
        <v>10</v>
      </c>
      <c r="F661" s="187" t="str">
        <f t="shared" si="23"/>
        <v>IB21238</v>
      </c>
      <c r="G661" s="259"/>
      <c r="H661" s="260"/>
      <c r="I661" s="260"/>
      <c r="J661" s="261"/>
      <c r="K661" s="190"/>
      <c r="L661" s="209"/>
      <c r="M661" s="190"/>
      <c r="N661" s="186" t="s">
        <v>11</v>
      </c>
      <c r="O661" s="195" t="str">
        <f t="shared" si="24"/>
        <v>OB21238</v>
      </c>
      <c r="P661" s="243" t="s">
        <v>153</v>
      </c>
      <c r="Q661" s="244"/>
      <c r="R661" s="244"/>
      <c r="S661" s="245"/>
      <c r="T661" s="190" t="s">
        <v>1513</v>
      </c>
      <c r="U661" s="191"/>
      <c r="V661" s="909"/>
      <c r="W661" s="909"/>
      <c r="X661" s="187"/>
      <c r="Y661" s="182"/>
      <c r="Z661" s="182"/>
      <c r="AA661" s="182"/>
      <c r="AB661" s="182"/>
      <c r="AC661" s="210"/>
      <c r="AD661" s="182"/>
      <c r="AE661" s="182"/>
      <c r="AF661" s="211"/>
    </row>
    <row r="662" spans="2:32" ht="13.5" customHeight="1">
      <c r="B662" s="180">
        <v>313</v>
      </c>
      <c r="C662" s="816"/>
      <c r="D662" s="765"/>
      <c r="E662" s="186" t="s">
        <v>10</v>
      </c>
      <c r="F662" s="187" t="str">
        <f t="shared" si="23"/>
        <v>IB21239</v>
      </c>
      <c r="G662" s="259"/>
      <c r="H662" s="260"/>
      <c r="I662" s="260"/>
      <c r="J662" s="261"/>
      <c r="K662" s="190"/>
      <c r="L662" s="209"/>
      <c r="M662" s="190"/>
      <c r="N662" s="186" t="s">
        <v>11</v>
      </c>
      <c r="O662" s="195" t="str">
        <f t="shared" si="24"/>
        <v>OB21239</v>
      </c>
      <c r="P662" s="243" t="s">
        <v>154</v>
      </c>
      <c r="Q662" s="244"/>
      <c r="R662" s="244"/>
      <c r="S662" s="245"/>
      <c r="T662" s="190" t="s">
        <v>1513</v>
      </c>
      <c r="U662" s="191"/>
      <c r="V662" s="761"/>
      <c r="W662" s="762"/>
      <c r="X662" s="187"/>
      <c r="Y662" s="182"/>
      <c r="Z662" s="182"/>
      <c r="AA662" s="182"/>
      <c r="AB662" s="182"/>
      <c r="AC662" s="210"/>
      <c r="AD662" s="182"/>
      <c r="AE662" s="182"/>
      <c r="AF662" s="211"/>
    </row>
    <row r="663" spans="2:32" ht="13.5" customHeight="1">
      <c r="B663" s="180">
        <v>314</v>
      </c>
      <c r="C663" s="816"/>
      <c r="D663" s="765"/>
      <c r="E663" s="186" t="s">
        <v>10</v>
      </c>
      <c r="F663" s="187" t="str">
        <f t="shared" si="23"/>
        <v>IB2123A</v>
      </c>
      <c r="G663" s="259"/>
      <c r="H663" s="260"/>
      <c r="I663" s="260"/>
      <c r="J663" s="261"/>
      <c r="K663" s="190"/>
      <c r="L663" s="209"/>
      <c r="M663" s="190"/>
      <c r="N663" s="186" t="s">
        <v>11</v>
      </c>
      <c r="O663" s="195" t="str">
        <f t="shared" si="24"/>
        <v>OB2123A</v>
      </c>
      <c r="P663" s="243" t="s">
        <v>155</v>
      </c>
      <c r="Q663" s="244"/>
      <c r="R663" s="244"/>
      <c r="S663" s="245"/>
      <c r="T663" s="190" t="s">
        <v>1513</v>
      </c>
      <c r="U663" s="191"/>
      <c r="V663" s="761"/>
      <c r="W663" s="762"/>
      <c r="X663" s="187"/>
      <c r="Y663" s="182"/>
      <c r="Z663" s="182"/>
      <c r="AA663" s="182"/>
      <c r="AB663" s="182"/>
      <c r="AC663" s="210"/>
      <c r="AD663" s="182"/>
      <c r="AE663" s="182"/>
      <c r="AF663" s="211"/>
    </row>
    <row r="664" spans="2:32" ht="13.5" customHeight="1">
      <c r="B664" s="180">
        <v>315</v>
      </c>
      <c r="C664" s="816"/>
      <c r="D664" s="765"/>
      <c r="E664" s="186" t="s">
        <v>10</v>
      </c>
      <c r="F664" s="187" t="str">
        <f t="shared" si="23"/>
        <v>IB2123B</v>
      </c>
      <c r="G664" s="259"/>
      <c r="H664" s="260"/>
      <c r="I664" s="260"/>
      <c r="J664" s="261"/>
      <c r="K664" s="190"/>
      <c r="L664" s="209"/>
      <c r="M664" s="190"/>
      <c r="N664" s="186" t="s">
        <v>11</v>
      </c>
      <c r="O664" s="195" t="str">
        <f t="shared" si="24"/>
        <v>OB2123B</v>
      </c>
      <c r="P664" s="243" t="s">
        <v>156</v>
      </c>
      <c r="Q664" s="244"/>
      <c r="R664" s="244"/>
      <c r="S664" s="245"/>
      <c r="T664" s="190" t="s">
        <v>1513</v>
      </c>
      <c r="U664" s="191"/>
      <c r="V664" s="761"/>
      <c r="W664" s="762"/>
      <c r="X664" s="187"/>
      <c r="Y664" s="182"/>
      <c r="Z664" s="182"/>
      <c r="AA664" s="182"/>
      <c r="AB664" s="182"/>
      <c r="AC664" s="210"/>
      <c r="AD664" s="182"/>
      <c r="AE664" s="182"/>
      <c r="AF664" s="211"/>
    </row>
    <row r="665" spans="2:32" ht="13.5" customHeight="1">
      <c r="B665" s="180">
        <v>316</v>
      </c>
      <c r="C665" s="816"/>
      <c r="D665" s="765"/>
      <c r="E665" s="186" t="s">
        <v>10</v>
      </c>
      <c r="F665" s="187" t="str">
        <f t="shared" si="23"/>
        <v>IB2123C</v>
      </c>
      <c r="G665" s="259"/>
      <c r="H665" s="260"/>
      <c r="I665" s="260"/>
      <c r="J665" s="261"/>
      <c r="K665" s="190"/>
      <c r="L665" s="209"/>
      <c r="M665" s="190"/>
      <c r="N665" s="186" t="s">
        <v>11</v>
      </c>
      <c r="O665" s="195" t="str">
        <f t="shared" si="24"/>
        <v>OB2123C</v>
      </c>
      <c r="P665" s="243" t="s">
        <v>157</v>
      </c>
      <c r="Q665" s="244"/>
      <c r="R665" s="244"/>
      <c r="S665" s="245"/>
      <c r="T665" s="190" t="s">
        <v>1527</v>
      </c>
      <c r="U665" s="191"/>
      <c r="V665" s="761"/>
      <c r="W665" s="762"/>
      <c r="X665" s="187"/>
      <c r="Y665" s="182"/>
      <c r="Z665" s="182"/>
      <c r="AA665" s="182"/>
      <c r="AB665" s="182"/>
      <c r="AC665" s="210"/>
      <c r="AD665" s="182"/>
      <c r="AE665" s="182"/>
      <c r="AF665" s="211"/>
    </row>
    <row r="666" spans="2:32" ht="13.5" customHeight="1">
      <c r="B666" s="180">
        <v>317</v>
      </c>
      <c r="C666" s="816"/>
      <c r="D666" s="765"/>
      <c r="E666" s="186" t="s">
        <v>10</v>
      </c>
      <c r="F666" s="187" t="str">
        <f t="shared" si="23"/>
        <v>IB2123D</v>
      </c>
      <c r="G666" s="259"/>
      <c r="H666" s="260"/>
      <c r="I666" s="260"/>
      <c r="J666" s="261"/>
      <c r="K666" s="182"/>
      <c r="L666" s="235"/>
      <c r="M666" s="633"/>
      <c r="N666" s="186" t="s">
        <v>11</v>
      </c>
      <c r="O666" s="195" t="str">
        <f t="shared" si="24"/>
        <v>OB2123D</v>
      </c>
      <c r="P666" s="243" t="s">
        <v>158</v>
      </c>
      <c r="Q666" s="244"/>
      <c r="R666" s="244"/>
      <c r="S666" s="245"/>
      <c r="T666" s="190" t="s">
        <v>1527</v>
      </c>
      <c r="U666" s="191"/>
      <c r="V666" s="761"/>
      <c r="W666" s="762"/>
      <c r="X666" s="187"/>
      <c r="Y666" s="182"/>
      <c r="Z666" s="182"/>
      <c r="AA666" s="182"/>
      <c r="AB666" s="182"/>
      <c r="AC666" s="210"/>
      <c r="AD666" s="182"/>
      <c r="AE666" s="182"/>
      <c r="AF666" s="211"/>
    </row>
    <row r="667" spans="2:32" ht="13.5" customHeight="1">
      <c r="B667" s="180">
        <v>318</v>
      </c>
      <c r="C667" s="816"/>
      <c r="D667" s="765"/>
      <c r="E667" s="186" t="s">
        <v>10</v>
      </c>
      <c r="F667" s="187" t="str">
        <f t="shared" si="23"/>
        <v>IB2123E</v>
      </c>
      <c r="G667" s="259"/>
      <c r="H667" s="260"/>
      <c r="I667" s="260"/>
      <c r="J667" s="261"/>
      <c r="K667" s="182"/>
      <c r="L667" s="233"/>
      <c r="M667" s="648"/>
      <c r="N667" s="186" t="s">
        <v>11</v>
      </c>
      <c r="O667" s="195" t="str">
        <f t="shared" si="24"/>
        <v>OB2123E</v>
      </c>
      <c r="P667" s="243" t="s">
        <v>159</v>
      </c>
      <c r="Q667" s="244"/>
      <c r="R667" s="244"/>
      <c r="S667" s="245"/>
      <c r="T667" s="190" t="s">
        <v>1527</v>
      </c>
      <c r="U667" s="191"/>
      <c r="V667" s="761"/>
      <c r="W667" s="762"/>
      <c r="X667" s="187"/>
      <c r="Y667" s="182"/>
      <c r="Z667" s="182"/>
      <c r="AA667" s="182"/>
      <c r="AB667" s="182"/>
      <c r="AC667" s="210"/>
      <c r="AD667" s="182"/>
      <c r="AE667" s="182"/>
      <c r="AF667" s="211"/>
    </row>
    <row r="668" spans="2:32" ht="13.5" customHeight="1">
      <c r="B668" s="180">
        <v>319</v>
      </c>
      <c r="C668" s="926"/>
      <c r="D668" s="765"/>
      <c r="E668" s="186" t="s">
        <v>10</v>
      </c>
      <c r="F668" s="187" t="str">
        <f t="shared" si="23"/>
        <v>IB2123F</v>
      </c>
      <c r="G668" s="361"/>
      <c r="H668" s="362"/>
      <c r="I668" s="362"/>
      <c r="J668" s="363"/>
      <c r="K668" s="182"/>
      <c r="L668" s="233"/>
      <c r="M668" s="648"/>
      <c r="N668" s="186" t="s">
        <v>11</v>
      </c>
      <c r="O668" s="195" t="str">
        <f t="shared" si="24"/>
        <v>OB2123F</v>
      </c>
      <c r="P668" s="243" t="s">
        <v>160</v>
      </c>
      <c r="Q668" s="244"/>
      <c r="R668" s="244"/>
      <c r="S668" s="245"/>
      <c r="T668" s="190" t="s">
        <v>1527</v>
      </c>
      <c r="U668" s="191"/>
      <c r="V668" s="761"/>
      <c r="W668" s="762"/>
      <c r="X668" s="187"/>
      <c r="Y668" s="182"/>
      <c r="Z668" s="182"/>
      <c r="AA668" s="182"/>
      <c r="AB668" s="182"/>
      <c r="AC668" s="210"/>
      <c r="AD668" s="182"/>
      <c r="AE668" s="182"/>
      <c r="AF668" s="211"/>
    </row>
    <row r="669" spans="2:32" ht="13.5" customHeight="1">
      <c r="B669" s="180">
        <v>288</v>
      </c>
      <c r="C669" s="927" t="s">
        <v>258</v>
      </c>
      <c r="D669" s="940" t="s">
        <v>72</v>
      </c>
      <c r="E669" s="186" t="s">
        <v>10</v>
      </c>
      <c r="F669" s="187" t="str">
        <f t="shared" si="23"/>
        <v>IB21240</v>
      </c>
      <c r="G669" s="305" t="s">
        <v>457</v>
      </c>
      <c r="H669" s="306"/>
      <c r="I669" s="306"/>
      <c r="J669" s="307"/>
      <c r="K669" s="143" t="s">
        <v>1516</v>
      </c>
      <c r="L669" s="233"/>
      <c r="M669" s="648"/>
      <c r="N669" s="186" t="s">
        <v>11</v>
      </c>
      <c r="O669" s="195" t="str">
        <f t="shared" si="24"/>
        <v>OB21240</v>
      </c>
      <c r="P669" s="259"/>
      <c r="Q669" s="260"/>
      <c r="R669" s="260"/>
      <c r="S669" s="261"/>
      <c r="T669" s="190"/>
      <c r="U669" s="191"/>
      <c r="V669" s="281"/>
      <c r="W669" s="282"/>
      <c r="X669" s="187"/>
      <c r="Y669" s="182"/>
      <c r="Z669" s="182"/>
      <c r="AA669" s="182"/>
      <c r="AB669" s="182"/>
      <c r="AC669" s="210"/>
      <c r="AD669" s="182"/>
      <c r="AE669" s="182"/>
      <c r="AF669" s="211"/>
    </row>
    <row r="670" spans="2:32" ht="13.5" customHeight="1">
      <c r="B670" s="180">
        <v>289</v>
      </c>
      <c r="C670" s="811"/>
      <c r="D670" s="765"/>
      <c r="E670" s="186" t="s">
        <v>10</v>
      </c>
      <c r="F670" s="187" t="str">
        <f t="shared" si="23"/>
        <v>IB21241</v>
      </c>
      <c r="G670" s="305" t="s">
        <v>1496</v>
      </c>
      <c r="H670" s="306"/>
      <c r="I670" s="306"/>
      <c r="J670" s="307"/>
      <c r="K670" s="143" t="s">
        <v>1516</v>
      </c>
      <c r="L670" s="233"/>
      <c r="M670" s="648"/>
      <c r="N670" s="186" t="s">
        <v>11</v>
      </c>
      <c r="O670" s="195" t="str">
        <f t="shared" si="24"/>
        <v>OB21241</v>
      </c>
      <c r="P670" s="259"/>
      <c r="Q670" s="260"/>
      <c r="R670" s="260"/>
      <c r="S670" s="261"/>
      <c r="T670" s="190"/>
      <c r="U670" s="191"/>
      <c r="V670" s="281"/>
      <c r="W670" s="282"/>
      <c r="X670" s="187"/>
      <c r="Y670" s="182"/>
      <c r="Z670" s="182"/>
      <c r="AA670" s="182"/>
      <c r="AB670" s="182"/>
      <c r="AC670" s="210"/>
      <c r="AD670" s="182"/>
      <c r="AE670" s="182"/>
      <c r="AF670" s="211"/>
    </row>
    <row r="671" spans="2:32" ht="13.5" customHeight="1">
      <c r="B671" s="180">
        <v>290</v>
      </c>
      <c r="C671" s="811"/>
      <c r="D671" s="765"/>
      <c r="E671" s="186" t="s">
        <v>10</v>
      </c>
      <c r="F671" s="187" t="str">
        <f t="shared" si="23"/>
        <v>IB21242</v>
      </c>
      <c r="G671" s="305" t="s">
        <v>1497</v>
      </c>
      <c r="H671" s="306"/>
      <c r="I671" s="306"/>
      <c r="J671" s="307"/>
      <c r="K671" s="143" t="s">
        <v>1516</v>
      </c>
      <c r="L671" s="233"/>
      <c r="M671" s="648"/>
      <c r="N671" s="186" t="s">
        <v>11</v>
      </c>
      <c r="O671" s="195" t="str">
        <f t="shared" si="24"/>
        <v>OB21242</v>
      </c>
      <c r="P671" s="259"/>
      <c r="Q671" s="260"/>
      <c r="R671" s="260"/>
      <c r="S671" s="261"/>
      <c r="T671" s="190"/>
      <c r="U671" s="191"/>
      <c r="V671" s="281"/>
      <c r="W671" s="282"/>
      <c r="X671" s="187"/>
      <c r="Y671" s="182"/>
      <c r="Z671" s="182"/>
      <c r="AA671" s="182"/>
      <c r="AB671" s="182"/>
      <c r="AC671" s="210"/>
      <c r="AD671" s="182"/>
      <c r="AE671" s="182"/>
      <c r="AF671" s="211"/>
    </row>
    <row r="672" spans="2:32" ht="13.5" customHeight="1">
      <c r="B672" s="180">
        <v>291</v>
      </c>
      <c r="C672" s="811"/>
      <c r="D672" s="765"/>
      <c r="E672" s="186" t="s">
        <v>10</v>
      </c>
      <c r="F672" s="187" t="str">
        <f t="shared" si="23"/>
        <v>IB21243</v>
      </c>
      <c r="G672" s="305" t="s">
        <v>1498</v>
      </c>
      <c r="H672" s="306"/>
      <c r="I672" s="306"/>
      <c r="J672" s="307"/>
      <c r="K672" s="143" t="s">
        <v>1516</v>
      </c>
      <c r="L672" s="233"/>
      <c r="M672" s="648"/>
      <c r="N672" s="186" t="s">
        <v>11</v>
      </c>
      <c r="O672" s="195" t="str">
        <f t="shared" si="24"/>
        <v>OB21243</v>
      </c>
      <c r="P672" s="259"/>
      <c r="Q672" s="260"/>
      <c r="R672" s="260"/>
      <c r="S672" s="261"/>
      <c r="T672" s="190"/>
      <c r="U672" s="191"/>
      <c r="V672" s="281"/>
      <c r="W672" s="282"/>
      <c r="X672" s="187"/>
      <c r="Y672" s="182"/>
      <c r="Z672" s="182"/>
      <c r="AA672" s="182"/>
      <c r="AB672" s="182"/>
      <c r="AC672" s="210"/>
      <c r="AD672" s="182"/>
      <c r="AE672" s="182"/>
      <c r="AF672" s="211"/>
    </row>
    <row r="673" spans="2:32" ht="13.5" customHeight="1">
      <c r="B673" s="180">
        <v>292</v>
      </c>
      <c r="C673" s="811"/>
      <c r="D673" s="765"/>
      <c r="E673" s="186" t="s">
        <v>10</v>
      </c>
      <c r="F673" s="187" t="str">
        <f t="shared" si="23"/>
        <v>IB21244</v>
      </c>
      <c r="G673" s="305" t="s">
        <v>1499</v>
      </c>
      <c r="H673" s="306"/>
      <c r="I673" s="306"/>
      <c r="J673" s="307"/>
      <c r="K673" s="143" t="s">
        <v>1516</v>
      </c>
      <c r="L673" s="233"/>
      <c r="M673" s="648"/>
      <c r="N673" s="186" t="s">
        <v>11</v>
      </c>
      <c r="O673" s="195" t="str">
        <f t="shared" si="24"/>
        <v>OB21244</v>
      </c>
      <c r="P673" s="259"/>
      <c r="Q673" s="260"/>
      <c r="R673" s="260"/>
      <c r="S673" s="261"/>
      <c r="T673" s="190"/>
      <c r="U673" s="191"/>
      <c r="V673" s="281"/>
      <c r="W673" s="282"/>
      <c r="X673" s="187"/>
      <c r="Y673" s="182"/>
      <c r="Z673" s="182"/>
      <c r="AA673" s="182"/>
      <c r="AB673" s="182"/>
      <c r="AC673" s="210"/>
      <c r="AD673" s="182"/>
      <c r="AE673" s="182"/>
      <c r="AF673" s="211"/>
    </row>
    <row r="674" spans="2:32" ht="13.5" customHeight="1">
      <c r="B674" s="180">
        <v>293</v>
      </c>
      <c r="C674" s="811"/>
      <c r="D674" s="765"/>
      <c r="E674" s="186" t="s">
        <v>10</v>
      </c>
      <c r="F674" s="187" t="str">
        <f t="shared" si="23"/>
        <v>IB21245</v>
      </c>
      <c r="G674" s="308" t="s">
        <v>1500</v>
      </c>
      <c r="H674" s="309"/>
      <c r="I674" s="309"/>
      <c r="J674" s="310"/>
      <c r="K674" s="143" t="s">
        <v>1516</v>
      </c>
      <c r="L674" s="233"/>
      <c r="M674" s="648"/>
      <c r="N674" s="186" t="s">
        <v>11</v>
      </c>
      <c r="O674" s="195" t="str">
        <f t="shared" si="24"/>
        <v>OB21245</v>
      </c>
      <c r="P674" s="259"/>
      <c r="Q674" s="260"/>
      <c r="R674" s="260"/>
      <c r="S674" s="261"/>
      <c r="T674" s="190"/>
      <c r="U674" s="191"/>
      <c r="V674" s="281"/>
      <c r="W674" s="282"/>
      <c r="X674" s="187"/>
      <c r="Y674" s="182"/>
      <c r="Z674" s="182"/>
      <c r="AA674" s="182"/>
      <c r="AB674" s="182"/>
      <c r="AC674" s="210"/>
      <c r="AD674" s="182"/>
      <c r="AE674" s="182"/>
      <c r="AF674" s="211"/>
    </row>
    <row r="675" spans="2:32" ht="13.5" customHeight="1">
      <c r="B675" s="180">
        <v>294</v>
      </c>
      <c r="C675" s="811"/>
      <c r="D675" s="765"/>
      <c r="E675" s="186" t="s">
        <v>10</v>
      </c>
      <c r="F675" s="187" t="str">
        <f t="shared" si="23"/>
        <v>IB21246</v>
      </c>
      <c r="G675" s="308" t="s">
        <v>458</v>
      </c>
      <c r="H675" s="309"/>
      <c r="I675" s="309"/>
      <c r="J675" s="310"/>
      <c r="K675" s="143" t="s">
        <v>1516</v>
      </c>
      <c r="L675" s="233"/>
      <c r="M675" s="648"/>
      <c r="N675" s="186" t="s">
        <v>11</v>
      </c>
      <c r="O675" s="195" t="str">
        <f t="shared" si="24"/>
        <v>OB21246</v>
      </c>
      <c r="P675" s="259"/>
      <c r="Q675" s="260"/>
      <c r="R675" s="260"/>
      <c r="S675" s="261"/>
      <c r="T675" s="190"/>
      <c r="U675" s="191"/>
      <c r="V675" s="281"/>
      <c r="W675" s="282"/>
      <c r="X675" s="187"/>
      <c r="Y675" s="182"/>
      <c r="Z675" s="182"/>
      <c r="AA675" s="182"/>
      <c r="AB675" s="182"/>
      <c r="AC675" s="210"/>
      <c r="AD675" s="182"/>
      <c r="AE675" s="182"/>
      <c r="AF675" s="211"/>
    </row>
    <row r="676" spans="2:32" ht="13.5" customHeight="1">
      <c r="B676" s="180">
        <v>295</v>
      </c>
      <c r="C676" s="811"/>
      <c r="D676" s="765"/>
      <c r="E676" s="186" t="s">
        <v>10</v>
      </c>
      <c r="F676" s="187" t="str">
        <f t="shared" si="23"/>
        <v>IB21247</v>
      </c>
      <c r="G676" s="308" t="s">
        <v>1501</v>
      </c>
      <c r="H676" s="309"/>
      <c r="I676" s="309"/>
      <c r="J676" s="310"/>
      <c r="K676" s="143" t="s">
        <v>1516</v>
      </c>
      <c r="L676" s="233"/>
      <c r="M676" s="648"/>
      <c r="N676" s="186" t="s">
        <v>11</v>
      </c>
      <c r="O676" s="195" t="str">
        <f t="shared" si="24"/>
        <v>OB21247</v>
      </c>
      <c r="P676" s="259"/>
      <c r="Q676" s="260"/>
      <c r="R676" s="260"/>
      <c r="S676" s="261"/>
      <c r="T676" s="190"/>
      <c r="U676" s="191"/>
      <c r="V676" s="281"/>
      <c r="W676" s="282"/>
      <c r="X676" s="187"/>
      <c r="Y676" s="182"/>
      <c r="Z676" s="182"/>
      <c r="AA676" s="182"/>
      <c r="AB676" s="182"/>
      <c r="AC676" s="210"/>
      <c r="AD676" s="182"/>
      <c r="AE676" s="182"/>
      <c r="AF676" s="211"/>
    </row>
    <row r="677" spans="2:32" ht="13.5" customHeight="1">
      <c r="B677" s="180">
        <v>296</v>
      </c>
      <c r="C677" s="811"/>
      <c r="D677" s="765"/>
      <c r="E677" s="186" t="s">
        <v>10</v>
      </c>
      <c r="F677" s="187" t="str">
        <f t="shared" si="23"/>
        <v>IB21248</v>
      </c>
      <c r="G677" s="305" t="s">
        <v>456</v>
      </c>
      <c r="H677" s="306"/>
      <c r="I677" s="306"/>
      <c r="J677" s="307"/>
      <c r="K677" s="143" t="s">
        <v>1516</v>
      </c>
      <c r="L677" s="233"/>
      <c r="M677" s="648"/>
      <c r="N677" s="186" t="s">
        <v>11</v>
      </c>
      <c r="O677" s="195" t="str">
        <f t="shared" si="24"/>
        <v>OB21248</v>
      </c>
      <c r="P677" s="259"/>
      <c r="Q677" s="260"/>
      <c r="R677" s="260"/>
      <c r="S677" s="261"/>
      <c r="T677" s="190"/>
      <c r="U677" s="191"/>
      <c r="V677" s="281"/>
      <c r="W677" s="282"/>
      <c r="X677" s="187"/>
      <c r="Y677" s="182"/>
      <c r="Z677" s="182"/>
      <c r="AA677" s="182"/>
      <c r="AB677" s="182"/>
      <c r="AC677" s="210"/>
      <c r="AD677" s="182"/>
      <c r="AE677" s="182"/>
      <c r="AF677" s="211"/>
    </row>
    <row r="678" spans="2:32" ht="13.5" customHeight="1">
      <c r="B678" s="180">
        <v>297</v>
      </c>
      <c r="C678" s="811"/>
      <c r="D678" s="765"/>
      <c r="E678" s="186" t="s">
        <v>10</v>
      </c>
      <c r="F678" s="187" t="str">
        <f t="shared" si="23"/>
        <v>IB21249</v>
      </c>
      <c r="G678" s="305"/>
      <c r="H678" s="306"/>
      <c r="I678" s="306"/>
      <c r="J678" s="307"/>
      <c r="K678" s="143"/>
      <c r="L678" s="233"/>
      <c r="M678" s="648"/>
      <c r="N678" s="186" t="s">
        <v>11</v>
      </c>
      <c r="O678" s="195" t="str">
        <f t="shared" si="24"/>
        <v>OB21249</v>
      </c>
      <c r="P678" s="259"/>
      <c r="Q678" s="260"/>
      <c r="R678" s="260"/>
      <c r="S678" s="261"/>
      <c r="T678" s="190"/>
      <c r="U678" s="191"/>
      <c r="V678" s="281"/>
      <c r="W678" s="282"/>
      <c r="X678" s="187"/>
      <c r="Y678" s="182"/>
      <c r="Z678" s="182"/>
      <c r="AA678" s="182"/>
      <c r="AB678" s="182"/>
      <c r="AC678" s="210"/>
      <c r="AD678" s="182"/>
      <c r="AE678" s="182"/>
      <c r="AF678" s="211"/>
    </row>
    <row r="679" spans="2:32" ht="13.5" customHeight="1">
      <c r="B679" s="180">
        <v>298</v>
      </c>
      <c r="C679" s="811"/>
      <c r="D679" s="765"/>
      <c r="E679" s="186" t="s">
        <v>10</v>
      </c>
      <c r="F679" s="187" t="str">
        <f t="shared" si="23"/>
        <v>IB2124A</v>
      </c>
      <c r="G679" s="305"/>
      <c r="H679" s="306"/>
      <c r="I679" s="306"/>
      <c r="J679" s="307"/>
      <c r="K679" s="143"/>
      <c r="L679" s="233"/>
      <c r="M679" s="648"/>
      <c r="N679" s="186" t="s">
        <v>11</v>
      </c>
      <c r="O679" s="195" t="str">
        <f t="shared" si="24"/>
        <v>OB2124A</v>
      </c>
      <c r="P679" s="259"/>
      <c r="Q679" s="260"/>
      <c r="R679" s="260"/>
      <c r="S679" s="261"/>
      <c r="T679" s="190"/>
      <c r="U679" s="191"/>
      <c r="V679" s="281"/>
      <c r="W679" s="282"/>
      <c r="X679" s="187"/>
      <c r="Y679" s="182"/>
      <c r="Z679" s="182"/>
      <c r="AA679" s="182"/>
      <c r="AB679" s="182"/>
      <c r="AC679" s="210"/>
      <c r="AD679" s="182"/>
      <c r="AE679" s="182"/>
      <c r="AF679" s="211"/>
    </row>
    <row r="680" spans="2:32" ht="13.5" customHeight="1">
      <c r="B680" s="180">
        <v>299</v>
      </c>
      <c r="C680" s="811"/>
      <c r="D680" s="765"/>
      <c r="E680" s="186" t="s">
        <v>10</v>
      </c>
      <c r="F680" s="187" t="str">
        <f t="shared" si="23"/>
        <v>IB2124B</v>
      </c>
      <c r="G680" s="305"/>
      <c r="H680" s="306"/>
      <c r="I680" s="306"/>
      <c r="J680" s="307"/>
      <c r="K680" s="143"/>
      <c r="L680" s="233"/>
      <c r="M680" s="648"/>
      <c r="N680" s="186" t="s">
        <v>11</v>
      </c>
      <c r="O680" s="195" t="str">
        <f t="shared" si="24"/>
        <v>OB2124B</v>
      </c>
      <c r="P680" s="259"/>
      <c r="Q680" s="260"/>
      <c r="R680" s="260"/>
      <c r="S680" s="261"/>
      <c r="T680" s="190"/>
      <c r="U680" s="191"/>
      <c r="V680" s="281"/>
      <c r="W680" s="282"/>
      <c r="X680" s="187"/>
      <c r="Y680" s="182"/>
      <c r="Z680" s="182"/>
      <c r="AA680" s="182"/>
      <c r="AB680" s="182"/>
      <c r="AC680" s="210"/>
      <c r="AD680" s="182"/>
      <c r="AE680" s="182"/>
      <c r="AF680" s="211"/>
    </row>
    <row r="681" spans="2:32" ht="13.5" customHeight="1">
      <c r="B681" s="180">
        <v>300</v>
      </c>
      <c r="C681" s="811"/>
      <c r="D681" s="765"/>
      <c r="E681" s="186" t="s">
        <v>10</v>
      </c>
      <c r="F681" s="187" t="str">
        <f t="shared" si="23"/>
        <v>IB2124C</v>
      </c>
      <c r="G681" s="305"/>
      <c r="H681" s="306"/>
      <c r="I681" s="306"/>
      <c r="J681" s="307"/>
      <c r="K681" s="143"/>
      <c r="L681" s="233"/>
      <c r="M681" s="648"/>
      <c r="N681" s="186" t="s">
        <v>11</v>
      </c>
      <c r="O681" s="195" t="str">
        <f t="shared" si="24"/>
        <v>OB2124C</v>
      </c>
      <c r="P681" s="259"/>
      <c r="Q681" s="260"/>
      <c r="R681" s="260"/>
      <c r="S681" s="261"/>
      <c r="T681" s="190"/>
      <c r="U681" s="191"/>
      <c r="V681" s="281"/>
      <c r="W681" s="282"/>
      <c r="X681" s="187"/>
      <c r="Y681" s="182"/>
      <c r="Z681" s="182"/>
      <c r="AA681" s="182"/>
      <c r="AB681" s="182"/>
      <c r="AC681" s="210"/>
      <c r="AD681" s="182"/>
      <c r="AE681" s="182"/>
      <c r="AF681" s="211"/>
    </row>
    <row r="682" spans="2:32" ht="13.5" customHeight="1">
      <c r="B682" s="180">
        <v>301</v>
      </c>
      <c r="C682" s="811"/>
      <c r="D682" s="765"/>
      <c r="E682" s="186" t="s">
        <v>10</v>
      </c>
      <c r="F682" s="187" t="str">
        <f t="shared" si="23"/>
        <v>IB2124D</v>
      </c>
      <c r="G682" s="305"/>
      <c r="H682" s="306"/>
      <c r="I682" s="306"/>
      <c r="J682" s="307"/>
      <c r="K682" s="143"/>
      <c r="L682" s="233"/>
      <c r="M682" s="648"/>
      <c r="N682" s="186" t="s">
        <v>11</v>
      </c>
      <c r="O682" s="195" t="str">
        <f t="shared" si="24"/>
        <v>OB2124D</v>
      </c>
      <c r="P682" s="259"/>
      <c r="Q682" s="260"/>
      <c r="R682" s="260"/>
      <c r="S682" s="261"/>
      <c r="T682" s="190"/>
      <c r="U682" s="191"/>
      <c r="V682" s="281"/>
      <c r="W682" s="282"/>
      <c r="X682" s="187"/>
      <c r="Y682" s="182"/>
      <c r="Z682" s="182"/>
      <c r="AA682" s="182"/>
      <c r="AB682" s="182"/>
      <c r="AC682" s="210"/>
      <c r="AD682" s="182"/>
      <c r="AE682" s="182"/>
      <c r="AF682" s="211"/>
    </row>
    <row r="683" spans="2:32" ht="13.5" customHeight="1">
      <c r="B683" s="180">
        <v>302</v>
      </c>
      <c r="C683" s="811"/>
      <c r="D683" s="765"/>
      <c r="E683" s="186" t="s">
        <v>10</v>
      </c>
      <c r="F683" s="187" t="str">
        <f t="shared" si="23"/>
        <v>IB2124E</v>
      </c>
      <c r="G683" s="305"/>
      <c r="H683" s="306"/>
      <c r="I683" s="306"/>
      <c r="J683" s="307"/>
      <c r="K683" s="143"/>
      <c r="L683" s="233"/>
      <c r="M683" s="648"/>
      <c r="N683" s="186" t="s">
        <v>11</v>
      </c>
      <c r="O683" s="195" t="str">
        <f t="shared" si="24"/>
        <v>OB2124E</v>
      </c>
      <c r="P683" s="259"/>
      <c r="Q683" s="260"/>
      <c r="R683" s="260"/>
      <c r="S683" s="261"/>
      <c r="T683" s="190"/>
      <c r="U683" s="191"/>
      <c r="V683" s="281"/>
      <c r="W683" s="282"/>
      <c r="X683" s="187"/>
      <c r="Y683" s="182"/>
      <c r="Z683" s="182"/>
      <c r="AA683" s="182"/>
      <c r="AB683" s="182"/>
      <c r="AC683" s="210"/>
      <c r="AD683" s="182"/>
      <c r="AE683" s="182"/>
      <c r="AF683" s="211"/>
    </row>
    <row r="684" spans="2:32" ht="13.5" customHeight="1">
      <c r="B684" s="180">
        <v>303</v>
      </c>
      <c r="C684" s="928"/>
      <c r="D684" s="765"/>
      <c r="E684" s="186" t="s">
        <v>10</v>
      </c>
      <c r="F684" s="187" t="str">
        <f t="shared" si="23"/>
        <v>IB2124F</v>
      </c>
      <c r="G684" s="305"/>
      <c r="H684" s="306"/>
      <c r="I684" s="306"/>
      <c r="J684" s="307"/>
      <c r="K684" s="143"/>
      <c r="L684" s="233"/>
      <c r="M684" s="648"/>
      <c r="N684" s="186" t="s">
        <v>11</v>
      </c>
      <c r="O684" s="195" t="str">
        <f t="shared" si="24"/>
        <v>OB2124F</v>
      </c>
      <c r="P684" s="259"/>
      <c r="Q684" s="260"/>
      <c r="R684" s="260"/>
      <c r="S684" s="261"/>
      <c r="T684" s="190"/>
      <c r="U684" s="191"/>
      <c r="V684" s="281"/>
      <c r="W684" s="282"/>
      <c r="X684" s="187"/>
      <c r="Y684" s="182"/>
      <c r="Z684" s="182"/>
      <c r="AA684" s="182"/>
      <c r="AB684" s="182"/>
      <c r="AC684" s="210"/>
      <c r="AD684" s="182"/>
      <c r="AE684" s="182"/>
      <c r="AF684" s="211"/>
    </row>
    <row r="685" spans="2:32" ht="13.5" customHeight="1">
      <c r="B685" s="180">
        <v>304</v>
      </c>
      <c r="C685" s="925" t="s">
        <v>259</v>
      </c>
      <c r="D685" s="940" t="s">
        <v>72</v>
      </c>
      <c r="E685" s="186" t="s">
        <v>10</v>
      </c>
      <c r="F685" s="187" t="str">
        <f t="shared" si="23"/>
        <v>IB21250</v>
      </c>
      <c r="G685" s="271"/>
      <c r="H685" s="272"/>
      <c r="I685" s="272"/>
      <c r="J685" s="273"/>
      <c r="K685" s="182"/>
      <c r="L685" s="233"/>
      <c r="M685" s="648"/>
      <c r="N685" s="186" t="s">
        <v>11</v>
      </c>
      <c r="O685" s="195" t="str">
        <f t="shared" si="24"/>
        <v>OB21250</v>
      </c>
      <c r="P685" s="305" t="s">
        <v>459</v>
      </c>
      <c r="Q685" s="306"/>
      <c r="R685" s="306"/>
      <c r="S685" s="307"/>
      <c r="T685" s="190" t="s">
        <v>1516</v>
      </c>
      <c r="U685" s="191"/>
      <c r="V685" s="281"/>
      <c r="W685" s="282"/>
      <c r="X685" s="187"/>
      <c r="Y685" s="182"/>
      <c r="Z685" s="182"/>
      <c r="AA685" s="182"/>
      <c r="AB685" s="182"/>
      <c r="AC685" s="210"/>
      <c r="AD685" s="182"/>
      <c r="AE685" s="182"/>
      <c r="AF685" s="211"/>
    </row>
    <row r="686" spans="2:32" ht="13.5" customHeight="1">
      <c r="B686" s="180">
        <v>305</v>
      </c>
      <c r="C686" s="816"/>
      <c r="D686" s="765"/>
      <c r="E686" s="186" t="s">
        <v>10</v>
      </c>
      <c r="F686" s="187" t="str">
        <f t="shared" si="23"/>
        <v>IB21251</v>
      </c>
      <c r="G686" s="271"/>
      <c r="H686" s="272"/>
      <c r="I686" s="272"/>
      <c r="J686" s="273"/>
      <c r="K686" s="182"/>
      <c r="L686" s="233"/>
      <c r="M686" s="648"/>
      <c r="N686" s="186" t="s">
        <v>11</v>
      </c>
      <c r="O686" s="195" t="str">
        <f t="shared" si="24"/>
        <v>OB21251</v>
      </c>
      <c r="P686" s="305" t="s">
        <v>994</v>
      </c>
      <c r="Q686" s="306"/>
      <c r="R686" s="306"/>
      <c r="S686" s="307"/>
      <c r="T686" s="190" t="s">
        <v>1516</v>
      </c>
      <c r="U686" s="191"/>
      <c r="V686" s="281"/>
      <c r="W686" s="282"/>
      <c r="X686" s="187"/>
      <c r="Y686" s="182"/>
      <c r="Z686" s="182"/>
      <c r="AA686" s="182"/>
      <c r="AB686" s="182"/>
      <c r="AC686" s="210"/>
      <c r="AD686" s="182"/>
      <c r="AE686" s="182"/>
      <c r="AF686" s="211"/>
    </row>
    <row r="687" spans="2:32" ht="13.5" customHeight="1">
      <c r="B687" s="180">
        <v>306</v>
      </c>
      <c r="C687" s="816"/>
      <c r="D687" s="765"/>
      <c r="E687" s="186" t="s">
        <v>10</v>
      </c>
      <c r="F687" s="187" t="str">
        <f t="shared" si="23"/>
        <v>IB21252</v>
      </c>
      <c r="G687" s="271"/>
      <c r="H687" s="272"/>
      <c r="I687" s="272"/>
      <c r="J687" s="273"/>
      <c r="K687" s="182"/>
      <c r="L687" s="233"/>
      <c r="M687" s="648"/>
      <c r="N687" s="186" t="s">
        <v>11</v>
      </c>
      <c r="O687" s="195" t="str">
        <f t="shared" si="24"/>
        <v>OB21252</v>
      </c>
      <c r="P687" s="305" t="s">
        <v>995</v>
      </c>
      <c r="Q687" s="306"/>
      <c r="R687" s="306"/>
      <c r="S687" s="307"/>
      <c r="T687" s="190" t="s">
        <v>1516</v>
      </c>
      <c r="U687" s="191"/>
      <c r="V687" s="281"/>
      <c r="W687" s="282"/>
      <c r="X687" s="187"/>
      <c r="Y687" s="182"/>
      <c r="Z687" s="182"/>
      <c r="AA687" s="182"/>
      <c r="AB687" s="182"/>
      <c r="AC687" s="210"/>
      <c r="AD687" s="182"/>
      <c r="AE687" s="182"/>
      <c r="AF687" s="211"/>
    </row>
    <row r="688" spans="2:32" ht="13.5" customHeight="1">
      <c r="B688" s="180">
        <v>307</v>
      </c>
      <c r="C688" s="816"/>
      <c r="D688" s="765"/>
      <c r="E688" s="186" t="s">
        <v>10</v>
      </c>
      <c r="F688" s="187" t="str">
        <f t="shared" si="23"/>
        <v>IB21253</v>
      </c>
      <c r="G688" s="271"/>
      <c r="H688" s="272"/>
      <c r="I688" s="272"/>
      <c r="J688" s="273"/>
      <c r="K688" s="182"/>
      <c r="L688" s="233"/>
      <c r="M688" s="648"/>
      <c r="N688" s="186" t="s">
        <v>11</v>
      </c>
      <c r="O688" s="195" t="str">
        <f t="shared" si="24"/>
        <v>OB21253</v>
      </c>
      <c r="P688" s="305" t="s">
        <v>996</v>
      </c>
      <c r="Q688" s="306"/>
      <c r="R688" s="306"/>
      <c r="S688" s="307"/>
      <c r="T688" s="190" t="s">
        <v>1516</v>
      </c>
      <c r="U688" s="191"/>
      <c r="V688" s="281"/>
      <c r="W688" s="282"/>
      <c r="X688" s="187"/>
      <c r="Y688" s="182"/>
      <c r="Z688" s="182"/>
      <c r="AA688" s="182"/>
      <c r="AB688" s="182"/>
      <c r="AC688" s="210"/>
      <c r="AD688" s="182"/>
      <c r="AE688" s="182"/>
      <c r="AF688" s="211"/>
    </row>
    <row r="689" spans="2:32" ht="13.5" customHeight="1">
      <c r="B689" s="180">
        <v>308</v>
      </c>
      <c r="C689" s="816"/>
      <c r="D689" s="765"/>
      <c r="E689" s="186" t="s">
        <v>10</v>
      </c>
      <c r="F689" s="187" t="str">
        <f t="shared" si="23"/>
        <v>IB21254</v>
      </c>
      <c r="G689" s="271"/>
      <c r="H689" s="272"/>
      <c r="I689" s="272"/>
      <c r="J689" s="273"/>
      <c r="K689" s="182"/>
      <c r="L689" s="233"/>
      <c r="M689" s="648"/>
      <c r="N689" s="186" t="s">
        <v>11</v>
      </c>
      <c r="O689" s="195" t="str">
        <f t="shared" si="24"/>
        <v>OB21254</v>
      </c>
      <c r="P689" s="249"/>
      <c r="Q689" s="250"/>
      <c r="R689" s="250"/>
      <c r="S689" s="251"/>
      <c r="T689" s="190"/>
      <c r="U689" s="191"/>
      <c r="V689" s="281"/>
      <c r="W689" s="282"/>
      <c r="X689" s="187"/>
      <c r="Y689" s="182"/>
      <c r="Z689" s="182"/>
      <c r="AA689" s="182"/>
      <c r="AB689" s="182"/>
      <c r="AC689" s="210"/>
      <c r="AD689" s="182"/>
      <c r="AE689" s="182"/>
      <c r="AF689" s="211"/>
    </row>
    <row r="690" spans="2:32" ht="13.5" customHeight="1">
      <c r="B690" s="180">
        <v>309</v>
      </c>
      <c r="C690" s="816"/>
      <c r="D690" s="765"/>
      <c r="E690" s="186" t="s">
        <v>10</v>
      </c>
      <c r="F690" s="187" t="str">
        <f t="shared" si="23"/>
        <v>IB21255</v>
      </c>
      <c r="G690" s="271"/>
      <c r="H690" s="272"/>
      <c r="I690" s="272"/>
      <c r="J690" s="273"/>
      <c r="K690" s="182"/>
      <c r="L690" s="233"/>
      <c r="M690" s="648"/>
      <c r="N690" s="186" t="s">
        <v>11</v>
      </c>
      <c r="O690" s="195" t="str">
        <f t="shared" si="24"/>
        <v>OB21255</v>
      </c>
      <c r="P690" s="249"/>
      <c r="Q690" s="250"/>
      <c r="R690" s="250"/>
      <c r="S690" s="251"/>
      <c r="T690" s="190"/>
      <c r="U690" s="191"/>
      <c r="V690" s="281"/>
      <c r="W690" s="282"/>
      <c r="X690" s="187"/>
      <c r="Y690" s="182"/>
      <c r="Z690" s="182"/>
      <c r="AA690" s="182"/>
      <c r="AB690" s="182"/>
      <c r="AC690" s="210"/>
      <c r="AD690" s="182"/>
      <c r="AE690" s="182"/>
      <c r="AF690" s="211"/>
    </row>
    <row r="691" spans="2:32" ht="13.5" customHeight="1">
      <c r="B691" s="180">
        <v>310</v>
      </c>
      <c r="C691" s="816"/>
      <c r="D691" s="765"/>
      <c r="E691" s="186" t="s">
        <v>10</v>
      </c>
      <c r="F691" s="187" t="str">
        <f t="shared" si="23"/>
        <v>IB21256</v>
      </c>
      <c r="G691" s="271"/>
      <c r="H691" s="272"/>
      <c r="I691" s="272"/>
      <c r="J691" s="273"/>
      <c r="K691" s="182"/>
      <c r="L691" s="233"/>
      <c r="M691" s="648"/>
      <c r="N691" s="186" t="s">
        <v>11</v>
      </c>
      <c r="O691" s="195" t="str">
        <f t="shared" si="24"/>
        <v>OB21256</v>
      </c>
      <c r="P691" s="249"/>
      <c r="Q691" s="250"/>
      <c r="R691" s="250"/>
      <c r="S691" s="251"/>
      <c r="T691" s="190"/>
      <c r="U691" s="191"/>
      <c r="V691" s="281"/>
      <c r="W691" s="282"/>
      <c r="X691" s="187"/>
      <c r="Y691" s="182"/>
      <c r="Z691" s="182"/>
      <c r="AA691" s="182"/>
      <c r="AB691" s="182"/>
      <c r="AC691" s="210"/>
      <c r="AD691" s="182"/>
      <c r="AE691" s="182"/>
      <c r="AF691" s="211"/>
    </row>
    <row r="692" spans="2:32" ht="13.5" customHeight="1">
      <c r="B692" s="180">
        <v>311</v>
      </c>
      <c r="C692" s="816"/>
      <c r="D692" s="765"/>
      <c r="E692" s="186" t="s">
        <v>10</v>
      </c>
      <c r="F692" s="187" t="str">
        <f t="shared" si="23"/>
        <v>IB21257</v>
      </c>
      <c r="G692" s="271"/>
      <c r="H692" s="272"/>
      <c r="I692" s="272"/>
      <c r="J692" s="273"/>
      <c r="K692" s="182"/>
      <c r="L692" s="233"/>
      <c r="M692" s="648"/>
      <c r="N692" s="186" t="s">
        <v>11</v>
      </c>
      <c r="O692" s="195" t="str">
        <f t="shared" si="24"/>
        <v>OB21257</v>
      </c>
      <c r="P692" s="249"/>
      <c r="Q692" s="250"/>
      <c r="R692" s="250"/>
      <c r="S692" s="251"/>
      <c r="T692" s="190"/>
      <c r="U692" s="191"/>
      <c r="V692" s="281"/>
      <c r="W692" s="282"/>
      <c r="X692" s="187"/>
      <c r="Y692" s="182"/>
      <c r="Z692" s="182"/>
      <c r="AA692" s="182"/>
      <c r="AB692" s="182"/>
      <c r="AC692" s="210"/>
      <c r="AD692" s="182"/>
      <c r="AE692" s="182"/>
      <c r="AF692" s="211"/>
    </row>
    <row r="693" spans="2:32" ht="13.5" customHeight="1">
      <c r="B693" s="180">
        <v>312</v>
      </c>
      <c r="C693" s="816"/>
      <c r="D693" s="765"/>
      <c r="E693" s="186" t="s">
        <v>10</v>
      </c>
      <c r="F693" s="187" t="str">
        <f t="shared" si="23"/>
        <v>IB21258</v>
      </c>
      <c r="G693" s="271"/>
      <c r="H693" s="272"/>
      <c r="I693" s="272"/>
      <c r="J693" s="273"/>
      <c r="K693" s="182"/>
      <c r="L693" s="233"/>
      <c r="M693" s="648"/>
      <c r="N693" s="186" t="s">
        <v>11</v>
      </c>
      <c r="O693" s="195" t="str">
        <f t="shared" si="24"/>
        <v>OB21258</v>
      </c>
      <c r="P693" s="249"/>
      <c r="Q693" s="250"/>
      <c r="R693" s="250"/>
      <c r="S693" s="251"/>
      <c r="T693" s="190"/>
      <c r="U693" s="191"/>
      <c r="V693" s="281"/>
      <c r="W693" s="282"/>
      <c r="X693" s="187"/>
      <c r="Y693" s="182"/>
      <c r="Z693" s="182"/>
      <c r="AA693" s="182"/>
      <c r="AB693" s="182"/>
      <c r="AC693" s="210"/>
      <c r="AD693" s="182"/>
      <c r="AE693" s="182"/>
      <c r="AF693" s="211"/>
    </row>
    <row r="694" spans="2:32" ht="13.5" customHeight="1">
      <c r="B694" s="180">
        <v>313</v>
      </c>
      <c r="C694" s="816"/>
      <c r="D694" s="765"/>
      <c r="E694" s="186" t="s">
        <v>10</v>
      </c>
      <c r="F694" s="187" t="str">
        <f t="shared" si="23"/>
        <v>IB21259</v>
      </c>
      <c r="G694" s="271"/>
      <c r="H694" s="272"/>
      <c r="I694" s="272"/>
      <c r="J694" s="273"/>
      <c r="K694" s="182"/>
      <c r="L694" s="233"/>
      <c r="M694" s="648"/>
      <c r="N694" s="186" t="s">
        <v>11</v>
      </c>
      <c r="O694" s="195" t="str">
        <f t="shared" si="24"/>
        <v>OB21259</v>
      </c>
      <c r="P694" s="249"/>
      <c r="Q694" s="250"/>
      <c r="R694" s="250"/>
      <c r="S694" s="251"/>
      <c r="T694" s="190"/>
      <c r="U694" s="191"/>
      <c r="V694" s="281"/>
      <c r="W694" s="282"/>
      <c r="X694" s="187"/>
      <c r="Y694" s="182"/>
      <c r="Z694" s="182"/>
      <c r="AA694" s="182"/>
      <c r="AB694" s="182"/>
      <c r="AC694" s="210"/>
      <c r="AD694" s="182"/>
      <c r="AE694" s="182"/>
      <c r="AF694" s="211"/>
    </row>
    <row r="695" spans="2:32" ht="13.5" customHeight="1">
      <c r="B695" s="180">
        <v>314</v>
      </c>
      <c r="C695" s="816"/>
      <c r="D695" s="765"/>
      <c r="E695" s="186" t="s">
        <v>10</v>
      </c>
      <c r="F695" s="187" t="str">
        <f t="shared" si="23"/>
        <v>IB2125A</v>
      </c>
      <c r="G695" s="271"/>
      <c r="H695" s="272"/>
      <c r="I695" s="272"/>
      <c r="J695" s="273"/>
      <c r="K695" s="182"/>
      <c r="L695" s="233"/>
      <c r="M695" s="648"/>
      <c r="N695" s="186" t="s">
        <v>11</v>
      </c>
      <c r="O695" s="195" t="str">
        <f t="shared" si="24"/>
        <v>OB2125A</v>
      </c>
      <c r="P695" s="249"/>
      <c r="Q695" s="250"/>
      <c r="R695" s="250"/>
      <c r="S695" s="251"/>
      <c r="T695" s="190"/>
      <c r="U695" s="191"/>
      <c r="V695" s="281"/>
      <c r="W695" s="282"/>
      <c r="X695" s="187"/>
      <c r="Y695" s="182"/>
      <c r="Z695" s="182"/>
      <c r="AA695" s="182"/>
      <c r="AB695" s="182"/>
      <c r="AC695" s="210"/>
      <c r="AD695" s="182"/>
      <c r="AE695" s="182"/>
      <c r="AF695" s="211"/>
    </row>
    <row r="696" spans="2:32" ht="13.5" customHeight="1">
      <c r="B696" s="180">
        <v>315</v>
      </c>
      <c r="C696" s="816"/>
      <c r="D696" s="765"/>
      <c r="E696" s="186" t="s">
        <v>10</v>
      </c>
      <c r="F696" s="187" t="str">
        <f t="shared" si="23"/>
        <v>IB2125B</v>
      </c>
      <c r="G696" s="271"/>
      <c r="H696" s="272"/>
      <c r="I696" s="272"/>
      <c r="J696" s="273"/>
      <c r="K696" s="182"/>
      <c r="L696" s="233"/>
      <c r="M696" s="648"/>
      <c r="N696" s="186" t="s">
        <v>11</v>
      </c>
      <c r="O696" s="195" t="str">
        <f t="shared" si="24"/>
        <v>OB2125B</v>
      </c>
      <c r="P696" s="249"/>
      <c r="Q696" s="250"/>
      <c r="R696" s="250"/>
      <c r="S696" s="251"/>
      <c r="T696" s="190"/>
      <c r="U696" s="191"/>
      <c r="V696" s="281"/>
      <c r="W696" s="282"/>
      <c r="X696" s="187"/>
      <c r="Y696" s="182"/>
      <c r="Z696" s="182"/>
      <c r="AA696" s="182"/>
      <c r="AB696" s="182"/>
      <c r="AC696" s="210"/>
      <c r="AD696" s="182"/>
      <c r="AE696" s="182"/>
      <c r="AF696" s="211"/>
    </row>
    <row r="697" spans="2:32" ht="13.5" customHeight="1">
      <c r="B697" s="180">
        <v>316</v>
      </c>
      <c r="C697" s="816"/>
      <c r="D697" s="765"/>
      <c r="E697" s="186" t="s">
        <v>10</v>
      </c>
      <c r="F697" s="187" t="str">
        <f t="shared" si="23"/>
        <v>IB2125C</v>
      </c>
      <c r="G697" s="271"/>
      <c r="H697" s="272"/>
      <c r="I697" s="272"/>
      <c r="J697" s="273"/>
      <c r="K697" s="182"/>
      <c r="L697" s="233"/>
      <c r="M697" s="648"/>
      <c r="N697" s="186" t="s">
        <v>11</v>
      </c>
      <c r="O697" s="195" t="str">
        <f t="shared" si="24"/>
        <v>OB2125C</v>
      </c>
      <c r="P697" s="249"/>
      <c r="Q697" s="250"/>
      <c r="R697" s="250"/>
      <c r="S697" s="251"/>
      <c r="T697" s="190"/>
      <c r="U697" s="191"/>
      <c r="V697" s="281"/>
      <c r="W697" s="282"/>
      <c r="X697" s="187"/>
      <c r="Y697" s="182"/>
      <c r="Z697" s="182"/>
      <c r="AA697" s="182"/>
      <c r="AB697" s="182"/>
      <c r="AC697" s="210"/>
      <c r="AD697" s="182"/>
      <c r="AE697" s="182"/>
      <c r="AF697" s="211"/>
    </row>
    <row r="698" spans="2:32" ht="13.5" customHeight="1">
      <c r="B698" s="180">
        <v>317</v>
      </c>
      <c r="C698" s="816"/>
      <c r="D698" s="765"/>
      <c r="E698" s="186" t="s">
        <v>10</v>
      </c>
      <c r="F698" s="187" t="str">
        <f t="shared" si="23"/>
        <v>IB2125D</v>
      </c>
      <c r="G698" s="271"/>
      <c r="H698" s="272"/>
      <c r="I698" s="272"/>
      <c r="J698" s="273"/>
      <c r="K698" s="182"/>
      <c r="L698" s="233"/>
      <c r="M698" s="648"/>
      <c r="N698" s="186" t="s">
        <v>11</v>
      </c>
      <c r="O698" s="195" t="str">
        <f t="shared" si="24"/>
        <v>OB2125D</v>
      </c>
      <c r="P698" s="249"/>
      <c r="Q698" s="250"/>
      <c r="R698" s="250"/>
      <c r="S698" s="251"/>
      <c r="T698" s="190"/>
      <c r="U698" s="191"/>
      <c r="V698" s="281"/>
      <c r="W698" s="282"/>
      <c r="X698" s="187"/>
      <c r="Y698" s="182"/>
      <c r="Z698" s="182"/>
      <c r="AA698" s="182"/>
      <c r="AB698" s="182"/>
      <c r="AC698" s="210"/>
      <c r="AD698" s="182"/>
      <c r="AE698" s="182"/>
      <c r="AF698" s="211"/>
    </row>
    <row r="699" spans="2:32" ht="13.5" customHeight="1">
      <c r="B699" s="180">
        <v>318</v>
      </c>
      <c r="C699" s="816"/>
      <c r="D699" s="765"/>
      <c r="E699" s="186" t="s">
        <v>10</v>
      </c>
      <c r="F699" s="187" t="str">
        <f t="shared" si="23"/>
        <v>IB2125E</v>
      </c>
      <c r="G699" s="271"/>
      <c r="H699" s="272"/>
      <c r="I699" s="272"/>
      <c r="J699" s="273"/>
      <c r="K699" s="182"/>
      <c r="L699" s="233"/>
      <c r="M699" s="648"/>
      <c r="N699" s="186" t="s">
        <v>11</v>
      </c>
      <c r="O699" s="195" t="str">
        <f t="shared" si="24"/>
        <v>OB2125E</v>
      </c>
      <c r="P699" s="249"/>
      <c r="Q699" s="250"/>
      <c r="R699" s="250"/>
      <c r="S699" s="251"/>
      <c r="T699" s="190"/>
      <c r="U699" s="191"/>
      <c r="V699" s="281"/>
      <c r="W699" s="282"/>
      <c r="X699" s="187"/>
      <c r="Y699" s="182"/>
      <c r="Z699" s="182"/>
      <c r="AA699" s="182"/>
      <c r="AB699" s="182"/>
      <c r="AC699" s="210"/>
      <c r="AD699" s="182"/>
      <c r="AE699" s="182"/>
      <c r="AF699" s="211"/>
    </row>
    <row r="700" spans="2:32" ht="13.5" customHeight="1">
      <c r="B700" s="180">
        <v>319</v>
      </c>
      <c r="C700" s="926"/>
      <c r="D700" s="765"/>
      <c r="E700" s="186" t="s">
        <v>10</v>
      </c>
      <c r="F700" s="187" t="str">
        <f t="shared" si="23"/>
        <v>IB2125F</v>
      </c>
      <c r="G700" s="271"/>
      <c r="H700" s="272"/>
      <c r="I700" s="272"/>
      <c r="J700" s="273"/>
      <c r="K700" s="182"/>
      <c r="L700" s="233"/>
      <c r="M700" s="648"/>
      <c r="N700" s="186" t="s">
        <v>11</v>
      </c>
      <c r="O700" s="195" t="str">
        <f t="shared" si="24"/>
        <v>OB2125F</v>
      </c>
      <c r="P700" s="249"/>
      <c r="Q700" s="250"/>
      <c r="R700" s="250"/>
      <c r="S700" s="251"/>
      <c r="T700" s="190"/>
      <c r="U700" s="191"/>
      <c r="V700" s="281"/>
      <c r="W700" s="282"/>
      <c r="X700" s="187"/>
      <c r="Y700" s="182"/>
      <c r="Z700" s="182"/>
      <c r="AA700" s="182"/>
      <c r="AB700" s="182"/>
      <c r="AC700" s="210"/>
      <c r="AD700" s="182"/>
      <c r="AE700" s="182"/>
      <c r="AF700" s="211"/>
    </row>
    <row r="701" spans="2:32" ht="13.5" customHeight="1">
      <c r="B701" s="180">
        <v>288</v>
      </c>
      <c r="C701" s="927" t="s">
        <v>1593</v>
      </c>
      <c r="D701" s="901" t="s">
        <v>1406</v>
      </c>
      <c r="E701" s="186" t="s">
        <v>10</v>
      </c>
      <c r="F701" s="187" t="str">
        <f t="shared" si="23"/>
        <v>IB21260</v>
      </c>
      <c r="G701" s="958" t="s">
        <v>1605</v>
      </c>
      <c r="H701" s="958"/>
      <c r="I701" s="958"/>
      <c r="J701" s="958"/>
      <c r="K701" s="182" t="s">
        <v>1516</v>
      </c>
      <c r="L701" s="234"/>
      <c r="M701" s="649"/>
      <c r="N701" s="186" t="s">
        <v>11</v>
      </c>
      <c r="O701" s="195" t="str">
        <f t="shared" si="24"/>
        <v>OB21260</v>
      </c>
      <c r="P701" s="259"/>
      <c r="Q701" s="260"/>
      <c r="R701" s="260"/>
      <c r="S701" s="261"/>
      <c r="T701" s="190"/>
      <c r="U701" s="191"/>
      <c r="V701" s="761"/>
      <c r="W701" s="762"/>
      <c r="X701" s="187"/>
      <c r="Y701" s="182"/>
      <c r="Z701" s="182"/>
      <c r="AA701" s="182"/>
      <c r="AB701" s="182"/>
      <c r="AC701" s="210"/>
      <c r="AD701" s="182"/>
      <c r="AE701" s="182"/>
      <c r="AF701" s="211"/>
    </row>
    <row r="702" spans="2:32" ht="13.5" customHeight="1">
      <c r="B702" s="180">
        <v>289</v>
      </c>
      <c r="C702" s="811"/>
      <c r="D702" s="765"/>
      <c r="E702" s="186" t="s">
        <v>10</v>
      </c>
      <c r="F702" s="187" t="str">
        <f t="shared" si="23"/>
        <v>IB21261</v>
      </c>
      <c r="G702" s="958" t="s">
        <v>1606</v>
      </c>
      <c r="H702" s="958"/>
      <c r="I702" s="958"/>
      <c r="J702" s="958"/>
      <c r="K702" s="182" t="s">
        <v>1516</v>
      </c>
      <c r="L702" s="234"/>
      <c r="M702" s="649"/>
      <c r="N702" s="186" t="s">
        <v>11</v>
      </c>
      <c r="O702" s="195" t="str">
        <f t="shared" si="24"/>
        <v>OB21261</v>
      </c>
      <c r="P702" s="259"/>
      <c r="Q702" s="260"/>
      <c r="R702" s="260"/>
      <c r="S702" s="261"/>
      <c r="T702" s="190"/>
      <c r="U702" s="191"/>
      <c r="V702" s="761"/>
      <c r="W702" s="762"/>
      <c r="X702" s="187"/>
      <c r="Y702" s="182"/>
      <c r="Z702" s="182"/>
      <c r="AA702" s="182"/>
      <c r="AB702" s="182"/>
      <c r="AC702" s="210"/>
      <c r="AD702" s="182"/>
      <c r="AE702" s="182"/>
      <c r="AF702" s="211"/>
    </row>
    <row r="703" spans="2:32" ht="13.5" customHeight="1">
      <c r="B703" s="180">
        <v>290</v>
      </c>
      <c r="C703" s="811"/>
      <c r="D703" s="765"/>
      <c r="E703" s="186" t="s">
        <v>10</v>
      </c>
      <c r="F703" s="187" t="str">
        <f t="shared" si="23"/>
        <v>IB21262</v>
      </c>
      <c r="G703" s="958" t="s">
        <v>1607</v>
      </c>
      <c r="H703" s="958"/>
      <c r="I703" s="958"/>
      <c r="J703" s="958"/>
      <c r="K703" s="182" t="s">
        <v>1516</v>
      </c>
      <c r="L703" s="234"/>
      <c r="M703" s="649"/>
      <c r="N703" s="186" t="s">
        <v>11</v>
      </c>
      <c r="O703" s="195" t="str">
        <f t="shared" si="24"/>
        <v>OB21262</v>
      </c>
      <c r="P703" s="259"/>
      <c r="Q703" s="260"/>
      <c r="R703" s="260"/>
      <c r="S703" s="261"/>
      <c r="T703" s="190"/>
      <c r="U703" s="191"/>
      <c r="V703" s="761"/>
      <c r="W703" s="762"/>
      <c r="X703" s="187"/>
      <c r="Y703" s="182"/>
      <c r="Z703" s="182"/>
      <c r="AA703" s="182"/>
      <c r="AB703" s="182"/>
      <c r="AC703" s="210"/>
      <c r="AD703" s="182"/>
      <c r="AE703" s="182"/>
      <c r="AF703" s="211"/>
    </row>
    <row r="704" spans="2:32" ht="13.5" customHeight="1">
      <c r="B704" s="180">
        <v>291</v>
      </c>
      <c r="C704" s="811"/>
      <c r="D704" s="765"/>
      <c r="E704" s="186" t="s">
        <v>10</v>
      </c>
      <c r="F704" s="187" t="str">
        <f t="shared" si="23"/>
        <v>IB21263</v>
      </c>
      <c r="G704" s="958" t="s">
        <v>1608</v>
      </c>
      <c r="H704" s="958"/>
      <c r="I704" s="958"/>
      <c r="J704" s="958"/>
      <c r="K704" s="182" t="s">
        <v>1516</v>
      </c>
      <c r="L704" s="234"/>
      <c r="M704" s="649"/>
      <c r="N704" s="186" t="s">
        <v>11</v>
      </c>
      <c r="O704" s="195" t="str">
        <f t="shared" si="24"/>
        <v>OB21263</v>
      </c>
      <c r="P704" s="259"/>
      <c r="Q704" s="260"/>
      <c r="R704" s="260"/>
      <c r="S704" s="261"/>
      <c r="T704" s="190"/>
      <c r="U704" s="191"/>
      <c r="V704" s="761"/>
      <c r="W704" s="762"/>
      <c r="X704" s="187"/>
      <c r="Y704" s="182"/>
      <c r="Z704" s="182"/>
      <c r="AA704" s="182"/>
      <c r="AB704" s="182"/>
      <c r="AC704" s="210"/>
      <c r="AD704" s="182"/>
      <c r="AE704" s="182"/>
      <c r="AF704" s="211"/>
    </row>
    <row r="705" spans="2:32" ht="13.5" customHeight="1">
      <c r="B705" s="180">
        <v>292</v>
      </c>
      <c r="C705" s="811"/>
      <c r="D705" s="765"/>
      <c r="E705" s="186" t="s">
        <v>10</v>
      </c>
      <c r="F705" s="187" t="str">
        <f t="shared" si="23"/>
        <v>IB21264</v>
      </c>
      <c r="G705" s="958" t="s">
        <v>1609</v>
      </c>
      <c r="H705" s="958"/>
      <c r="I705" s="958"/>
      <c r="J705" s="958"/>
      <c r="K705" s="182" t="s">
        <v>1516</v>
      </c>
      <c r="L705" s="233"/>
      <c r="M705" s="648"/>
      <c r="N705" s="186" t="s">
        <v>11</v>
      </c>
      <c r="O705" s="195" t="str">
        <f t="shared" si="24"/>
        <v>OB21264</v>
      </c>
      <c r="P705" s="259"/>
      <c r="Q705" s="260"/>
      <c r="R705" s="260"/>
      <c r="S705" s="261"/>
      <c r="T705" s="190"/>
      <c r="U705" s="191"/>
      <c r="V705" s="909"/>
      <c r="W705" s="909"/>
      <c r="X705" s="187"/>
      <c r="Y705" s="182"/>
      <c r="Z705" s="182"/>
      <c r="AA705" s="182"/>
      <c r="AB705" s="182"/>
      <c r="AC705" s="210"/>
      <c r="AD705" s="182"/>
      <c r="AE705" s="182"/>
      <c r="AF705" s="211"/>
    </row>
    <row r="706" spans="2:32" ht="13.5" customHeight="1">
      <c r="B706" s="180">
        <v>293</v>
      </c>
      <c r="C706" s="811"/>
      <c r="D706" s="765"/>
      <c r="E706" s="186" t="s">
        <v>10</v>
      </c>
      <c r="F706" s="187" t="str">
        <f t="shared" si="23"/>
        <v>IB21265</v>
      </c>
      <c r="G706" s="958" t="s">
        <v>1610</v>
      </c>
      <c r="H706" s="958"/>
      <c r="I706" s="958"/>
      <c r="J706" s="958"/>
      <c r="K706" s="182" t="s">
        <v>1516</v>
      </c>
      <c r="L706" s="233"/>
      <c r="M706" s="648"/>
      <c r="N706" s="186" t="s">
        <v>11</v>
      </c>
      <c r="O706" s="195" t="str">
        <f t="shared" si="24"/>
        <v>OB21265</v>
      </c>
      <c r="P706" s="259"/>
      <c r="Q706" s="260"/>
      <c r="R706" s="260"/>
      <c r="S706" s="261"/>
      <c r="T706" s="190"/>
      <c r="U706" s="191"/>
      <c r="V706" s="909"/>
      <c r="W706" s="909"/>
      <c r="X706" s="187"/>
      <c r="Y706" s="182"/>
      <c r="Z706" s="182"/>
      <c r="AA706" s="182"/>
      <c r="AB706" s="182"/>
      <c r="AC706" s="210"/>
      <c r="AD706" s="182"/>
      <c r="AE706" s="182"/>
      <c r="AF706" s="211"/>
    </row>
    <row r="707" spans="2:32" ht="13.5" customHeight="1">
      <c r="B707" s="180">
        <v>294</v>
      </c>
      <c r="C707" s="811"/>
      <c r="D707" s="765"/>
      <c r="E707" s="186" t="s">
        <v>10</v>
      </c>
      <c r="F707" s="187" t="str">
        <f t="shared" si="23"/>
        <v>IB21266</v>
      </c>
      <c r="G707" s="958" t="s">
        <v>1611</v>
      </c>
      <c r="H707" s="958"/>
      <c r="I707" s="958"/>
      <c r="J707" s="958"/>
      <c r="K707" s="182" t="s">
        <v>1516</v>
      </c>
      <c r="L707" s="233"/>
      <c r="M707" s="648"/>
      <c r="N707" s="186" t="s">
        <v>11</v>
      </c>
      <c r="O707" s="195" t="str">
        <f t="shared" si="24"/>
        <v>OB21266</v>
      </c>
      <c r="P707" s="259"/>
      <c r="Q707" s="260"/>
      <c r="R707" s="260"/>
      <c r="S707" s="261"/>
      <c r="T707" s="190"/>
      <c r="U707" s="191"/>
      <c r="V707" s="909"/>
      <c r="W707" s="909"/>
      <c r="X707" s="187"/>
      <c r="Y707" s="182"/>
      <c r="Z707" s="182"/>
      <c r="AA707" s="182"/>
      <c r="AB707" s="182"/>
      <c r="AC707" s="210"/>
      <c r="AD707" s="182"/>
      <c r="AE707" s="182"/>
      <c r="AF707" s="211"/>
    </row>
    <row r="708" spans="2:32" ht="13.5" customHeight="1">
      <c r="B708" s="180">
        <v>295</v>
      </c>
      <c r="C708" s="811"/>
      <c r="D708" s="765"/>
      <c r="E708" s="186" t="s">
        <v>10</v>
      </c>
      <c r="F708" s="187" t="str">
        <f t="shared" si="23"/>
        <v>IB21267</v>
      </c>
      <c r="G708" s="958" t="s">
        <v>1612</v>
      </c>
      <c r="H708" s="958"/>
      <c r="I708" s="958"/>
      <c r="J708" s="958"/>
      <c r="K708" s="182" t="s">
        <v>1516</v>
      </c>
      <c r="L708" s="233"/>
      <c r="M708" s="648"/>
      <c r="N708" s="186" t="s">
        <v>11</v>
      </c>
      <c r="O708" s="195" t="str">
        <f t="shared" si="24"/>
        <v>OB21267</v>
      </c>
      <c r="P708" s="259"/>
      <c r="Q708" s="260"/>
      <c r="R708" s="260"/>
      <c r="S708" s="261"/>
      <c r="T708" s="190"/>
      <c r="U708" s="191"/>
      <c r="V708" s="909"/>
      <c r="W708" s="909"/>
      <c r="X708" s="187"/>
      <c r="Y708" s="182"/>
      <c r="Z708" s="182"/>
      <c r="AA708" s="182"/>
      <c r="AB708" s="182"/>
      <c r="AC708" s="210"/>
      <c r="AD708" s="182"/>
      <c r="AE708" s="182"/>
      <c r="AF708" s="211"/>
    </row>
    <row r="709" spans="2:32" ht="13.5" customHeight="1">
      <c r="B709" s="180">
        <v>296</v>
      </c>
      <c r="C709" s="811"/>
      <c r="D709" s="765"/>
      <c r="E709" s="186" t="s">
        <v>10</v>
      </c>
      <c r="F709" s="187" t="str">
        <f t="shared" si="23"/>
        <v>IB21268</v>
      </c>
      <c r="G709" s="958" t="s">
        <v>1613</v>
      </c>
      <c r="H709" s="958"/>
      <c r="I709" s="958"/>
      <c r="J709" s="958"/>
      <c r="K709" s="182" t="s">
        <v>1516</v>
      </c>
      <c r="L709" s="233"/>
      <c r="M709" s="648"/>
      <c r="N709" s="186" t="s">
        <v>11</v>
      </c>
      <c r="O709" s="195" t="str">
        <f t="shared" si="24"/>
        <v>OB21268</v>
      </c>
      <c r="P709" s="259"/>
      <c r="Q709" s="260"/>
      <c r="R709" s="260"/>
      <c r="S709" s="261"/>
      <c r="T709" s="190"/>
      <c r="U709" s="191"/>
      <c r="V709" s="909"/>
      <c r="W709" s="909"/>
      <c r="X709" s="187"/>
      <c r="Y709" s="182"/>
      <c r="Z709" s="182"/>
      <c r="AA709" s="182"/>
      <c r="AB709" s="182"/>
      <c r="AC709" s="210"/>
      <c r="AD709" s="182"/>
      <c r="AE709" s="182"/>
      <c r="AF709" s="211"/>
    </row>
    <row r="710" spans="2:32" ht="13.5" customHeight="1">
      <c r="B710" s="180">
        <v>297</v>
      </c>
      <c r="C710" s="811"/>
      <c r="D710" s="765"/>
      <c r="E710" s="186" t="s">
        <v>10</v>
      </c>
      <c r="F710" s="187" t="str">
        <f t="shared" si="23"/>
        <v>IB21269</v>
      </c>
      <c r="G710" s="958" t="s">
        <v>1614</v>
      </c>
      <c r="H710" s="958"/>
      <c r="I710" s="958"/>
      <c r="J710" s="958"/>
      <c r="K710" s="182" t="s">
        <v>1516</v>
      </c>
      <c r="L710" s="233"/>
      <c r="M710" s="648"/>
      <c r="N710" s="186" t="s">
        <v>11</v>
      </c>
      <c r="O710" s="195" t="str">
        <f t="shared" si="24"/>
        <v>OB21269</v>
      </c>
      <c r="P710" s="259"/>
      <c r="Q710" s="260"/>
      <c r="R710" s="260"/>
      <c r="S710" s="261"/>
      <c r="T710" s="190"/>
      <c r="U710" s="191"/>
      <c r="V710" s="909"/>
      <c r="W710" s="909"/>
      <c r="X710" s="187"/>
      <c r="Y710" s="182"/>
      <c r="Z710" s="182"/>
      <c r="AA710" s="182"/>
      <c r="AB710" s="182"/>
      <c r="AC710" s="210"/>
      <c r="AD710" s="182"/>
      <c r="AE710" s="182"/>
      <c r="AF710" s="211"/>
    </row>
    <row r="711" spans="2:32" ht="13.5" customHeight="1">
      <c r="B711" s="180">
        <v>298</v>
      </c>
      <c r="C711" s="811"/>
      <c r="D711" s="765"/>
      <c r="E711" s="186" t="s">
        <v>10</v>
      </c>
      <c r="F711" s="187" t="str">
        <f t="shared" si="23"/>
        <v>IB2126A</v>
      </c>
      <c r="G711" s="958" t="s">
        <v>1615</v>
      </c>
      <c r="H711" s="958"/>
      <c r="I711" s="958"/>
      <c r="J711" s="958"/>
      <c r="K711" s="182" t="s">
        <v>1516</v>
      </c>
      <c r="L711" s="233"/>
      <c r="M711" s="648"/>
      <c r="N711" s="186" t="s">
        <v>11</v>
      </c>
      <c r="O711" s="195" t="str">
        <f t="shared" si="24"/>
        <v>OB2126A</v>
      </c>
      <c r="P711" s="259"/>
      <c r="Q711" s="260"/>
      <c r="R711" s="260"/>
      <c r="S711" s="261"/>
      <c r="T711" s="190"/>
      <c r="U711" s="191"/>
      <c r="V711" s="909"/>
      <c r="W711" s="909"/>
      <c r="X711" s="187"/>
      <c r="Y711" s="182"/>
      <c r="Z711" s="182"/>
      <c r="AA711" s="182"/>
      <c r="AB711" s="182"/>
      <c r="AC711" s="210"/>
      <c r="AD711" s="182"/>
      <c r="AE711" s="182"/>
      <c r="AF711" s="211"/>
    </row>
    <row r="712" spans="2:32" ht="13.5" customHeight="1">
      <c r="B712" s="180">
        <v>299</v>
      </c>
      <c r="C712" s="811"/>
      <c r="D712" s="765"/>
      <c r="E712" s="186" t="s">
        <v>10</v>
      </c>
      <c r="F712" s="187" t="str">
        <f t="shared" si="23"/>
        <v>IB2126B</v>
      </c>
      <c r="G712" s="958" t="s">
        <v>1616</v>
      </c>
      <c r="H712" s="958"/>
      <c r="I712" s="958"/>
      <c r="J712" s="958"/>
      <c r="K712" s="182" t="s">
        <v>1516</v>
      </c>
      <c r="L712" s="233"/>
      <c r="M712" s="648"/>
      <c r="N712" s="186" t="s">
        <v>11</v>
      </c>
      <c r="O712" s="195" t="str">
        <f t="shared" si="24"/>
        <v>OB2126B</v>
      </c>
      <c r="P712" s="259"/>
      <c r="Q712" s="260"/>
      <c r="R712" s="260"/>
      <c r="S712" s="261"/>
      <c r="T712" s="190"/>
      <c r="U712" s="191"/>
      <c r="V712" s="909"/>
      <c r="W712" s="909"/>
      <c r="X712" s="187"/>
      <c r="Y712" s="182"/>
      <c r="Z712" s="182"/>
      <c r="AA712" s="182"/>
      <c r="AB712" s="182"/>
      <c r="AC712" s="210"/>
      <c r="AD712" s="182"/>
      <c r="AE712" s="182"/>
      <c r="AF712" s="211"/>
    </row>
    <row r="713" spans="2:32" ht="13.5" customHeight="1">
      <c r="B713" s="180">
        <v>300</v>
      </c>
      <c r="C713" s="811"/>
      <c r="D713" s="765"/>
      <c r="E713" s="186" t="s">
        <v>10</v>
      </c>
      <c r="F713" s="187" t="str">
        <f t="shared" si="23"/>
        <v>IB2126C</v>
      </c>
      <c r="G713" s="958" t="s">
        <v>1617</v>
      </c>
      <c r="H713" s="958"/>
      <c r="I713" s="958"/>
      <c r="J713" s="958"/>
      <c r="K713" s="182" t="s">
        <v>1516</v>
      </c>
      <c r="L713" s="233"/>
      <c r="M713" s="648"/>
      <c r="N713" s="186" t="s">
        <v>11</v>
      </c>
      <c r="O713" s="195" t="str">
        <f t="shared" si="24"/>
        <v>OB2126C</v>
      </c>
      <c r="P713" s="259"/>
      <c r="Q713" s="260"/>
      <c r="R713" s="260"/>
      <c r="S713" s="261"/>
      <c r="T713" s="190"/>
      <c r="U713" s="191"/>
      <c r="V713" s="909"/>
      <c r="W713" s="909"/>
      <c r="X713" s="187"/>
      <c r="Y713" s="182"/>
      <c r="Z713" s="182"/>
      <c r="AA713" s="182"/>
      <c r="AB713" s="182"/>
      <c r="AC713" s="210"/>
      <c r="AD713" s="182"/>
      <c r="AE713" s="182"/>
      <c r="AF713" s="211"/>
    </row>
    <row r="714" spans="2:32" ht="13.5" customHeight="1">
      <c r="B714" s="180">
        <v>301</v>
      </c>
      <c r="C714" s="811"/>
      <c r="D714" s="765"/>
      <c r="E714" s="186" t="s">
        <v>10</v>
      </c>
      <c r="F714" s="187" t="str">
        <f t="shared" si="23"/>
        <v>IB2126D</v>
      </c>
      <c r="G714" s="958" t="s">
        <v>1618</v>
      </c>
      <c r="H714" s="958"/>
      <c r="I714" s="958"/>
      <c r="J714" s="958"/>
      <c r="K714" s="182" t="s">
        <v>1516</v>
      </c>
      <c r="L714" s="233"/>
      <c r="M714" s="648"/>
      <c r="N714" s="186" t="s">
        <v>11</v>
      </c>
      <c r="O714" s="195" t="str">
        <f t="shared" si="24"/>
        <v>OB2126D</v>
      </c>
      <c r="P714" s="259"/>
      <c r="Q714" s="260"/>
      <c r="R714" s="260"/>
      <c r="S714" s="261"/>
      <c r="T714" s="190"/>
      <c r="U714" s="191"/>
      <c r="V714" s="909"/>
      <c r="W714" s="909"/>
      <c r="X714" s="187"/>
      <c r="Y714" s="182"/>
      <c r="Z714" s="182"/>
      <c r="AA714" s="182"/>
      <c r="AB714" s="182"/>
      <c r="AC714" s="210"/>
      <c r="AD714" s="182"/>
      <c r="AE714" s="182"/>
      <c r="AF714" s="211"/>
    </row>
    <row r="715" spans="2:32" ht="13.5" customHeight="1">
      <c r="B715" s="180">
        <v>302</v>
      </c>
      <c r="C715" s="811"/>
      <c r="D715" s="765"/>
      <c r="E715" s="186" t="s">
        <v>10</v>
      </c>
      <c r="F715" s="187" t="str">
        <f t="shared" si="23"/>
        <v>IB2126E</v>
      </c>
      <c r="G715" s="958" t="s">
        <v>1619</v>
      </c>
      <c r="H715" s="958"/>
      <c r="I715" s="958"/>
      <c r="J715" s="958"/>
      <c r="K715" s="182" t="s">
        <v>1516</v>
      </c>
      <c r="L715" s="233"/>
      <c r="M715" s="648"/>
      <c r="N715" s="186" t="s">
        <v>11</v>
      </c>
      <c r="O715" s="195" t="str">
        <f t="shared" si="24"/>
        <v>OB2126E</v>
      </c>
      <c r="P715" s="259"/>
      <c r="Q715" s="260"/>
      <c r="R715" s="260"/>
      <c r="S715" s="261"/>
      <c r="T715" s="190"/>
      <c r="U715" s="191"/>
      <c r="V715" s="909"/>
      <c r="W715" s="909"/>
      <c r="X715" s="187"/>
      <c r="Y715" s="182"/>
      <c r="Z715" s="182"/>
      <c r="AA715" s="182"/>
      <c r="AB715" s="182"/>
      <c r="AC715" s="210"/>
      <c r="AD715" s="182"/>
      <c r="AE715" s="182"/>
      <c r="AF715" s="211"/>
    </row>
    <row r="716" spans="2:32" ht="13.5" customHeight="1">
      <c r="B716" s="180">
        <v>303</v>
      </c>
      <c r="C716" s="928"/>
      <c r="D716" s="765"/>
      <c r="E716" s="186" t="s">
        <v>10</v>
      </c>
      <c r="F716" s="187" t="str">
        <f t="shared" si="23"/>
        <v>IB2126F</v>
      </c>
      <c r="G716" s="958" t="s">
        <v>1620</v>
      </c>
      <c r="H716" s="958"/>
      <c r="I716" s="958"/>
      <c r="J716" s="958"/>
      <c r="K716" s="182" t="s">
        <v>1516</v>
      </c>
      <c r="L716" s="233"/>
      <c r="M716" s="648"/>
      <c r="N716" s="186" t="s">
        <v>11</v>
      </c>
      <c r="O716" s="195" t="str">
        <f t="shared" si="24"/>
        <v>OB2126F</v>
      </c>
      <c r="P716" s="259"/>
      <c r="Q716" s="260"/>
      <c r="R716" s="260"/>
      <c r="S716" s="261"/>
      <c r="T716" s="190"/>
      <c r="U716" s="191"/>
      <c r="V716" s="909"/>
      <c r="W716" s="909"/>
      <c r="X716" s="187"/>
      <c r="Y716" s="182"/>
      <c r="Z716" s="182"/>
      <c r="AA716" s="182"/>
      <c r="AB716" s="182"/>
      <c r="AC716" s="210"/>
      <c r="AD716" s="182"/>
      <c r="AE716" s="182"/>
      <c r="AF716" s="211"/>
    </row>
    <row r="717" spans="2:32" ht="13.5" customHeight="1">
      <c r="B717" s="180">
        <v>304</v>
      </c>
      <c r="C717" s="925" t="s">
        <v>1594</v>
      </c>
      <c r="D717" s="901" t="s">
        <v>1406</v>
      </c>
      <c r="E717" s="186" t="s">
        <v>10</v>
      </c>
      <c r="F717" s="187" t="str">
        <f t="shared" si="23"/>
        <v>IB21270</v>
      </c>
      <c r="G717" s="259"/>
      <c r="H717" s="260"/>
      <c r="I717" s="260"/>
      <c r="J717" s="261"/>
      <c r="K717" s="190"/>
      <c r="L717" s="209"/>
      <c r="M717" s="190"/>
      <c r="N717" s="186" t="s">
        <v>11</v>
      </c>
      <c r="O717" s="195" t="str">
        <f t="shared" si="24"/>
        <v>OB21270</v>
      </c>
      <c r="P717" s="958" t="s">
        <v>1605</v>
      </c>
      <c r="Q717" s="958"/>
      <c r="R717" s="958"/>
      <c r="S717" s="958"/>
      <c r="T717" s="190" t="s">
        <v>1516</v>
      </c>
      <c r="U717" s="191"/>
      <c r="V717" s="909"/>
      <c r="W717" s="909"/>
      <c r="X717" s="187"/>
      <c r="Y717" s="182"/>
      <c r="Z717" s="182"/>
      <c r="AA717" s="182"/>
      <c r="AB717" s="182"/>
      <c r="AC717" s="210"/>
      <c r="AD717" s="182"/>
      <c r="AE717" s="182"/>
      <c r="AF717" s="211"/>
    </row>
    <row r="718" spans="2:32" ht="13.5" customHeight="1">
      <c r="B718" s="180">
        <v>305</v>
      </c>
      <c r="C718" s="816"/>
      <c r="D718" s="765"/>
      <c r="E718" s="186" t="s">
        <v>10</v>
      </c>
      <c r="F718" s="187" t="str">
        <f t="shared" si="23"/>
        <v>IB21271</v>
      </c>
      <c r="G718" s="259"/>
      <c r="H718" s="260"/>
      <c r="I718" s="260"/>
      <c r="J718" s="261"/>
      <c r="K718" s="190"/>
      <c r="L718" s="209"/>
      <c r="M718" s="190"/>
      <c r="N718" s="186" t="s">
        <v>11</v>
      </c>
      <c r="O718" s="195" t="str">
        <f t="shared" si="24"/>
        <v>OB21271</v>
      </c>
      <c r="P718" s="958" t="s">
        <v>1606</v>
      </c>
      <c r="Q718" s="958"/>
      <c r="R718" s="958"/>
      <c r="S718" s="958"/>
      <c r="T718" s="190" t="s">
        <v>1516</v>
      </c>
      <c r="U718" s="191"/>
      <c r="V718" s="909"/>
      <c r="W718" s="909"/>
      <c r="X718" s="187"/>
      <c r="Y718" s="182"/>
      <c r="Z718" s="182"/>
      <c r="AA718" s="182"/>
      <c r="AB718" s="182"/>
      <c r="AC718" s="210"/>
      <c r="AD718" s="182"/>
      <c r="AE718" s="182"/>
      <c r="AF718" s="211"/>
    </row>
    <row r="719" spans="2:32" ht="13.5" customHeight="1">
      <c r="B719" s="180">
        <v>306</v>
      </c>
      <c r="C719" s="816"/>
      <c r="D719" s="765"/>
      <c r="E719" s="186" t="s">
        <v>10</v>
      </c>
      <c r="F719" s="187" t="str">
        <f t="shared" si="23"/>
        <v>IB21272</v>
      </c>
      <c r="G719" s="259"/>
      <c r="H719" s="260"/>
      <c r="I719" s="260"/>
      <c r="J719" s="261"/>
      <c r="K719" s="190"/>
      <c r="L719" s="209"/>
      <c r="M719" s="190"/>
      <c r="N719" s="186" t="s">
        <v>11</v>
      </c>
      <c r="O719" s="195" t="str">
        <f t="shared" si="24"/>
        <v>OB21272</v>
      </c>
      <c r="P719" s="958" t="s">
        <v>1607</v>
      </c>
      <c r="Q719" s="958"/>
      <c r="R719" s="958"/>
      <c r="S719" s="958"/>
      <c r="T719" s="190" t="s">
        <v>1516</v>
      </c>
      <c r="U719" s="191"/>
      <c r="V719" s="909"/>
      <c r="W719" s="909"/>
      <c r="X719" s="187"/>
      <c r="Y719" s="182"/>
      <c r="Z719" s="182"/>
      <c r="AA719" s="182"/>
      <c r="AB719" s="182"/>
      <c r="AC719" s="210"/>
      <c r="AD719" s="182"/>
      <c r="AE719" s="182"/>
      <c r="AF719" s="211"/>
    </row>
    <row r="720" spans="2:32" ht="13.5" customHeight="1">
      <c r="B720" s="180">
        <v>307</v>
      </c>
      <c r="C720" s="816"/>
      <c r="D720" s="765"/>
      <c r="E720" s="186" t="s">
        <v>10</v>
      </c>
      <c r="F720" s="187" t="str">
        <f t="shared" si="23"/>
        <v>IB21273</v>
      </c>
      <c r="G720" s="259"/>
      <c r="H720" s="260"/>
      <c r="I720" s="260"/>
      <c r="J720" s="261"/>
      <c r="K720" s="190"/>
      <c r="L720" s="209"/>
      <c r="M720" s="190"/>
      <c r="N720" s="186" t="s">
        <v>11</v>
      </c>
      <c r="O720" s="195" t="str">
        <f t="shared" si="24"/>
        <v>OB21273</v>
      </c>
      <c r="P720" s="958" t="s">
        <v>1608</v>
      </c>
      <c r="Q720" s="958"/>
      <c r="R720" s="958"/>
      <c r="S720" s="958"/>
      <c r="T720" s="190" t="s">
        <v>1516</v>
      </c>
      <c r="U720" s="191"/>
      <c r="V720" s="909"/>
      <c r="W720" s="909"/>
      <c r="X720" s="187"/>
      <c r="Y720" s="182"/>
      <c r="Z720" s="182"/>
      <c r="AA720" s="182"/>
      <c r="AB720" s="182"/>
      <c r="AC720" s="210"/>
      <c r="AD720" s="182"/>
      <c r="AE720" s="182"/>
      <c r="AF720" s="211"/>
    </row>
    <row r="721" spans="2:32" ht="13.5" customHeight="1">
      <c r="B721" s="180">
        <v>308</v>
      </c>
      <c r="C721" s="816"/>
      <c r="D721" s="765"/>
      <c r="E721" s="186" t="s">
        <v>10</v>
      </c>
      <c r="F721" s="187" t="str">
        <f t="shared" si="23"/>
        <v>IB21274</v>
      </c>
      <c r="G721" s="259"/>
      <c r="H721" s="260"/>
      <c r="I721" s="260"/>
      <c r="J721" s="261"/>
      <c r="K721" s="190"/>
      <c r="L721" s="209"/>
      <c r="M721" s="190"/>
      <c r="N721" s="186" t="s">
        <v>11</v>
      </c>
      <c r="O721" s="195" t="str">
        <f t="shared" si="24"/>
        <v>OB21274</v>
      </c>
      <c r="P721" s="958" t="s">
        <v>1609</v>
      </c>
      <c r="Q721" s="958"/>
      <c r="R721" s="958"/>
      <c r="S721" s="958"/>
      <c r="T721" s="190" t="s">
        <v>1516</v>
      </c>
      <c r="U721" s="191"/>
      <c r="V721" s="909"/>
      <c r="W721" s="909"/>
      <c r="X721" s="187"/>
      <c r="Y721" s="182"/>
      <c r="Z721" s="182"/>
      <c r="AA721" s="182"/>
      <c r="AB721" s="182"/>
      <c r="AC721" s="210"/>
      <c r="AD721" s="182"/>
      <c r="AE721" s="182"/>
      <c r="AF721" s="211"/>
    </row>
    <row r="722" spans="2:32" ht="13.5" customHeight="1">
      <c r="B722" s="180">
        <v>309</v>
      </c>
      <c r="C722" s="816"/>
      <c r="D722" s="765"/>
      <c r="E722" s="186" t="s">
        <v>10</v>
      </c>
      <c r="F722" s="187" t="str">
        <f t="shared" si="23"/>
        <v>IB21275</v>
      </c>
      <c r="G722" s="259"/>
      <c r="H722" s="260"/>
      <c r="I722" s="260"/>
      <c r="J722" s="261"/>
      <c r="K722" s="190"/>
      <c r="L722" s="209"/>
      <c r="M722" s="190"/>
      <c r="N722" s="186" t="s">
        <v>11</v>
      </c>
      <c r="O722" s="195" t="str">
        <f t="shared" si="24"/>
        <v>OB21275</v>
      </c>
      <c r="P722" s="958" t="s">
        <v>1610</v>
      </c>
      <c r="Q722" s="958"/>
      <c r="R722" s="958"/>
      <c r="S722" s="958"/>
      <c r="T722" s="190" t="s">
        <v>1516</v>
      </c>
      <c r="U722" s="191"/>
      <c r="V722" s="909"/>
      <c r="W722" s="909"/>
      <c r="X722" s="187"/>
      <c r="Y722" s="182"/>
      <c r="Z722" s="182"/>
      <c r="AA722" s="182"/>
      <c r="AB722" s="182"/>
      <c r="AC722" s="210"/>
      <c r="AD722" s="182"/>
      <c r="AE722" s="182"/>
      <c r="AF722" s="211"/>
    </row>
    <row r="723" spans="2:32" ht="13.5" customHeight="1">
      <c r="B723" s="180">
        <v>310</v>
      </c>
      <c r="C723" s="816"/>
      <c r="D723" s="765"/>
      <c r="E723" s="186" t="s">
        <v>10</v>
      </c>
      <c r="F723" s="187" t="str">
        <f t="shared" si="23"/>
        <v>IB21276</v>
      </c>
      <c r="G723" s="259"/>
      <c r="H723" s="260"/>
      <c r="I723" s="260"/>
      <c r="J723" s="261"/>
      <c r="K723" s="190"/>
      <c r="L723" s="209"/>
      <c r="M723" s="190"/>
      <c r="N723" s="186" t="s">
        <v>11</v>
      </c>
      <c r="O723" s="195" t="str">
        <f t="shared" si="24"/>
        <v>OB21276</v>
      </c>
      <c r="P723" s="958" t="s">
        <v>1611</v>
      </c>
      <c r="Q723" s="958"/>
      <c r="R723" s="958"/>
      <c r="S723" s="958"/>
      <c r="T723" s="190" t="s">
        <v>1516</v>
      </c>
      <c r="U723" s="191"/>
      <c r="V723" s="909"/>
      <c r="W723" s="909"/>
      <c r="X723" s="187"/>
      <c r="Y723" s="182"/>
      <c r="Z723" s="182"/>
      <c r="AA723" s="182"/>
      <c r="AB723" s="182"/>
      <c r="AC723" s="210"/>
      <c r="AD723" s="182"/>
      <c r="AE723" s="182"/>
      <c r="AF723" s="211"/>
    </row>
    <row r="724" spans="2:32" ht="13.5" customHeight="1">
      <c r="B724" s="180">
        <v>311</v>
      </c>
      <c r="C724" s="816"/>
      <c r="D724" s="765"/>
      <c r="E724" s="186" t="s">
        <v>10</v>
      </c>
      <c r="F724" s="187" t="str">
        <f t="shared" si="23"/>
        <v>IB21277</v>
      </c>
      <c r="G724" s="259"/>
      <c r="H724" s="260"/>
      <c r="I724" s="260"/>
      <c r="J724" s="261"/>
      <c r="K724" s="190"/>
      <c r="L724" s="209"/>
      <c r="M724" s="190"/>
      <c r="N724" s="186" t="s">
        <v>11</v>
      </c>
      <c r="O724" s="195" t="str">
        <f t="shared" si="24"/>
        <v>OB21277</v>
      </c>
      <c r="P724" s="958" t="s">
        <v>1612</v>
      </c>
      <c r="Q724" s="958"/>
      <c r="R724" s="958"/>
      <c r="S724" s="958"/>
      <c r="T724" s="190" t="s">
        <v>1516</v>
      </c>
      <c r="U724" s="191"/>
      <c r="V724" s="909"/>
      <c r="W724" s="909"/>
      <c r="X724" s="187"/>
      <c r="Y724" s="182"/>
      <c r="Z724" s="182"/>
      <c r="AA724" s="182"/>
      <c r="AB724" s="182"/>
      <c r="AC724" s="210"/>
      <c r="AD724" s="182"/>
      <c r="AE724" s="182"/>
      <c r="AF724" s="211"/>
    </row>
    <row r="725" spans="2:32" ht="13.5" customHeight="1">
      <c r="B725" s="180">
        <v>312</v>
      </c>
      <c r="C725" s="816"/>
      <c r="D725" s="765"/>
      <c r="E725" s="186" t="s">
        <v>10</v>
      </c>
      <c r="F725" s="187" t="str">
        <f t="shared" si="23"/>
        <v>IB21278</v>
      </c>
      <c r="G725" s="259"/>
      <c r="H725" s="260"/>
      <c r="I725" s="260"/>
      <c r="J725" s="261"/>
      <c r="K725" s="190"/>
      <c r="L725" s="209"/>
      <c r="M725" s="190"/>
      <c r="N725" s="186" t="s">
        <v>11</v>
      </c>
      <c r="O725" s="195" t="str">
        <f t="shared" si="24"/>
        <v>OB21278</v>
      </c>
      <c r="P725" s="958" t="s">
        <v>1613</v>
      </c>
      <c r="Q725" s="958"/>
      <c r="R725" s="958"/>
      <c r="S725" s="958"/>
      <c r="T725" s="190" t="s">
        <v>1516</v>
      </c>
      <c r="U725" s="191"/>
      <c r="V725" s="909"/>
      <c r="W725" s="909"/>
      <c r="X725" s="187"/>
      <c r="Y725" s="182"/>
      <c r="Z725" s="182"/>
      <c r="AA725" s="182"/>
      <c r="AB725" s="182"/>
      <c r="AC725" s="210"/>
      <c r="AD725" s="182"/>
      <c r="AE725" s="182"/>
      <c r="AF725" s="211"/>
    </row>
    <row r="726" spans="2:32" ht="13.5" customHeight="1">
      <c r="B726" s="180">
        <v>313</v>
      </c>
      <c r="C726" s="816"/>
      <c r="D726" s="765"/>
      <c r="E726" s="186" t="s">
        <v>10</v>
      </c>
      <c r="F726" s="187" t="str">
        <f t="shared" si="23"/>
        <v>IB21279</v>
      </c>
      <c r="G726" s="259"/>
      <c r="H726" s="260"/>
      <c r="I726" s="260"/>
      <c r="J726" s="261"/>
      <c r="K726" s="190"/>
      <c r="L726" s="209"/>
      <c r="M726" s="190"/>
      <c r="N726" s="186" t="s">
        <v>11</v>
      </c>
      <c r="O726" s="195" t="str">
        <f t="shared" si="24"/>
        <v>OB21279</v>
      </c>
      <c r="P726" s="958" t="s">
        <v>1614</v>
      </c>
      <c r="Q726" s="958"/>
      <c r="R726" s="958"/>
      <c r="S726" s="958"/>
      <c r="T726" s="190" t="s">
        <v>1516</v>
      </c>
      <c r="U726" s="191"/>
      <c r="V726" s="909"/>
      <c r="W726" s="909"/>
      <c r="X726" s="187"/>
      <c r="Y726" s="182"/>
      <c r="Z726" s="182"/>
      <c r="AA726" s="182"/>
      <c r="AB726" s="182"/>
      <c r="AC726" s="210"/>
      <c r="AD726" s="182"/>
      <c r="AE726" s="182"/>
      <c r="AF726" s="211"/>
    </row>
    <row r="727" spans="2:32" ht="13.5" customHeight="1">
      <c r="B727" s="180">
        <v>314</v>
      </c>
      <c r="C727" s="816"/>
      <c r="D727" s="765"/>
      <c r="E727" s="186" t="s">
        <v>10</v>
      </c>
      <c r="F727" s="187" t="str">
        <f t="shared" si="23"/>
        <v>IB2127A</v>
      </c>
      <c r="G727" s="259"/>
      <c r="H727" s="260"/>
      <c r="I727" s="260"/>
      <c r="J727" s="261"/>
      <c r="K727" s="190"/>
      <c r="L727" s="209"/>
      <c r="M727" s="190"/>
      <c r="N727" s="186" t="s">
        <v>11</v>
      </c>
      <c r="O727" s="195" t="str">
        <f t="shared" si="24"/>
        <v>OB2127A</v>
      </c>
      <c r="P727" s="958" t="s">
        <v>1615</v>
      </c>
      <c r="Q727" s="958"/>
      <c r="R727" s="958"/>
      <c r="S727" s="958"/>
      <c r="T727" s="190" t="s">
        <v>1516</v>
      </c>
      <c r="U727" s="191"/>
      <c r="V727" s="909"/>
      <c r="W727" s="909"/>
      <c r="X727" s="187"/>
      <c r="Y727" s="182"/>
      <c r="Z727" s="182"/>
      <c r="AA727" s="182"/>
      <c r="AB727" s="182"/>
      <c r="AC727" s="210"/>
      <c r="AD727" s="182"/>
      <c r="AE727" s="182"/>
      <c r="AF727" s="211"/>
    </row>
    <row r="728" spans="2:32" ht="13.5" customHeight="1">
      <c r="B728" s="180">
        <v>315</v>
      </c>
      <c r="C728" s="816"/>
      <c r="D728" s="765"/>
      <c r="E728" s="186" t="s">
        <v>10</v>
      </c>
      <c r="F728" s="187" t="str">
        <f t="shared" si="23"/>
        <v>IB2127B</v>
      </c>
      <c r="G728" s="259"/>
      <c r="H728" s="260"/>
      <c r="I728" s="260"/>
      <c r="J728" s="261"/>
      <c r="K728" s="190"/>
      <c r="L728" s="209"/>
      <c r="M728" s="190"/>
      <c r="N728" s="186" t="s">
        <v>11</v>
      </c>
      <c r="O728" s="195" t="str">
        <f t="shared" si="24"/>
        <v>OB2127B</v>
      </c>
      <c r="P728" s="958" t="s">
        <v>1616</v>
      </c>
      <c r="Q728" s="958"/>
      <c r="R728" s="958"/>
      <c r="S728" s="958"/>
      <c r="T728" s="190" t="s">
        <v>1516</v>
      </c>
      <c r="U728" s="191"/>
      <c r="V728" s="909"/>
      <c r="W728" s="909"/>
      <c r="X728" s="187"/>
      <c r="Y728" s="182"/>
      <c r="Z728" s="182"/>
      <c r="AA728" s="182"/>
      <c r="AB728" s="182"/>
      <c r="AC728" s="210"/>
      <c r="AD728" s="182"/>
      <c r="AE728" s="182"/>
      <c r="AF728" s="211"/>
    </row>
    <row r="729" spans="2:32" ht="13.5" customHeight="1">
      <c r="B729" s="180">
        <v>316</v>
      </c>
      <c r="C729" s="816"/>
      <c r="D729" s="765"/>
      <c r="E729" s="186" t="s">
        <v>10</v>
      </c>
      <c r="F729" s="187" t="str">
        <f t="shared" si="23"/>
        <v>IB2127C</v>
      </c>
      <c r="G729" s="259"/>
      <c r="H729" s="260"/>
      <c r="I729" s="260"/>
      <c r="J729" s="261"/>
      <c r="K729" s="190"/>
      <c r="L729" s="209"/>
      <c r="M729" s="190"/>
      <c r="N729" s="186" t="s">
        <v>11</v>
      </c>
      <c r="O729" s="195" t="str">
        <f t="shared" si="24"/>
        <v>OB2127C</v>
      </c>
      <c r="P729" s="958" t="s">
        <v>1617</v>
      </c>
      <c r="Q729" s="958"/>
      <c r="R729" s="958"/>
      <c r="S729" s="958"/>
      <c r="T729" s="190" t="s">
        <v>1516</v>
      </c>
      <c r="U729" s="191"/>
      <c r="V729" s="909"/>
      <c r="W729" s="909"/>
      <c r="X729" s="187"/>
      <c r="Y729" s="182"/>
      <c r="Z729" s="182"/>
      <c r="AA729" s="182"/>
      <c r="AB729" s="182"/>
      <c r="AC729" s="210"/>
      <c r="AD729" s="182"/>
      <c r="AE729" s="182"/>
      <c r="AF729" s="211"/>
    </row>
    <row r="730" spans="2:32" ht="13.5" customHeight="1">
      <c r="B730" s="180">
        <v>317</v>
      </c>
      <c r="C730" s="816"/>
      <c r="D730" s="765"/>
      <c r="E730" s="186" t="s">
        <v>10</v>
      </c>
      <c r="F730" s="187" t="str">
        <f t="shared" si="23"/>
        <v>IB2127D</v>
      </c>
      <c r="G730" s="259"/>
      <c r="H730" s="260"/>
      <c r="I730" s="260"/>
      <c r="J730" s="261"/>
      <c r="K730" s="182"/>
      <c r="L730" s="235"/>
      <c r="M730" s="633"/>
      <c r="N730" s="186" t="s">
        <v>11</v>
      </c>
      <c r="O730" s="195" t="str">
        <f t="shared" si="24"/>
        <v>OB2127D</v>
      </c>
      <c r="P730" s="958" t="s">
        <v>1618</v>
      </c>
      <c r="Q730" s="958"/>
      <c r="R730" s="958"/>
      <c r="S730" s="958"/>
      <c r="T730" s="190" t="s">
        <v>1516</v>
      </c>
      <c r="U730" s="191"/>
      <c r="V730" s="909"/>
      <c r="W730" s="909"/>
      <c r="X730" s="187"/>
      <c r="Y730" s="182"/>
      <c r="Z730" s="182"/>
      <c r="AA730" s="182"/>
      <c r="AB730" s="182"/>
      <c r="AC730" s="210"/>
      <c r="AD730" s="182"/>
      <c r="AE730" s="182"/>
      <c r="AF730" s="211"/>
    </row>
    <row r="731" spans="2:32" ht="13.5" customHeight="1">
      <c r="B731" s="180">
        <v>318</v>
      </c>
      <c r="C731" s="816"/>
      <c r="D731" s="765"/>
      <c r="E731" s="186" t="s">
        <v>10</v>
      </c>
      <c r="F731" s="187" t="str">
        <f t="shared" si="23"/>
        <v>IB2127E</v>
      </c>
      <c r="G731" s="259"/>
      <c r="H731" s="260"/>
      <c r="I731" s="260"/>
      <c r="J731" s="261"/>
      <c r="K731" s="182"/>
      <c r="L731" s="233"/>
      <c r="M731" s="648"/>
      <c r="N731" s="186" t="s">
        <v>11</v>
      </c>
      <c r="O731" s="195" t="str">
        <f t="shared" si="24"/>
        <v>OB2127E</v>
      </c>
      <c r="P731" s="958" t="s">
        <v>1619</v>
      </c>
      <c r="Q731" s="958"/>
      <c r="R731" s="958"/>
      <c r="S731" s="958"/>
      <c r="T731" s="190" t="s">
        <v>1516</v>
      </c>
      <c r="U731" s="191"/>
      <c r="V731" s="909"/>
      <c r="W731" s="909"/>
      <c r="X731" s="187"/>
      <c r="Y731" s="182"/>
      <c r="Z731" s="182"/>
      <c r="AA731" s="182"/>
      <c r="AB731" s="182"/>
      <c r="AC731" s="210"/>
      <c r="AD731" s="182"/>
      <c r="AE731" s="182"/>
      <c r="AF731" s="211"/>
    </row>
    <row r="732" spans="2:32" ht="13.5" customHeight="1">
      <c r="B732" s="291">
        <v>319</v>
      </c>
      <c r="C732" s="956"/>
      <c r="D732" s="923"/>
      <c r="E732" s="292" t="s">
        <v>10</v>
      </c>
      <c r="F732" s="293" t="str">
        <f t="shared" si="23"/>
        <v>IB2127F</v>
      </c>
      <c r="G732" s="361"/>
      <c r="H732" s="362"/>
      <c r="I732" s="362"/>
      <c r="J732" s="363"/>
      <c r="K732" s="299"/>
      <c r="L732" s="294"/>
      <c r="M732" s="650"/>
      <c r="N732" s="292" t="s">
        <v>11</v>
      </c>
      <c r="O732" s="195" t="str">
        <f t="shared" si="24"/>
        <v>OB2127F</v>
      </c>
      <c r="P732" s="958" t="s">
        <v>1620</v>
      </c>
      <c r="Q732" s="958"/>
      <c r="R732" s="958"/>
      <c r="S732" s="958"/>
      <c r="T732" s="190" t="s">
        <v>1516</v>
      </c>
      <c r="U732" s="298"/>
      <c r="V732" s="955"/>
      <c r="W732" s="955"/>
      <c r="X732" s="293"/>
      <c r="Y732" s="299"/>
      <c r="Z732" s="299"/>
      <c r="AA732" s="299"/>
      <c r="AB732" s="299"/>
      <c r="AC732" s="300"/>
      <c r="AD732" s="299"/>
      <c r="AE732" s="299"/>
      <c r="AF732" s="301"/>
    </row>
    <row r="733" spans="2:32" ht="17.25" customHeight="1">
      <c r="B733" s="180">
        <v>320</v>
      </c>
      <c r="C733" s="907" t="s">
        <v>1595</v>
      </c>
      <c r="D733" s="843" t="s">
        <v>1416</v>
      </c>
      <c r="E733" s="35" t="s">
        <v>10</v>
      </c>
      <c r="F733" s="36" t="str">
        <f t="shared" ref="F733:F748" si="25">LEFT(F732,1)&amp;DEC2HEX(HEX2DEC(MID(F732,2,LENB(F732)-1))+1,LENB(F732)-1)</f>
        <v>IB21280</v>
      </c>
      <c r="G733" s="305"/>
      <c r="H733" s="306"/>
      <c r="I733" s="306"/>
      <c r="J733" s="307"/>
      <c r="K733" s="140"/>
      <c r="L733" s="294"/>
      <c r="M733" s="651"/>
      <c r="N733" s="35" t="s">
        <v>11</v>
      </c>
      <c r="O733" s="195" t="str">
        <f t="shared" si="24"/>
        <v>OB21280</v>
      </c>
      <c r="P733" s="364"/>
      <c r="Q733" s="365"/>
      <c r="R733" s="365"/>
      <c r="S733" s="366"/>
      <c r="T733" s="140"/>
      <c r="U733" s="142"/>
      <c r="V733" s="882"/>
      <c r="W733" s="883"/>
      <c r="X733" s="36"/>
      <c r="Y733" s="143"/>
      <c r="Z733" s="143"/>
      <c r="AA733" s="143"/>
      <c r="AB733" s="143"/>
      <c r="AC733" s="144"/>
      <c r="AD733" s="143"/>
      <c r="AE733" s="143"/>
      <c r="AF733" s="145"/>
    </row>
    <row r="734" spans="2:32" ht="17.25" customHeight="1">
      <c r="B734" s="291">
        <v>321</v>
      </c>
      <c r="C734" s="816"/>
      <c r="D734" s="792"/>
      <c r="E734" s="35" t="s">
        <v>10</v>
      </c>
      <c r="F734" s="36" t="str">
        <f t="shared" si="25"/>
        <v>IB21281</v>
      </c>
      <c r="G734" s="305"/>
      <c r="H734" s="306"/>
      <c r="I734" s="306"/>
      <c r="J734" s="307"/>
      <c r="K734" s="140"/>
      <c r="L734" s="233"/>
      <c r="M734" s="651"/>
      <c r="N734" s="35" t="s">
        <v>11</v>
      </c>
      <c r="O734" s="195" t="str">
        <f t="shared" ref="O734:O744" si="26">LEFT(O733,1)&amp;DEC2HEX(HEX2DEC(MID(O733,2,LENB(O733)-1))+1,LENB(O733)-1)</f>
        <v>OB21281</v>
      </c>
      <c r="P734" s="364"/>
      <c r="Q734" s="365"/>
      <c r="R734" s="365"/>
      <c r="S734" s="366"/>
      <c r="T734" s="140"/>
      <c r="U734" s="142"/>
      <c r="V734" s="882"/>
      <c r="W734" s="883"/>
      <c r="X734" s="36"/>
      <c r="Y734" s="143"/>
      <c r="Z734" s="143"/>
      <c r="AA734" s="143"/>
      <c r="AB734" s="143"/>
      <c r="AC734" s="144"/>
      <c r="AD734" s="143"/>
      <c r="AE734" s="143"/>
      <c r="AF734" s="145"/>
    </row>
    <row r="735" spans="2:32" ht="17.25" customHeight="1">
      <c r="B735" s="180">
        <v>322</v>
      </c>
      <c r="C735" s="816"/>
      <c r="D735" s="792"/>
      <c r="E735" s="35" t="s">
        <v>10</v>
      </c>
      <c r="F735" s="36" t="str">
        <f t="shared" si="25"/>
        <v>IB21282</v>
      </c>
      <c r="G735" s="305"/>
      <c r="H735" s="306"/>
      <c r="I735" s="306"/>
      <c r="J735" s="307"/>
      <c r="K735" s="140"/>
      <c r="L735" s="233"/>
      <c r="M735" s="651"/>
      <c r="N735" s="35" t="s">
        <v>11</v>
      </c>
      <c r="O735" s="195" t="str">
        <f t="shared" si="26"/>
        <v>OB21282</v>
      </c>
      <c r="P735" s="364"/>
      <c r="Q735" s="365"/>
      <c r="R735" s="365"/>
      <c r="S735" s="366"/>
      <c r="T735" s="140"/>
      <c r="U735" s="142"/>
      <c r="V735" s="882"/>
      <c r="W735" s="883"/>
      <c r="X735" s="36"/>
      <c r="Y735" s="143"/>
      <c r="Z735" s="143"/>
      <c r="AA735" s="143"/>
      <c r="AB735" s="143"/>
      <c r="AC735" s="144"/>
      <c r="AD735" s="143"/>
      <c r="AE735" s="143"/>
      <c r="AF735" s="145"/>
    </row>
    <row r="736" spans="2:32" ht="17.25" customHeight="1">
      <c r="B736" s="291">
        <v>323</v>
      </c>
      <c r="C736" s="816"/>
      <c r="D736" s="792"/>
      <c r="E736" s="35" t="s">
        <v>10</v>
      </c>
      <c r="F736" s="36" t="str">
        <f t="shared" si="25"/>
        <v>IB21283</v>
      </c>
      <c r="G736" s="305"/>
      <c r="H736" s="306"/>
      <c r="I736" s="306"/>
      <c r="J736" s="307"/>
      <c r="K736" s="140"/>
      <c r="L736" s="233"/>
      <c r="M736" s="651"/>
      <c r="N736" s="35" t="s">
        <v>11</v>
      </c>
      <c r="O736" s="195" t="str">
        <f t="shared" si="26"/>
        <v>OB21283</v>
      </c>
      <c r="P736" s="364"/>
      <c r="Q736" s="365"/>
      <c r="R736" s="365"/>
      <c r="S736" s="366"/>
      <c r="T736" s="140"/>
      <c r="U736" s="142"/>
      <c r="V736" s="882"/>
      <c r="W736" s="883"/>
      <c r="X736" s="36"/>
      <c r="Y736" s="143"/>
      <c r="Z736" s="143"/>
      <c r="AA736" s="143"/>
      <c r="AB736" s="143"/>
      <c r="AC736" s="144"/>
      <c r="AD736" s="143"/>
      <c r="AE736" s="143"/>
      <c r="AF736" s="145"/>
    </row>
    <row r="737" spans="2:32" ht="17.25" customHeight="1">
      <c r="B737" s="180">
        <v>324</v>
      </c>
      <c r="C737" s="816"/>
      <c r="D737" s="792"/>
      <c r="E737" s="35" t="s">
        <v>10</v>
      </c>
      <c r="F737" s="36" t="str">
        <f t="shared" si="25"/>
        <v>IB21284</v>
      </c>
      <c r="G737" s="305"/>
      <c r="H737" s="306"/>
      <c r="I737" s="306"/>
      <c r="J737" s="307"/>
      <c r="K737" s="140"/>
      <c r="L737" s="233"/>
      <c r="M737" s="651"/>
      <c r="N737" s="35" t="s">
        <v>11</v>
      </c>
      <c r="O737" s="195" t="str">
        <f t="shared" si="26"/>
        <v>OB21284</v>
      </c>
      <c r="P737" s="364"/>
      <c r="Q737" s="365"/>
      <c r="R737" s="365"/>
      <c r="S737" s="366"/>
      <c r="T737" s="140"/>
      <c r="U737" s="142"/>
      <c r="V737" s="882"/>
      <c r="W737" s="883"/>
      <c r="X737" s="36"/>
      <c r="Y737" s="143"/>
      <c r="Z737" s="143"/>
      <c r="AA737" s="143"/>
      <c r="AB737" s="143"/>
      <c r="AC737" s="144"/>
      <c r="AD737" s="143"/>
      <c r="AE737" s="143"/>
      <c r="AF737" s="145"/>
    </row>
    <row r="738" spans="2:32" ht="17.25" customHeight="1">
      <c r="B738" s="291">
        <v>325</v>
      </c>
      <c r="C738" s="816"/>
      <c r="D738" s="792"/>
      <c r="E738" s="35" t="s">
        <v>10</v>
      </c>
      <c r="F738" s="36" t="str">
        <f t="shared" si="25"/>
        <v>IB21285</v>
      </c>
      <c r="G738" s="305"/>
      <c r="H738" s="306"/>
      <c r="I738" s="306"/>
      <c r="J738" s="307"/>
      <c r="K738" s="140"/>
      <c r="L738" s="233"/>
      <c r="M738" s="651"/>
      <c r="N738" s="35" t="s">
        <v>11</v>
      </c>
      <c r="O738" s="195" t="str">
        <f t="shared" si="26"/>
        <v>OB21285</v>
      </c>
      <c r="P738" s="364"/>
      <c r="Q738" s="365"/>
      <c r="R738" s="365"/>
      <c r="S738" s="366"/>
      <c r="T738" s="140"/>
      <c r="U738" s="142"/>
      <c r="V738" s="882"/>
      <c r="W738" s="883"/>
      <c r="X738" s="36"/>
      <c r="Y738" s="143"/>
      <c r="Z738" s="143"/>
      <c r="AA738" s="143"/>
      <c r="AB738" s="143"/>
      <c r="AC738" s="144"/>
      <c r="AD738" s="143"/>
      <c r="AE738" s="143"/>
      <c r="AF738" s="145"/>
    </row>
    <row r="739" spans="2:32" ht="17.25" customHeight="1">
      <c r="B739" s="180">
        <v>326</v>
      </c>
      <c r="C739" s="816"/>
      <c r="D739" s="792"/>
      <c r="E739" s="35" t="s">
        <v>10</v>
      </c>
      <c r="F739" s="36" t="str">
        <f t="shared" si="25"/>
        <v>IB21286</v>
      </c>
      <c r="G739" s="305"/>
      <c r="H739" s="306"/>
      <c r="I739" s="306"/>
      <c r="J739" s="307"/>
      <c r="K739" s="140"/>
      <c r="L739" s="233"/>
      <c r="M739" s="651"/>
      <c r="N739" s="35" t="s">
        <v>11</v>
      </c>
      <c r="O739" s="195" t="str">
        <f t="shared" si="26"/>
        <v>OB21286</v>
      </c>
      <c r="P739" s="364"/>
      <c r="Q739" s="365"/>
      <c r="R739" s="365"/>
      <c r="S739" s="366"/>
      <c r="T739" s="140"/>
      <c r="U739" s="142"/>
      <c r="V739" s="882"/>
      <c r="W739" s="883"/>
      <c r="X739" s="36"/>
      <c r="Y739" s="143"/>
      <c r="Z739" s="143"/>
      <c r="AA739" s="143"/>
      <c r="AB739" s="143"/>
      <c r="AC739" s="144"/>
      <c r="AD739" s="143"/>
      <c r="AE739" s="143"/>
      <c r="AF739" s="145"/>
    </row>
    <row r="740" spans="2:32" ht="17.25" customHeight="1">
      <c r="B740" s="291">
        <v>327</v>
      </c>
      <c r="C740" s="816"/>
      <c r="D740" s="792"/>
      <c r="E740" s="35" t="s">
        <v>10</v>
      </c>
      <c r="F740" s="36" t="str">
        <f t="shared" si="25"/>
        <v>IB21287</v>
      </c>
      <c r="G740" s="305"/>
      <c r="H740" s="306"/>
      <c r="I740" s="306"/>
      <c r="J740" s="307"/>
      <c r="K740" s="140"/>
      <c r="L740" s="233"/>
      <c r="M740" s="651"/>
      <c r="N740" s="35" t="s">
        <v>11</v>
      </c>
      <c r="O740" s="195" t="str">
        <f t="shared" si="26"/>
        <v>OB21287</v>
      </c>
      <c r="P740" s="364"/>
      <c r="Q740" s="365"/>
      <c r="R740" s="365"/>
      <c r="S740" s="366"/>
      <c r="T740" s="140"/>
      <c r="U740" s="142"/>
      <c r="V740" s="882"/>
      <c r="W740" s="883"/>
      <c r="X740" s="36"/>
      <c r="Y740" s="143"/>
      <c r="Z740" s="143"/>
      <c r="AA740" s="143"/>
      <c r="AB740" s="143"/>
      <c r="AC740" s="144"/>
      <c r="AD740" s="143"/>
      <c r="AE740" s="143"/>
      <c r="AF740" s="145"/>
    </row>
    <row r="741" spans="2:32" ht="17.25" customHeight="1">
      <c r="B741" s="180">
        <v>328</v>
      </c>
      <c r="C741" s="816"/>
      <c r="D741" s="792"/>
      <c r="E741" s="35" t="s">
        <v>10</v>
      </c>
      <c r="F741" s="36" t="str">
        <f t="shared" si="25"/>
        <v>IB21288</v>
      </c>
      <c r="G741" s="364"/>
      <c r="H741" s="365"/>
      <c r="I741" s="365"/>
      <c r="J741" s="366"/>
      <c r="K741" s="140"/>
      <c r="L741" s="233"/>
      <c r="M741" s="651"/>
      <c r="N741" s="35" t="s">
        <v>11</v>
      </c>
      <c r="O741" s="195" t="str">
        <f t="shared" si="26"/>
        <v>OB21288</v>
      </c>
      <c r="P741" s="305" t="s">
        <v>282</v>
      </c>
      <c r="Q741" s="306"/>
      <c r="R741" s="306"/>
      <c r="S741" s="307"/>
      <c r="T741" s="140" t="s">
        <v>1516</v>
      </c>
      <c r="U741" s="142" t="s">
        <v>1513</v>
      </c>
      <c r="V741" s="882"/>
      <c r="W741" s="883"/>
      <c r="X741" s="36"/>
      <c r="Y741" s="143"/>
      <c r="Z741" s="143"/>
      <c r="AA741" s="143"/>
      <c r="AB741" s="143"/>
      <c r="AC741" s="144"/>
      <c r="AD741" s="143"/>
      <c r="AE741" s="143"/>
      <c r="AF741" s="145"/>
    </row>
    <row r="742" spans="2:32" ht="17.25" customHeight="1">
      <c r="B742" s="291">
        <v>329</v>
      </c>
      <c r="C742" s="816"/>
      <c r="D742" s="792"/>
      <c r="E742" s="35" t="s">
        <v>10</v>
      </c>
      <c r="F742" s="36" t="str">
        <f t="shared" si="25"/>
        <v>IB21289</v>
      </c>
      <c r="G742" s="364"/>
      <c r="H742" s="365"/>
      <c r="I742" s="365"/>
      <c r="J742" s="366"/>
      <c r="K742" s="140"/>
      <c r="L742" s="233"/>
      <c r="M742" s="651"/>
      <c r="N742" s="35" t="s">
        <v>11</v>
      </c>
      <c r="O742" s="195" t="str">
        <f t="shared" si="26"/>
        <v>OB21289</v>
      </c>
      <c r="P742" s="243" t="s">
        <v>821</v>
      </c>
      <c r="Q742" s="306"/>
      <c r="R742" s="306"/>
      <c r="S742" s="307"/>
      <c r="T742" s="608" t="s">
        <v>1528</v>
      </c>
      <c r="U742" s="142" t="s">
        <v>1513</v>
      </c>
      <c r="V742" s="761" t="s">
        <v>1549</v>
      </c>
      <c r="W742" s="762"/>
      <c r="X742" s="36"/>
      <c r="Y742" s="143"/>
      <c r="Z742" s="143"/>
      <c r="AA742" s="143"/>
      <c r="AB742" s="143"/>
      <c r="AC742" s="144"/>
      <c r="AD742" s="143"/>
      <c r="AE742" s="143"/>
      <c r="AF742" s="145"/>
    </row>
    <row r="743" spans="2:32" ht="17.25" customHeight="1">
      <c r="B743" s="180">
        <v>330</v>
      </c>
      <c r="C743" s="816"/>
      <c r="D743" s="792"/>
      <c r="E743" s="35" t="s">
        <v>10</v>
      </c>
      <c r="F743" s="36" t="str">
        <f t="shared" si="25"/>
        <v>IB2128A</v>
      </c>
      <c r="G743" s="364"/>
      <c r="H743" s="365"/>
      <c r="I743" s="365"/>
      <c r="J743" s="366"/>
      <c r="K743" s="140"/>
      <c r="L743" s="233"/>
      <c r="M743" s="651"/>
      <c r="N743" s="35" t="s">
        <v>11</v>
      </c>
      <c r="O743" s="195" t="str">
        <f t="shared" si="26"/>
        <v>OB2128A</v>
      </c>
      <c r="P743" s="305"/>
      <c r="Q743" s="306"/>
      <c r="R743" s="306"/>
      <c r="S743" s="307"/>
      <c r="T743" s="140"/>
      <c r="U743" s="142"/>
      <c r="V743" s="882"/>
      <c r="W743" s="883"/>
      <c r="X743" s="36"/>
      <c r="Y743" s="143"/>
      <c r="Z743" s="143"/>
      <c r="AA743" s="143"/>
      <c r="AB743" s="143"/>
      <c r="AC743" s="144"/>
      <c r="AD743" s="143"/>
      <c r="AE743" s="143"/>
      <c r="AF743" s="145"/>
    </row>
    <row r="744" spans="2:32" ht="17.25" customHeight="1">
      <c r="B744" s="291">
        <v>331</v>
      </c>
      <c r="C744" s="816"/>
      <c r="D744" s="792"/>
      <c r="E744" s="35" t="s">
        <v>10</v>
      </c>
      <c r="F744" s="36" t="str">
        <f t="shared" si="25"/>
        <v>IB2128B</v>
      </c>
      <c r="G744" s="364"/>
      <c r="H744" s="365"/>
      <c r="I744" s="365"/>
      <c r="J744" s="366"/>
      <c r="K744" s="140"/>
      <c r="L744" s="233"/>
      <c r="M744" s="651"/>
      <c r="N744" s="35" t="s">
        <v>11</v>
      </c>
      <c r="O744" s="195" t="str">
        <f t="shared" si="26"/>
        <v>OB2128B</v>
      </c>
      <c r="P744" s="305"/>
      <c r="Q744" s="306"/>
      <c r="R744" s="306"/>
      <c r="S744" s="307"/>
      <c r="T744" s="140"/>
      <c r="U744" s="142"/>
      <c r="V744" s="882"/>
      <c r="W744" s="883"/>
      <c r="X744" s="36"/>
      <c r="Y744" s="143"/>
      <c r="Z744" s="143"/>
      <c r="AA744" s="143"/>
      <c r="AB744" s="143"/>
      <c r="AC744" s="144"/>
      <c r="AD744" s="143"/>
      <c r="AE744" s="143"/>
      <c r="AF744" s="145"/>
    </row>
    <row r="745" spans="2:32" ht="17.25" customHeight="1">
      <c r="B745" s="180">
        <v>332</v>
      </c>
      <c r="C745" s="816"/>
      <c r="D745" s="792"/>
      <c r="E745" s="35" t="s">
        <v>10</v>
      </c>
      <c r="F745" s="36" t="str">
        <f t="shared" si="25"/>
        <v>IB2128C</v>
      </c>
      <c r="G745" s="364"/>
      <c r="H745" s="365"/>
      <c r="I745" s="365"/>
      <c r="J745" s="366"/>
      <c r="K745" s="140"/>
      <c r="L745" s="233"/>
      <c r="M745" s="651"/>
      <c r="N745" s="35" t="s">
        <v>11</v>
      </c>
      <c r="O745" s="38" t="str">
        <f t="shared" ref="O745:O748" si="27">LEFT(O744,1)&amp;DEC2HEX(HEX2DEC(MID(O744,2,LENB(O744)-1))+1,LENB(O744)-1)</f>
        <v>OB2128C</v>
      </c>
      <c r="P745" s="305"/>
      <c r="Q745" s="306"/>
      <c r="R745" s="306"/>
      <c r="S745" s="307"/>
      <c r="T745" s="140"/>
      <c r="U745" s="142"/>
      <c r="V745" s="882"/>
      <c r="W745" s="883"/>
      <c r="X745" s="36"/>
      <c r="Y745" s="143"/>
      <c r="Z745" s="143"/>
      <c r="AA745" s="143"/>
      <c r="AB745" s="143"/>
      <c r="AC745" s="144"/>
      <c r="AD745" s="143"/>
      <c r="AE745" s="143"/>
      <c r="AF745" s="145"/>
    </row>
    <row r="746" spans="2:32" ht="17.25" customHeight="1">
      <c r="B746" s="291">
        <v>333</v>
      </c>
      <c r="C746" s="816"/>
      <c r="D746" s="792"/>
      <c r="E746" s="35" t="s">
        <v>10</v>
      </c>
      <c r="F746" s="36" t="str">
        <f t="shared" si="25"/>
        <v>IB2128D</v>
      </c>
      <c r="G746" s="364"/>
      <c r="H746" s="365"/>
      <c r="I746" s="365"/>
      <c r="J746" s="366"/>
      <c r="K746" s="143"/>
      <c r="L746" s="233"/>
      <c r="M746" s="651"/>
      <c r="N746" s="35" t="s">
        <v>11</v>
      </c>
      <c r="O746" s="38" t="str">
        <f t="shared" si="27"/>
        <v>OB2128D</v>
      </c>
      <c r="P746" s="305" t="s">
        <v>699</v>
      </c>
      <c r="Q746" s="306"/>
      <c r="R746" s="306"/>
      <c r="S746" s="307"/>
      <c r="T746" s="608" t="s">
        <v>1528</v>
      </c>
      <c r="U746" s="142" t="s">
        <v>1513</v>
      </c>
      <c r="V746" s="882"/>
      <c r="W746" s="883"/>
      <c r="X746" s="36"/>
      <c r="Y746" s="143"/>
      <c r="Z746" s="143"/>
      <c r="AA746" s="143"/>
      <c r="AB746" s="143"/>
      <c r="AC746" s="144"/>
      <c r="AD746" s="143"/>
      <c r="AE746" s="143"/>
      <c r="AF746" s="145"/>
    </row>
    <row r="747" spans="2:32" ht="17.25" customHeight="1">
      <c r="B747" s="180">
        <v>334</v>
      </c>
      <c r="C747" s="816"/>
      <c r="D747" s="792"/>
      <c r="E747" s="35" t="s">
        <v>10</v>
      </c>
      <c r="F747" s="36" t="str">
        <f t="shared" si="25"/>
        <v>IB2128E</v>
      </c>
      <c r="G747" s="364"/>
      <c r="H747" s="365"/>
      <c r="I747" s="365"/>
      <c r="J747" s="366"/>
      <c r="K747" s="143"/>
      <c r="L747" s="233"/>
      <c r="M747" s="651"/>
      <c r="N747" s="35" t="s">
        <v>11</v>
      </c>
      <c r="O747" s="38" t="str">
        <f t="shared" si="27"/>
        <v>OB2128E</v>
      </c>
      <c r="P747" s="305" t="s">
        <v>700</v>
      </c>
      <c r="Q747" s="306"/>
      <c r="R747" s="306"/>
      <c r="S747" s="307"/>
      <c r="T747" s="608" t="s">
        <v>1528</v>
      </c>
      <c r="U747" s="142" t="s">
        <v>1513</v>
      </c>
      <c r="V747" s="882"/>
      <c r="W747" s="883"/>
      <c r="X747" s="36"/>
      <c r="Y747" s="143"/>
      <c r="Z747" s="143"/>
      <c r="AA747" s="143"/>
      <c r="AB747" s="143"/>
      <c r="AC747" s="144"/>
      <c r="AD747" s="143"/>
      <c r="AE747" s="143"/>
      <c r="AF747" s="145"/>
    </row>
    <row r="748" spans="2:32" ht="17.25" customHeight="1" thickBot="1">
      <c r="B748" s="44">
        <v>335</v>
      </c>
      <c r="C748" s="908"/>
      <c r="D748" s="793"/>
      <c r="E748" s="45" t="s">
        <v>10</v>
      </c>
      <c r="F748" s="46" t="str">
        <f t="shared" si="25"/>
        <v>IB2128F</v>
      </c>
      <c r="G748" s="367"/>
      <c r="H748" s="368"/>
      <c r="I748" s="368"/>
      <c r="J748" s="369"/>
      <c r="K748" s="154"/>
      <c r="L748" s="236"/>
      <c r="M748" s="652"/>
      <c r="N748" s="45" t="s">
        <v>11</v>
      </c>
      <c r="O748" s="48" t="str">
        <f t="shared" si="27"/>
        <v>OB2128F</v>
      </c>
      <c r="P748" s="420" t="s">
        <v>161</v>
      </c>
      <c r="Q748" s="421"/>
      <c r="R748" s="421"/>
      <c r="S748" s="422"/>
      <c r="T748" s="608" t="s">
        <v>1528</v>
      </c>
      <c r="U748" s="290" t="s">
        <v>1513</v>
      </c>
      <c r="V748" s="905"/>
      <c r="W748" s="906"/>
      <c r="X748" s="46"/>
      <c r="Y748" s="154"/>
      <c r="Z748" s="154"/>
      <c r="AA748" s="154"/>
      <c r="AB748" s="154"/>
      <c r="AC748" s="155"/>
      <c r="AD748" s="154"/>
      <c r="AE748" s="154"/>
      <c r="AF748" s="156"/>
    </row>
  </sheetData>
  <mergeCells count="915">
    <mergeCell ref="P725:S725"/>
    <mergeCell ref="P726:S726"/>
    <mergeCell ref="P727:S727"/>
    <mergeCell ref="P728:S728"/>
    <mergeCell ref="P729:S729"/>
    <mergeCell ref="P730:S730"/>
    <mergeCell ref="P731:S731"/>
    <mergeCell ref="P732:S732"/>
    <mergeCell ref="P717:S717"/>
    <mergeCell ref="P718:S718"/>
    <mergeCell ref="P719:S719"/>
    <mergeCell ref="P720:S720"/>
    <mergeCell ref="P721:S721"/>
    <mergeCell ref="P722:S722"/>
    <mergeCell ref="P723:S723"/>
    <mergeCell ref="P724:S724"/>
    <mergeCell ref="G709:J709"/>
    <mergeCell ref="G710:J710"/>
    <mergeCell ref="G711:J711"/>
    <mergeCell ref="G712:J712"/>
    <mergeCell ref="G713:J713"/>
    <mergeCell ref="G714:J714"/>
    <mergeCell ref="G715:J715"/>
    <mergeCell ref="G716:J716"/>
    <mergeCell ref="G701:J701"/>
    <mergeCell ref="G702:J702"/>
    <mergeCell ref="G703:J703"/>
    <mergeCell ref="G704:J704"/>
    <mergeCell ref="G705:J705"/>
    <mergeCell ref="G706:J706"/>
    <mergeCell ref="G707:J707"/>
    <mergeCell ref="G708:J708"/>
    <mergeCell ref="M13:M14"/>
    <mergeCell ref="V726:W726"/>
    <mergeCell ref="V727:W727"/>
    <mergeCell ref="C411:C426"/>
    <mergeCell ref="D411:D426"/>
    <mergeCell ref="C459:C474"/>
    <mergeCell ref="D459:D474"/>
    <mergeCell ref="C555:C570"/>
    <mergeCell ref="D555:D570"/>
    <mergeCell ref="C587:C602"/>
    <mergeCell ref="D587:D602"/>
    <mergeCell ref="C669:C684"/>
    <mergeCell ref="D669:D684"/>
    <mergeCell ref="C507:C522"/>
    <mergeCell ref="D507:D522"/>
    <mergeCell ref="C475:C490"/>
    <mergeCell ref="D475:D490"/>
    <mergeCell ref="C571:C586"/>
    <mergeCell ref="D571:D586"/>
    <mergeCell ref="V657:W657"/>
    <mergeCell ref="V658:W658"/>
    <mergeCell ref="V702:W702"/>
    <mergeCell ref="V703:W703"/>
    <mergeCell ref="V661:W661"/>
    <mergeCell ref="V732:W732"/>
    <mergeCell ref="V722:W722"/>
    <mergeCell ref="V723:W723"/>
    <mergeCell ref="V724:W724"/>
    <mergeCell ref="V725:W725"/>
    <mergeCell ref="V728:W728"/>
    <mergeCell ref="C685:C700"/>
    <mergeCell ref="D685:D700"/>
    <mergeCell ref="V731:W731"/>
    <mergeCell ref="V712:W712"/>
    <mergeCell ref="V713:W713"/>
    <mergeCell ref="V714:W714"/>
    <mergeCell ref="V715:W715"/>
    <mergeCell ref="V716:W716"/>
    <mergeCell ref="C717:C732"/>
    <mergeCell ref="D717:D732"/>
    <mergeCell ref="V717:W717"/>
    <mergeCell ref="V718:W718"/>
    <mergeCell ref="C701:C716"/>
    <mergeCell ref="D701:D716"/>
    <mergeCell ref="V701:W701"/>
    <mergeCell ref="V729:W729"/>
    <mergeCell ref="V730:W730"/>
    <mergeCell ref="V704:W704"/>
    <mergeCell ref="V720:W720"/>
    <mergeCell ref="V721:W721"/>
    <mergeCell ref="V711:W711"/>
    <mergeCell ref="V705:W705"/>
    <mergeCell ref="V706:W706"/>
    <mergeCell ref="V707:W707"/>
    <mergeCell ref="V708:W708"/>
    <mergeCell ref="V709:W709"/>
    <mergeCell ref="V710:W710"/>
    <mergeCell ref="V719:W719"/>
    <mergeCell ref="V662:W662"/>
    <mergeCell ref="V663:W663"/>
    <mergeCell ref="V664:W664"/>
    <mergeCell ref="L13:L14"/>
    <mergeCell ref="U13:U14"/>
    <mergeCell ref="V668:W668"/>
    <mergeCell ref="V665:W665"/>
    <mergeCell ref="V666:W666"/>
    <mergeCell ref="V667:W667"/>
    <mergeCell ref="V644:W644"/>
    <mergeCell ref="V645:W645"/>
    <mergeCell ref="V630:W630"/>
    <mergeCell ref="V631:W631"/>
    <mergeCell ref="V632:W632"/>
    <mergeCell ref="V618:W618"/>
    <mergeCell ref="V612:W612"/>
    <mergeCell ref="V613:W613"/>
    <mergeCell ref="V614:W614"/>
    <mergeCell ref="V615:W615"/>
    <mergeCell ref="V107:W107"/>
    <mergeCell ref="V108:W108"/>
    <mergeCell ref="V109:W109"/>
    <mergeCell ref="V110:W110"/>
    <mergeCell ref="V111:W111"/>
    <mergeCell ref="C653:C668"/>
    <mergeCell ref="D653:D668"/>
    <mergeCell ref="V653:W653"/>
    <mergeCell ref="V654:W654"/>
    <mergeCell ref="V655:W655"/>
    <mergeCell ref="V656:W656"/>
    <mergeCell ref="V659:W659"/>
    <mergeCell ref="V660:W660"/>
    <mergeCell ref="V651:W651"/>
    <mergeCell ref="V652:W652"/>
    <mergeCell ref="C637:C652"/>
    <mergeCell ref="D637:D652"/>
    <mergeCell ref="V637:W637"/>
    <mergeCell ref="V638:W638"/>
    <mergeCell ref="V639:W639"/>
    <mergeCell ref="V640:W640"/>
    <mergeCell ref="V641:W641"/>
    <mergeCell ref="V642:W642"/>
    <mergeCell ref="V643:W643"/>
    <mergeCell ref="V648:W648"/>
    <mergeCell ref="V646:W646"/>
    <mergeCell ref="V647:W647"/>
    <mergeCell ref="V649:W649"/>
    <mergeCell ref="V650:W650"/>
    <mergeCell ref="C621:C636"/>
    <mergeCell ref="D621:D636"/>
    <mergeCell ref="V621:W621"/>
    <mergeCell ref="V622:W622"/>
    <mergeCell ref="V623:W623"/>
    <mergeCell ref="V624:W624"/>
    <mergeCell ref="V625:W625"/>
    <mergeCell ref="V626:W626"/>
    <mergeCell ref="C605:C620"/>
    <mergeCell ref="D605:D620"/>
    <mergeCell ref="V627:W627"/>
    <mergeCell ref="V628:W628"/>
    <mergeCell ref="V629:W629"/>
    <mergeCell ref="V619:W619"/>
    <mergeCell ref="V620:W620"/>
    <mergeCell ref="V636:W636"/>
    <mergeCell ref="V633:W633"/>
    <mergeCell ref="V634:W634"/>
    <mergeCell ref="V635:W635"/>
    <mergeCell ref="V616:W616"/>
    <mergeCell ref="V617:W617"/>
    <mergeCell ref="V611:W611"/>
    <mergeCell ref="V156:W156"/>
    <mergeCell ref="V122:W122"/>
    <mergeCell ref="V605:W605"/>
    <mergeCell ref="V606:W606"/>
    <mergeCell ref="V607:W607"/>
    <mergeCell ref="V608:W608"/>
    <mergeCell ref="V609:W609"/>
    <mergeCell ref="V610:W610"/>
    <mergeCell ref="V114:W114"/>
    <mergeCell ref="V115:W115"/>
    <mergeCell ref="V134:W134"/>
    <mergeCell ref="V117:W117"/>
    <mergeCell ref="V118:W118"/>
    <mergeCell ref="V159:W159"/>
    <mergeCell ref="V160:W160"/>
    <mergeCell ref="V161:W161"/>
    <mergeCell ref="V151:W151"/>
    <mergeCell ref="V152:W152"/>
    <mergeCell ref="V153:W153"/>
    <mergeCell ref="V154:W154"/>
    <mergeCell ref="V155:W155"/>
    <mergeCell ref="V165:W165"/>
    <mergeCell ref="V206:W206"/>
    <mergeCell ref="V207:W207"/>
    <mergeCell ref="AA5:AB5"/>
    <mergeCell ref="AD5:AE5"/>
    <mergeCell ref="B6:D6"/>
    <mergeCell ref="E6:F6"/>
    <mergeCell ref="G6:H6"/>
    <mergeCell ref="I6:J6"/>
    <mergeCell ref="K6:O6"/>
    <mergeCell ref="P6:Q6"/>
    <mergeCell ref="R6:S6"/>
    <mergeCell ref="B7:D7"/>
    <mergeCell ref="E7:F7"/>
    <mergeCell ref="G7:H7"/>
    <mergeCell ref="I7:J7"/>
    <mergeCell ref="K7:O7"/>
    <mergeCell ref="P7:Q7"/>
    <mergeCell ref="R7:S7"/>
    <mergeCell ref="B5:H5"/>
    <mergeCell ref="I5:T5"/>
    <mergeCell ref="R10:S10"/>
    <mergeCell ref="B11:D11"/>
    <mergeCell ref="E11:F11"/>
    <mergeCell ref="G11:H11"/>
    <mergeCell ref="I11:J11"/>
    <mergeCell ref="K11:O11"/>
    <mergeCell ref="P11:Q11"/>
    <mergeCell ref="R11:S11"/>
    <mergeCell ref="B10:D10"/>
    <mergeCell ref="E10:F10"/>
    <mergeCell ref="G10:H10"/>
    <mergeCell ref="I10:J10"/>
    <mergeCell ref="K10:O10"/>
    <mergeCell ref="P10:Q10"/>
    <mergeCell ref="E9:F9"/>
    <mergeCell ref="G9:H9"/>
    <mergeCell ref="I9:J9"/>
    <mergeCell ref="K9:O9"/>
    <mergeCell ref="P9:Q9"/>
    <mergeCell ref="R9:S9"/>
    <mergeCell ref="B8:D8"/>
    <mergeCell ref="E8:F8"/>
    <mergeCell ref="G8:H8"/>
    <mergeCell ref="I8:J8"/>
    <mergeCell ref="K8:O8"/>
    <mergeCell ref="P8:Q8"/>
    <mergeCell ref="R8:S8"/>
    <mergeCell ref="B9:D9"/>
    <mergeCell ref="P49:S50"/>
    <mergeCell ref="T49:T50"/>
    <mergeCell ref="V49:W50"/>
    <mergeCell ref="X49:Z49"/>
    <mergeCell ref="AA49:AC49"/>
    <mergeCell ref="AD49:AF49"/>
    <mergeCell ref="AA12:AC12"/>
    <mergeCell ref="B49:B50"/>
    <mergeCell ref="C49:C50"/>
    <mergeCell ref="D49:D50"/>
    <mergeCell ref="E49:E50"/>
    <mergeCell ref="F49:F50"/>
    <mergeCell ref="G49:J50"/>
    <mergeCell ref="K49:K50"/>
    <mergeCell ref="N49:N50"/>
    <mergeCell ref="O49:O50"/>
    <mergeCell ref="B13:B14"/>
    <mergeCell ref="C13:C14"/>
    <mergeCell ref="D13:D14"/>
    <mergeCell ref="E13:E14"/>
    <mergeCell ref="F13:F14"/>
    <mergeCell ref="G13:J14"/>
    <mergeCell ref="K13:K14"/>
    <mergeCell ref="N13:N14"/>
    <mergeCell ref="V62:W62"/>
    <mergeCell ref="V63:W63"/>
    <mergeCell ref="V60:W60"/>
    <mergeCell ref="V61:W61"/>
    <mergeCell ref="V66:W66"/>
    <mergeCell ref="V67:W67"/>
    <mergeCell ref="V64:W64"/>
    <mergeCell ref="V65:W65"/>
    <mergeCell ref="V53:W53"/>
    <mergeCell ref="V54:W54"/>
    <mergeCell ref="V55:W55"/>
    <mergeCell ref="V58:W58"/>
    <mergeCell ref="V59:W59"/>
    <mergeCell ref="V56:W56"/>
    <mergeCell ref="V57:W57"/>
    <mergeCell ref="V78:W78"/>
    <mergeCell ref="V79:W79"/>
    <mergeCell ref="V76:W76"/>
    <mergeCell ref="V77:W77"/>
    <mergeCell ref="V82:W82"/>
    <mergeCell ref="B85:B86"/>
    <mergeCell ref="C85:C86"/>
    <mergeCell ref="D85:D86"/>
    <mergeCell ref="E85:E86"/>
    <mergeCell ref="F85:F86"/>
    <mergeCell ref="G85:J86"/>
    <mergeCell ref="K85:K86"/>
    <mergeCell ref="C51:C82"/>
    <mergeCell ref="D51:D82"/>
    <mergeCell ref="V51:W51"/>
    <mergeCell ref="V52:W52"/>
    <mergeCell ref="V70:W70"/>
    <mergeCell ref="V71:W71"/>
    <mergeCell ref="V68:W68"/>
    <mergeCell ref="V69:W69"/>
    <mergeCell ref="V74:W74"/>
    <mergeCell ref="V75:W75"/>
    <mergeCell ref="V72:W72"/>
    <mergeCell ref="V73:W73"/>
    <mergeCell ref="AD85:AF85"/>
    <mergeCell ref="C87:C102"/>
    <mergeCell ref="D87:D102"/>
    <mergeCell ref="V87:W87"/>
    <mergeCell ref="V88:W88"/>
    <mergeCell ref="V89:W89"/>
    <mergeCell ref="V90:W90"/>
    <mergeCell ref="V91:W91"/>
    <mergeCell ref="V92:W92"/>
    <mergeCell ref="N85:N86"/>
    <mergeCell ref="O85:O86"/>
    <mergeCell ref="P85:S86"/>
    <mergeCell ref="T85:T86"/>
    <mergeCell ref="V85:W86"/>
    <mergeCell ref="X85:Z85"/>
    <mergeCell ref="V99:W99"/>
    <mergeCell ref="V100:W100"/>
    <mergeCell ref="V101:W101"/>
    <mergeCell ref="V102:W102"/>
    <mergeCell ref="V80:W80"/>
    <mergeCell ref="V81:W81"/>
    <mergeCell ref="V93:W93"/>
    <mergeCell ref="V94:W94"/>
    <mergeCell ref="V95:W95"/>
    <mergeCell ref="V96:W96"/>
    <mergeCell ref="V97:W97"/>
    <mergeCell ref="V98:W98"/>
    <mergeCell ref="AA85:AC85"/>
    <mergeCell ref="C135:C150"/>
    <mergeCell ref="D135:D150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C119:C134"/>
    <mergeCell ref="D119:D134"/>
    <mergeCell ref="V119:W119"/>
    <mergeCell ref="V120:W120"/>
    <mergeCell ref="V121:W121"/>
    <mergeCell ref="C103:C118"/>
    <mergeCell ref="D103:D118"/>
    <mergeCell ref="V128:W128"/>
    <mergeCell ref="V129:W129"/>
    <mergeCell ref="V103:W103"/>
    <mergeCell ref="V104:W104"/>
    <mergeCell ref="V105:W105"/>
    <mergeCell ref="V106:W106"/>
    <mergeCell ref="V113:W113"/>
    <mergeCell ref="V123:W123"/>
    <mergeCell ref="V124:W124"/>
    <mergeCell ref="V125:W125"/>
    <mergeCell ref="V126:W126"/>
    <mergeCell ref="V127:W127"/>
    <mergeCell ref="V130:W130"/>
    <mergeCell ref="V131:W131"/>
    <mergeCell ref="V132:W132"/>
    <mergeCell ref="V133:W133"/>
    <mergeCell ref="V112:W112"/>
    <mergeCell ref="C167:C182"/>
    <mergeCell ref="D167:D182"/>
    <mergeCell ref="V167:W167"/>
    <mergeCell ref="V168:W168"/>
    <mergeCell ref="V169:W169"/>
    <mergeCell ref="C151:C166"/>
    <mergeCell ref="D151:D166"/>
    <mergeCell ref="V176:W176"/>
    <mergeCell ref="V177:W177"/>
    <mergeCell ref="V178:W178"/>
    <mergeCell ref="V179:W179"/>
    <mergeCell ref="V180:W180"/>
    <mergeCell ref="V181:W181"/>
    <mergeCell ref="V170:W170"/>
    <mergeCell ref="V171:W171"/>
    <mergeCell ref="V172:W172"/>
    <mergeCell ref="V173:W173"/>
    <mergeCell ref="V174:W174"/>
    <mergeCell ref="V175:W175"/>
    <mergeCell ref="V157:W157"/>
    <mergeCell ref="V162:W162"/>
    <mergeCell ref="V163:W163"/>
    <mergeCell ref="V164:W164"/>
    <mergeCell ref="V158:W158"/>
    <mergeCell ref="C183:C198"/>
    <mergeCell ref="D183:D198"/>
    <mergeCell ref="V183:W183"/>
    <mergeCell ref="V184:W184"/>
    <mergeCell ref="V185:W185"/>
    <mergeCell ref="V186:W186"/>
    <mergeCell ref="V187:W187"/>
    <mergeCell ref="V188:W188"/>
    <mergeCell ref="V189:W189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182:W182"/>
    <mergeCell ref="V166:W166"/>
    <mergeCell ref="V190:W190"/>
    <mergeCell ref="V191:W191"/>
    <mergeCell ref="V192:W192"/>
    <mergeCell ref="V193:W193"/>
    <mergeCell ref="V194:W194"/>
    <mergeCell ref="V195:W195"/>
    <mergeCell ref="V204:W204"/>
    <mergeCell ref="C231:C246"/>
    <mergeCell ref="D231:D246"/>
    <mergeCell ref="V231:W231"/>
    <mergeCell ref="V232:W232"/>
    <mergeCell ref="V233:W233"/>
    <mergeCell ref="V234:W234"/>
    <mergeCell ref="V235:W235"/>
    <mergeCell ref="V236:W236"/>
    <mergeCell ref="V237:W237"/>
    <mergeCell ref="V230:W230"/>
    <mergeCell ref="V208:W208"/>
    <mergeCell ref="V209:W209"/>
    <mergeCell ref="V214:W214"/>
    <mergeCell ref="C215:C230"/>
    <mergeCell ref="D215:D230"/>
    <mergeCell ref="V215:W215"/>
    <mergeCell ref="V216:W216"/>
    <mergeCell ref="V217:W217"/>
    <mergeCell ref="C199:C214"/>
    <mergeCell ref="D199:D214"/>
    <mergeCell ref="V224:W224"/>
    <mergeCell ref="V225:W225"/>
    <mergeCell ref="V226:W226"/>
    <mergeCell ref="V227:W227"/>
    <mergeCell ref="V228:W228"/>
    <mergeCell ref="V229:W229"/>
    <mergeCell ref="V218:W218"/>
    <mergeCell ref="V219:W219"/>
    <mergeCell ref="V220:W220"/>
    <mergeCell ref="V221:W221"/>
    <mergeCell ref="V222:W222"/>
    <mergeCell ref="V223:W223"/>
    <mergeCell ref="V205:W205"/>
    <mergeCell ref="V210:W210"/>
    <mergeCell ref="V211:W211"/>
    <mergeCell ref="V212:W212"/>
    <mergeCell ref="V213:W213"/>
    <mergeCell ref="V258:W258"/>
    <mergeCell ref="V259:W259"/>
    <mergeCell ref="V260:W260"/>
    <mergeCell ref="V261:W261"/>
    <mergeCell ref="V238:W238"/>
    <mergeCell ref="V239:W239"/>
    <mergeCell ref="V240:W240"/>
    <mergeCell ref="V241:W241"/>
    <mergeCell ref="V242:W242"/>
    <mergeCell ref="V243:W243"/>
    <mergeCell ref="V252:W252"/>
    <mergeCell ref="V257:W257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62:W262"/>
    <mergeCell ref="C263:C278"/>
    <mergeCell ref="D263:D278"/>
    <mergeCell ref="V263:W263"/>
    <mergeCell ref="V264:W264"/>
    <mergeCell ref="V265:W265"/>
    <mergeCell ref="C247:C262"/>
    <mergeCell ref="D247:D262"/>
    <mergeCell ref="V272:W272"/>
    <mergeCell ref="V273:W273"/>
    <mergeCell ref="V274:W274"/>
    <mergeCell ref="V275:W275"/>
    <mergeCell ref="V276:W276"/>
    <mergeCell ref="V277:W277"/>
    <mergeCell ref="V266:W266"/>
    <mergeCell ref="V267:W267"/>
    <mergeCell ref="V268:W268"/>
    <mergeCell ref="V269:W269"/>
    <mergeCell ref="V270:W270"/>
    <mergeCell ref="V271:W271"/>
    <mergeCell ref="V253:W253"/>
    <mergeCell ref="V254:W254"/>
    <mergeCell ref="V255:W255"/>
    <mergeCell ref="V256:W256"/>
    <mergeCell ref="V278:W278"/>
    <mergeCell ref="C279:C294"/>
    <mergeCell ref="D279:D294"/>
    <mergeCell ref="V279:W279"/>
    <mergeCell ref="V280:W280"/>
    <mergeCell ref="V281:W281"/>
    <mergeCell ref="V282:W282"/>
    <mergeCell ref="V283:W283"/>
    <mergeCell ref="V284:W284"/>
    <mergeCell ref="V285:W285"/>
    <mergeCell ref="V306:W306"/>
    <mergeCell ref="V307:W307"/>
    <mergeCell ref="V308:W308"/>
    <mergeCell ref="V309:W309"/>
    <mergeCell ref="V286:W286"/>
    <mergeCell ref="V287:W287"/>
    <mergeCell ref="V288:W288"/>
    <mergeCell ref="V289:W289"/>
    <mergeCell ref="V290:W290"/>
    <mergeCell ref="V291:W291"/>
    <mergeCell ref="V300:W300"/>
    <mergeCell ref="V305:W305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10:W310"/>
    <mergeCell ref="C311:C326"/>
    <mergeCell ref="D311:D326"/>
    <mergeCell ref="V311:W311"/>
    <mergeCell ref="V312:W312"/>
    <mergeCell ref="V313:W313"/>
    <mergeCell ref="C295:C310"/>
    <mergeCell ref="D295:D310"/>
    <mergeCell ref="V320:W320"/>
    <mergeCell ref="V321:W321"/>
    <mergeCell ref="V322:W322"/>
    <mergeCell ref="V323:W323"/>
    <mergeCell ref="V324:W324"/>
    <mergeCell ref="V325:W325"/>
    <mergeCell ref="V314:W314"/>
    <mergeCell ref="V315:W315"/>
    <mergeCell ref="V316:W316"/>
    <mergeCell ref="V317:W317"/>
    <mergeCell ref="V318:W318"/>
    <mergeCell ref="V319:W319"/>
    <mergeCell ref="V301:W301"/>
    <mergeCell ref="V302:W302"/>
    <mergeCell ref="V303:W303"/>
    <mergeCell ref="V304:W304"/>
    <mergeCell ref="V334:W334"/>
    <mergeCell ref="V335:W335"/>
    <mergeCell ref="V336:W336"/>
    <mergeCell ref="V337:W337"/>
    <mergeCell ref="V338:W338"/>
    <mergeCell ref="V339:W339"/>
    <mergeCell ref="V326:W326"/>
    <mergeCell ref="C327:C342"/>
    <mergeCell ref="D327:D342"/>
    <mergeCell ref="V327:W327"/>
    <mergeCell ref="V328:W328"/>
    <mergeCell ref="V329:W329"/>
    <mergeCell ref="V330:W330"/>
    <mergeCell ref="V331:W331"/>
    <mergeCell ref="V332:W332"/>
    <mergeCell ref="V333:W333"/>
    <mergeCell ref="V340:W340"/>
    <mergeCell ref="V341:W341"/>
    <mergeCell ref="V342:W342"/>
    <mergeCell ref="V355:W355"/>
    <mergeCell ref="V356:W356"/>
    <mergeCell ref="V357:W357"/>
    <mergeCell ref="V358:W358"/>
    <mergeCell ref="AA345:AC345"/>
    <mergeCell ref="AD345:AF345"/>
    <mergeCell ref="C347:C362"/>
    <mergeCell ref="D347:D362"/>
    <mergeCell ref="V347:W347"/>
    <mergeCell ref="V348:W348"/>
    <mergeCell ref="V349:W349"/>
    <mergeCell ref="V350:W350"/>
    <mergeCell ref="V351:W351"/>
    <mergeCell ref="V352:W352"/>
    <mergeCell ref="N345:N346"/>
    <mergeCell ref="O345:O346"/>
    <mergeCell ref="P345:S346"/>
    <mergeCell ref="T345:T346"/>
    <mergeCell ref="V345:W346"/>
    <mergeCell ref="X345:Z345"/>
    <mergeCell ref="V359:W359"/>
    <mergeCell ref="V360:W360"/>
    <mergeCell ref="V361:W361"/>
    <mergeCell ref="V362:W362"/>
    <mergeCell ref="B345:B346"/>
    <mergeCell ref="C345:C346"/>
    <mergeCell ref="D345:D346"/>
    <mergeCell ref="E345:E346"/>
    <mergeCell ref="F345:F346"/>
    <mergeCell ref="G345:J346"/>
    <mergeCell ref="K345:K346"/>
    <mergeCell ref="V353:W353"/>
    <mergeCell ref="V354:W354"/>
    <mergeCell ref="C363:C378"/>
    <mergeCell ref="D363:D378"/>
    <mergeCell ref="V363:W363"/>
    <mergeCell ref="V364:W364"/>
    <mergeCell ref="V365:W365"/>
    <mergeCell ref="V366:W366"/>
    <mergeCell ref="V373:W373"/>
    <mergeCell ref="V374:W374"/>
    <mergeCell ref="V375:W375"/>
    <mergeCell ref="V376:W376"/>
    <mergeCell ref="V377:W377"/>
    <mergeCell ref="V378:W378"/>
    <mergeCell ref="V367:W367"/>
    <mergeCell ref="V368:W368"/>
    <mergeCell ref="V369:W369"/>
    <mergeCell ref="V370:W370"/>
    <mergeCell ref="V371:W371"/>
    <mergeCell ref="V372:W372"/>
    <mergeCell ref="V387:W387"/>
    <mergeCell ref="V388:W388"/>
    <mergeCell ref="V389:W389"/>
    <mergeCell ref="V390:W390"/>
    <mergeCell ref="V391:W391"/>
    <mergeCell ref="V392:W392"/>
    <mergeCell ref="C379:C394"/>
    <mergeCell ref="D379:D394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93:W393"/>
    <mergeCell ref="V394:W394"/>
    <mergeCell ref="C395:C410"/>
    <mergeCell ref="D395:D410"/>
    <mergeCell ref="V395:W395"/>
    <mergeCell ref="V396:W396"/>
    <mergeCell ref="V397:W397"/>
    <mergeCell ref="V398:W398"/>
    <mergeCell ref="V399:W399"/>
    <mergeCell ref="V400:W400"/>
    <mergeCell ref="V407:W407"/>
    <mergeCell ref="V408:W408"/>
    <mergeCell ref="V409:W409"/>
    <mergeCell ref="V410:W410"/>
    <mergeCell ref="V426:W426"/>
    <mergeCell ref="V415:W415"/>
    <mergeCell ref="V416:W416"/>
    <mergeCell ref="V417:W417"/>
    <mergeCell ref="V418:W418"/>
    <mergeCell ref="V419:W419"/>
    <mergeCell ref="V420:W420"/>
    <mergeCell ref="V401:W401"/>
    <mergeCell ref="V402:W402"/>
    <mergeCell ref="V403:W403"/>
    <mergeCell ref="V404:W404"/>
    <mergeCell ref="V405:W405"/>
    <mergeCell ref="V406:W406"/>
    <mergeCell ref="V411:W411"/>
    <mergeCell ref="V412:W412"/>
    <mergeCell ref="V413:W413"/>
    <mergeCell ref="V414:W414"/>
    <mergeCell ref="V421:W421"/>
    <mergeCell ref="V422:W422"/>
    <mergeCell ref="V423:W423"/>
    <mergeCell ref="V424:W424"/>
    <mergeCell ref="V425:W425"/>
    <mergeCell ref="V435:W435"/>
    <mergeCell ref="V436:W436"/>
    <mergeCell ref="V437:W437"/>
    <mergeCell ref="V438:W438"/>
    <mergeCell ref="V439:W439"/>
    <mergeCell ref="V440:W440"/>
    <mergeCell ref="C427:C442"/>
    <mergeCell ref="D427:D442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54:W454"/>
    <mergeCell ref="V441:W441"/>
    <mergeCell ref="V442:W442"/>
    <mergeCell ref="C443:C458"/>
    <mergeCell ref="D443:D458"/>
    <mergeCell ref="V443:W443"/>
    <mergeCell ref="V444:W444"/>
    <mergeCell ref="V445:W445"/>
    <mergeCell ref="V446:W446"/>
    <mergeCell ref="V447:W447"/>
    <mergeCell ref="V448:W448"/>
    <mergeCell ref="V455:W455"/>
    <mergeCell ref="V456:W456"/>
    <mergeCell ref="V457:W457"/>
    <mergeCell ref="V458:W458"/>
    <mergeCell ref="V449:W449"/>
    <mergeCell ref="V450:W450"/>
    <mergeCell ref="V451:W451"/>
    <mergeCell ref="V452:W452"/>
    <mergeCell ref="V453:W453"/>
    <mergeCell ref="V474:W474"/>
    <mergeCell ref="V463:W463"/>
    <mergeCell ref="V464:W464"/>
    <mergeCell ref="V465:W465"/>
    <mergeCell ref="V466:W466"/>
    <mergeCell ref="V467:W467"/>
    <mergeCell ref="V468:W468"/>
    <mergeCell ref="C491:C506"/>
    <mergeCell ref="D491:D506"/>
    <mergeCell ref="V491:W491"/>
    <mergeCell ref="V492:W492"/>
    <mergeCell ref="V493:W493"/>
    <mergeCell ref="V494:W494"/>
    <mergeCell ref="V495:W495"/>
    <mergeCell ref="V496:W496"/>
    <mergeCell ref="V503:W503"/>
    <mergeCell ref="V504:W504"/>
    <mergeCell ref="V505:W505"/>
    <mergeCell ref="V506:W506"/>
    <mergeCell ref="V497:W497"/>
    <mergeCell ref="V498:W498"/>
    <mergeCell ref="V499:W499"/>
    <mergeCell ref="V483:W483"/>
    <mergeCell ref="V500:W500"/>
    <mergeCell ref="V459:W459"/>
    <mergeCell ref="V460:W460"/>
    <mergeCell ref="V461:W461"/>
    <mergeCell ref="V462:W462"/>
    <mergeCell ref="V469:W469"/>
    <mergeCell ref="V470:W470"/>
    <mergeCell ref="V471:W471"/>
    <mergeCell ref="V472:W472"/>
    <mergeCell ref="V473:W473"/>
    <mergeCell ref="V522:W522"/>
    <mergeCell ref="V511:W511"/>
    <mergeCell ref="V512:W512"/>
    <mergeCell ref="V513:W513"/>
    <mergeCell ref="V514:W514"/>
    <mergeCell ref="V484:W484"/>
    <mergeCell ref="V485:W485"/>
    <mergeCell ref="V486:W486"/>
    <mergeCell ref="V487:W487"/>
    <mergeCell ref="V488:W488"/>
    <mergeCell ref="V507:W507"/>
    <mergeCell ref="V508:W508"/>
    <mergeCell ref="V509:W509"/>
    <mergeCell ref="V510:W510"/>
    <mergeCell ref="V517:W517"/>
    <mergeCell ref="V518:W518"/>
    <mergeCell ref="V519:W519"/>
    <mergeCell ref="V520:W520"/>
    <mergeCell ref="V521:W521"/>
    <mergeCell ref="V475:W475"/>
    <mergeCell ref="V476:W476"/>
    <mergeCell ref="V477:W477"/>
    <mergeCell ref="V478:W478"/>
    <mergeCell ref="V479:W479"/>
    <mergeCell ref="V480:W480"/>
    <mergeCell ref="V481:W481"/>
    <mergeCell ref="V482:W482"/>
    <mergeCell ref="C523:C538"/>
    <mergeCell ref="D523:D538"/>
    <mergeCell ref="V523:W523"/>
    <mergeCell ref="V524:W524"/>
    <mergeCell ref="V525:W525"/>
    <mergeCell ref="V526:W526"/>
    <mergeCell ref="V527:W527"/>
    <mergeCell ref="V528:W528"/>
    <mergeCell ref="V529:W529"/>
    <mergeCell ref="V530:W530"/>
    <mergeCell ref="V537:W537"/>
    <mergeCell ref="V538:W538"/>
    <mergeCell ref="V531:W531"/>
    <mergeCell ref="V532:W532"/>
    <mergeCell ref="V533:W533"/>
    <mergeCell ref="V534:W534"/>
    <mergeCell ref="V535:W535"/>
    <mergeCell ref="V536:W536"/>
    <mergeCell ref="C539:C554"/>
    <mergeCell ref="D539:D554"/>
    <mergeCell ref="V539:W539"/>
    <mergeCell ref="V540:W540"/>
    <mergeCell ref="V541:W541"/>
    <mergeCell ref="V542:W542"/>
    <mergeCell ref="V543:W543"/>
    <mergeCell ref="V544:W544"/>
    <mergeCell ref="V551:W551"/>
    <mergeCell ref="V552:W552"/>
    <mergeCell ref="V553:W553"/>
    <mergeCell ref="V554:W554"/>
    <mergeCell ref="V602:W602"/>
    <mergeCell ref="V593:W593"/>
    <mergeCell ref="V594:W594"/>
    <mergeCell ref="V595:W595"/>
    <mergeCell ref="V596:W596"/>
    <mergeCell ref="V597:W597"/>
    <mergeCell ref="V598:W598"/>
    <mergeCell ref="V489:W489"/>
    <mergeCell ref="V490:W490"/>
    <mergeCell ref="V515:W515"/>
    <mergeCell ref="V516:W516"/>
    <mergeCell ref="V599:W599"/>
    <mergeCell ref="V586:W586"/>
    <mergeCell ref="V565:W565"/>
    <mergeCell ref="V566:W566"/>
    <mergeCell ref="V567:W567"/>
    <mergeCell ref="V568:W568"/>
    <mergeCell ref="V569:W569"/>
    <mergeCell ref="V570:W570"/>
    <mergeCell ref="V587:W587"/>
    <mergeCell ref="V588:W588"/>
    <mergeCell ref="V589:W589"/>
    <mergeCell ref="V590:W590"/>
    <mergeCell ref="V571:W571"/>
    <mergeCell ref="V557:W557"/>
    <mergeCell ref="V558:W558"/>
    <mergeCell ref="V545:W545"/>
    <mergeCell ref="V546:W546"/>
    <mergeCell ref="V547:W547"/>
    <mergeCell ref="V548:W548"/>
    <mergeCell ref="V549:W549"/>
    <mergeCell ref="V550:W550"/>
    <mergeCell ref="V601:W601"/>
    <mergeCell ref="V572:W572"/>
    <mergeCell ref="V573:W573"/>
    <mergeCell ref="V574:W574"/>
    <mergeCell ref="V575:W575"/>
    <mergeCell ref="V576:W576"/>
    <mergeCell ref="V577:W577"/>
    <mergeCell ref="V578:W578"/>
    <mergeCell ref="V600:W600"/>
    <mergeCell ref="V591:W591"/>
    <mergeCell ref="V592:W592"/>
    <mergeCell ref="V579:W579"/>
    <mergeCell ref="V580:W580"/>
    <mergeCell ref="O13:O14"/>
    <mergeCell ref="P13:S14"/>
    <mergeCell ref="T13:T14"/>
    <mergeCell ref="V13:W14"/>
    <mergeCell ref="X13:Z13"/>
    <mergeCell ref="AA13:AC13"/>
    <mergeCell ref="AD13:AF13"/>
    <mergeCell ref="C15:C46"/>
    <mergeCell ref="D15:D46"/>
    <mergeCell ref="V15:W15"/>
    <mergeCell ref="V16:W16"/>
    <mergeCell ref="V17:W17"/>
    <mergeCell ref="V18:W18"/>
    <mergeCell ref="V19:W19"/>
    <mergeCell ref="V20:W20"/>
    <mergeCell ref="V21:W21"/>
    <mergeCell ref="V22:W22"/>
    <mergeCell ref="V30:W30"/>
    <mergeCell ref="V31:W31"/>
    <mergeCell ref="V32:W32"/>
    <mergeCell ref="V33:W33"/>
    <mergeCell ref="V34:W34"/>
    <mergeCell ref="V35:W35"/>
    <mergeCell ref="V23:W23"/>
    <mergeCell ref="V24:W24"/>
    <mergeCell ref="V25:W25"/>
    <mergeCell ref="V26:W26"/>
    <mergeCell ref="V27:W27"/>
    <mergeCell ref="V28:W28"/>
    <mergeCell ref="V29:W29"/>
    <mergeCell ref="V42:W42"/>
    <mergeCell ref="V43:W43"/>
    <mergeCell ref="V44:W44"/>
    <mergeCell ref="V45:W45"/>
    <mergeCell ref="V46:W46"/>
    <mergeCell ref="V36:W36"/>
    <mergeCell ref="V37:W37"/>
    <mergeCell ref="V38:W38"/>
    <mergeCell ref="V39:W39"/>
    <mergeCell ref="V40:W40"/>
    <mergeCell ref="V41:W41"/>
    <mergeCell ref="V743:W743"/>
    <mergeCell ref="V559:W559"/>
    <mergeCell ref="V560:W560"/>
    <mergeCell ref="V561:W561"/>
    <mergeCell ref="V562:W562"/>
    <mergeCell ref="V563:W563"/>
    <mergeCell ref="V564:W564"/>
    <mergeCell ref="V585:W585"/>
    <mergeCell ref="V501:W501"/>
    <mergeCell ref="V502:W502"/>
    <mergeCell ref="V581:W581"/>
    <mergeCell ref="V582:W582"/>
    <mergeCell ref="V583:W583"/>
    <mergeCell ref="V584:W584"/>
    <mergeCell ref="V555:W555"/>
    <mergeCell ref="V556:W556"/>
    <mergeCell ref="V744:W744"/>
    <mergeCell ref="V745:W745"/>
    <mergeCell ref="V746:W746"/>
    <mergeCell ref="V747:W747"/>
    <mergeCell ref="V748:W748"/>
    <mergeCell ref="C733:C748"/>
    <mergeCell ref="D733:D748"/>
    <mergeCell ref="V733:W733"/>
    <mergeCell ref="V734:W734"/>
    <mergeCell ref="V735:W735"/>
    <mergeCell ref="V736:W736"/>
    <mergeCell ref="V737:W737"/>
    <mergeCell ref="V738:W738"/>
    <mergeCell ref="V739:W739"/>
    <mergeCell ref="V740:W740"/>
    <mergeCell ref="V741:W741"/>
    <mergeCell ref="V742:W742"/>
  </mergeCells>
  <phoneticPr fontId="1" type="noConversion"/>
  <dataValidations disablePrompts="1" count="2">
    <dataValidation type="list" allowBlank="1" showInputMessage="1" showErrorMessage="1" sqref="AA205:AA344 AB51:AB84 AE51:AE84 AD175:AD202 Z52:Z53 AA87:AA162 AD205:AD344 Z55:Z61 AA175:AA202 AE15:AE47 AD87:AD162 Z16:Z17 X331:X344 X122 X139:X140 X177:X179 X190:X198 X110 X201:X202 X205:X206 X210 X212:X214 X246 X113:X114 X251:X254 X238 X285:X286 X293:X294 X303:X314 X318:X326 X278 X263:X270 X157:X158 X146:X150 X220 Z67:Z80 Z84 Z19:Z25 Z31:Z44 AB15:AB47 AA347:AA748 X347:X748 AD347:AD748" xr:uid="{35E446E1-1444-4D8A-824A-0C129EF75993}">
      <formula1>$T$10:$T$11</formula1>
    </dataValidation>
    <dataValidation type="list" allowBlank="1" showInputMessage="1" showErrorMessage="1" sqref="AB87:AB344 AE87:AE344 Y51:Y84 Y15:Y47 Y87:Y344 AB347:AB748 Y347:Y748 AE347:AE748" xr:uid="{62172FFF-F89B-4D6C-AD7C-CF2F57CD6200}">
      <formula1>"OK, NG, SKIP"</formula1>
    </dataValidation>
  </dataValidations>
  <pageMargins left="0.39" right="0.39" top="0.59" bottom="0.59" header="0.12" footer="0.31"/>
  <pageSetup paperSize="9" scale="48" orientation="landscape" horizontalDpi="300" verticalDpi="300" r:id="rId1"/>
  <headerFooter alignWithMargins="0">
    <oddHeader>&amp;L&amp;G&amp;R&amp;8&amp;A</oddHeader>
    <oddFooter>&amp;LRev.0&amp;C&amp;9&amp;[&amp;P</oddFooter>
  </headerFooter>
  <rowBreaks count="4" manualBreakCount="4">
    <brk id="84" max="19" man="1"/>
    <brk id="150" max="22" man="1"/>
    <brk id="214" max="22" man="1"/>
    <brk id="278" max="22" man="1"/>
  </rowBreaks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EB8E-EAD1-4DF1-B30A-373EA99D0F2A}">
  <sheetPr>
    <tabColor theme="0"/>
  </sheetPr>
  <dimension ref="A1:AE748"/>
  <sheetViews>
    <sheetView showGridLines="0" tabSelected="1" zoomScale="96" zoomScaleNormal="96" zoomScaleSheetLayoutView="85" workbookViewId="0">
      <pane xSplit="1" ySplit="11" topLeftCell="B394" activePane="bottomRight" state="frozen"/>
      <selection activeCell="J10" sqref="J10:AV10"/>
      <selection pane="topRight" activeCell="J10" sqref="J10:AV10"/>
      <selection pane="bottomLeft" activeCell="J10" sqref="J10:AV10"/>
      <selection pane="bottomRight" activeCell="K402" sqref="K402"/>
    </sheetView>
  </sheetViews>
  <sheetFormatPr defaultColWidth="2.6640625" defaultRowHeight="13.5" customHeight="1"/>
  <cols>
    <col min="1" max="1" width="2.44140625" style="5" customWidth="1"/>
    <col min="2" max="2" width="5.77734375" style="5" customWidth="1"/>
    <col min="3" max="5" width="6.77734375" style="5" customWidth="1"/>
    <col min="6" max="6" width="11.77734375" style="5" customWidth="1"/>
    <col min="7" max="7" width="13.77734375" style="6" customWidth="1"/>
    <col min="8" max="8" width="17.44140625" style="6" customWidth="1"/>
    <col min="9" max="9" width="5.77734375" style="6" customWidth="1"/>
    <col min="10" max="10" width="22.77734375" style="6" customWidth="1"/>
    <col min="11" max="11" width="13" style="26" customWidth="1"/>
    <col min="12" max="12" width="22.21875" style="157" customWidth="1"/>
    <col min="13" max="13" width="6.77734375" style="6" customWidth="1"/>
    <col min="14" max="14" width="11.77734375" style="6" customWidth="1"/>
    <col min="15" max="15" width="7.77734375" style="6" customWidth="1"/>
    <col min="16" max="16" width="13.77734375" style="6" customWidth="1"/>
    <col min="17" max="17" width="4.77734375" style="6" customWidth="1"/>
    <col min="18" max="18" width="35.44140625" style="6" customWidth="1"/>
    <col min="19" max="19" width="21.44140625" style="7" customWidth="1"/>
    <col min="20" max="20" width="19.88671875" style="7" customWidth="1"/>
    <col min="21" max="21" width="16.44140625" style="8" customWidth="1"/>
    <col min="22" max="22" width="22.77734375" style="8" customWidth="1"/>
    <col min="23" max="24" width="8.44140625" style="5" customWidth="1"/>
    <col min="25" max="25" width="22.109375" style="5" customWidth="1"/>
    <col min="26" max="27" width="8.44140625" style="5" customWidth="1"/>
    <col min="28" max="28" width="22.109375" style="5" customWidth="1"/>
    <col min="29" max="30" width="8.44140625" style="5" customWidth="1"/>
    <col min="31" max="31" width="22.109375" style="5" customWidth="1"/>
    <col min="32" max="32" width="5.109375" style="5" customWidth="1"/>
    <col min="33" max="33" width="2.6640625" style="5"/>
    <col min="34" max="34" width="3.21875" style="5" customWidth="1"/>
    <col min="35" max="16384" width="2.6640625" style="5"/>
  </cols>
  <sheetData>
    <row r="1" spans="1:31" ht="9" customHeight="1">
      <c r="Y1" s="9"/>
    </row>
    <row r="2" spans="1:31" ht="14.7" customHeight="1" thickBot="1">
      <c r="A2" s="5" t="s">
        <v>2</v>
      </c>
    </row>
    <row r="3" spans="1:31" ht="9" customHeight="1" thickTop="1" thickBot="1">
      <c r="A3" s="10"/>
      <c r="B3" s="10"/>
      <c r="C3" s="10"/>
      <c r="D3" s="10"/>
      <c r="E3" s="10"/>
      <c r="F3" s="10"/>
      <c r="G3" s="11"/>
      <c r="H3" s="11"/>
      <c r="I3" s="11"/>
      <c r="J3" s="11"/>
      <c r="K3" s="558"/>
      <c r="L3" s="158"/>
      <c r="M3" s="11"/>
      <c r="N3" s="11"/>
      <c r="O3" s="11"/>
      <c r="P3" s="11"/>
      <c r="Q3" s="11"/>
      <c r="R3" s="11"/>
      <c r="S3" s="12"/>
      <c r="T3" s="12"/>
      <c r="U3" s="13"/>
      <c r="V3" s="13"/>
      <c r="W3" s="10"/>
      <c r="X3" s="10"/>
      <c r="Y3" s="10"/>
      <c r="Z3" s="10"/>
      <c r="AA3" s="10"/>
      <c r="AB3" s="10"/>
      <c r="AC3" s="10"/>
      <c r="AD3" s="10"/>
      <c r="AE3" s="10"/>
    </row>
    <row r="4" spans="1:31" ht="12" customHeight="1" thickTop="1">
      <c r="B4" s="14" t="s">
        <v>3</v>
      </c>
    </row>
    <row r="5" spans="1:31" ht="9" customHeight="1">
      <c r="B5" s="943" t="s">
        <v>76</v>
      </c>
      <c r="C5" s="943"/>
      <c r="D5" s="943"/>
      <c r="E5" s="943"/>
      <c r="F5" s="943"/>
      <c r="G5" s="943"/>
      <c r="H5" s="943"/>
      <c r="I5" s="849" t="s">
        <v>77</v>
      </c>
      <c r="J5" s="850"/>
      <c r="K5" s="850"/>
      <c r="L5" s="850"/>
      <c r="M5" s="850"/>
      <c r="N5" s="850"/>
      <c r="O5" s="850"/>
      <c r="P5" s="850"/>
      <c r="Q5" s="850"/>
      <c r="R5" s="850"/>
      <c r="S5" s="850"/>
      <c r="T5" s="15"/>
      <c r="U5" s="16"/>
      <c r="V5" s="16"/>
      <c r="W5" s="16"/>
      <c r="X5" s="17" t="s">
        <v>27</v>
      </c>
      <c r="Z5" s="947"/>
      <c r="AA5" s="947"/>
      <c r="AB5" s="18"/>
      <c r="AC5" s="947"/>
      <c r="AD5" s="947"/>
      <c r="AE5" s="18">
        <f>COUNTIF($C$12:$C$1755,AC5)</f>
        <v>0</v>
      </c>
    </row>
    <row r="6" spans="1:31" ht="9" customHeight="1">
      <c r="B6" s="943" t="s">
        <v>78</v>
      </c>
      <c r="C6" s="943"/>
      <c r="D6" s="943"/>
      <c r="E6" s="948" t="str">
        <f>IF((E7+E8+E9)=E10,"체크정상","체크이상")</f>
        <v>체크이상</v>
      </c>
      <c r="F6" s="948"/>
      <c r="G6" s="774" t="s">
        <v>79</v>
      </c>
      <c r="H6" s="776"/>
      <c r="I6" s="949" t="str">
        <f>IF((I7+I8+I9)=I10,"체크정상","체크이상")</f>
        <v>체크이상</v>
      </c>
      <c r="J6" s="778"/>
      <c r="K6" s="944" t="s">
        <v>78</v>
      </c>
      <c r="L6" s="944"/>
      <c r="M6" s="944"/>
      <c r="N6" s="944"/>
      <c r="O6" s="777" t="str">
        <f>IF((O7+O8+O9+E7)=O10,"체크정상","체크이상")</f>
        <v>체크이상</v>
      </c>
      <c r="P6" s="949"/>
      <c r="Q6" s="776" t="s">
        <v>79</v>
      </c>
      <c r="R6" s="775"/>
      <c r="S6" s="19" t="e" cm="1">
        <f t="array" ref="S6">IF((S7+S8+S9+I7)=S1O,"체크정상","체크이상")</f>
        <v>#NAME?</v>
      </c>
      <c r="T6" s="20"/>
      <c r="V6" s="18" t="s">
        <v>26</v>
      </c>
      <c r="W6" s="18">
        <f>SUM(W7:W10)</f>
        <v>40</v>
      </c>
      <c r="X6" s="17">
        <f>COUNTIF($C$87:$C$607,"*"&amp;"SPARE"&amp;"*")</f>
        <v>0</v>
      </c>
    </row>
    <row r="7" spans="1:31" ht="9" customHeight="1">
      <c r="B7" s="944" t="s">
        <v>80</v>
      </c>
      <c r="C7" s="944"/>
      <c r="D7" s="944"/>
      <c r="E7" s="943">
        <f>COUNTIFS($F:$F,"ib*",$X:$X,"OK")</f>
        <v>0</v>
      </c>
      <c r="F7" s="943"/>
      <c r="G7" s="771" t="s">
        <v>80</v>
      </c>
      <c r="H7" s="772"/>
      <c r="I7" s="776">
        <f>COUNTIFS($N:$N,"Ob*",$X:$X,"OK")</f>
        <v>0</v>
      </c>
      <c r="J7" s="776"/>
      <c r="K7" s="944" t="s">
        <v>80</v>
      </c>
      <c r="L7" s="944"/>
      <c r="M7" s="944"/>
      <c r="N7" s="944"/>
      <c r="O7" s="774">
        <f>COUNTIFS($F:$F,"ib*",$AA:$AA,"OK")</f>
        <v>0</v>
      </c>
      <c r="P7" s="776"/>
      <c r="Q7" s="772" t="s">
        <v>81</v>
      </c>
      <c r="R7" s="773"/>
      <c r="S7" s="21">
        <f>COUNTIFS($N:$N,"Ob*",$AA:$AA,"OK")</f>
        <v>0</v>
      </c>
      <c r="T7" s="15"/>
      <c r="V7" s="18" t="s">
        <v>23</v>
      </c>
      <c r="W7" s="18">
        <f>COUNTIF($C$87:$C$800,"*"&amp;"DA16A"&amp;"*")</f>
        <v>25</v>
      </c>
      <c r="X7" s="17" t="s">
        <v>28</v>
      </c>
    </row>
    <row r="8" spans="1:31" ht="9" customHeight="1">
      <c r="B8" s="944" t="s">
        <v>82</v>
      </c>
      <c r="C8" s="944"/>
      <c r="D8" s="944"/>
      <c r="E8" s="943">
        <f>COUNTIFS($F:$F,"ib*",$X:$X,"NG")</f>
        <v>0</v>
      </c>
      <c r="F8" s="943"/>
      <c r="G8" s="771" t="s">
        <v>82</v>
      </c>
      <c r="H8" s="772"/>
      <c r="I8" s="776">
        <f>COUNTIFS($N:$N,"Ob*",$X:$X,"NG")</f>
        <v>0</v>
      </c>
      <c r="J8" s="776"/>
      <c r="K8" s="944" t="s">
        <v>82</v>
      </c>
      <c r="L8" s="944"/>
      <c r="M8" s="944"/>
      <c r="N8" s="944"/>
      <c r="O8" s="774">
        <f>COUNTIFS($F:$F,"ib*",$AA:$AA,"NG")</f>
        <v>0</v>
      </c>
      <c r="P8" s="776"/>
      <c r="Q8" s="772" t="s">
        <v>83</v>
      </c>
      <c r="R8" s="773"/>
      <c r="S8" s="21">
        <f>COUNTIFS($N:$N,"Ob*",$AA:$AA,"NG")</f>
        <v>0</v>
      </c>
      <c r="T8" s="15"/>
      <c r="V8" s="18" t="s">
        <v>22</v>
      </c>
      <c r="W8" s="18">
        <f>COUNTIF($C$87:$C$800,"*"&amp;"DC16A"&amp;"*")</f>
        <v>14</v>
      </c>
      <c r="X8" s="17">
        <f>COUNTIF($C$87:$C$607,"*"&amp;"EMPTY"&amp;"*")</f>
        <v>1</v>
      </c>
    </row>
    <row r="9" spans="1:31" ht="9" customHeight="1">
      <c r="B9" s="944" t="s">
        <v>84</v>
      </c>
      <c r="C9" s="944"/>
      <c r="D9" s="944"/>
      <c r="E9" s="943">
        <f>COUNTIFS($F:$F,"ib*",$X:$X,"SKIP")</f>
        <v>0</v>
      </c>
      <c r="F9" s="943"/>
      <c r="G9" s="771" t="s">
        <v>84</v>
      </c>
      <c r="H9" s="772"/>
      <c r="I9" s="776">
        <f>COUNTIFS($N:$N,"ob*",$X:$X,"SKIP")</f>
        <v>0</v>
      </c>
      <c r="J9" s="776"/>
      <c r="K9" s="944" t="s">
        <v>84</v>
      </c>
      <c r="L9" s="944"/>
      <c r="M9" s="944"/>
      <c r="N9" s="944"/>
      <c r="O9" s="774">
        <f>COUNTIFS($F:$F,"ib*",$AA:$AA,"SKIP")</f>
        <v>0</v>
      </c>
      <c r="P9" s="776"/>
      <c r="Q9" s="772" t="s">
        <v>85</v>
      </c>
      <c r="R9" s="773"/>
      <c r="S9" s="21">
        <f>COUNTIFS($N:$N,"Ob*",$AA:$AA,"SKIP")</f>
        <v>0</v>
      </c>
      <c r="T9" s="15"/>
      <c r="V9" s="18" t="s">
        <v>24</v>
      </c>
      <c r="W9" s="18">
        <f>COUNTIF($C$87:$C$800,"*"&amp;"DAC16C"&amp;"*")</f>
        <v>1</v>
      </c>
    </row>
    <row r="10" spans="1:31" ht="9" customHeight="1">
      <c r="B10" s="944" t="s">
        <v>86</v>
      </c>
      <c r="C10" s="944"/>
      <c r="D10" s="944"/>
      <c r="E10" s="943">
        <f>COUNTIFS($F:$F,"ib*",$G:$G,"*")</f>
        <v>321</v>
      </c>
      <c r="F10" s="943"/>
      <c r="G10" s="771" t="s">
        <v>87</v>
      </c>
      <c r="H10" s="772"/>
      <c r="I10" s="776">
        <f>COUNTIFS($N:$N,"ob*",$O:$O,"*")</f>
        <v>204</v>
      </c>
      <c r="J10" s="776"/>
      <c r="K10" s="944" t="s">
        <v>86</v>
      </c>
      <c r="L10" s="944"/>
      <c r="M10" s="944"/>
      <c r="N10" s="944"/>
      <c r="O10" s="774">
        <f>COUNTIFS($F:$F,"ib*",$G:$G,"*")</f>
        <v>321</v>
      </c>
      <c r="P10" s="776"/>
      <c r="Q10" s="772" t="s">
        <v>87</v>
      </c>
      <c r="R10" s="773"/>
      <c r="S10" s="21">
        <f>COUNTIFS($N:$N,"ob*",$O:$O,"*")</f>
        <v>204</v>
      </c>
      <c r="T10" s="15"/>
      <c r="V10" s="18" t="s">
        <v>25</v>
      </c>
      <c r="W10" s="18">
        <f>COUNTIF($C$87:$C$607,"*"&amp;"DAC32C"&amp;"*")</f>
        <v>0</v>
      </c>
    </row>
    <row r="11" spans="1:31" ht="9" customHeight="1">
      <c r="B11" s="944" t="s">
        <v>88</v>
      </c>
      <c r="C11" s="944"/>
      <c r="D11" s="944"/>
      <c r="E11" s="945">
        <f>(E7/E10)</f>
        <v>0</v>
      </c>
      <c r="F11" s="945"/>
      <c r="G11" s="771" t="s">
        <v>88</v>
      </c>
      <c r="H11" s="772"/>
      <c r="I11" s="946">
        <f>(I7/I10)</f>
        <v>0</v>
      </c>
      <c r="J11" s="946"/>
      <c r="K11" s="944" t="s">
        <v>89</v>
      </c>
      <c r="L11" s="944"/>
      <c r="M11" s="944"/>
      <c r="N11" s="944"/>
      <c r="O11" s="794">
        <f>((O7+E7)/O10)</f>
        <v>0</v>
      </c>
      <c r="P11" s="946"/>
      <c r="Q11" s="772" t="s">
        <v>89</v>
      </c>
      <c r="R11" s="773"/>
      <c r="S11" s="22" t="e" cm="1">
        <f t="array" ref="S11">(S7/S1O)</f>
        <v>#NAME?</v>
      </c>
      <c r="T11" s="23"/>
    </row>
    <row r="12" spans="1:31" ht="21" customHeight="1" thickBot="1">
      <c r="B12" s="24"/>
      <c r="C12" s="24"/>
      <c r="D12" s="24"/>
      <c r="E12" s="24"/>
      <c r="F12" s="24"/>
      <c r="G12" s="24"/>
      <c r="H12" s="24"/>
      <c r="I12" s="24"/>
      <c r="J12" s="24"/>
      <c r="K12" s="559"/>
      <c r="L12" s="159"/>
      <c r="M12" s="24"/>
      <c r="N12" s="24"/>
      <c r="O12" s="24"/>
      <c r="P12" s="24"/>
      <c r="Q12" s="24"/>
      <c r="R12" s="24"/>
      <c r="S12" s="24"/>
      <c r="T12" s="24"/>
      <c r="U12" s="25"/>
      <c r="V12" s="25"/>
      <c r="W12" s="24"/>
      <c r="X12" s="24"/>
      <c r="Y12" s="26"/>
      <c r="Z12" s="851" t="s">
        <v>101</v>
      </c>
      <c r="AA12" s="852"/>
      <c r="AB12" s="853"/>
    </row>
    <row r="13" spans="1:31" ht="17.25" customHeight="1">
      <c r="B13" s="929" t="s">
        <v>0</v>
      </c>
      <c r="C13" s="781" t="s">
        <v>4</v>
      </c>
      <c r="D13" s="921" t="s">
        <v>5</v>
      </c>
      <c r="E13" s="911" t="s">
        <v>90</v>
      </c>
      <c r="F13" s="911" t="s">
        <v>6</v>
      </c>
      <c r="G13" s="913" t="s">
        <v>21</v>
      </c>
      <c r="H13" s="914"/>
      <c r="I13" s="914"/>
      <c r="J13" s="915"/>
      <c r="K13" s="911" t="s">
        <v>8</v>
      </c>
      <c r="L13" s="870" t="s">
        <v>1547</v>
      </c>
      <c r="M13" s="911" t="s">
        <v>90</v>
      </c>
      <c r="N13" s="911" t="s">
        <v>6</v>
      </c>
      <c r="O13" s="913" t="s">
        <v>21</v>
      </c>
      <c r="P13" s="914"/>
      <c r="Q13" s="914"/>
      <c r="R13" s="915"/>
      <c r="S13" s="919" t="s">
        <v>8</v>
      </c>
      <c r="T13" s="870" t="s">
        <v>1547</v>
      </c>
      <c r="U13" s="911" t="s">
        <v>13</v>
      </c>
      <c r="V13" s="911"/>
      <c r="W13" s="921" t="s">
        <v>91</v>
      </c>
      <c r="X13" s="921"/>
      <c r="Y13" s="921"/>
      <c r="Z13" s="921" t="s">
        <v>92</v>
      </c>
      <c r="AA13" s="921"/>
      <c r="AB13" s="921"/>
      <c r="AC13" s="921" t="s">
        <v>92</v>
      </c>
      <c r="AD13" s="921"/>
      <c r="AE13" s="922"/>
    </row>
    <row r="14" spans="1:31" ht="17.25" customHeight="1">
      <c r="B14" s="930"/>
      <c r="C14" s="931"/>
      <c r="D14" s="932"/>
      <c r="E14" s="912"/>
      <c r="F14" s="912"/>
      <c r="G14" s="916"/>
      <c r="H14" s="917"/>
      <c r="I14" s="917"/>
      <c r="J14" s="918"/>
      <c r="K14" s="912"/>
      <c r="L14" s="871"/>
      <c r="M14" s="912"/>
      <c r="N14" s="912"/>
      <c r="O14" s="916"/>
      <c r="P14" s="917"/>
      <c r="Q14" s="917"/>
      <c r="R14" s="918"/>
      <c r="S14" s="920"/>
      <c r="T14" s="871"/>
      <c r="U14" s="912"/>
      <c r="V14" s="912"/>
      <c r="W14" s="184" t="s">
        <v>93</v>
      </c>
      <c r="X14" s="181" t="s">
        <v>94</v>
      </c>
      <c r="Y14" s="181" t="s">
        <v>95</v>
      </c>
      <c r="Z14" s="184" t="s">
        <v>93</v>
      </c>
      <c r="AA14" s="181" t="s">
        <v>94</v>
      </c>
      <c r="AB14" s="181" t="s">
        <v>95</v>
      </c>
      <c r="AC14" s="184" t="s">
        <v>93</v>
      </c>
      <c r="AD14" s="181" t="s">
        <v>94</v>
      </c>
      <c r="AE14" s="185" t="s">
        <v>95</v>
      </c>
    </row>
    <row r="15" spans="1:31" ht="17.25" customHeight="1">
      <c r="B15" s="180">
        <v>1</v>
      </c>
      <c r="C15" s="923" t="s">
        <v>12</v>
      </c>
      <c r="D15" s="765"/>
      <c r="E15" s="186" t="s">
        <v>10</v>
      </c>
      <c r="F15" s="187" t="s">
        <v>46</v>
      </c>
      <c r="G15" s="243" t="s">
        <v>1320</v>
      </c>
      <c r="H15" s="244"/>
      <c r="I15" s="244"/>
      <c r="J15" s="245"/>
      <c r="K15" s="661"/>
      <c r="L15" s="188" t="s">
        <v>1513</v>
      </c>
      <c r="M15" s="186" t="s">
        <v>11</v>
      </c>
      <c r="N15" s="189" t="s">
        <v>47</v>
      </c>
      <c r="O15" s="265" t="s">
        <v>1342</v>
      </c>
      <c r="P15" s="266"/>
      <c r="Q15" s="266"/>
      <c r="R15" s="326"/>
      <c r="S15" s="661"/>
      <c r="T15" s="209" t="s">
        <v>1513</v>
      </c>
      <c r="U15" s="909"/>
      <c r="V15" s="909"/>
      <c r="W15" s="193"/>
      <c r="X15" s="182"/>
      <c r="Y15" s="182"/>
      <c r="Z15" s="182"/>
      <c r="AA15" s="182"/>
      <c r="AB15" s="182"/>
      <c r="AC15" s="182"/>
      <c r="AD15" s="182"/>
      <c r="AE15" s="194"/>
    </row>
    <row r="16" spans="1:31" ht="17.25" customHeight="1">
      <c r="B16" s="180">
        <v>2</v>
      </c>
      <c r="C16" s="792"/>
      <c r="D16" s="765"/>
      <c r="E16" s="186" t="s">
        <v>10</v>
      </c>
      <c r="F16" s="187" t="str">
        <f>LEFT(F15,1)&amp;DEC2HEX(HEX2DEC(MID(F15,2,LENB(F15)-1))+1,LENB(F15)-1)</f>
        <v>IB30001</v>
      </c>
      <c r="G16" s="243" t="s">
        <v>1457</v>
      </c>
      <c r="H16" s="244"/>
      <c r="I16" s="244"/>
      <c r="J16" s="245"/>
      <c r="K16" s="661"/>
      <c r="L16" s="188" t="s">
        <v>1513</v>
      </c>
      <c r="M16" s="186" t="s">
        <v>11</v>
      </c>
      <c r="N16" s="195" t="str">
        <f>LEFT(N15,1)&amp;DEC2HEX(HEX2DEC(MID(N15,2,LENB(N15)-1))+1,LENB(N15)-1)</f>
        <v>OB30001</v>
      </c>
      <c r="O16" s="265" t="s">
        <v>1343</v>
      </c>
      <c r="P16" s="266"/>
      <c r="Q16" s="266"/>
      <c r="R16" s="326"/>
      <c r="S16" s="661"/>
      <c r="T16" s="209" t="s">
        <v>1513</v>
      </c>
      <c r="U16" s="909"/>
      <c r="V16" s="909"/>
      <c r="W16" s="193"/>
      <c r="X16" s="182"/>
      <c r="Y16" s="182"/>
      <c r="Z16" s="182"/>
      <c r="AA16" s="182"/>
      <c r="AB16" s="182"/>
      <c r="AC16" s="182"/>
      <c r="AD16" s="182"/>
      <c r="AE16" s="194"/>
    </row>
    <row r="17" spans="2:31" ht="17.25" customHeight="1">
      <c r="B17" s="180">
        <v>3</v>
      </c>
      <c r="C17" s="792"/>
      <c r="D17" s="765"/>
      <c r="E17" s="186" t="s">
        <v>10</v>
      </c>
      <c r="F17" s="187" t="str">
        <f t="shared" ref="F17:F46" si="0">LEFT(F16,1)&amp;DEC2HEX(HEX2DEC(MID(F16,2,LENB(F16)-1))+1,LENB(F16)-1)</f>
        <v>IB30002</v>
      </c>
      <c r="G17" s="243" t="s">
        <v>1458</v>
      </c>
      <c r="H17" s="244"/>
      <c r="I17" s="244"/>
      <c r="J17" s="245"/>
      <c r="K17" s="661"/>
      <c r="L17" s="188" t="s">
        <v>1513</v>
      </c>
      <c r="M17" s="186" t="s">
        <v>11</v>
      </c>
      <c r="N17" s="195" t="str">
        <f t="shared" ref="N17:N46" si="1">LEFT(N16,1)&amp;DEC2HEX(HEX2DEC(MID(N16,2,LENB(N16)-1))+1,LENB(N16)-1)</f>
        <v>OB30002</v>
      </c>
      <c r="O17" s="265" t="s">
        <v>1344</v>
      </c>
      <c r="P17" s="266"/>
      <c r="Q17" s="266"/>
      <c r="R17" s="326"/>
      <c r="S17" s="661"/>
      <c r="T17" s="209" t="s">
        <v>1513</v>
      </c>
      <c r="U17" s="909"/>
      <c r="V17" s="909"/>
      <c r="W17" s="193"/>
      <c r="X17" s="182"/>
      <c r="Y17" s="182"/>
      <c r="Z17" s="182"/>
      <c r="AA17" s="182"/>
      <c r="AB17" s="182"/>
      <c r="AC17" s="182"/>
      <c r="AD17" s="182"/>
      <c r="AE17" s="194"/>
    </row>
    <row r="18" spans="2:31" ht="17.25" customHeight="1">
      <c r="B18" s="180">
        <v>4</v>
      </c>
      <c r="C18" s="792"/>
      <c r="D18" s="765"/>
      <c r="E18" s="186" t="s">
        <v>10</v>
      </c>
      <c r="F18" s="187" t="str">
        <f t="shared" si="0"/>
        <v>IB30003</v>
      </c>
      <c r="G18" s="243" t="s">
        <v>1459</v>
      </c>
      <c r="H18" s="244"/>
      <c r="I18" s="244"/>
      <c r="J18" s="245"/>
      <c r="K18" s="661"/>
      <c r="L18" s="188" t="s">
        <v>1513</v>
      </c>
      <c r="M18" s="186" t="s">
        <v>11</v>
      </c>
      <c r="N18" s="195" t="str">
        <f t="shared" si="1"/>
        <v>OB30003</v>
      </c>
      <c r="O18" s="328" t="s">
        <v>1345</v>
      </c>
      <c r="P18" s="329"/>
      <c r="Q18" s="329"/>
      <c r="R18" s="330"/>
      <c r="S18" s="661"/>
      <c r="T18" s="209" t="s">
        <v>1513</v>
      </c>
      <c r="U18" s="909"/>
      <c r="V18" s="909"/>
      <c r="W18" s="193"/>
      <c r="X18" s="182"/>
      <c r="Y18" s="182"/>
      <c r="Z18" s="182"/>
      <c r="AA18" s="182"/>
      <c r="AB18" s="182"/>
      <c r="AC18" s="182"/>
      <c r="AD18" s="182"/>
      <c r="AE18" s="194"/>
    </row>
    <row r="19" spans="2:31" ht="17.25" customHeight="1">
      <c r="B19" s="180">
        <v>5</v>
      </c>
      <c r="C19" s="792"/>
      <c r="D19" s="765"/>
      <c r="E19" s="186" t="s">
        <v>10</v>
      </c>
      <c r="F19" s="187" t="str">
        <f t="shared" si="0"/>
        <v>IB30004</v>
      </c>
      <c r="G19" s="243" t="s">
        <v>1321</v>
      </c>
      <c r="H19" s="244"/>
      <c r="I19" s="244"/>
      <c r="J19" s="245"/>
      <c r="K19" s="661"/>
      <c r="L19" s="188" t="s">
        <v>1513</v>
      </c>
      <c r="M19" s="186" t="s">
        <v>11</v>
      </c>
      <c r="N19" s="195" t="str">
        <f t="shared" si="1"/>
        <v>OB30004</v>
      </c>
      <c r="O19" s="265" t="s">
        <v>1346</v>
      </c>
      <c r="P19" s="266"/>
      <c r="Q19" s="266"/>
      <c r="R19" s="326"/>
      <c r="S19" s="661"/>
      <c r="T19" s="209" t="s">
        <v>1513</v>
      </c>
      <c r="U19" s="909"/>
      <c r="V19" s="909"/>
      <c r="W19" s="193"/>
      <c r="X19" s="182"/>
      <c r="Y19" s="182"/>
      <c r="Z19" s="182"/>
      <c r="AA19" s="182"/>
      <c r="AB19" s="182"/>
      <c r="AC19" s="182"/>
      <c r="AD19" s="182"/>
      <c r="AE19" s="194"/>
    </row>
    <row r="20" spans="2:31" ht="17.25" customHeight="1">
      <c r="B20" s="180">
        <v>6</v>
      </c>
      <c r="C20" s="792"/>
      <c r="D20" s="765"/>
      <c r="E20" s="186" t="s">
        <v>10</v>
      </c>
      <c r="F20" s="187" t="str">
        <f t="shared" si="0"/>
        <v>IB30005</v>
      </c>
      <c r="G20" s="243" t="s">
        <v>1322</v>
      </c>
      <c r="H20" s="244"/>
      <c r="I20" s="244"/>
      <c r="J20" s="245"/>
      <c r="K20" s="661"/>
      <c r="L20" s="188" t="s">
        <v>1513</v>
      </c>
      <c r="M20" s="186" t="s">
        <v>11</v>
      </c>
      <c r="N20" s="195" t="str">
        <f t="shared" si="1"/>
        <v>OB30005</v>
      </c>
      <c r="O20" s="265" t="s">
        <v>1347</v>
      </c>
      <c r="P20" s="266"/>
      <c r="Q20" s="266"/>
      <c r="R20" s="326"/>
      <c r="S20" s="661"/>
      <c r="T20" s="209" t="s">
        <v>1513</v>
      </c>
      <c r="U20" s="909"/>
      <c r="V20" s="909"/>
      <c r="W20" s="193"/>
      <c r="X20" s="182"/>
      <c r="Y20" s="182"/>
      <c r="Z20" s="182"/>
      <c r="AA20" s="182"/>
      <c r="AB20" s="182"/>
      <c r="AC20" s="182"/>
      <c r="AD20" s="182"/>
      <c r="AE20" s="194"/>
    </row>
    <row r="21" spans="2:31" ht="17.25" customHeight="1">
      <c r="B21" s="180">
        <v>7</v>
      </c>
      <c r="C21" s="792"/>
      <c r="D21" s="765"/>
      <c r="E21" s="186" t="s">
        <v>10</v>
      </c>
      <c r="F21" s="187" t="str">
        <f t="shared" si="0"/>
        <v>IB30006</v>
      </c>
      <c r="G21" s="243" t="s">
        <v>1323</v>
      </c>
      <c r="H21" s="244"/>
      <c r="I21" s="244"/>
      <c r="J21" s="245"/>
      <c r="K21" s="661"/>
      <c r="L21" s="188" t="s">
        <v>1513</v>
      </c>
      <c r="M21" s="186" t="s">
        <v>11</v>
      </c>
      <c r="N21" s="195" t="str">
        <f t="shared" si="1"/>
        <v>OB30006</v>
      </c>
      <c r="O21" s="265" t="s">
        <v>1348</v>
      </c>
      <c r="P21" s="266"/>
      <c r="Q21" s="266"/>
      <c r="R21" s="326"/>
      <c r="S21" s="661"/>
      <c r="T21" s="209" t="s">
        <v>1513</v>
      </c>
      <c r="U21" s="909"/>
      <c r="V21" s="909"/>
      <c r="W21" s="193"/>
      <c r="X21" s="182"/>
      <c r="Y21" s="182"/>
      <c r="Z21" s="182"/>
      <c r="AA21" s="182"/>
      <c r="AB21" s="182"/>
      <c r="AC21" s="182"/>
      <c r="AD21" s="182"/>
      <c r="AE21" s="194"/>
    </row>
    <row r="22" spans="2:31" ht="17.25" customHeight="1">
      <c r="B22" s="180">
        <v>8</v>
      </c>
      <c r="C22" s="792"/>
      <c r="D22" s="765"/>
      <c r="E22" s="186" t="s">
        <v>10</v>
      </c>
      <c r="F22" s="187" t="str">
        <f t="shared" si="0"/>
        <v>IB30007</v>
      </c>
      <c r="G22" s="243" t="s">
        <v>1324</v>
      </c>
      <c r="H22" s="244"/>
      <c r="I22" s="244"/>
      <c r="J22" s="245"/>
      <c r="K22" s="661"/>
      <c r="L22" s="188" t="s">
        <v>1513</v>
      </c>
      <c r="M22" s="186" t="s">
        <v>11</v>
      </c>
      <c r="N22" s="195" t="str">
        <f t="shared" si="1"/>
        <v>OB30007</v>
      </c>
      <c r="O22" s="328" t="s">
        <v>1349</v>
      </c>
      <c r="P22" s="329"/>
      <c r="Q22" s="329"/>
      <c r="R22" s="330"/>
      <c r="S22" s="661"/>
      <c r="T22" s="209" t="s">
        <v>1513</v>
      </c>
      <c r="U22" s="909"/>
      <c r="V22" s="909"/>
      <c r="W22" s="193"/>
      <c r="X22" s="182"/>
      <c r="Y22" s="182"/>
      <c r="Z22" s="182"/>
      <c r="AA22" s="182"/>
      <c r="AB22" s="182"/>
      <c r="AC22" s="182"/>
      <c r="AD22" s="182"/>
      <c r="AE22" s="194"/>
    </row>
    <row r="23" spans="2:31" ht="17.25" customHeight="1">
      <c r="B23" s="180">
        <v>9</v>
      </c>
      <c r="C23" s="792"/>
      <c r="D23" s="765"/>
      <c r="E23" s="186" t="s">
        <v>10</v>
      </c>
      <c r="F23" s="187" t="str">
        <f t="shared" si="0"/>
        <v>IB30008</v>
      </c>
      <c r="G23" s="243" t="s">
        <v>1325</v>
      </c>
      <c r="H23" s="244"/>
      <c r="I23" s="244"/>
      <c r="J23" s="245"/>
      <c r="K23" s="661"/>
      <c r="L23" s="188" t="s">
        <v>1513</v>
      </c>
      <c r="M23" s="186" t="s">
        <v>11</v>
      </c>
      <c r="N23" s="195" t="str">
        <f t="shared" si="1"/>
        <v>OB30008</v>
      </c>
      <c r="O23" s="265" t="s">
        <v>1350</v>
      </c>
      <c r="P23" s="266"/>
      <c r="Q23" s="266"/>
      <c r="R23" s="326"/>
      <c r="S23" s="661"/>
      <c r="T23" s="209" t="s">
        <v>1513</v>
      </c>
      <c r="U23" s="909"/>
      <c r="V23" s="909"/>
      <c r="W23" s="193"/>
      <c r="X23" s="182"/>
      <c r="Y23" s="182"/>
      <c r="Z23" s="182"/>
      <c r="AA23" s="182"/>
      <c r="AB23" s="182"/>
      <c r="AC23" s="182"/>
      <c r="AD23" s="182"/>
      <c r="AE23" s="194"/>
    </row>
    <row r="24" spans="2:31" ht="17.25" customHeight="1">
      <c r="B24" s="180">
        <v>10</v>
      </c>
      <c r="C24" s="792"/>
      <c r="D24" s="765"/>
      <c r="E24" s="186" t="s">
        <v>10</v>
      </c>
      <c r="F24" s="187" t="str">
        <f t="shared" si="0"/>
        <v>IB30009</v>
      </c>
      <c r="G24" s="243" t="s">
        <v>1326</v>
      </c>
      <c r="H24" s="244"/>
      <c r="I24" s="244"/>
      <c r="J24" s="245"/>
      <c r="K24" s="661"/>
      <c r="L24" s="188" t="s">
        <v>1513</v>
      </c>
      <c r="M24" s="186" t="s">
        <v>11</v>
      </c>
      <c r="N24" s="195" t="str">
        <f t="shared" si="1"/>
        <v>OB30009</v>
      </c>
      <c r="O24" s="265" t="s">
        <v>1351</v>
      </c>
      <c r="P24" s="266"/>
      <c r="Q24" s="266"/>
      <c r="R24" s="326"/>
      <c r="S24" s="661"/>
      <c r="T24" s="209" t="s">
        <v>1513</v>
      </c>
      <c r="U24" s="909"/>
      <c r="V24" s="909"/>
      <c r="W24" s="193"/>
      <c r="X24" s="182"/>
      <c r="Y24" s="182"/>
      <c r="Z24" s="182"/>
      <c r="AA24" s="182"/>
      <c r="AB24" s="182"/>
      <c r="AC24" s="182"/>
      <c r="AD24" s="182"/>
      <c r="AE24" s="194"/>
    </row>
    <row r="25" spans="2:31" ht="17.25" customHeight="1">
      <c r="B25" s="180">
        <v>11</v>
      </c>
      <c r="C25" s="792"/>
      <c r="D25" s="765"/>
      <c r="E25" s="186" t="s">
        <v>10</v>
      </c>
      <c r="F25" s="187" t="str">
        <f t="shared" si="0"/>
        <v>IB3000A</v>
      </c>
      <c r="G25" s="243" t="s">
        <v>1327</v>
      </c>
      <c r="H25" s="244"/>
      <c r="I25" s="244"/>
      <c r="J25" s="245"/>
      <c r="K25" s="661"/>
      <c r="L25" s="188" t="s">
        <v>1513</v>
      </c>
      <c r="M25" s="186" t="s">
        <v>11</v>
      </c>
      <c r="N25" s="195" t="str">
        <f t="shared" si="1"/>
        <v>OB3000A</v>
      </c>
      <c r="O25" s="265" t="s">
        <v>1352</v>
      </c>
      <c r="P25" s="266"/>
      <c r="Q25" s="266"/>
      <c r="R25" s="326"/>
      <c r="S25" s="661"/>
      <c r="T25" s="209" t="s">
        <v>1513</v>
      </c>
      <c r="U25" s="909"/>
      <c r="V25" s="909"/>
      <c r="W25" s="193"/>
      <c r="X25" s="182"/>
      <c r="Y25" s="182"/>
      <c r="Z25" s="182"/>
      <c r="AA25" s="182"/>
      <c r="AB25" s="182"/>
      <c r="AC25" s="182"/>
      <c r="AD25" s="182"/>
      <c r="AE25" s="194"/>
    </row>
    <row r="26" spans="2:31" ht="17.25" customHeight="1">
      <c r="B26" s="180">
        <v>12</v>
      </c>
      <c r="C26" s="792"/>
      <c r="D26" s="765"/>
      <c r="E26" s="186" t="s">
        <v>10</v>
      </c>
      <c r="F26" s="187" t="str">
        <f t="shared" si="0"/>
        <v>IB3000B</v>
      </c>
      <c r="G26" s="243" t="s">
        <v>1328</v>
      </c>
      <c r="H26" s="244"/>
      <c r="I26" s="244"/>
      <c r="J26" s="245"/>
      <c r="K26" s="661"/>
      <c r="L26" s="188" t="s">
        <v>1513</v>
      </c>
      <c r="M26" s="186" t="s">
        <v>11</v>
      </c>
      <c r="N26" s="195" t="str">
        <f t="shared" si="1"/>
        <v>OB3000B</v>
      </c>
      <c r="O26" s="328" t="s">
        <v>1353</v>
      </c>
      <c r="P26" s="329"/>
      <c r="Q26" s="329"/>
      <c r="R26" s="330"/>
      <c r="S26" s="661"/>
      <c r="T26" s="209" t="s">
        <v>1513</v>
      </c>
      <c r="U26" s="909"/>
      <c r="V26" s="909"/>
      <c r="W26" s="193"/>
      <c r="X26" s="182"/>
      <c r="Y26" s="182"/>
      <c r="Z26" s="182"/>
      <c r="AA26" s="182"/>
      <c r="AB26" s="182"/>
      <c r="AC26" s="182"/>
      <c r="AD26" s="182"/>
      <c r="AE26" s="194"/>
    </row>
    <row r="27" spans="2:31" ht="17.25" customHeight="1">
      <c r="B27" s="180">
        <v>13</v>
      </c>
      <c r="C27" s="792"/>
      <c r="D27" s="765"/>
      <c r="E27" s="186" t="s">
        <v>10</v>
      </c>
      <c r="F27" s="187" t="str">
        <f t="shared" si="0"/>
        <v>IB3000C</v>
      </c>
      <c r="G27" s="243"/>
      <c r="H27" s="244"/>
      <c r="I27" s="244"/>
      <c r="J27" s="245"/>
      <c r="K27" s="661"/>
      <c r="L27" s="188"/>
      <c r="M27" s="186" t="s">
        <v>11</v>
      </c>
      <c r="N27" s="195" t="str">
        <f t="shared" si="1"/>
        <v>OB3000C</v>
      </c>
      <c r="O27" s="265"/>
      <c r="P27" s="266"/>
      <c r="Q27" s="266"/>
      <c r="R27" s="326"/>
      <c r="S27" s="661"/>
      <c r="T27" s="191"/>
      <c r="U27" s="909"/>
      <c r="V27" s="909"/>
      <c r="W27" s="193"/>
      <c r="X27" s="182"/>
      <c r="Y27" s="182"/>
      <c r="Z27" s="182"/>
      <c r="AA27" s="182"/>
      <c r="AB27" s="182"/>
      <c r="AC27" s="182"/>
      <c r="AD27" s="182"/>
      <c r="AE27" s="194"/>
    </row>
    <row r="28" spans="2:31" ht="17.25" customHeight="1">
      <c r="B28" s="180">
        <v>14</v>
      </c>
      <c r="C28" s="792"/>
      <c r="D28" s="765"/>
      <c r="E28" s="186" t="s">
        <v>10</v>
      </c>
      <c r="F28" s="187" t="str">
        <f t="shared" si="0"/>
        <v>IB3000D</v>
      </c>
      <c r="G28" s="243"/>
      <c r="H28" s="244"/>
      <c r="I28" s="244"/>
      <c r="J28" s="245"/>
      <c r="K28" s="661"/>
      <c r="L28" s="188"/>
      <c r="M28" s="186" t="s">
        <v>11</v>
      </c>
      <c r="N28" s="195" t="str">
        <f t="shared" si="1"/>
        <v>OB3000D</v>
      </c>
      <c r="O28" s="265"/>
      <c r="P28" s="266"/>
      <c r="Q28" s="266"/>
      <c r="R28" s="326"/>
      <c r="S28" s="661"/>
      <c r="T28" s="191"/>
      <c r="U28" s="909"/>
      <c r="V28" s="909"/>
      <c r="W28" s="193"/>
      <c r="X28" s="182"/>
      <c r="Y28" s="182"/>
      <c r="Z28" s="182"/>
      <c r="AA28" s="182"/>
      <c r="AB28" s="182"/>
      <c r="AC28" s="182"/>
      <c r="AD28" s="182"/>
      <c r="AE28" s="194"/>
    </row>
    <row r="29" spans="2:31" ht="17.25" customHeight="1">
      <c r="B29" s="180">
        <v>15</v>
      </c>
      <c r="C29" s="792"/>
      <c r="D29" s="765"/>
      <c r="E29" s="186" t="s">
        <v>10</v>
      </c>
      <c r="F29" s="187" t="str">
        <f t="shared" si="0"/>
        <v>IB3000E</v>
      </c>
      <c r="G29" s="243"/>
      <c r="H29" s="244"/>
      <c r="I29" s="244"/>
      <c r="J29" s="245"/>
      <c r="K29" s="661"/>
      <c r="L29" s="188"/>
      <c r="M29" s="186" t="s">
        <v>11</v>
      </c>
      <c r="N29" s="195" t="str">
        <f t="shared" si="1"/>
        <v>OB3000E</v>
      </c>
      <c r="O29" s="265"/>
      <c r="P29" s="266"/>
      <c r="Q29" s="266"/>
      <c r="R29" s="326"/>
      <c r="S29" s="661"/>
      <c r="T29" s="191"/>
      <c r="U29" s="909"/>
      <c r="V29" s="909"/>
      <c r="W29" s="193"/>
      <c r="X29" s="182"/>
      <c r="Y29" s="182"/>
      <c r="Z29" s="182"/>
      <c r="AA29" s="182"/>
      <c r="AB29" s="182"/>
      <c r="AC29" s="182"/>
      <c r="AD29" s="182"/>
      <c r="AE29" s="194"/>
    </row>
    <row r="30" spans="2:31" ht="17.25" customHeight="1">
      <c r="B30" s="180">
        <v>16</v>
      </c>
      <c r="C30" s="792"/>
      <c r="D30" s="765"/>
      <c r="E30" s="186" t="s">
        <v>10</v>
      </c>
      <c r="F30" s="187" t="str">
        <f t="shared" si="0"/>
        <v>IB3000F</v>
      </c>
      <c r="G30" s="243"/>
      <c r="H30" s="244"/>
      <c r="I30" s="244"/>
      <c r="J30" s="245"/>
      <c r="K30" s="661"/>
      <c r="L30" s="188"/>
      <c r="M30" s="186" t="s">
        <v>11</v>
      </c>
      <c r="N30" s="195" t="str">
        <f t="shared" si="1"/>
        <v>OB3000F</v>
      </c>
      <c r="O30" s="328"/>
      <c r="P30" s="329"/>
      <c r="Q30" s="329"/>
      <c r="R30" s="330"/>
      <c r="S30" s="661"/>
      <c r="T30" s="191"/>
      <c r="U30" s="909"/>
      <c r="V30" s="909"/>
      <c r="W30" s="193"/>
      <c r="X30" s="182"/>
      <c r="Y30" s="182"/>
      <c r="Z30" s="182"/>
      <c r="AA30" s="182"/>
      <c r="AB30" s="182"/>
      <c r="AC30" s="182"/>
      <c r="AD30" s="182"/>
      <c r="AE30" s="194"/>
    </row>
    <row r="31" spans="2:31" ht="17.25" customHeight="1">
      <c r="B31" s="180">
        <v>17</v>
      </c>
      <c r="C31" s="792"/>
      <c r="D31" s="765"/>
      <c r="E31" s="186" t="s">
        <v>10</v>
      </c>
      <c r="F31" s="187" t="str">
        <f t="shared" si="0"/>
        <v>IB30010</v>
      </c>
      <c r="G31" s="243" t="s">
        <v>1329</v>
      </c>
      <c r="H31" s="244"/>
      <c r="I31" s="244"/>
      <c r="J31" s="245"/>
      <c r="K31" s="661"/>
      <c r="L31" s="188" t="s">
        <v>1513</v>
      </c>
      <c r="M31" s="186" t="s">
        <v>11</v>
      </c>
      <c r="N31" s="195" t="str">
        <f t="shared" si="1"/>
        <v>OB30010</v>
      </c>
      <c r="O31" s="265" t="s">
        <v>1354</v>
      </c>
      <c r="P31" s="266"/>
      <c r="Q31" s="266"/>
      <c r="R31" s="326"/>
      <c r="S31" s="661"/>
      <c r="T31" s="209" t="s">
        <v>1513</v>
      </c>
      <c r="U31" s="909"/>
      <c r="V31" s="909"/>
      <c r="W31" s="193"/>
      <c r="X31" s="182"/>
      <c r="Y31" s="182"/>
      <c r="Z31" s="182"/>
      <c r="AA31" s="182"/>
      <c r="AB31" s="182"/>
      <c r="AC31" s="182"/>
      <c r="AD31" s="182"/>
      <c r="AE31" s="194"/>
    </row>
    <row r="32" spans="2:31" ht="17.25" customHeight="1">
      <c r="B32" s="180">
        <v>18</v>
      </c>
      <c r="C32" s="792"/>
      <c r="D32" s="765"/>
      <c r="E32" s="186" t="s">
        <v>10</v>
      </c>
      <c r="F32" s="187" t="str">
        <f t="shared" si="0"/>
        <v>IB30011</v>
      </c>
      <c r="G32" s="243" t="s">
        <v>1330</v>
      </c>
      <c r="H32" s="244"/>
      <c r="I32" s="244"/>
      <c r="J32" s="245"/>
      <c r="K32" s="661"/>
      <c r="L32" s="188" t="s">
        <v>1513</v>
      </c>
      <c r="M32" s="186" t="s">
        <v>11</v>
      </c>
      <c r="N32" s="195" t="str">
        <f t="shared" si="1"/>
        <v>OB30011</v>
      </c>
      <c r="O32" s="265" t="s">
        <v>1355</v>
      </c>
      <c r="P32" s="266"/>
      <c r="Q32" s="266"/>
      <c r="R32" s="326"/>
      <c r="S32" s="661"/>
      <c r="T32" s="209" t="s">
        <v>1513</v>
      </c>
      <c r="U32" s="909"/>
      <c r="V32" s="909"/>
      <c r="W32" s="193"/>
      <c r="X32" s="182"/>
      <c r="Y32" s="182"/>
      <c r="Z32" s="182"/>
      <c r="AA32" s="182"/>
      <c r="AB32" s="182"/>
      <c r="AC32" s="182"/>
      <c r="AD32" s="182"/>
      <c r="AE32" s="194"/>
    </row>
    <row r="33" spans="2:31" ht="17.25" customHeight="1">
      <c r="B33" s="180">
        <v>19</v>
      </c>
      <c r="C33" s="792"/>
      <c r="D33" s="765"/>
      <c r="E33" s="186" t="s">
        <v>10</v>
      </c>
      <c r="F33" s="187" t="str">
        <f t="shared" si="0"/>
        <v>IB30012</v>
      </c>
      <c r="G33" s="243" t="s">
        <v>1331</v>
      </c>
      <c r="H33" s="244"/>
      <c r="I33" s="244"/>
      <c r="J33" s="245"/>
      <c r="K33" s="661"/>
      <c r="L33" s="188" t="s">
        <v>1513</v>
      </c>
      <c r="M33" s="186" t="s">
        <v>11</v>
      </c>
      <c r="N33" s="195" t="str">
        <f t="shared" si="1"/>
        <v>OB30012</v>
      </c>
      <c r="O33" s="265" t="s">
        <v>1356</v>
      </c>
      <c r="P33" s="266"/>
      <c r="Q33" s="266"/>
      <c r="R33" s="326"/>
      <c r="S33" s="661"/>
      <c r="T33" s="209" t="s">
        <v>1513</v>
      </c>
      <c r="U33" s="909"/>
      <c r="V33" s="909"/>
      <c r="W33" s="193"/>
      <c r="X33" s="182"/>
      <c r="Y33" s="182"/>
      <c r="Z33" s="182"/>
      <c r="AA33" s="182"/>
      <c r="AB33" s="182"/>
      <c r="AC33" s="182"/>
      <c r="AD33" s="182"/>
      <c r="AE33" s="194"/>
    </row>
    <row r="34" spans="2:31" ht="17.25" customHeight="1">
      <c r="B34" s="180">
        <v>20</v>
      </c>
      <c r="C34" s="792"/>
      <c r="D34" s="765"/>
      <c r="E34" s="186" t="s">
        <v>10</v>
      </c>
      <c r="F34" s="187" t="str">
        <f t="shared" si="0"/>
        <v>IB30013</v>
      </c>
      <c r="G34" s="243" t="s">
        <v>1332</v>
      </c>
      <c r="H34" s="244"/>
      <c r="I34" s="244"/>
      <c r="J34" s="245"/>
      <c r="K34" s="661"/>
      <c r="L34" s="188" t="s">
        <v>1513</v>
      </c>
      <c r="M34" s="186" t="s">
        <v>11</v>
      </c>
      <c r="N34" s="195" t="str">
        <f t="shared" si="1"/>
        <v>OB30013</v>
      </c>
      <c r="O34" s="328" t="s">
        <v>1357</v>
      </c>
      <c r="P34" s="329"/>
      <c r="Q34" s="329"/>
      <c r="R34" s="330"/>
      <c r="S34" s="661"/>
      <c r="T34" s="209" t="s">
        <v>1513</v>
      </c>
      <c r="U34" s="909"/>
      <c r="V34" s="909"/>
      <c r="W34" s="193"/>
      <c r="X34" s="182"/>
      <c r="Y34" s="182"/>
      <c r="Z34" s="182"/>
      <c r="AA34" s="182"/>
      <c r="AB34" s="182"/>
      <c r="AC34" s="182"/>
      <c r="AD34" s="182"/>
      <c r="AE34" s="194"/>
    </row>
    <row r="35" spans="2:31" ht="17.25" customHeight="1">
      <c r="B35" s="180">
        <v>21</v>
      </c>
      <c r="C35" s="792"/>
      <c r="D35" s="765"/>
      <c r="E35" s="186" t="s">
        <v>10</v>
      </c>
      <c r="F35" s="187" t="str">
        <f t="shared" si="0"/>
        <v>IB30014</v>
      </c>
      <c r="G35" s="243" t="s">
        <v>1333</v>
      </c>
      <c r="H35" s="244"/>
      <c r="I35" s="244"/>
      <c r="J35" s="245"/>
      <c r="K35" s="661"/>
      <c r="L35" s="188" t="s">
        <v>1513</v>
      </c>
      <c r="M35" s="186" t="s">
        <v>11</v>
      </c>
      <c r="N35" s="195" t="str">
        <f t="shared" si="1"/>
        <v>OB30014</v>
      </c>
      <c r="O35" s="265" t="s">
        <v>1358</v>
      </c>
      <c r="P35" s="266"/>
      <c r="Q35" s="266"/>
      <c r="R35" s="326"/>
      <c r="S35" s="661"/>
      <c r="T35" s="209" t="s">
        <v>1513</v>
      </c>
      <c r="U35" s="909"/>
      <c r="V35" s="909"/>
      <c r="W35" s="193"/>
      <c r="X35" s="182"/>
      <c r="Y35" s="182"/>
      <c r="Z35" s="182"/>
      <c r="AA35" s="182"/>
      <c r="AB35" s="182"/>
      <c r="AC35" s="182"/>
      <c r="AD35" s="182"/>
      <c r="AE35" s="194"/>
    </row>
    <row r="36" spans="2:31" ht="17.25" customHeight="1">
      <c r="B36" s="180">
        <v>22</v>
      </c>
      <c r="C36" s="792"/>
      <c r="D36" s="765"/>
      <c r="E36" s="186" t="s">
        <v>10</v>
      </c>
      <c r="F36" s="187" t="str">
        <f t="shared" si="0"/>
        <v>IB30015</v>
      </c>
      <c r="G36" s="243" t="s">
        <v>1334</v>
      </c>
      <c r="H36" s="244"/>
      <c r="I36" s="244"/>
      <c r="J36" s="245"/>
      <c r="K36" s="661"/>
      <c r="L36" s="188" t="s">
        <v>1513</v>
      </c>
      <c r="M36" s="186" t="s">
        <v>11</v>
      </c>
      <c r="N36" s="195" t="str">
        <f t="shared" si="1"/>
        <v>OB30015</v>
      </c>
      <c r="O36" s="265" t="s">
        <v>1359</v>
      </c>
      <c r="P36" s="266"/>
      <c r="Q36" s="266"/>
      <c r="R36" s="326"/>
      <c r="S36" s="661"/>
      <c r="T36" s="209" t="s">
        <v>1513</v>
      </c>
      <c r="U36" s="909"/>
      <c r="V36" s="909"/>
      <c r="W36" s="193"/>
      <c r="X36" s="182"/>
      <c r="Y36" s="182"/>
      <c r="Z36" s="182"/>
      <c r="AA36" s="182"/>
      <c r="AB36" s="182"/>
      <c r="AC36" s="182"/>
      <c r="AD36" s="182"/>
      <c r="AE36" s="194"/>
    </row>
    <row r="37" spans="2:31" ht="17.25" customHeight="1">
      <c r="B37" s="180">
        <v>23</v>
      </c>
      <c r="C37" s="792"/>
      <c r="D37" s="765"/>
      <c r="E37" s="186" t="s">
        <v>10</v>
      </c>
      <c r="F37" s="187" t="str">
        <f t="shared" si="0"/>
        <v>IB30016</v>
      </c>
      <c r="G37" s="243" t="s">
        <v>1335</v>
      </c>
      <c r="H37" s="244"/>
      <c r="I37" s="244"/>
      <c r="J37" s="245"/>
      <c r="K37" s="661"/>
      <c r="L37" s="188" t="s">
        <v>1513</v>
      </c>
      <c r="M37" s="186" t="s">
        <v>11</v>
      </c>
      <c r="N37" s="195" t="str">
        <f t="shared" si="1"/>
        <v>OB30016</v>
      </c>
      <c r="O37" s="265" t="s">
        <v>1360</v>
      </c>
      <c r="P37" s="266"/>
      <c r="Q37" s="266"/>
      <c r="R37" s="326"/>
      <c r="S37" s="661"/>
      <c r="T37" s="209" t="s">
        <v>1513</v>
      </c>
      <c r="U37" s="909"/>
      <c r="V37" s="909"/>
      <c r="W37" s="193"/>
      <c r="X37" s="182"/>
      <c r="Y37" s="182"/>
      <c r="Z37" s="182"/>
      <c r="AA37" s="182"/>
      <c r="AB37" s="182"/>
      <c r="AC37" s="182"/>
      <c r="AD37" s="182"/>
      <c r="AE37" s="194"/>
    </row>
    <row r="38" spans="2:31" ht="17.25" customHeight="1">
      <c r="B38" s="180">
        <v>24</v>
      </c>
      <c r="C38" s="792"/>
      <c r="D38" s="765"/>
      <c r="E38" s="186" t="s">
        <v>10</v>
      </c>
      <c r="F38" s="187" t="str">
        <f t="shared" si="0"/>
        <v>IB30017</v>
      </c>
      <c r="G38" s="243" t="s">
        <v>1336</v>
      </c>
      <c r="H38" s="244"/>
      <c r="I38" s="244"/>
      <c r="J38" s="245"/>
      <c r="K38" s="661"/>
      <c r="L38" s="188" t="s">
        <v>1513</v>
      </c>
      <c r="M38" s="186" t="s">
        <v>11</v>
      </c>
      <c r="N38" s="195" t="str">
        <f t="shared" si="1"/>
        <v>OB30017</v>
      </c>
      <c r="O38" s="328" t="s">
        <v>1361</v>
      </c>
      <c r="P38" s="329"/>
      <c r="Q38" s="329"/>
      <c r="R38" s="330"/>
      <c r="S38" s="661"/>
      <c r="T38" s="209" t="s">
        <v>1513</v>
      </c>
      <c r="U38" s="909"/>
      <c r="V38" s="909"/>
      <c r="W38" s="193"/>
      <c r="X38" s="182"/>
      <c r="Y38" s="182"/>
      <c r="Z38" s="182"/>
      <c r="AA38" s="182"/>
      <c r="AB38" s="182"/>
      <c r="AC38" s="182"/>
      <c r="AD38" s="182"/>
      <c r="AE38" s="194"/>
    </row>
    <row r="39" spans="2:31" ht="17.25" customHeight="1">
      <c r="B39" s="180">
        <v>25</v>
      </c>
      <c r="C39" s="792"/>
      <c r="D39" s="765"/>
      <c r="E39" s="186" t="s">
        <v>10</v>
      </c>
      <c r="F39" s="187" t="str">
        <f t="shared" si="0"/>
        <v>IB30018</v>
      </c>
      <c r="G39" s="243" t="s">
        <v>1337</v>
      </c>
      <c r="H39" s="244"/>
      <c r="I39" s="244"/>
      <c r="J39" s="245"/>
      <c r="K39" s="661"/>
      <c r="L39" s="188" t="s">
        <v>1513</v>
      </c>
      <c r="M39" s="186" t="s">
        <v>11</v>
      </c>
      <c r="N39" s="195" t="str">
        <f t="shared" si="1"/>
        <v>OB30018</v>
      </c>
      <c r="O39" s="265" t="s">
        <v>1362</v>
      </c>
      <c r="P39" s="266"/>
      <c r="Q39" s="266"/>
      <c r="R39" s="326"/>
      <c r="S39" s="661"/>
      <c r="T39" s="209" t="s">
        <v>1513</v>
      </c>
      <c r="U39" s="909"/>
      <c r="V39" s="909"/>
      <c r="W39" s="193"/>
      <c r="X39" s="182"/>
      <c r="Y39" s="182"/>
      <c r="Z39" s="182"/>
      <c r="AA39" s="182"/>
      <c r="AB39" s="182"/>
      <c r="AC39" s="182"/>
      <c r="AD39" s="182"/>
      <c r="AE39" s="194"/>
    </row>
    <row r="40" spans="2:31" ht="17.25" customHeight="1">
      <c r="B40" s="180">
        <v>26</v>
      </c>
      <c r="C40" s="792"/>
      <c r="D40" s="765"/>
      <c r="E40" s="186" t="s">
        <v>10</v>
      </c>
      <c r="F40" s="187" t="str">
        <f t="shared" si="0"/>
        <v>IB30019</v>
      </c>
      <c r="G40" s="243" t="s">
        <v>1338</v>
      </c>
      <c r="H40" s="244"/>
      <c r="I40" s="244"/>
      <c r="J40" s="245"/>
      <c r="K40" s="661"/>
      <c r="L40" s="188" t="s">
        <v>1513</v>
      </c>
      <c r="M40" s="186" t="s">
        <v>11</v>
      </c>
      <c r="N40" s="195" t="str">
        <f t="shared" si="1"/>
        <v>OB30019</v>
      </c>
      <c r="O40" s="265" t="s">
        <v>1363</v>
      </c>
      <c r="P40" s="266"/>
      <c r="Q40" s="266"/>
      <c r="R40" s="326"/>
      <c r="S40" s="661"/>
      <c r="T40" s="209" t="s">
        <v>1513</v>
      </c>
      <c r="U40" s="909"/>
      <c r="V40" s="909"/>
      <c r="W40" s="193"/>
      <c r="X40" s="182"/>
      <c r="Y40" s="182"/>
      <c r="Z40" s="182"/>
      <c r="AA40" s="182"/>
      <c r="AB40" s="182"/>
      <c r="AC40" s="182"/>
      <c r="AD40" s="182"/>
      <c r="AE40" s="194"/>
    </row>
    <row r="41" spans="2:31" ht="17.25" customHeight="1">
      <c r="B41" s="180">
        <v>27</v>
      </c>
      <c r="C41" s="792"/>
      <c r="D41" s="765"/>
      <c r="E41" s="186" t="s">
        <v>10</v>
      </c>
      <c r="F41" s="187" t="str">
        <f t="shared" si="0"/>
        <v>IB3001A</v>
      </c>
      <c r="G41" s="243" t="s">
        <v>1339</v>
      </c>
      <c r="H41" s="244"/>
      <c r="I41" s="244"/>
      <c r="J41" s="245"/>
      <c r="K41" s="661"/>
      <c r="L41" s="188" t="s">
        <v>1513</v>
      </c>
      <c r="M41" s="186" t="s">
        <v>11</v>
      </c>
      <c r="N41" s="195" t="str">
        <f t="shared" si="1"/>
        <v>OB3001A</v>
      </c>
      <c r="O41" s="265" t="s">
        <v>1364</v>
      </c>
      <c r="P41" s="266"/>
      <c r="Q41" s="266"/>
      <c r="R41" s="326"/>
      <c r="S41" s="661"/>
      <c r="T41" s="209" t="s">
        <v>1513</v>
      </c>
      <c r="U41" s="909"/>
      <c r="V41" s="909"/>
      <c r="W41" s="193"/>
      <c r="X41" s="182"/>
      <c r="Y41" s="182"/>
      <c r="Z41" s="182"/>
      <c r="AA41" s="182"/>
      <c r="AB41" s="182"/>
      <c r="AC41" s="182"/>
      <c r="AD41" s="182"/>
      <c r="AE41" s="194"/>
    </row>
    <row r="42" spans="2:31" ht="17.25" customHeight="1">
      <c r="B42" s="180">
        <v>28</v>
      </c>
      <c r="C42" s="792"/>
      <c r="D42" s="765"/>
      <c r="E42" s="186" t="s">
        <v>10</v>
      </c>
      <c r="F42" s="187" t="str">
        <f t="shared" si="0"/>
        <v>IB3001B</v>
      </c>
      <c r="G42" s="243" t="s">
        <v>1340</v>
      </c>
      <c r="H42" s="244"/>
      <c r="I42" s="244"/>
      <c r="J42" s="245"/>
      <c r="K42" s="661"/>
      <c r="L42" s="188" t="s">
        <v>1513</v>
      </c>
      <c r="M42" s="186" t="s">
        <v>11</v>
      </c>
      <c r="N42" s="195" t="str">
        <f t="shared" si="1"/>
        <v>OB3001B</v>
      </c>
      <c r="O42" s="328" t="s">
        <v>1365</v>
      </c>
      <c r="P42" s="329"/>
      <c r="Q42" s="329"/>
      <c r="R42" s="330"/>
      <c r="S42" s="661"/>
      <c r="T42" s="209" t="s">
        <v>1513</v>
      </c>
      <c r="U42" s="909"/>
      <c r="V42" s="909"/>
      <c r="W42" s="193"/>
      <c r="X42" s="182"/>
      <c r="Y42" s="182"/>
      <c r="Z42" s="182"/>
      <c r="AA42" s="182"/>
      <c r="AB42" s="182"/>
      <c r="AC42" s="182"/>
      <c r="AD42" s="182"/>
      <c r="AE42" s="194"/>
    </row>
    <row r="43" spans="2:31" ht="17.25" customHeight="1">
      <c r="B43" s="180">
        <v>29</v>
      </c>
      <c r="C43" s="792"/>
      <c r="D43" s="765"/>
      <c r="E43" s="186" t="s">
        <v>10</v>
      </c>
      <c r="F43" s="187" t="str">
        <f t="shared" si="0"/>
        <v>IB3001C</v>
      </c>
      <c r="G43" s="246"/>
      <c r="H43" s="247"/>
      <c r="I43" s="247"/>
      <c r="J43" s="248"/>
      <c r="K43" s="182"/>
      <c r="L43" s="188"/>
      <c r="M43" s="186" t="s">
        <v>11</v>
      </c>
      <c r="N43" s="195" t="str">
        <f t="shared" si="1"/>
        <v>OB3001C</v>
      </c>
      <c r="O43" s="265"/>
      <c r="P43" s="266"/>
      <c r="Q43" s="266"/>
      <c r="R43" s="326"/>
      <c r="S43" s="190"/>
      <c r="T43" s="191"/>
      <c r="U43" s="909"/>
      <c r="V43" s="909"/>
      <c r="W43" s="193"/>
      <c r="X43" s="182"/>
      <c r="Y43" s="182"/>
      <c r="Z43" s="182"/>
      <c r="AA43" s="182"/>
      <c r="AB43" s="182"/>
      <c r="AC43" s="182"/>
      <c r="AD43" s="182"/>
      <c r="AE43" s="194"/>
    </row>
    <row r="44" spans="2:31" ht="17.25" customHeight="1">
      <c r="B44" s="180">
        <v>30</v>
      </c>
      <c r="C44" s="792"/>
      <c r="D44" s="765"/>
      <c r="E44" s="186" t="s">
        <v>10</v>
      </c>
      <c r="F44" s="187" t="str">
        <f t="shared" si="0"/>
        <v>IB3001D</v>
      </c>
      <c r="G44" s="246"/>
      <c r="H44" s="247"/>
      <c r="I44" s="247"/>
      <c r="J44" s="248"/>
      <c r="K44" s="182"/>
      <c r="L44" s="188"/>
      <c r="M44" s="186" t="s">
        <v>11</v>
      </c>
      <c r="N44" s="195" t="str">
        <f t="shared" si="1"/>
        <v>OB3001D</v>
      </c>
      <c r="O44" s="243"/>
      <c r="P44" s="244"/>
      <c r="Q44" s="244"/>
      <c r="R44" s="245"/>
      <c r="S44" s="190"/>
      <c r="T44" s="191"/>
      <c r="U44" s="909"/>
      <c r="V44" s="909"/>
      <c r="W44" s="193"/>
      <c r="X44" s="182"/>
      <c r="Y44" s="182"/>
      <c r="Z44" s="182"/>
      <c r="AA44" s="182"/>
      <c r="AB44" s="182"/>
      <c r="AC44" s="182"/>
      <c r="AD44" s="182"/>
      <c r="AE44" s="194"/>
    </row>
    <row r="45" spans="2:31" ht="17.25" customHeight="1">
      <c r="B45" s="180">
        <v>31</v>
      </c>
      <c r="C45" s="792"/>
      <c r="D45" s="765"/>
      <c r="E45" s="186" t="s">
        <v>10</v>
      </c>
      <c r="F45" s="187" t="str">
        <f t="shared" si="0"/>
        <v>IB3001E</v>
      </c>
      <c r="G45" s="243"/>
      <c r="H45" s="244"/>
      <c r="I45" s="244"/>
      <c r="J45" s="245"/>
      <c r="K45" s="182"/>
      <c r="L45" s="188"/>
      <c r="M45" s="186" t="s">
        <v>11</v>
      </c>
      <c r="N45" s="195" t="str">
        <f t="shared" si="1"/>
        <v>OB3001E</v>
      </c>
      <c r="O45" s="265"/>
      <c r="P45" s="266"/>
      <c r="Q45" s="266"/>
      <c r="R45" s="326"/>
      <c r="S45" s="196"/>
      <c r="T45" s="191"/>
      <c r="U45" s="909"/>
      <c r="V45" s="909"/>
      <c r="W45" s="193"/>
      <c r="X45" s="182"/>
      <c r="Y45" s="182"/>
      <c r="Z45" s="182"/>
      <c r="AA45" s="182"/>
      <c r="AB45" s="182"/>
      <c r="AC45" s="182"/>
      <c r="AD45" s="182"/>
      <c r="AE45" s="194"/>
    </row>
    <row r="46" spans="2:31" ht="17.25" customHeight="1" thickBot="1">
      <c r="B46" s="197">
        <v>32</v>
      </c>
      <c r="C46" s="793"/>
      <c r="D46" s="924"/>
      <c r="E46" s="198" t="s">
        <v>10</v>
      </c>
      <c r="F46" s="199" t="str">
        <f t="shared" si="0"/>
        <v>IB3001F</v>
      </c>
      <c r="G46" s="277"/>
      <c r="H46" s="373"/>
      <c r="I46" s="373"/>
      <c r="J46" s="374"/>
      <c r="K46" s="200"/>
      <c r="L46" s="201"/>
      <c r="M46" s="198" t="s">
        <v>11</v>
      </c>
      <c r="N46" s="202" t="str">
        <f t="shared" si="1"/>
        <v>OB3001F</v>
      </c>
      <c r="O46" s="277"/>
      <c r="P46" s="373"/>
      <c r="Q46" s="373"/>
      <c r="R46" s="374"/>
      <c r="S46" s="203"/>
      <c r="T46" s="204"/>
      <c r="U46" s="910"/>
      <c r="V46" s="910"/>
      <c r="W46" s="205"/>
      <c r="X46" s="200"/>
      <c r="Y46" s="200"/>
      <c r="Z46" s="200"/>
      <c r="AA46" s="200"/>
      <c r="AB46" s="200"/>
      <c r="AC46" s="200"/>
      <c r="AD46" s="200"/>
      <c r="AE46" s="206"/>
    </row>
    <row r="47" spans="2:31" ht="17.25" customHeight="1">
      <c r="B47" s="26"/>
      <c r="C47" s="237"/>
      <c r="D47" s="237"/>
      <c r="E47" s="238"/>
      <c r="F47" s="239"/>
      <c r="G47" s="278"/>
      <c r="H47" s="278"/>
      <c r="I47" s="278"/>
      <c r="J47" s="278"/>
      <c r="L47" s="279"/>
      <c r="M47" s="238"/>
      <c r="N47" s="160"/>
      <c r="O47" s="278"/>
      <c r="P47" s="278"/>
      <c r="Q47" s="278"/>
      <c r="R47" s="278"/>
      <c r="S47" s="240"/>
      <c r="T47" s="241"/>
      <c r="U47" s="242"/>
      <c r="V47" s="242"/>
      <c r="W47" s="280"/>
      <c r="X47" s="26"/>
      <c r="Y47" s="26"/>
      <c r="Z47" s="26"/>
      <c r="AA47" s="26"/>
      <c r="AB47" s="26"/>
      <c r="AC47" s="26"/>
      <c r="AD47" s="26"/>
      <c r="AE47" s="26"/>
    </row>
    <row r="48" spans="2:31" ht="21" customHeight="1" thickBot="1">
      <c r="B48" s="53"/>
      <c r="C48" s="53"/>
      <c r="D48" s="53"/>
      <c r="E48" s="53"/>
      <c r="F48" s="53"/>
      <c r="G48" s="53"/>
      <c r="H48" s="53"/>
      <c r="I48" s="53"/>
      <c r="J48" s="53"/>
      <c r="K48" s="560"/>
      <c r="L48" s="161"/>
      <c r="M48" s="53"/>
      <c r="N48" s="53"/>
      <c r="O48" s="53"/>
      <c r="P48" s="53"/>
      <c r="Q48" s="53"/>
      <c r="R48" s="53"/>
      <c r="S48" s="53"/>
      <c r="T48" s="162"/>
      <c r="U48" s="55"/>
      <c r="V48" s="55"/>
      <c r="W48" s="53"/>
      <c r="X48" s="53"/>
      <c r="Y48" s="26"/>
      <c r="Z48" s="57"/>
      <c r="AA48" s="57"/>
      <c r="AB48" s="57"/>
    </row>
    <row r="49" spans="2:31" ht="17.25" customHeight="1">
      <c r="B49" s="929" t="s">
        <v>0</v>
      </c>
      <c r="C49" s="781" t="s">
        <v>4</v>
      </c>
      <c r="D49" s="921" t="s">
        <v>5</v>
      </c>
      <c r="E49" s="911" t="s">
        <v>90</v>
      </c>
      <c r="F49" s="911" t="s">
        <v>6</v>
      </c>
      <c r="G49" s="913" t="s">
        <v>21</v>
      </c>
      <c r="H49" s="914"/>
      <c r="I49" s="914"/>
      <c r="J49" s="915"/>
      <c r="K49" s="911" t="s">
        <v>8</v>
      </c>
      <c r="L49" s="207"/>
      <c r="M49" s="911" t="s">
        <v>90</v>
      </c>
      <c r="N49" s="911" t="s">
        <v>6</v>
      </c>
      <c r="O49" s="913" t="s">
        <v>21</v>
      </c>
      <c r="P49" s="914"/>
      <c r="Q49" s="914"/>
      <c r="R49" s="915"/>
      <c r="S49" s="919" t="s">
        <v>8</v>
      </c>
      <c r="T49" s="179"/>
      <c r="U49" s="911" t="s">
        <v>13</v>
      </c>
      <c r="V49" s="911"/>
      <c r="W49" s="921" t="s">
        <v>91</v>
      </c>
      <c r="X49" s="921"/>
      <c r="Y49" s="921"/>
      <c r="Z49" s="921" t="s">
        <v>92</v>
      </c>
      <c r="AA49" s="921"/>
      <c r="AB49" s="921"/>
      <c r="AC49" s="921" t="s">
        <v>92</v>
      </c>
      <c r="AD49" s="921"/>
      <c r="AE49" s="922"/>
    </row>
    <row r="50" spans="2:31" ht="17.25" customHeight="1">
      <c r="B50" s="930"/>
      <c r="C50" s="931"/>
      <c r="D50" s="932"/>
      <c r="E50" s="912"/>
      <c r="F50" s="912"/>
      <c r="G50" s="916"/>
      <c r="H50" s="917"/>
      <c r="I50" s="917"/>
      <c r="J50" s="918"/>
      <c r="K50" s="912"/>
      <c r="L50" s="208"/>
      <c r="M50" s="912"/>
      <c r="N50" s="912"/>
      <c r="O50" s="916"/>
      <c r="P50" s="917"/>
      <c r="Q50" s="917"/>
      <c r="R50" s="918"/>
      <c r="S50" s="920"/>
      <c r="T50" s="183"/>
      <c r="U50" s="912"/>
      <c r="V50" s="912"/>
      <c r="W50" s="184" t="s">
        <v>93</v>
      </c>
      <c r="X50" s="181" t="s">
        <v>94</v>
      </c>
      <c r="Y50" s="181" t="s">
        <v>95</v>
      </c>
      <c r="Z50" s="184" t="s">
        <v>93</v>
      </c>
      <c r="AA50" s="181" t="s">
        <v>94</v>
      </c>
      <c r="AB50" s="181" t="s">
        <v>95</v>
      </c>
      <c r="AC50" s="184" t="s">
        <v>93</v>
      </c>
      <c r="AD50" s="181" t="s">
        <v>94</v>
      </c>
      <c r="AE50" s="185" t="s">
        <v>95</v>
      </c>
    </row>
    <row r="51" spans="2:31" ht="17.25" customHeight="1">
      <c r="B51" s="180">
        <v>1</v>
      </c>
      <c r="C51" s="923" t="s">
        <v>12</v>
      </c>
      <c r="D51" s="765"/>
      <c r="E51" s="186" t="s">
        <v>10</v>
      </c>
      <c r="F51" s="187" t="s">
        <v>286</v>
      </c>
      <c r="G51" s="243"/>
      <c r="H51" s="244"/>
      <c r="I51" s="244"/>
      <c r="J51" s="245"/>
      <c r="K51" s="182"/>
      <c r="L51" s="188"/>
      <c r="M51" s="186" t="s">
        <v>11</v>
      </c>
      <c r="N51" s="189" t="s">
        <v>287</v>
      </c>
      <c r="O51" s="265"/>
      <c r="P51" s="266"/>
      <c r="Q51" s="266"/>
      <c r="R51" s="326"/>
      <c r="S51" s="190"/>
      <c r="T51" s="191"/>
      <c r="U51" s="909"/>
      <c r="V51" s="909"/>
      <c r="W51" s="193"/>
      <c r="X51" s="182"/>
      <c r="Y51" s="182"/>
      <c r="Z51" s="182"/>
      <c r="AA51" s="182"/>
      <c r="AB51" s="182"/>
      <c r="AC51" s="182"/>
      <c r="AD51" s="182"/>
      <c r="AE51" s="194"/>
    </row>
    <row r="52" spans="2:31" ht="17.25" customHeight="1">
      <c r="B52" s="180">
        <v>2</v>
      </c>
      <c r="C52" s="792"/>
      <c r="D52" s="765"/>
      <c r="E52" s="186" t="s">
        <v>10</v>
      </c>
      <c r="F52" s="187" t="str">
        <f>LEFT(F51,1)&amp;DEC2HEX(HEX2DEC(MID(F51,2,LENB(F51)-1))+1,LENB(F51)-1)</f>
        <v>IB30021</v>
      </c>
      <c r="G52" s="243"/>
      <c r="H52" s="244"/>
      <c r="I52" s="244"/>
      <c r="J52" s="245"/>
      <c r="K52" s="182"/>
      <c r="L52" s="188"/>
      <c r="M52" s="186" t="s">
        <v>11</v>
      </c>
      <c r="N52" s="195" t="str">
        <f>LEFT(N51,1)&amp;DEC2HEX(HEX2DEC(MID(N51,2,LENB(N51)-1))+1,LENB(N51)-1)</f>
        <v>OB30021</v>
      </c>
      <c r="O52" s="265"/>
      <c r="P52" s="266"/>
      <c r="Q52" s="266"/>
      <c r="R52" s="326"/>
      <c r="S52" s="196"/>
      <c r="T52" s="191"/>
      <c r="U52" s="909"/>
      <c r="V52" s="909"/>
      <c r="W52" s="193"/>
      <c r="X52" s="182"/>
      <c r="Y52" s="182"/>
      <c r="Z52" s="182"/>
      <c r="AA52" s="182"/>
      <c r="AB52" s="182"/>
      <c r="AC52" s="182"/>
      <c r="AD52" s="182"/>
      <c r="AE52" s="194"/>
    </row>
    <row r="53" spans="2:31" ht="17.25" customHeight="1">
      <c r="B53" s="180">
        <v>3</v>
      </c>
      <c r="C53" s="792"/>
      <c r="D53" s="765"/>
      <c r="E53" s="186" t="s">
        <v>10</v>
      </c>
      <c r="F53" s="187" t="str">
        <f t="shared" ref="F53:F82" si="2">LEFT(F52,1)&amp;DEC2HEX(HEX2DEC(MID(F52,2,LENB(F52)-1))+1,LENB(F52)-1)</f>
        <v>IB30022</v>
      </c>
      <c r="G53" s="243"/>
      <c r="H53" s="244"/>
      <c r="I53" s="244"/>
      <c r="J53" s="245"/>
      <c r="K53" s="182"/>
      <c r="L53" s="188"/>
      <c r="M53" s="186" t="s">
        <v>11</v>
      </c>
      <c r="N53" s="195" t="str">
        <f t="shared" ref="N53:N82" si="3">LEFT(N52,1)&amp;DEC2HEX(HEX2DEC(MID(N52,2,LENB(N52)-1))+1,LENB(N52)-1)</f>
        <v>OB30022</v>
      </c>
      <c r="O53" s="265"/>
      <c r="P53" s="266"/>
      <c r="Q53" s="266"/>
      <c r="R53" s="326"/>
      <c r="S53" s="196"/>
      <c r="T53" s="191"/>
      <c r="U53" s="909"/>
      <c r="V53" s="909"/>
      <c r="W53" s="193"/>
      <c r="X53" s="182"/>
      <c r="Y53" s="182"/>
      <c r="Z53" s="182"/>
      <c r="AA53" s="182"/>
      <c r="AB53" s="182"/>
      <c r="AC53" s="182"/>
      <c r="AD53" s="182"/>
      <c r="AE53" s="194"/>
    </row>
    <row r="54" spans="2:31" ht="17.25" customHeight="1">
      <c r="B54" s="180">
        <v>4</v>
      </c>
      <c r="C54" s="792"/>
      <c r="D54" s="765"/>
      <c r="E54" s="186" t="s">
        <v>10</v>
      </c>
      <c r="F54" s="187" t="str">
        <f t="shared" si="2"/>
        <v>IB30023</v>
      </c>
      <c r="G54" s="243"/>
      <c r="H54" s="244"/>
      <c r="I54" s="244"/>
      <c r="J54" s="245"/>
      <c r="K54" s="182"/>
      <c r="L54" s="188"/>
      <c r="M54" s="186" t="s">
        <v>11</v>
      </c>
      <c r="N54" s="195" t="str">
        <f t="shared" si="3"/>
        <v>OB30023</v>
      </c>
      <c r="O54" s="265"/>
      <c r="P54" s="266"/>
      <c r="Q54" s="266"/>
      <c r="R54" s="326"/>
      <c r="S54" s="196"/>
      <c r="T54" s="191"/>
      <c r="U54" s="909"/>
      <c r="V54" s="909"/>
      <c r="W54" s="193"/>
      <c r="X54" s="182"/>
      <c r="Y54" s="182"/>
      <c r="Z54" s="182"/>
      <c r="AA54" s="182"/>
      <c r="AB54" s="182"/>
      <c r="AC54" s="182"/>
      <c r="AD54" s="182"/>
      <c r="AE54" s="194"/>
    </row>
    <row r="55" spans="2:31" ht="17.25" customHeight="1">
      <c r="B55" s="180">
        <v>5</v>
      </c>
      <c r="C55" s="792"/>
      <c r="D55" s="765"/>
      <c r="E55" s="186" t="s">
        <v>10</v>
      </c>
      <c r="F55" s="187" t="str">
        <f t="shared" si="2"/>
        <v>IB30024</v>
      </c>
      <c r="G55" s="243"/>
      <c r="H55" s="244"/>
      <c r="I55" s="244"/>
      <c r="J55" s="245"/>
      <c r="K55" s="182"/>
      <c r="L55" s="188"/>
      <c r="M55" s="186" t="s">
        <v>11</v>
      </c>
      <c r="N55" s="195" t="str">
        <f t="shared" si="3"/>
        <v>OB30024</v>
      </c>
      <c r="O55" s="243"/>
      <c r="P55" s="244"/>
      <c r="Q55" s="244"/>
      <c r="R55" s="245"/>
      <c r="S55" s="190"/>
      <c r="T55" s="191"/>
      <c r="U55" s="909"/>
      <c r="V55" s="909"/>
      <c r="W55" s="193"/>
      <c r="X55" s="182"/>
      <c r="Y55" s="182"/>
      <c r="Z55" s="182"/>
      <c r="AA55" s="182"/>
      <c r="AB55" s="182"/>
      <c r="AC55" s="182"/>
      <c r="AD55" s="182"/>
      <c r="AE55" s="194"/>
    </row>
    <row r="56" spans="2:31" ht="17.25" customHeight="1">
      <c r="B56" s="180">
        <v>6</v>
      </c>
      <c r="C56" s="792"/>
      <c r="D56" s="765"/>
      <c r="E56" s="186" t="s">
        <v>10</v>
      </c>
      <c r="F56" s="187" t="str">
        <f t="shared" si="2"/>
        <v>IB30025</v>
      </c>
      <c r="G56" s="243"/>
      <c r="H56" s="244"/>
      <c r="I56" s="244"/>
      <c r="J56" s="245"/>
      <c r="K56" s="182"/>
      <c r="L56" s="188"/>
      <c r="M56" s="186" t="s">
        <v>11</v>
      </c>
      <c r="N56" s="195" t="str">
        <f t="shared" si="3"/>
        <v>OB30025</v>
      </c>
      <c r="O56" s="243"/>
      <c r="P56" s="244"/>
      <c r="Q56" s="244"/>
      <c r="R56" s="245"/>
      <c r="S56" s="190"/>
      <c r="T56" s="191"/>
      <c r="U56" s="909"/>
      <c r="V56" s="909"/>
      <c r="W56" s="193"/>
      <c r="X56" s="182"/>
      <c r="Y56" s="182"/>
      <c r="Z56" s="182"/>
      <c r="AA56" s="182"/>
      <c r="AB56" s="182"/>
      <c r="AC56" s="182"/>
      <c r="AD56" s="182"/>
      <c r="AE56" s="194"/>
    </row>
    <row r="57" spans="2:31" ht="17.25" customHeight="1">
      <c r="B57" s="180">
        <v>7</v>
      </c>
      <c r="C57" s="792"/>
      <c r="D57" s="765"/>
      <c r="E57" s="186" t="s">
        <v>10</v>
      </c>
      <c r="F57" s="187" t="str">
        <f t="shared" si="2"/>
        <v>IB30026</v>
      </c>
      <c r="G57" s="243"/>
      <c r="H57" s="244"/>
      <c r="I57" s="244"/>
      <c r="J57" s="245"/>
      <c r="K57" s="182"/>
      <c r="L57" s="188"/>
      <c r="M57" s="186" t="s">
        <v>11</v>
      </c>
      <c r="N57" s="195" t="str">
        <f t="shared" si="3"/>
        <v>OB30026</v>
      </c>
      <c r="O57" s="265"/>
      <c r="P57" s="266"/>
      <c r="Q57" s="266"/>
      <c r="R57" s="326"/>
      <c r="S57" s="190"/>
      <c r="T57" s="191"/>
      <c r="U57" s="909"/>
      <c r="V57" s="909"/>
      <c r="W57" s="193"/>
      <c r="X57" s="182"/>
      <c r="Y57" s="182"/>
      <c r="Z57" s="182"/>
      <c r="AA57" s="182"/>
      <c r="AB57" s="182"/>
      <c r="AC57" s="182"/>
      <c r="AD57" s="182"/>
      <c r="AE57" s="194"/>
    </row>
    <row r="58" spans="2:31" ht="17.25" customHeight="1">
      <c r="B58" s="180">
        <v>8</v>
      </c>
      <c r="C58" s="792"/>
      <c r="D58" s="765"/>
      <c r="E58" s="186" t="s">
        <v>10</v>
      </c>
      <c r="F58" s="187" t="str">
        <f t="shared" si="2"/>
        <v>IB30027</v>
      </c>
      <c r="G58" s="243"/>
      <c r="H58" s="244"/>
      <c r="I58" s="244"/>
      <c r="J58" s="245"/>
      <c r="K58" s="182"/>
      <c r="L58" s="188"/>
      <c r="M58" s="186" t="s">
        <v>11</v>
      </c>
      <c r="N58" s="195" t="str">
        <f t="shared" si="3"/>
        <v>OB30027</v>
      </c>
      <c r="O58" s="265"/>
      <c r="P58" s="266"/>
      <c r="Q58" s="266"/>
      <c r="R58" s="326"/>
      <c r="S58" s="190"/>
      <c r="T58" s="191"/>
      <c r="U58" s="909"/>
      <c r="V58" s="909"/>
      <c r="W58" s="193"/>
      <c r="X58" s="182"/>
      <c r="Y58" s="182"/>
      <c r="Z58" s="182"/>
      <c r="AA58" s="182"/>
      <c r="AB58" s="182"/>
      <c r="AC58" s="182"/>
      <c r="AD58" s="182"/>
      <c r="AE58" s="194"/>
    </row>
    <row r="59" spans="2:31" ht="17.25" customHeight="1">
      <c r="B59" s="180">
        <v>9</v>
      </c>
      <c r="C59" s="792"/>
      <c r="D59" s="765"/>
      <c r="E59" s="186" t="s">
        <v>10</v>
      </c>
      <c r="F59" s="187" t="str">
        <f t="shared" si="2"/>
        <v>IB30028</v>
      </c>
      <c r="G59" s="243"/>
      <c r="H59" s="244"/>
      <c r="I59" s="244"/>
      <c r="J59" s="245"/>
      <c r="K59" s="182"/>
      <c r="L59" s="188"/>
      <c r="M59" s="186" t="s">
        <v>11</v>
      </c>
      <c r="N59" s="195" t="str">
        <f t="shared" si="3"/>
        <v>OB30028</v>
      </c>
      <c r="O59" s="265"/>
      <c r="P59" s="266"/>
      <c r="Q59" s="266"/>
      <c r="R59" s="326"/>
      <c r="S59" s="190"/>
      <c r="T59" s="191"/>
      <c r="U59" s="909"/>
      <c r="V59" s="909"/>
      <c r="W59" s="193"/>
      <c r="X59" s="182"/>
      <c r="Y59" s="182"/>
      <c r="Z59" s="182"/>
      <c r="AA59" s="182"/>
      <c r="AB59" s="182"/>
      <c r="AC59" s="182"/>
      <c r="AD59" s="182"/>
      <c r="AE59" s="194"/>
    </row>
    <row r="60" spans="2:31" ht="17.25" customHeight="1">
      <c r="B60" s="180">
        <v>10</v>
      </c>
      <c r="C60" s="792"/>
      <c r="D60" s="765"/>
      <c r="E60" s="186" t="s">
        <v>10</v>
      </c>
      <c r="F60" s="187" t="str">
        <f t="shared" si="2"/>
        <v>IB30029</v>
      </c>
      <c r="G60" s="243"/>
      <c r="H60" s="244"/>
      <c r="I60" s="244"/>
      <c r="J60" s="245"/>
      <c r="K60" s="182"/>
      <c r="L60" s="188"/>
      <c r="M60" s="186" t="s">
        <v>11</v>
      </c>
      <c r="N60" s="195" t="str">
        <f t="shared" si="3"/>
        <v>OB30029</v>
      </c>
      <c r="O60" s="265"/>
      <c r="P60" s="266"/>
      <c r="Q60" s="266"/>
      <c r="R60" s="326"/>
      <c r="S60" s="190"/>
      <c r="T60" s="191"/>
      <c r="U60" s="909"/>
      <c r="V60" s="909"/>
      <c r="W60" s="193"/>
      <c r="X60" s="182"/>
      <c r="Y60" s="182"/>
      <c r="Z60" s="182"/>
      <c r="AA60" s="182"/>
      <c r="AB60" s="182"/>
      <c r="AC60" s="182"/>
      <c r="AD60" s="182"/>
      <c r="AE60" s="194"/>
    </row>
    <row r="61" spans="2:31" ht="17.25" customHeight="1">
      <c r="B61" s="180">
        <v>11</v>
      </c>
      <c r="C61" s="792"/>
      <c r="D61" s="765"/>
      <c r="E61" s="186" t="s">
        <v>10</v>
      </c>
      <c r="F61" s="187" t="str">
        <f t="shared" si="2"/>
        <v>IB3002A</v>
      </c>
      <c r="G61" s="243"/>
      <c r="H61" s="244"/>
      <c r="I61" s="244"/>
      <c r="J61" s="245"/>
      <c r="K61" s="182"/>
      <c r="L61" s="188"/>
      <c r="M61" s="186" t="s">
        <v>11</v>
      </c>
      <c r="N61" s="195" t="str">
        <f t="shared" si="3"/>
        <v>OB3002A</v>
      </c>
      <c r="O61" s="265"/>
      <c r="P61" s="266"/>
      <c r="Q61" s="266"/>
      <c r="R61" s="326"/>
      <c r="S61" s="190"/>
      <c r="T61" s="191"/>
      <c r="U61" s="909"/>
      <c r="V61" s="909"/>
      <c r="W61" s="193"/>
      <c r="X61" s="182"/>
      <c r="Y61" s="182"/>
      <c r="Z61" s="182"/>
      <c r="AA61" s="182"/>
      <c r="AB61" s="182"/>
      <c r="AC61" s="182"/>
      <c r="AD61" s="182"/>
      <c r="AE61" s="194"/>
    </row>
    <row r="62" spans="2:31" ht="17.25" customHeight="1">
      <c r="B62" s="180">
        <v>12</v>
      </c>
      <c r="C62" s="792"/>
      <c r="D62" s="765"/>
      <c r="E62" s="186" t="s">
        <v>10</v>
      </c>
      <c r="F62" s="187" t="str">
        <f t="shared" si="2"/>
        <v>IB3002B</v>
      </c>
      <c r="G62" s="243"/>
      <c r="H62" s="244"/>
      <c r="I62" s="244"/>
      <c r="J62" s="245"/>
      <c r="K62" s="182"/>
      <c r="L62" s="188"/>
      <c r="M62" s="186" t="s">
        <v>11</v>
      </c>
      <c r="N62" s="195" t="str">
        <f t="shared" si="3"/>
        <v>OB3002B</v>
      </c>
      <c r="O62" s="265"/>
      <c r="P62" s="266"/>
      <c r="Q62" s="266"/>
      <c r="R62" s="326"/>
      <c r="S62" s="190"/>
      <c r="T62" s="191"/>
      <c r="U62" s="909"/>
      <c r="V62" s="909"/>
      <c r="W62" s="193"/>
      <c r="X62" s="182"/>
      <c r="Y62" s="182"/>
      <c r="Z62" s="182"/>
      <c r="AA62" s="182"/>
      <c r="AB62" s="182"/>
      <c r="AC62" s="182"/>
      <c r="AD62" s="182"/>
      <c r="AE62" s="194"/>
    </row>
    <row r="63" spans="2:31" ht="17.25" customHeight="1">
      <c r="B63" s="180">
        <v>13</v>
      </c>
      <c r="C63" s="792"/>
      <c r="D63" s="765"/>
      <c r="E63" s="186" t="s">
        <v>10</v>
      </c>
      <c r="F63" s="187" t="str">
        <f t="shared" si="2"/>
        <v>IB3002C</v>
      </c>
      <c r="G63" s="243"/>
      <c r="H63" s="244"/>
      <c r="I63" s="244"/>
      <c r="J63" s="245"/>
      <c r="K63" s="182"/>
      <c r="L63" s="188"/>
      <c r="M63" s="186" t="s">
        <v>11</v>
      </c>
      <c r="N63" s="195" t="str">
        <f t="shared" si="3"/>
        <v>OB3002C</v>
      </c>
      <c r="O63" s="265"/>
      <c r="P63" s="266"/>
      <c r="Q63" s="266"/>
      <c r="R63" s="326"/>
      <c r="S63" s="190"/>
      <c r="T63" s="191"/>
      <c r="U63" s="909"/>
      <c r="V63" s="909"/>
      <c r="W63" s="193"/>
      <c r="X63" s="182"/>
      <c r="Y63" s="182"/>
      <c r="Z63" s="182"/>
      <c r="AA63" s="182"/>
      <c r="AB63" s="182"/>
      <c r="AC63" s="182"/>
      <c r="AD63" s="182"/>
      <c r="AE63" s="194"/>
    </row>
    <row r="64" spans="2:31" ht="17.25" customHeight="1">
      <c r="B64" s="180">
        <v>14</v>
      </c>
      <c r="C64" s="792"/>
      <c r="D64" s="765"/>
      <c r="E64" s="186" t="s">
        <v>10</v>
      </c>
      <c r="F64" s="187" t="str">
        <f t="shared" si="2"/>
        <v>IB3002D</v>
      </c>
      <c r="G64" s="243"/>
      <c r="H64" s="244"/>
      <c r="I64" s="244"/>
      <c r="J64" s="245"/>
      <c r="K64" s="182"/>
      <c r="L64" s="188"/>
      <c r="M64" s="186" t="s">
        <v>11</v>
      </c>
      <c r="N64" s="195" t="str">
        <f t="shared" si="3"/>
        <v>OB3002D</v>
      </c>
      <c r="O64" s="265"/>
      <c r="P64" s="266"/>
      <c r="Q64" s="266"/>
      <c r="R64" s="326"/>
      <c r="S64" s="190"/>
      <c r="T64" s="191"/>
      <c r="U64" s="909"/>
      <c r="V64" s="909"/>
      <c r="W64" s="193"/>
      <c r="X64" s="182"/>
      <c r="Y64" s="182"/>
      <c r="Z64" s="182"/>
      <c r="AA64" s="182"/>
      <c r="AB64" s="182"/>
      <c r="AC64" s="182"/>
      <c r="AD64" s="182"/>
      <c r="AE64" s="194"/>
    </row>
    <row r="65" spans="2:31" ht="17.25" customHeight="1">
      <c r="B65" s="180">
        <v>15</v>
      </c>
      <c r="C65" s="792"/>
      <c r="D65" s="765"/>
      <c r="E65" s="186" t="s">
        <v>10</v>
      </c>
      <c r="F65" s="187" t="str">
        <f t="shared" si="2"/>
        <v>IB3002E</v>
      </c>
      <c r="G65" s="243"/>
      <c r="H65" s="244"/>
      <c r="I65" s="244"/>
      <c r="J65" s="245"/>
      <c r="K65" s="182"/>
      <c r="L65" s="188"/>
      <c r="M65" s="186" t="s">
        <v>11</v>
      </c>
      <c r="N65" s="195" t="str">
        <f t="shared" si="3"/>
        <v>OB3002E</v>
      </c>
      <c r="O65" s="265"/>
      <c r="P65" s="266"/>
      <c r="Q65" s="266"/>
      <c r="R65" s="326"/>
      <c r="S65" s="190"/>
      <c r="T65" s="191"/>
      <c r="U65" s="909"/>
      <c r="V65" s="909"/>
      <c r="W65" s="193"/>
      <c r="X65" s="182"/>
      <c r="Y65" s="182"/>
      <c r="Z65" s="182"/>
      <c r="AA65" s="182"/>
      <c r="AB65" s="182"/>
      <c r="AC65" s="182"/>
      <c r="AD65" s="182"/>
      <c r="AE65" s="194"/>
    </row>
    <row r="66" spans="2:31" ht="17.25" customHeight="1">
      <c r="B66" s="180">
        <v>16</v>
      </c>
      <c r="C66" s="792"/>
      <c r="D66" s="765"/>
      <c r="E66" s="186" t="s">
        <v>10</v>
      </c>
      <c r="F66" s="187" t="str">
        <f t="shared" si="2"/>
        <v>IB3002F</v>
      </c>
      <c r="G66" s="243"/>
      <c r="H66" s="244"/>
      <c r="I66" s="244"/>
      <c r="J66" s="245"/>
      <c r="K66" s="182"/>
      <c r="L66" s="188"/>
      <c r="M66" s="186" t="s">
        <v>11</v>
      </c>
      <c r="N66" s="195" t="str">
        <f t="shared" si="3"/>
        <v>OB3002F</v>
      </c>
      <c r="O66" s="265"/>
      <c r="P66" s="266"/>
      <c r="Q66" s="266"/>
      <c r="R66" s="326"/>
      <c r="S66" s="190"/>
      <c r="T66" s="191"/>
      <c r="U66" s="909"/>
      <c r="V66" s="909"/>
      <c r="W66" s="193"/>
      <c r="X66" s="182"/>
      <c r="Y66" s="182"/>
      <c r="Z66" s="182"/>
      <c r="AA66" s="182"/>
      <c r="AB66" s="182"/>
      <c r="AC66" s="182"/>
      <c r="AD66" s="182"/>
      <c r="AE66" s="194"/>
    </row>
    <row r="67" spans="2:31" ht="17.25" customHeight="1">
      <c r="B67" s="180">
        <v>17</v>
      </c>
      <c r="C67" s="792"/>
      <c r="D67" s="765"/>
      <c r="E67" s="186" t="s">
        <v>10</v>
      </c>
      <c r="F67" s="187" t="str">
        <f t="shared" si="2"/>
        <v>IB30030</v>
      </c>
      <c r="G67" s="243"/>
      <c r="H67" s="244"/>
      <c r="I67" s="244"/>
      <c r="J67" s="245"/>
      <c r="K67" s="182"/>
      <c r="L67" s="188"/>
      <c r="M67" s="186" t="s">
        <v>11</v>
      </c>
      <c r="N67" s="195" t="str">
        <f t="shared" si="3"/>
        <v>OB30030</v>
      </c>
      <c r="O67" s="243"/>
      <c r="P67" s="244"/>
      <c r="Q67" s="244"/>
      <c r="R67" s="245"/>
      <c r="S67" s="190"/>
      <c r="T67" s="191"/>
      <c r="U67" s="909"/>
      <c r="V67" s="909"/>
      <c r="W67" s="193"/>
      <c r="X67" s="182"/>
      <c r="Y67" s="182"/>
      <c r="Z67" s="182"/>
      <c r="AA67" s="182"/>
      <c r="AB67" s="182"/>
      <c r="AC67" s="182"/>
      <c r="AD67" s="182"/>
      <c r="AE67" s="194"/>
    </row>
    <row r="68" spans="2:31" ht="17.25" customHeight="1">
      <c r="B68" s="180">
        <v>18</v>
      </c>
      <c r="C68" s="792"/>
      <c r="D68" s="765"/>
      <c r="E68" s="186" t="s">
        <v>10</v>
      </c>
      <c r="F68" s="187" t="str">
        <f t="shared" si="2"/>
        <v>IB30031</v>
      </c>
      <c r="G68" s="243"/>
      <c r="H68" s="244"/>
      <c r="I68" s="244"/>
      <c r="J68" s="245"/>
      <c r="K68" s="182"/>
      <c r="L68" s="188"/>
      <c r="M68" s="186" t="s">
        <v>11</v>
      </c>
      <c r="N68" s="195" t="str">
        <f t="shared" si="3"/>
        <v>OB30031</v>
      </c>
      <c r="O68" s="243"/>
      <c r="P68" s="244"/>
      <c r="Q68" s="244"/>
      <c r="R68" s="245"/>
      <c r="S68" s="190"/>
      <c r="T68" s="191"/>
      <c r="U68" s="909"/>
      <c r="V68" s="909"/>
      <c r="W68" s="193"/>
      <c r="X68" s="182"/>
      <c r="Y68" s="182"/>
      <c r="Z68" s="182"/>
      <c r="AA68" s="182"/>
      <c r="AB68" s="182"/>
      <c r="AC68" s="182"/>
      <c r="AD68" s="182"/>
      <c r="AE68" s="194"/>
    </row>
    <row r="69" spans="2:31" ht="17.25" customHeight="1">
      <c r="B69" s="180">
        <v>19</v>
      </c>
      <c r="C69" s="792"/>
      <c r="D69" s="765"/>
      <c r="E69" s="186" t="s">
        <v>10</v>
      </c>
      <c r="F69" s="187" t="str">
        <f t="shared" si="2"/>
        <v>IB30032</v>
      </c>
      <c r="G69" s="243"/>
      <c r="H69" s="244"/>
      <c r="I69" s="244"/>
      <c r="J69" s="245"/>
      <c r="K69" s="182"/>
      <c r="L69" s="188"/>
      <c r="M69" s="186" t="s">
        <v>11</v>
      </c>
      <c r="N69" s="195" t="str">
        <f t="shared" si="3"/>
        <v>OB30032</v>
      </c>
      <c r="O69" s="243"/>
      <c r="P69" s="244"/>
      <c r="Q69" s="244"/>
      <c r="R69" s="245"/>
      <c r="S69" s="190"/>
      <c r="T69" s="191"/>
      <c r="U69" s="909"/>
      <c r="V69" s="909"/>
      <c r="W69" s="193"/>
      <c r="X69" s="182"/>
      <c r="Y69" s="182"/>
      <c r="Z69" s="182"/>
      <c r="AA69" s="182"/>
      <c r="AB69" s="182"/>
      <c r="AC69" s="182"/>
      <c r="AD69" s="182"/>
      <c r="AE69" s="194"/>
    </row>
    <row r="70" spans="2:31" ht="17.25" customHeight="1">
      <c r="B70" s="180">
        <v>20</v>
      </c>
      <c r="C70" s="792"/>
      <c r="D70" s="765"/>
      <c r="E70" s="186" t="s">
        <v>10</v>
      </c>
      <c r="F70" s="187" t="str">
        <f t="shared" si="2"/>
        <v>IB30033</v>
      </c>
      <c r="G70" s="243"/>
      <c r="H70" s="244"/>
      <c r="I70" s="244"/>
      <c r="J70" s="245"/>
      <c r="K70" s="182"/>
      <c r="L70" s="188"/>
      <c r="M70" s="186" t="s">
        <v>11</v>
      </c>
      <c r="N70" s="195" t="str">
        <f t="shared" si="3"/>
        <v>OB30033</v>
      </c>
      <c r="O70" s="243"/>
      <c r="P70" s="244"/>
      <c r="Q70" s="244"/>
      <c r="R70" s="245"/>
      <c r="S70" s="190"/>
      <c r="T70" s="191"/>
      <c r="U70" s="909"/>
      <c r="V70" s="909"/>
      <c r="W70" s="193"/>
      <c r="X70" s="182"/>
      <c r="Y70" s="182"/>
      <c r="Z70" s="182"/>
      <c r="AA70" s="182"/>
      <c r="AB70" s="182"/>
      <c r="AC70" s="182"/>
      <c r="AD70" s="182"/>
      <c r="AE70" s="194"/>
    </row>
    <row r="71" spans="2:31" ht="17.25" customHeight="1">
      <c r="B71" s="180">
        <v>21</v>
      </c>
      <c r="C71" s="792"/>
      <c r="D71" s="765"/>
      <c r="E71" s="186" t="s">
        <v>10</v>
      </c>
      <c r="F71" s="187" t="str">
        <f t="shared" si="2"/>
        <v>IB30034</v>
      </c>
      <c r="G71" s="243"/>
      <c r="H71" s="244"/>
      <c r="I71" s="244"/>
      <c r="J71" s="245"/>
      <c r="K71" s="182"/>
      <c r="L71" s="188"/>
      <c r="M71" s="186" t="s">
        <v>11</v>
      </c>
      <c r="N71" s="195" t="str">
        <f t="shared" si="3"/>
        <v>OB30034</v>
      </c>
      <c r="O71" s="243"/>
      <c r="P71" s="244"/>
      <c r="Q71" s="244"/>
      <c r="R71" s="245"/>
      <c r="S71" s="190"/>
      <c r="T71" s="191"/>
      <c r="U71" s="909"/>
      <c r="V71" s="909"/>
      <c r="W71" s="193"/>
      <c r="X71" s="182"/>
      <c r="Y71" s="182"/>
      <c r="Z71" s="182"/>
      <c r="AA71" s="182"/>
      <c r="AB71" s="182"/>
      <c r="AC71" s="182"/>
      <c r="AD71" s="182"/>
      <c r="AE71" s="194"/>
    </row>
    <row r="72" spans="2:31" ht="17.25" customHeight="1">
      <c r="B72" s="180">
        <v>22</v>
      </c>
      <c r="C72" s="792"/>
      <c r="D72" s="765"/>
      <c r="E72" s="186" t="s">
        <v>10</v>
      </c>
      <c r="F72" s="187" t="str">
        <f t="shared" si="2"/>
        <v>IB30035</v>
      </c>
      <c r="G72" s="243"/>
      <c r="H72" s="244"/>
      <c r="I72" s="244"/>
      <c r="J72" s="245"/>
      <c r="K72" s="182"/>
      <c r="L72" s="188"/>
      <c r="M72" s="186" t="s">
        <v>11</v>
      </c>
      <c r="N72" s="195" t="str">
        <f t="shared" si="3"/>
        <v>OB30035</v>
      </c>
      <c r="O72" s="243"/>
      <c r="P72" s="244"/>
      <c r="Q72" s="244"/>
      <c r="R72" s="245"/>
      <c r="S72" s="190"/>
      <c r="T72" s="191"/>
      <c r="U72" s="909"/>
      <c r="V72" s="909"/>
      <c r="W72" s="193"/>
      <c r="X72" s="182"/>
      <c r="Y72" s="182"/>
      <c r="Z72" s="182"/>
      <c r="AA72" s="182"/>
      <c r="AB72" s="182"/>
      <c r="AC72" s="182"/>
      <c r="AD72" s="182"/>
      <c r="AE72" s="194"/>
    </row>
    <row r="73" spans="2:31" ht="17.25" customHeight="1">
      <c r="B73" s="180">
        <v>23</v>
      </c>
      <c r="C73" s="792"/>
      <c r="D73" s="765"/>
      <c r="E73" s="186" t="s">
        <v>10</v>
      </c>
      <c r="F73" s="187" t="str">
        <f t="shared" si="2"/>
        <v>IB30036</v>
      </c>
      <c r="G73" s="243"/>
      <c r="H73" s="244"/>
      <c r="I73" s="244"/>
      <c r="J73" s="245"/>
      <c r="K73" s="182"/>
      <c r="L73" s="188"/>
      <c r="M73" s="186" t="s">
        <v>11</v>
      </c>
      <c r="N73" s="195" t="str">
        <f t="shared" si="3"/>
        <v>OB30036</v>
      </c>
      <c r="O73" s="243"/>
      <c r="P73" s="244"/>
      <c r="Q73" s="244"/>
      <c r="R73" s="245"/>
      <c r="S73" s="190"/>
      <c r="T73" s="191"/>
      <c r="U73" s="909"/>
      <c r="V73" s="909"/>
      <c r="W73" s="193"/>
      <c r="X73" s="182"/>
      <c r="Y73" s="182"/>
      <c r="Z73" s="182"/>
      <c r="AA73" s="182"/>
      <c r="AB73" s="182"/>
      <c r="AC73" s="182"/>
      <c r="AD73" s="182"/>
      <c r="AE73" s="194"/>
    </row>
    <row r="74" spans="2:31" ht="17.25" customHeight="1">
      <c r="B74" s="180">
        <v>24</v>
      </c>
      <c r="C74" s="792"/>
      <c r="D74" s="765"/>
      <c r="E74" s="186" t="s">
        <v>10</v>
      </c>
      <c r="F74" s="187" t="str">
        <f t="shared" si="2"/>
        <v>IB30037</v>
      </c>
      <c r="G74" s="243"/>
      <c r="H74" s="244"/>
      <c r="I74" s="244"/>
      <c r="J74" s="245"/>
      <c r="K74" s="182"/>
      <c r="L74" s="188"/>
      <c r="M74" s="186" t="s">
        <v>11</v>
      </c>
      <c r="N74" s="195" t="str">
        <f t="shared" si="3"/>
        <v>OB30037</v>
      </c>
      <c r="O74" s="243"/>
      <c r="P74" s="244"/>
      <c r="Q74" s="244"/>
      <c r="R74" s="245"/>
      <c r="S74" s="190"/>
      <c r="T74" s="191"/>
      <c r="U74" s="909"/>
      <c r="V74" s="909"/>
      <c r="W74" s="193"/>
      <c r="X74" s="182"/>
      <c r="Y74" s="182"/>
      <c r="Z74" s="182"/>
      <c r="AA74" s="182"/>
      <c r="AB74" s="182"/>
      <c r="AC74" s="182"/>
      <c r="AD74" s="182"/>
      <c r="AE74" s="194"/>
    </row>
    <row r="75" spans="2:31" ht="17.25" customHeight="1">
      <c r="B75" s="180">
        <v>25</v>
      </c>
      <c r="C75" s="792"/>
      <c r="D75" s="765"/>
      <c r="E75" s="186" t="s">
        <v>10</v>
      </c>
      <c r="F75" s="187" t="str">
        <f t="shared" si="2"/>
        <v>IB30038</v>
      </c>
      <c r="G75" s="246"/>
      <c r="H75" s="247"/>
      <c r="I75" s="247"/>
      <c r="J75" s="248"/>
      <c r="K75" s="182"/>
      <c r="L75" s="188"/>
      <c r="M75" s="186" t="s">
        <v>11</v>
      </c>
      <c r="N75" s="195" t="str">
        <f t="shared" si="3"/>
        <v>OB30038</v>
      </c>
      <c r="O75" s="243"/>
      <c r="P75" s="244"/>
      <c r="Q75" s="244"/>
      <c r="R75" s="245"/>
      <c r="S75" s="190"/>
      <c r="T75" s="191"/>
      <c r="U75" s="909"/>
      <c r="V75" s="909"/>
      <c r="W75" s="193"/>
      <c r="X75" s="182"/>
      <c r="Y75" s="182"/>
      <c r="Z75" s="182"/>
      <c r="AA75" s="182"/>
      <c r="AB75" s="182"/>
      <c r="AC75" s="182"/>
      <c r="AD75" s="182"/>
      <c r="AE75" s="194"/>
    </row>
    <row r="76" spans="2:31" ht="17.25" customHeight="1">
      <c r="B76" s="180">
        <v>26</v>
      </c>
      <c r="C76" s="792"/>
      <c r="D76" s="765"/>
      <c r="E76" s="186" t="s">
        <v>10</v>
      </c>
      <c r="F76" s="187" t="str">
        <f t="shared" si="2"/>
        <v>IB30039</v>
      </c>
      <c r="G76" s="246"/>
      <c r="H76" s="247"/>
      <c r="I76" s="247"/>
      <c r="J76" s="248"/>
      <c r="K76" s="182"/>
      <c r="L76" s="188"/>
      <c r="M76" s="186" t="s">
        <v>11</v>
      </c>
      <c r="N76" s="195" t="str">
        <f t="shared" si="3"/>
        <v>OB30039</v>
      </c>
      <c r="O76" s="243"/>
      <c r="P76" s="244"/>
      <c r="Q76" s="244"/>
      <c r="R76" s="245"/>
      <c r="S76" s="190"/>
      <c r="T76" s="191"/>
      <c r="U76" s="909"/>
      <c r="V76" s="909"/>
      <c r="W76" s="193"/>
      <c r="X76" s="182"/>
      <c r="Y76" s="182"/>
      <c r="Z76" s="182"/>
      <c r="AA76" s="182"/>
      <c r="AB76" s="182"/>
      <c r="AC76" s="182"/>
      <c r="AD76" s="182"/>
      <c r="AE76" s="194"/>
    </row>
    <row r="77" spans="2:31" ht="17.25" customHeight="1">
      <c r="B77" s="180">
        <v>27</v>
      </c>
      <c r="C77" s="792"/>
      <c r="D77" s="765"/>
      <c r="E77" s="186" t="s">
        <v>10</v>
      </c>
      <c r="F77" s="187" t="str">
        <f t="shared" si="2"/>
        <v>IB3003A</v>
      </c>
      <c r="G77" s="246"/>
      <c r="H77" s="247"/>
      <c r="I77" s="247"/>
      <c r="J77" s="248"/>
      <c r="K77" s="182"/>
      <c r="L77" s="188"/>
      <c r="M77" s="186" t="s">
        <v>11</v>
      </c>
      <c r="N77" s="195" t="str">
        <f t="shared" si="3"/>
        <v>OB3003A</v>
      </c>
      <c r="O77" s="243"/>
      <c r="P77" s="244"/>
      <c r="Q77" s="244"/>
      <c r="R77" s="245"/>
      <c r="S77" s="190"/>
      <c r="T77" s="191"/>
      <c r="U77" s="909"/>
      <c r="V77" s="909"/>
      <c r="W77" s="193"/>
      <c r="X77" s="182"/>
      <c r="Y77" s="182"/>
      <c r="Z77" s="182"/>
      <c r="AA77" s="182"/>
      <c r="AB77" s="182"/>
      <c r="AC77" s="182"/>
      <c r="AD77" s="182"/>
      <c r="AE77" s="194"/>
    </row>
    <row r="78" spans="2:31" ht="17.25" customHeight="1">
      <c r="B78" s="180">
        <v>28</v>
      </c>
      <c r="C78" s="792"/>
      <c r="D78" s="765"/>
      <c r="E78" s="186" t="s">
        <v>10</v>
      </c>
      <c r="F78" s="187" t="str">
        <f t="shared" si="2"/>
        <v>IB3003B</v>
      </c>
      <c r="G78" s="246"/>
      <c r="H78" s="247"/>
      <c r="I78" s="247"/>
      <c r="J78" s="248"/>
      <c r="K78" s="182"/>
      <c r="L78" s="188"/>
      <c r="M78" s="186" t="s">
        <v>11</v>
      </c>
      <c r="N78" s="195" t="str">
        <f t="shared" si="3"/>
        <v>OB3003B</v>
      </c>
      <c r="O78" s="243"/>
      <c r="P78" s="244"/>
      <c r="Q78" s="244"/>
      <c r="R78" s="245"/>
      <c r="S78" s="190"/>
      <c r="T78" s="191"/>
      <c r="U78" s="909"/>
      <c r="V78" s="909"/>
      <c r="W78" s="193"/>
      <c r="X78" s="182"/>
      <c r="Y78" s="182"/>
      <c r="Z78" s="182"/>
      <c r="AA78" s="182"/>
      <c r="AB78" s="182"/>
      <c r="AC78" s="182"/>
      <c r="AD78" s="182"/>
      <c r="AE78" s="194"/>
    </row>
    <row r="79" spans="2:31" ht="17.25" customHeight="1">
      <c r="B79" s="180">
        <v>29</v>
      </c>
      <c r="C79" s="792"/>
      <c r="D79" s="765"/>
      <c r="E79" s="186" t="s">
        <v>10</v>
      </c>
      <c r="F79" s="187" t="str">
        <f t="shared" si="2"/>
        <v>IB3003C</v>
      </c>
      <c r="G79" s="246"/>
      <c r="H79" s="247"/>
      <c r="I79" s="247"/>
      <c r="J79" s="248"/>
      <c r="K79" s="182"/>
      <c r="L79" s="188"/>
      <c r="M79" s="186" t="s">
        <v>11</v>
      </c>
      <c r="N79" s="195" t="str">
        <f t="shared" si="3"/>
        <v>OB3003C</v>
      </c>
      <c r="O79" s="265"/>
      <c r="P79" s="266"/>
      <c r="Q79" s="266"/>
      <c r="R79" s="326"/>
      <c r="S79" s="190"/>
      <c r="T79" s="191"/>
      <c r="U79" s="909"/>
      <c r="V79" s="909"/>
      <c r="W79" s="193"/>
      <c r="X79" s="182"/>
      <c r="Y79" s="182"/>
      <c r="Z79" s="182"/>
      <c r="AA79" s="182"/>
      <c r="AB79" s="182"/>
      <c r="AC79" s="182"/>
      <c r="AD79" s="182"/>
      <c r="AE79" s="194"/>
    </row>
    <row r="80" spans="2:31" ht="17.25" customHeight="1">
      <c r="B80" s="180">
        <v>30</v>
      </c>
      <c r="C80" s="792"/>
      <c r="D80" s="765"/>
      <c r="E80" s="186" t="s">
        <v>10</v>
      </c>
      <c r="F80" s="187" t="str">
        <f t="shared" si="2"/>
        <v>IB3003D</v>
      </c>
      <c r="G80" s="246"/>
      <c r="H80" s="247"/>
      <c r="I80" s="247"/>
      <c r="J80" s="248"/>
      <c r="K80" s="182"/>
      <c r="L80" s="188"/>
      <c r="M80" s="186" t="s">
        <v>11</v>
      </c>
      <c r="N80" s="195" t="str">
        <f t="shared" si="3"/>
        <v>OB3003D</v>
      </c>
      <c r="O80" s="243"/>
      <c r="P80" s="244"/>
      <c r="Q80" s="244"/>
      <c r="R80" s="245"/>
      <c r="S80" s="190"/>
      <c r="T80" s="191"/>
      <c r="U80" s="909"/>
      <c r="V80" s="909"/>
      <c r="W80" s="193"/>
      <c r="X80" s="182"/>
      <c r="Y80" s="182"/>
      <c r="Z80" s="182"/>
      <c r="AA80" s="182"/>
      <c r="AB80" s="182"/>
      <c r="AC80" s="182"/>
      <c r="AD80" s="182"/>
      <c r="AE80" s="194"/>
    </row>
    <row r="81" spans="2:31" ht="17.25" customHeight="1">
      <c r="B81" s="180">
        <v>31</v>
      </c>
      <c r="C81" s="792"/>
      <c r="D81" s="765"/>
      <c r="E81" s="186" t="s">
        <v>10</v>
      </c>
      <c r="F81" s="187" t="str">
        <f t="shared" si="2"/>
        <v>IB3003E</v>
      </c>
      <c r="G81" s="243"/>
      <c r="H81" s="244"/>
      <c r="I81" s="244"/>
      <c r="J81" s="245"/>
      <c r="K81" s="182"/>
      <c r="L81" s="188"/>
      <c r="M81" s="186" t="s">
        <v>11</v>
      </c>
      <c r="N81" s="195" t="str">
        <f t="shared" si="3"/>
        <v>OB3003E</v>
      </c>
      <c r="O81" s="265"/>
      <c r="P81" s="266"/>
      <c r="Q81" s="266"/>
      <c r="R81" s="326"/>
      <c r="S81" s="196"/>
      <c r="T81" s="191"/>
      <c r="U81" s="909"/>
      <c r="V81" s="909"/>
      <c r="W81" s="193"/>
      <c r="X81" s="182"/>
      <c r="Y81" s="182"/>
      <c r="Z81" s="182"/>
      <c r="AA81" s="182"/>
      <c r="AB81" s="182"/>
      <c r="AC81" s="182"/>
      <c r="AD81" s="182"/>
      <c r="AE81" s="194"/>
    </row>
    <row r="82" spans="2:31" ht="17.25" customHeight="1" thickBot="1">
      <c r="B82" s="197">
        <v>32</v>
      </c>
      <c r="C82" s="793"/>
      <c r="D82" s="924"/>
      <c r="E82" s="198" t="s">
        <v>10</v>
      </c>
      <c r="F82" s="199" t="str">
        <f t="shared" si="2"/>
        <v>IB3003F</v>
      </c>
      <c r="G82" s="277"/>
      <c r="H82" s="373"/>
      <c r="I82" s="373"/>
      <c r="J82" s="374"/>
      <c r="K82" s="200"/>
      <c r="L82" s="201"/>
      <c r="M82" s="198" t="s">
        <v>11</v>
      </c>
      <c r="N82" s="202" t="str">
        <f t="shared" si="3"/>
        <v>OB3003F</v>
      </c>
      <c r="O82" s="277"/>
      <c r="P82" s="373"/>
      <c r="Q82" s="373"/>
      <c r="R82" s="374"/>
      <c r="S82" s="203"/>
      <c r="T82" s="204"/>
      <c r="U82" s="910"/>
      <c r="V82" s="910"/>
      <c r="W82" s="205"/>
      <c r="X82" s="200"/>
      <c r="Y82" s="200"/>
      <c r="Z82" s="200"/>
      <c r="AA82" s="200"/>
      <c r="AB82" s="200"/>
      <c r="AC82" s="200"/>
      <c r="AD82" s="200"/>
      <c r="AE82" s="206"/>
    </row>
    <row r="83" spans="2:31" ht="17.25" customHeight="1">
      <c r="B83" s="26"/>
      <c r="C83" s="237"/>
      <c r="D83" s="237"/>
      <c r="E83" s="238"/>
      <c r="F83" s="239"/>
      <c r="G83" s="278"/>
      <c r="H83" s="278"/>
      <c r="I83" s="278"/>
      <c r="J83" s="278"/>
      <c r="L83" s="279"/>
      <c r="M83" s="238"/>
      <c r="N83" s="160"/>
      <c r="O83" s="278"/>
      <c r="P83" s="278"/>
      <c r="Q83" s="278"/>
      <c r="R83" s="278"/>
      <c r="S83" s="240"/>
      <c r="T83" s="241"/>
      <c r="U83" s="242"/>
      <c r="V83" s="242"/>
      <c r="W83" s="280"/>
      <c r="X83" s="26"/>
      <c r="Y83" s="26"/>
      <c r="Z83" s="26"/>
      <c r="AA83" s="26"/>
      <c r="AB83" s="26"/>
      <c r="AC83" s="26"/>
      <c r="AD83" s="26"/>
      <c r="AE83" s="26"/>
    </row>
    <row r="84" spans="2:31" ht="17.25" customHeight="1" thickBot="1">
      <c r="B84" s="71"/>
      <c r="C84" s="64"/>
      <c r="D84" s="64"/>
      <c r="E84" s="65"/>
      <c r="F84" s="66"/>
      <c r="G84" s="67"/>
      <c r="H84" s="67"/>
      <c r="I84" s="67"/>
      <c r="J84" s="67"/>
      <c r="K84" s="71"/>
      <c r="L84" s="163"/>
      <c r="M84" s="67"/>
      <c r="N84" s="67"/>
      <c r="O84" s="67"/>
      <c r="P84" s="67"/>
      <c r="Q84" s="67"/>
      <c r="R84" s="67"/>
      <c r="S84" s="68"/>
      <c r="T84" s="164"/>
      <c r="U84" s="69"/>
      <c r="V84" s="69"/>
      <c r="W84" s="70"/>
      <c r="X84" s="71"/>
      <c r="Y84" s="71"/>
      <c r="Z84" s="71"/>
      <c r="AA84" s="71"/>
      <c r="AB84" s="71"/>
      <c r="AC84" s="71"/>
      <c r="AD84" s="71"/>
      <c r="AE84" s="71"/>
    </row>
    <row r="85" spans="2:31" ht="16.5" customHeight="1">
      <c r="B85" s="929" t="s">
        <v>0</v>
      </c>
      <c r="C85" s="781" t="s">
        <v>4</v>
      </c>
      <c r="D85" s="921" t="s">
        <v>5</v>
      </c>
      <c r="E85" s="911" t="s">
        <v>90</v>
      </c>
      <c r="F85" s="911" t="s">
        <v>6</v>
      </c>
      <c r="G85" s="913" t="s">
        <v>7</v>
      </c>
      <c r="H85" s="914"/>
      <c r="I85" s="914"/>
      <c r="J85" s="915"/>
      <c r="K85" s="911" t="s">
        <v>8</v>
      </c>
      <c r="L85" s="207"/>
      <c r="M85" s="911" t="s">
        <v>90</v>
      </c>
      <c r="N85" s="911" t="s">
        <v>6</v>
      </c>
      <c r="O85" s="913" t="s">
        <v>21</v>
      </c>
      <c r="P85" s="914"/>
      <c r="Q85" s="914"/>
      <c r="R85" s="915"/>
      <c r="S85" s="919" t="s">
        <v>8</v>
      </c>
      <c r="T85" s="179"/>
      <c r="U85" s="911" t="s">
        <v>13</v>
      </c>
      <c r="V85" s="911"/>
      <c r="W85" s="921" t="s">
        <v>96</v>
      </c>
      <c r="X85" s="921"/>
      <c r="Y85" s="921"/>
      <c r="Z85" s="921" t="s">
        <v>92</v>
      </c>
      <c r="AA85" s="921"/>
      <c r="AB85" s="921"/>
      <c r="AC85" s="921" t="s">
        <v>9</v>
      </c>
      <c r="AD85" s="921"/>
      <c r="AE85" s="922"/>
    </row>
    <row r="86" spans="2:31" ht="17.25" customHeight="1">
      <c r="B86" s="930"/>
      <c r="C86" s="931"/>
      <c r="D86" s="932"/>
      <c r="E86" s="912"/>
      <c r="F86" s="912"/>
      <c r="G86" s="916"/>
      <c r="H86" s="917"/>
      <c r="I86" s="917"/>
      <c r="J86" s="918"/>
      <c r="K86" s="912"/>
      <c r="L86" s="208"/>
      <c r="M86" s="912"/>
      <c r="N86" s="912"/>
      <c r="O86" s="916"/>
      <c r="P86" s="917"/>
      <c r="Q86" s="917"/>
      <c r="R86" s="918"/>
      <c r="S86" s="920"/>
      <c r="T86" s="183"/>
      <c r="U86" s="912"/>
      <c r="V86" s="912"/>
      <c r="W86" s="184" t="s">
        <v>93</v>
      </c>
      <c r="X86" s="181" t="s">
        <v>94</v>
      </c>
      <c r="Y86" s="181" t="s">
        <v>95</v>
      </c>
      <c r="Z86" s="184" t="s">
        <v>93</v>
      </c>
      <c r="AA86" s="181" t="s">
        <v>94</v>
      </c>
      <c r="AB86" s="181" t="s">
        <v>95</v>
      </c>
      <c r="AC86" s="184" t="s">
        <v>93</v>
      </c>
      <c r="AD86" s="181" t="s">
        <v>94</v>
      </c>
      <c r="AE86" s="185" t="s">
        <v>95</v>
      </c>
    </row>
    <row r="87" spans="2:31" ht="17.25" customHeight="1">
      <c r="B87" s="180">
        <v>0</v>
      </c>
      <c r="C87" s="927" t="s">
        <v>1512</v>
      </c>
      <c r="D87" s="901" t="s">
        <v>264</v>
      </c>
      <c r="E87" s="186" t="s">
        <v>10</v>
      </c>
      <c r="F87" s="187" t="s">
        <v>48</v>
      </c>
      <c r="G87" s="265" t="s">
        <v>1445</v>
      </c>
      <c r="H87" s="244"/>
      <c r="I87" s="244"/>
      <c r="J87" s="245"/>
      <c r="K87" s="190" t="s">
        <v>1513</v>
      </c>
      <c r="L87" s="209"/>
      <c r="M87" s="186" t="s">
        <v>11</v>
      </c>
      <c r="N87" s="195" t="s">
        <v>49</v>
      </c>
      <c r="O87" s="254"/>
      <c r="P87" s="255"/>
      <c r="Q87" s="255"/>
      <c r="R87" s="256"/>
      <c r="S87" s="190"/>
      <c r="T87" s="191"/>
      <c r="U87" s="909"/>
      <c r="V87" s="909"/>
      <c r="W87" s="193"/>
      <c r="X87" s="182"/>
      <c r="Y87" s="182"/>
      <c r="Z87" s="182"/>
      <c r="AA87" s="182"/>
      <c r="AB87" s="210"/>
      <c r="AC87" s="182"/>
      <c r="AD87" s="182"/>
      <c r="AE87" s="211"/>
    </row>
    <row r="88" spans="2:31" ht="17.25" customHeight="1">
      <c r="B88" s="180">
        <v>1</v>
      </c>
      <c r="C88" s="811"/>
      <c r="D88" s="765"/>
      <c r="E88" s="186" t="s">
        <v>10</v>
      </c>
      <c r="F88" s="187" t="str">
        <f>LEFT(F87,1)&amp;DEC2HEX(HEX2DEC(MID(F87,2,LENB(F87)-1))+1,LENB(F87)-1)</f>
        <v>IB31001</v>
      </c>
      <c r="G88" s="265" t="s">
        <v>1446</v>
      </c>
      <c r="H88" s="378"/>
      <c r="I88" s="378"/>
      <c r="J88" s="379"/>
      <c r="K88" s="190" t="s">
        <v>1513</v>
      </c>
      <c r="L88" s="209"/>
      <c r="M88" s="186" t="s">
        <v>11</v>
      </c>
      <c r="N88" s="195" t="str">
        <f>LEFT(N87,1)&amp;DEC2HEX(HEX2DEC(MID(N87,2,LENB(N87)-1))+1,LENB(N87)-1)</f>
        <v>OB31001</v>
      </c>
      <c r="O88" s="254"/>
      <c r="P88" s="255"/>
      <c r="Q88" s="255"/>
      <c r="R88" s="256"/>
      <c r="S88" s="190"/>
      <c r="T88" s="191"/>
      <c r="U88" s="909"/>
      <c r="V88" s="909"/>
      <c r="W88" s="193"/>
      <c r="X88" s="182"/>
      <c r="Y88" s="182"/>
      <c r="Z88" s="182"/>
      <c r="AA88" s="182"/>
      <c r="AB88" s="210"/>
      <c r="AC88" s="182"/>
      <c r="AD88" s="182"/>
      <c r="AE88" s="211"/>
    </row>
    <row r="89" spans="2:31" ht="17.25" customHeight="1">
      <c r="B89" s="180">
        <v>2</v>
      </c>
      <c r="C89" s="811"/>
      <c r="D89" s="765"/>
      <c r="E89" s="186" t="s">
        <v>10</v>
      </c>
      <c r="F89" s="187" t="str">
        <f t="shared" ref="F89:F152" si="4">LEFT(F88,1)&amp;DEC2HEX(HEX2DEC(MID(F88,2,LENB(F88)-1))+1,LENB(F88)-1)</f>
        <v>IB31002</v>
      </c>
      <c r="G89" s="265" t="s">
        <v>1447</v>
      </c>
      <c r="H89" s="378"/>
      <c r="I89" s="378"/>
      <c r="J89" s="379"/>
      <c r="K89" s="190" t="s">
        <v>1513</v>
      </c>
      <c r="L89" s="191"/>
      <c r="M89" s="186" t="s">
        <v>11</v>
      </c>
      <c r="N89" s="195" t="str">
        <f t="shared" ref="N89:N135" si="5">LEFT(N88,1)&amp;DEC2HEX(HEX2DEC(MID(N88,2,LENB(N88)-1))+1,LENB(N88)-1)</f>
        <v>OB31002</v>
      </c>
      <c r="O89" s="254"/>
      <c r="P89" s="255"/>
      <c r="Q89" s="255"/>
      <c r="R89" s="256"/>
      <c r="S89" s="190"/>
      <c r="T89" s="191"/>
      <c r="U89" s="909"/>
      <c r="V89" s="909"/>
      <c r="W89" s="193"/>
      <c r="X89" s="182"/>
      <c r="Y89" s="182"/>
      <c r="Z89" s="182"/>
      <c r="AA89" s="182"/>
      <c r="AB89" s="210"/>
      <c r="AC89" s="182"/>
      <c r="AD89" s="182"/>
      <c r="AE89" s="211"/>
    </row>
    <row r="90" spans="2:31" ht="17.25" customHeight="1">
      <c r="B90" s="180">
        <v>3</v>
      </c>
      <c r="C90" s="811"/>
      <c r="D90" s="765"/>
      <c r="E90" s="186" t="s">
        <v>10</v>
      </c>
      <c r="F90" s="187" t="str">
        <f t="shared" si="4"/>
        <v>IB31003</v>
      </c>
      <c r="G90" s="265" t="s">
        <v>1448</v>
      </c>
      <c r="H90" s="244"/>
      <c r="I90" s="244"/>
      <c r="J90" s="245"/>
      <c r="K90" s="190" t="s">
        <v>1513</v>
      </c>
      <c r="L90" s="209"/>
      <c r="M90" s="186" t="s">
        <v>11</v>
      </c>
      <c r="N90" s="195" t="str">
        <f t="shared" si="5"/>
        <v>OB31003</v>
      </c>
      <c r="O90" s="254"/>
      <c r="P90" s="255"/>
      <c r="Q90" s="255"/>
      <c r="R90" s="256"/>
      <c r="S90" s="190"/>
      <c r="T90" s="191"/>
      <c r="U90" s="909"/>
      <c r="V90" s="909"/>
      <c r="W90" s="193"/>
      <c r="X90" s="182"/>
      <c r="Y90" s="182"/>
      <c r="Z90" s="182"/>
      <c r="AA90" s="182"/>
      <c r="AB90" s="210"/>
      <c r="AC90" s="182"/>
      <c r="AD90" s="182"/>
      <c r="AE90" s="211"/>
    </row>
    <row r="91" spans="2:31" ht="17.25" customHeight="1">
      <c r="B91" s="180">
        <v>4</v>
      </c>
      <c r="C91" s="811"/>
      <c r="D91" s="765"/>
      <c r="E91" s="186" t="s">
        <v>10</v>
      </c>
      <c r="F91" s="187" t="str">
        <f t="shared" si="4"/>
        <v>IB31004</v>
      </c>
      <c r="G91" s="265" t="s">
        <v>1449</v>
      </c>
      <c r="H91" s="244"/>
      <c r="I91" s="244"/>
      <c r="J91" s="245"/>
      <c r="K91" s="190" t="s">
        <v>1513</v>
      </c>
      <c r="L91" s="209"/>
      <c r="M91" s="186" t="s">
        <v>11</v>
      </c>
      <c r="N91" s="195" t="str">
        <f t="shared" si="5"/>
        <v>OB31004</v>
      </c>
      <c r="O91" s="254"/>
      <c r="P91" s="255"/>
      <c r="Q91" s="255"/>
      <c r="R91" s="256"/>
      <c r="S91" s="190"/>
      <c r="T91" s="191"/>
      <c r="U91" s="909"/>
      <c r="V91" s="909"/>
      <c r="W91" s="193"/>
      <c r="X91" s="182"/>
      <c r="Y91" s="182"/>
      <c r="Z91" s="182"/>
      <c r="AA91" s="182"/>
      <c r="AB91" s="210"/>
      <c r="AC91" s="182"/>
      <c r="AD91" s="182"/>
      <c r="AE91" s="211"/>
    </row>
    <row r="92" spans="2:31" ht="17.25" customHeight="1">
      <c r="B92" s="180">
        <v>5</v>
      </c>
      <c r="C92" s="811"/>
      <c r="D92" s="765"/>
      <c r="E92" s="186" t="s">
        <v>10</v>
      </c>
      <c r="F92" s="187" t="str">
        <f t="shared" si="4"/>
        <v>IB31005</v>
      </c>
      <c r="G92" s="265" t="s">
        <v>1453</v>
      </c>
      <c r="H92" s="380"/>
      <c r="I92" s="380"/>
      <c r="J92" s="267"/>
      <c r="K92" s="190" t="s">
        <v>1513</v>
      </c>
      <c r="L92" s="209"/>
      <c r="M92" s="186" t="s">
        <v>11</v>
      </c>
      <c r="N92" s="195" t="str">
        <f t="shared" si="5"/>
        <v>OB31005</v>
      </c>
      <c r="O92" s="254"/>
      <c r="P92" s="255"/>
      <c r="Q92" s="255"/>
      <c r="R92" s="256"/>
      <c r="S92" s="190"/>
      <c r="T92" s="191"/>
      <c r="U92" s="909"/>
      <c r="V92" s="909"/>
      <c r="W92" s="193"/>
      <c r="X92" s="182"/>
      <c r="Y92" s="182"/>
      <c r="Z92" s="182"/>
      <c r="AA92" s="182"/>
      <c r="AB92" s="210"/>
      <c r="AC92" s="182"/>
      <c r="AD92" s="182"/>
      <c r="AE92" s="211"/>
    </row>
    <row r="93" spans="2:31" ht="17.25" customHeight="1">
      <c r="B93" s="180">
        <v>6</v>
      </c>
      <c r="C93" s="811"/>
      <c r="D93" s="765"/>
      <c r="E93" s="186" t="s">
        <v>10</v>
      </c>
      <c r="F93" s="187" t="str">
        <f t="shared" si="4"/>
        <v>IB31006</v>
      </c>
      <c r="G93" s="258"/>
      <c r="H93" s="378"/>
      <c r="I93" s="378"/>
      <c r="J93" s="379"/>
      <c r="K93" s="190"/>
      <c r="L93" s="209"/>
      <c r="M93" s="186" t="s">
        <v>11</v>
      </c>
      <c r="N93" s="195" t="str">
        <f t="shared" si="5"/>
        <v>OB31006</v>
      </c>
      <c r="O93" s="254"/>
      <c r="P93" s="255"/>
      <c r="Q93" s="255"/>
      <c r="R93" s="256"/>
      <c r="S93" s="190"/>
      <c r="T93" s="191"/>
      <c r="U93" s="909"/>
      <c r="V93" s="909"/>
      <c r="W93" s="193"/>
      <c r="X93" s="182"/>
      <c r="Y93" s="182"/>
      <c r="Z93" s="182"/>
      <c r="AA93" s="182"/>
      <c r="AB93" s="210"/>
      <c r="AC93" s="182"/>
      <c r="AD93" s="182"/>
      <c r="AE93" s="211"/>
    </row>
    <row r="94" spans="2:31" ht="17.25" customHeight="1">
      <c r="B94" s="180">
        <v>7</v>
      </c>
      <c r="C94" s="811"/>
      <c r="D94" s="765"/>
      <c r="E94" s="186" t="s">
        <v>10</v>
      </c>
      <c r="F94" s="187" t="str">
        <f t="shared" si="4"/>
        <v>IB31007</v>
      </c>
      <c r="G94" s="257"/>
      <c r="H94" s="380"/>
      <c r="I94" s="380"/>
      <c r="J94" s="267"/>
      <c r="K94" s="190"/>
      <c r="L94" s="209"/>
      <c r="M94" s="186" t="s">
        <v>11</v>
      </c>
      <c r="N94" s="195" t="str">
        <f t="shared" si="5"/>
        <v>OB31007</v>
      </c>
      <c r="O94" s="254"/>
      <c r="P94" s="255"/>
      <c r="Q94" s="255"/>
      <c r="R94" s="256"/>
      <c r="S94" s="190"/>
      <c r="T94" s="191"/>
      <c r="U94" s="909"/>
      <c r="V94" s="909"/>
      <c r="W94" s="193"/>
      <c r="X94" s="182"/>
      <c r="Y94" s="182"/>
      <c r="Z94" s="182"/>
      <c r="AA94" s="182"/>
      <c r="AB94" s="210"/>
      <c r="AC94" s="182"/>
      <c r="AD94" s="182"/>
      <c r="AE94" s="211"/>
    </row>
    <row r="95" spans="2:31" ht="17.25" customHeight="1">
      <c r="B95" s="180">
        <v>8</v>
      </c>
      <c r="C95" s="811"/>
      <c r="D95" s="765"/>
      <c r="E95" s="186" t="s">
        <v>10</v>
      </c>
      <c r="F95" s="187" t="str">
        <f t="shared" si="4"/>
        <v>IB31008</v>
      </c>
      <c r="G95" s="243"/>
      <c r="H95" s="244"/>
      <c r="I95" s="244"/>
      <c r="J95" s="245"/>
      <c r="K95" s="190"/>
      <c r="L95" s="209"/>
      <c r="M95" s="186" t="s">
        <v>11</v>
      </c>
      <c r="N95" s="195" t="str">
        <f t="shared" si="5"/>
        <v>OB31008</v>
      </c>
      <c r="O95" s="254"/>
      <c r="P95" s="255"/>
      <c r="Q95" s="255"/>
      <c r="R95" s="256"/>
      <c r="S95" s="190"/>
      <c r="T95" s="191"/>
      <c r="U95" s="909"/>
      <c r="V95" s="909"/>
      <c r="W95" s="193"/>
      <c r="X95" s="182"/>
      <c r="Y95" s="182"/>
      <c r="Z95" s="182"/>
      <c r="AA95" s="182"/>
      <c r="AB95" s="210"/>
      <c r="AC95" s="182"/>
      <c r="AD95" s="182"/>
      <c r="AE95" s="211"/>
    </row>
    <row r="96" spans="2:31" ht="17.25" customHeight="1">
      <c r="B96" s="180">
        <v>9</v>
      </c>
      <c r="C96" s="811"/>
      <c r="D96" s="765"/>
      <c r="E96" s="186" t="s">
        <v>10</v>
      </c>
      <c r="F96" s="187" t="str">
        <f t="shared" si="4"/>
        <v>IB31009</v>
      </c>
      <c r="G96" s="243"/>
      <c r="H96" s="244"/>
      <c r="I96" s="244"/>
      <c r="J96" s="245"/>
      <c r="K96" s="190"/>
      <c r="L96" s="209"/>
      <c r="M96" s="186" t="s">
        <v>11</v>
      </c>
      <c r="N96" s="195" t="str">
        <f t="shared" si="5"/>
        <v>OB31009</v>
      </c>
      <c r="O96" s="254"/>
      <c r="P96" s="255"/>
      <c r="Q96" s="255"/>
      <c r="R96" s="256"/>
      <c r="S96" s="190"/>
      <c r="T96" s="191"/>
      <c r="U96" s="909"/>
      <c r="V96" s="909"/>
      <c r="W96" s="193"/>
      <c r="X96" s="182"/>
      <c r="Y96" s="182"/>
      <c r="Z96" s="182"/>
      <c r="AA96" s="182"/>
      <c r="AB96" s="210"/>
      <c r="AC96" s="182"/>
      <c r="AD96" s="182"/>
      <c r="AE96" s="211"/>
    </row>
    <row r="97" spans="2:31" ht="17.25" customHeight="1">
      <c r="B97" s="180">
        <v>10</v>
      </c>
      <c r="C97" s="811"/>
      <c r="D97" s="765"/>
      <c r="E97" s="186" t="s">
        <v>10</v>
      </c>
      <c r="F97" s="187" t="str">
        <f t="shared" si="4"/>
        <v>IB3100A</v>
      </c>
      <c r="G97" s="243"/>
      <c r="H97" s="244"/>
      <c r="I97" s="244"/>
      <c r="J97" s="245"/>
      <c r="K97" s="190"/>
      <c r="L97" s="209"/>
      <c r="M97" s="186" t="s">
        <v>11</v>
      </c>
      <c r="N97" s="195" t="str">
        <f t="shared" si="5"/>
        <v>OB3100A</v>
      </c>
      <c r="O97" s="254"/>
      <c r="P97" s="255"/>
      <c r="Q97" s="255"/>
      <c r="R97" s="256"/>
      <c r="S97" s="190"/>
      <c r="T97" s="191"/>
      <c r="U97" s="909"/>
      <c r="V97" s="909"/>
      <c r="W97" s="193"/>
      <c r="X97" s="182"/>
      <c r="Y97" s="182"/>
      <c r="Z97" s="182"/>
      <c r="AA97" s="182"/>
      <c r="AB97" s="210"/>
      <c r="AC97" s="182"/>
      <c r="AD97" s="182"/>
      <c r="AE97" s="211"/>
    </row>
    <row r="98" spans="2:31" ht="17.25" customHeight="1">
      <c r="B98" s="180">
        <v>11</v>
      </c>
      <c r="C98" s="811"/>
      <c r="D98" s="765"/>
      <c r="E98" s="186" t="s">
        <v>10</v>
      </c>
      <c r="F98" s="187" t="str">
        <f t="shared" si="4"/>
        <v>IB3100B</v>
      </c>
      <c r="G98" s="243"/>
      <c r="H98" s="244"/>
      <c r="I98" s="244"/>
      <c r="J98" s="245"/>
      <c r="K98" s="190"/>
      <c r="L98" s="209"/>
      <c r="M98" s="186" t="s">
        <v>11</v>
      </c>
      <c r="N98" s="195" t="str">
        <f t="shared" si="5"/>
        <v>OB3100B</v>
      </c>
      <c r="O98" s="254"/>
      <c r="P98" s="255"/>
      <c r="Q98" s="255"/>
      <c r="R98" s="256"/>
      <c r="S98" s="190"/>
      <c r="T98" s="191"/>
      <c r="U98" s="909"/>
      <c r="V98" s="909"/>
      <c r="W98" s="193"/>
      <c r="X98" s="182"/>
      <c r="Y98" s="182"/>
      <c r="Z98" s="182"/>
      <c r="AA98" s="182"/>
      <c r="AB98" s="210"/>
      <c r="AC98" s="182"/>
      <c r="AD98" s="182"/>
      <c r="AE98" s="211"/>
    </row>
    <row r="99" spans="2:31" ht="17.25" customHeight="1">
      <c r="B99" s="180">
        <v>12</v>
      </c>
      <c r="C99" s="811"/>
      <c r="D99" s="765"/>
      <c r="E99" s="186" t="s">
        <v>10</v>
      </c>
      <c r="F99" s="187" t="str">
        <f t="shared" si="4"/>
        <v>IB3100C</v>
      </c>
      <c r="G99" s="243"/>
      <c r="H99" s="244"/>
      <c r="I99" s="244"/>
      <c r="J99" s="245"/>
      <c r="K99" s="190"/>
      <c r="L99" s="209"/>
      <c r="M99" s="186" t="s">
        <v>11</v>
      </c>
      <c r="N99" s="195" t="str">
        <f t="shared" si="5"/>
        <v>OB3100C</v>
      </c>
      <c r="O99" s="254"/>
      <c r="P99" s="255"/>
      <c r="Q99" s="255"/>
      <c r="R99" s="256"/>
      <c r="S99" s="190"/>
      <c r="T99" s="191"/>
      <c r="U99" s="909"/>
      <c r="V99" s="909"/>
      <c r="W99" s="193"/>
      <c r="X99" s="182"/>
      <c r="Y99" s="182"/>
      <c r="Z99" s="182"/>
      <c r="AA99" s="182"/>
      <c r="AB99" s="210"/>
      <c r="AC99" s="182"/>
      <c r="AD99" s="182"/>
      <c r="AE99" s="211"/>
    </row>
    <row r="100" spans="2:31" ht="17.25" customHeight="1">
      <c r="B100" s="180">
        <v>13</v>
      </c>
      <c r="C100" s="811"/>
      <c r="D100" s="765"/>
      <c r="E100" s="186" t="s">
        <v>10</v>
      </c>
      <c r="F100" s="187" t="str">
        <f t="shared" si="4"/>
        <v>IB3100D</v>
      </c>
      <c r="G100" s="243"/>
      <c r="H100" s="244"/>
      <c r="I100" s="244"/>
      <c r="J100" s="245"/>
      <c r="K100" s="182"/>
      <c r="L100" s="188"/>
      <c r="M100" s="186" t="s">
        <v>11</v>
      </c>
      <c r="N100" s="195" t="str">
        <f t="shared" si="5"/>
        <v>OB3100D</v>
      </c>
      <c r="O100" s="254"/>
      <c r="P100" s="255"/>
      <c r="Q100" s="255"/>
      <c r="R100" s="256"/>
      <c r="S100" s="190"/>
      <c r="T100" s="191"/>
      <c r="U100" s="909"/>
      <c r="V100" s="909"/>
      <c r="W100" s="193"/>
      <c r="X100" s="182"/>
      <c r="Y100" s="182"/>
      <c r="Z100" s="182"/>
      <c r="AA100" s="182"/>
      <c r="AB100" s="210"/>
      <c r="AC100" s="182"/>
      <c r="AD100" s="182"/>
      <c r="AE100" s="211"/>
    </row>
    <row r="101" spans="2:31" ht="17.25" customHeight="1">
      <c r="B101" s="180">
        <v>14</v>
      </c>
      <c r="C101" s="811"/>
      <c r="D101" s="765"/>
      <c r="E101" s="186" t="s">
        <v>10</v>
      </c>
      <c r="F101" s="187" t="str">
        <f t="shared" si="4"/>
        <v>IB3100E</v>
      </c>
      <c r="G101" s="243"/>
      <c r="H101" s="244"/>
      <c r="I101" s="244"/>
      <c r="J101" s="245"/>
      <c r="K101" s="182"/>
      <c r="L101" s="188"/>
      <c r="M101" s="186" t="s">
        <v>11</v>
      </c>
      <c r="N101" s="195" t="str">
        <f t="shared" si="5"/>
        <v>OB3100E</v>
      </c>
      <c r="O101" s="254"/>
      <c r="P101" s="255"/>
      <c r="Q101" s="255"/>
      <c r="R101" s="256"/>
      <c r="S101" s="190"/>
      <c r="T101" s="191"/>
      <c r="U101" s="909"/>
      <c r="V101" s="909"/>
      <c r="W101" s="193"/>
      <c r="X101" s="182"/>
      <c r="Y101" s="182"/>
      <c r="Z101" s="182"/>
      <c r="AA101" s="182"/>
      <c r="AB101" s="210"/>
      <c r="AC101" s="182"/>
      <c r="AD101" s="182"/>
      <c r="AE101" s="211"/>
    </row>
    <row r="102" spans="2:31" ht="17.25" customHeight="1">
      <c r="B102" s="180">
        <v>15</v>
      </c>
      <c r="C102" s="928"/>
      <c r="D102" s="765"/>
      <c r="E102" s="186" t="s">
        <v>10</v>
      </c>
      <c r="F102" s="187" t="str">
        <f t="shared" si="4"/>
        <v>IB3100F</v>
      </c>
      <c r="G102" s="243"/>
      <c r="H102" s="244"/>
      <c r="I102" s="244"/>
      <c r="J102" s="245"/>
      <c r="K102" s="182"/>
      <c r="L102" s="188"/>
      <c r="M102" s="186" t="s">
        <v>11</v>
      </c>
      <c r="N102" s="195" t="str">
        <f t="shared" si="5"/>
        <v>OB3100F</v>
      </c>
      <c r="O102" s="254"/>
      <c r="P102" s="255"/>
      <c r="Q102" s="255"/>
      <c r="R102" s="256"/>
      <c r="S102" s="190"/>
      <c r="T102" s="191"/>
      <c r="U102" s="909"/>
      <c r="V102" s="909"/>
      <c r="W102" s="193"/>
      <c r="X102" s="182"/>
      <c r="Y102" s="182"/>
      <c r="Z102" s="182"/>
      <c r="AA102" s="182"/>
      <c r="AB102" s="210"/>
      <c r="AC102" s="182"/>
      <c r="AD102" s="182"/>
      <c r="AE102" s="211"/>
    </row>
    <row r="103" spans="2:31" ht="17.25" customHeight="1">
      <c r="B103" s="180">
        <v>16</v>
      </c>
      <c r="C103" s="925" t="s">
        <v>1560</v>
      </c>
      <c r="D103" s="901" t="s">
        <v>264</v>
      </c>
      <c r="E103" s="186" t="s">
        <v>10</v>
      </c>
      <c r="F103" s="187" t="str">
        <f t="shared" si="4"/>
        <v>IB31010</v>
      </c>
      <c r="G103" s="254"/>
      <c r="H103" s="255"/>
      <c r="I103" s="255"/>
      <c r="J103" s="256"/>
      <c r="K103" s="190"/>
      <c r="L103" s="209"/>
      <c r="M103" s="186" t="s">
        <v>11</v>
      </c>
      <c r="N103" s="195" t="str">
        <f t="shared" si="5"/>
        <v>OB31010</v>
      </c>
      <c r="O103" s="243"/>
      <c r="P103" s="244"/>
      <c r="Q103" s="244"/>
      <c r="R103" s="245"/>
      <c r="S103" s="190"/>
      <c r="T103" s="191"/>
      <c r="U103" s="909"/>
      <c r="V103" s="909"/>
      <c r="W103" s="193"/>
      <c r="X103" s="182"/>
      <c r="Y103" s="182"/>
      <c r="Z103" s="182"/>
      <c r="AA103" s="182"/>
      <c r="AB103" s="210"/>
      <c r="AC103" s="182"/>
      <c r="AD103" s="182"/>
      <c r="AE103" s="211"/>
    </row>
    <row r="104" spans="2:31" ht="17.25" customHeight="1">
      <c r="B104" s="180">
        <v>17</v>
      </c>
      <c r="C104" s="816"/>
      <c r="D104" s="765"/>
      <c r="E104" s="186" t="s">
        <v>10</v>
      </c>
      <c r="F104" s="187" t="str">
        <f t="shared" si="4"/>
        <v>IB31011</v>
      </c>
      <c r="G104" s="254"/>
      <c r="H104" s="255"/>
      <c r="I104" s="255"/>
      <c r="J104" s="256"/>
      <c r="K104" s="190"/>
      <c r="L104" s="209"/>
      <c r="M104" s="186" t="s">
        <v>11</v>
      </c>
      <c r="N104" s="195" t="str">
        <f t="shared" si="5"/>
        <v>OB31011</v>
      </c>
      <c r="O104" s="243"/>
      <c r="P104" s="244"/>
      <c r="Q104" s="244"/>
      <c r="R104" s="245"/>
      <c r="S104" s="190"/>
      <c r="T104" s="191"/>
      <c r="U104" s="909"/>
      <c r="V104" s="909"/>
      <c r="W104" s="193"/>
      <c r="X104" s="182"/>
      <c r="Y104" s="182"/>
      <c r="Z104" s="182"/>
      <c r="AA104" s="182"/>
      <c r="AB104" s="210"/>
      <c r="AC104" s="182"/>
      <c r="AD104" s="182"/>
      <c r="AE104" s="211"/>
    </row>
    <row r="105" spans="2:31" ht="17.25" customHeight="1">
      <c r="B105" s="180">
        <v>18</v>
      </c>
      <c r="C105" s="816"/>
      <c r="D105" s="765"/>
      <c r="E105" s="186" t="s">
        <v>10</v>
      </c>
      <c r="F105" s="187" t="str">
        <f t="shared" si="4"/>
        <v>IB31012</v>
      </c>
      <c r="G105" s="254"/>
      <c r="H105" s="255"/>
      <c r="I105" s="255"/>
      <c r="J105" s="256"/>
      <c r="K105" s="190"/>
      <c r="L105" s="209"/>
      <c r="M105" s="186" t="s">
        <v>11</v>
      </c>
      <c r="N105" s="195" t="str">
        <f t="shared" si="5"/>
        <v>OB31012</v>
      </c>
      <c r="O105" s="243"/>
      <c r="P105" s="244"/>
      <c r="Q105" s="244"/>
      <c r="R105" s="245"/>
      <c r="S105" s="190"/>
      <c r="T105" s="191"/>
      <c r="U105" s="909"/>
      <c r="V105" s="909"/>
      <c r="W105" s="193"/>
      <c r="X105" s="182"/>
      <c r="Y105" s="182"/>
      <c r="Z105" s="182"/>
      <c r="AA105" s="182"/>
      <c r="AB105" s="210"/>
      <c r="AC105" s="182"/>
      <c r="AD105" s="182"/>
      <c r="AE105" s="211"/>
    </row>
    <row r="106" spans="2:31" ht="17.25" customHeight="1">
      <c r="B106" s="180">
        <v>19</v>
      </c>
      <c r="C106" s="816"/>
      <c r="D106" s="765"/>
      <c r="E106" s="182" t="s">
        <v>10</v>
      </c>
      <c r="F106" s="187" t="str">
        <f t="shared" si="4"/>
        <v>IB31013</v>
      </c>
      <c r="G106" s="254"/>
      <c r="H106" s="255"/>
      <c r="I106" s="255"/>
      <c r="J106" s="256"/>
      <c r="K106" s="190"/>
      <c r="L106" s="209"/>
      <c r="M106" s="186" t="s">
        <v>11</v>
      </c>
      <c r="N106" s="195" t="str">
        <f t="shared" si="5"/>
        <v>OB31013</v>
      </c>
      <c r="O106" s="243" t="s">
        <v>1450</v>
      </c>
      <c r="P106" s="244"/>
      <c r="Q106" s="244"/>
      <c r="R106" s="245"/>
      <c r="S106" s="190" t="s">
        <v>1513</v>
      </c>
      <c r="T106" s="191"/>
      <c r="U106" s="909"/>
      <c r="V106" s="909"/>
      <c r="W106" s="193"/>
      <c r="X106" s="182"/>
      <c r="Y106" s="182"/>
      <c r="Z106" s="182"/>
      <c r="AA106" s="182"/>
      <c r="AB106" s="210"/>
      <c r="AC106" s="182"/>
      <c r="AD106" s="182"/>
      <c r="AE106" s="211"/>
    </row>
    <row r="107" spans="2:31" ht="17.25" customHeight="1">
      <c r="B107" s="180">
        <v>20</v>
      </c>
      <c r="C107" s="816"/>
      <c r="D107" s="765"/>
      <c r="E107" s="186" t="s">
        <v>10</v>
      </c>
      <c r="F107" s="187" t="str">
        <f t="shared" si="4"/>
        <v>IB31014</v>
      </c>
      <c r="G107" s="254"/>
      <c r="H107" s="255"/>
      <c r="I107" s="255"/>
      <c r="J107" s="256"/>
      <c r="K107" s="190"/>
      <c r="L107" s="209"/>
      <c r="M107" s="186" t="s">
        <v>11</v>
      </c>
      <c r="N107" s="195" t="str">
        <f t="shared" si="5"/>
        <v>OB31014</v>
      </c>
      <c r="O107" s="243" t="s">
        <v>1451</v>
      </c>
      <c r="P107" s="244"/>
      <c r="Q107" s="244"/>
      <c r="R107" s="245"/>
      <c r="S107" s="190" t="s">
        <v>1513</v>
      </c>
      <c r="T107" s="191"/>
      <c r="U107" s="909"/>
      <c r="V107" s="909"/>
      <c r="W107" s="193"/>
      <c r="X107" s="182"/>
      <c r="Y107" s="182"/>
      <c r="Z107" s="182"/>
      <c r="AA107" s="182"/>
      <c r="AB107" s="210"/>
      <c r="AC107" s="182"/>
      <c r="AD107" s="182"/>
      <c r="AE107" s="211"/>
    </row>
    <row r="108" spans="2:31" ht="17.25" customHeight="1">
      <c r="B108" s="180">
        <v>21</v>
      </c>
      <c r="C108" s="816"/>
      <c r="D108" s="765"/>
      <c r="E108" s="186" t="s">
        <v>10</v>
      </c>
      <c r="F108" s="187" t="str">
        <f t="shared" si="4"/>
        <v>IB31015</v>
      </c>
      <c r="G108" s="254"/>
      <c r="H108" s="255"/>
      <c r="I108" s="255"/>
      <c r="J108" s="256"/>
      <c r="K108" s="190"/>
      <c r="L108" s="209"/>
      <c r="M108" s="186" t="s">
        <v>11</v>
      </c>
      <c r="N108" s="195" t="str">
        <f t="shared" si="5"/>
        <v>OB31015</v>
      </c>
      <c r="O108" s="243" t="s">
        <v>1452</v>
      </c>
      <c r="P108" s="244"/>
      <c r="Q108" s="244"/>
      <c r="R108" s="245"/>
      <c r="S108" s="190" t="s">
        <v>1513</v>
      </c>
      <c r="T108" s="191"/>
      <c r="U108" s="909"/>
      <c r="V108" s="909"/>
      <c r="W108" s="193"/>
      <c r="X108" s="182"/>
      <c r="Y108" s="182"/>
      <c r="Z108" s="182"/>
      <c r="AA108" s="182"/>
      <c r="AB108" s="210"/>
      <c r="AC108" s="182"/>
      <c r="AD108" s="182"/>
      <c r="AE108" s="211"/>
    </row>
    <row r="109" spans="2:31" ht="17.25" customHeight="1">
      <c r="B109" s="180">
        <v>22</v>
      </c>
      <c r="C109" s="816"/>
      <c r="D109" s="765"/>
      <c r="E109" s="186" t="s">
        <v>10</v>
      </c>
      <c r="F109" s="187" t="str">
        <f t="shared" si="4"/>
        <v>IB31016</v>
      </c>
      <c r="G109" s="254"/>
      <c r="H109" s="255"/>
      <c r="I109" s="255"/>
      <c r="J109" s="256"/>
      <c r="K109" s="190"/>
      <c r="L109" s="209"/>
      <c r="M109" s="186" t="s">
        <v>11</v>
      </c>
      <c r="N109" s="195" t="str">
        <f t="shared" si="5"/>
        <v>OB31016</v>
      </c>
      <c r="O109" s="243"/>
      <c r="P109" s="244"/>
      <c r="Q109" s="244"/>
      <c r="R109" s="245"/>
      <c r="S109" s="190"/>
      <c r="T109" s="191"/>
      <c r="U109" s="909"/>
      <c r="V109" s="909"/>
      <c r="W109" s="193"/>
      <c r="X109" s="182"/>
      <c r="Y109" s="182"/>
      <c r="Z109" s="182"/>
      <c r="AA109" s="182"/>
      <c r="AB109" s="210"/>
      <c r="AC109" s="182"/>
      <c r="AD109" s="182"/>
      <c r="AE109" s="211"/>
    </row>
    <row r="110" spans="2:31" ht="17.25" customHeight="1">
      <c r="B110" s="180">
        <v>23</v>
      </c>
      <c r="C110" s="816"/>
      <c r="D110" s="765"/>
      <c r="E110" s="186" t="s">
        <v>10</v>
      </c>
      <c r="F110" s="187" t="str">
        <f t="shared" si="4"/>
        <v>IB31017</v>
      </c>
      <c r="G110" s="254"/>
      <c r="H110" s="255"/>
      <c r="I110" s="255"/>
      <c r="J110" s="256"/>
      <c r="K110" s="190"/>
      <c r="L110" s="209"/>
      <c r="M110" s="186" t="s">
        <v>11</v>
      </c>
      <c r="N110" s="195" t="str">
        <f t="shared" si="5"/>
        <v>OB31017</v>
      </c>
      <c r="O110" s="243"/>
      <c r="P110" s="244"/>
      <c r="Q110" s="244"/>
      <c r="R110" s="245"/>
      <c r="S110" s="190"/>
      <c r="T110" s="191"/>
      <c r="U110" s="909"/>
      <c r="V110" s="909"/>
      <c r="W110" s="182"/>
      <c r="X110" s="182"/>
      <c r="Y110" s="182"/>
      <c r="Z110" s="182"/>
      <c r="AA110" s="182"/>
      <c r="AB110" s="210"/>
      <c r="AC110" s="182"/>
      <c r="AD110" s="182"/>
      <c r="AE110" s="211"/>
    </row>
    <row r="111" spans="2:31" ht="17.25" customHeight="1">
      <c r="B111" s="180">
        <v>24</v>
      </c>
      <c r="C111" s="816"/>
      <c r="D111" s="765"/>
      <c r="E111" s="186" t="s">
        <v>10</v>
      </c>
      <c r="F111" s="187" t="str">
        <f t="shared" si="4"/>
        <v>IB31018</v>
      </c>
      <c r="G111" s="254"/>
      <c r="H111" s="255"/>
      <c r="I111" s="255"/>
      <c r="J111" s="256"/>
      <c r="K111" s="190"/>
      <c r="L111" s="209"/>
      <c r="M111" s="186" t="s">
        <v>11</v>
      </c>
      <c r="N111" s="195" t="str">
        <f t="shared" si="5"/>
        <v>OB31018</v>
      </c>
      <c r="O111" s="243"/>
      <c r="P111" s="244"/>
      <c r="Q111" s="244"/>
      <c r="R111" s="245"/>
      <c r="S111" s="190"/>
      <c r="T111" s="191"/>
      <c r="U111" s="909"/>
      <c r="V111" s="909"/>
      <c r="W111" s="193"/>
      <c r="X111" s="182"/>
      <c r="Y111" s="182"/>
      <c r="Z111" s="182"/>
      <c r="AA111" s="182"/>
      <c r="AB111" s="210"/>
      <c r="AC111" s="182"/>
      <c r="AD111" s="182"/>
      <c r="AE111" s="211"/>
    </row>
    <row r="112" spans="2:31" ht="17.25" customHeight="1">
      <c r="B112" s="180">
        <v>25</v>
      </c>
      <c r="C112" s="816"/>
      <c r="D112" s="765"/>
      <c r="E112" s="186" t="s">
        <v>10</v>
      </c>
      <c r="F112" s="187" t="str">
        <f t="shared" si="4"/>
        <v>IB31019</v>
      </c>
      <c r="G112" s="254"/>
      <c r="H112" s="255"/>
      <c r="I112" s="255"/>
      <c r="J112" s="256"/>
      <c r="K112" s="182"/>
      <c r="L112" s="188"/>
      <c r="M112" s="186" t="s">
        <v>11</v>
      </c>
      <c r="N112" s="195" t="str">
        <f t="shared" si="5"/>
        <v>OB31019</v>
      </c>
      <c r="O112" s="243"/>
      <c r="P112" s="244"/>
      <c r="Q112" s="244"/>
      <c r="R112" s="245"/>
      <c r="S112" s="190"/>
      <c r="T112" s="191"/>
      <c r="U112" s="909"/>
      <c r="V112" s="909"/>
      <c r="W112" s="193"/>
      <c r="X112" s="182"/>
      <c r="Y112" s="182"/>
      <c r="Z112" s="182"/>
      <c r="AA112" s="182"/>
      <c r="AB112" s="210"/>
      <c r="AC112" s="182"/>
      <c r="AD112" s="182"/>
      <c r="AE112" s="211"/>
    </row>
    <row r="113" spans="2:31" ht="17.25" customHeight="1">
      <c r="B113" s="180">
        <v>26</v>
      </c>
      <c r="C113" s="816"/>
      <c r="D113" s="765"/>
      <c r="E113" s="186" t="s">
        <v>10</v>
      </c>
      <c r="F113" s="187" t="str">
        <f t="shared" si="4"/>
        <v>IB3101A</v>
      </c>
      <c r="G113" s="254"/>
      <c r="H113" s="255"/>
      <c r="I113" s="255"/>
      <c r="J113" s="256"/>
      <c r="K113" s="182"/>
      <c r="L113" s="188"/>
      <c r="M113" s="186" t="s">
        <v>11</v>
      </c>
      <c r="N113" s="195" t="str">
        <f t="shared" si="5"/>
        <v>OB3101A</v>
      </c>
      <c r="O113" s="243"/>
      <c r="P113" s="244"/>
      <c r="Q113" s="244"/>
      <c r="R113" s="245"/>
      <c r="S113" s="190"/>
      <c r="T113" s="191"/>
      <c r="U113" s="909"/>
      <c r="V113" s="909"/>
      <c r="W113" s="182"/>
      <c r="X113" s="182"/>
      <c r="Y113" s="182"/>
      <c r="Z113" s="182"/>
      <c r="AA113" s="182"/>
      <c r="AB113" s="210"/>
      <c r="AC113" s="182"/>
      <c r="AD113" s="182"/>
      <c r="AE113" s="211"/>
    </row>
    <row r="114" spans="2:31" ht="17.25" customHeight="1">
      <c r="B114" s="180">
        <v>27</v>
      </c>
      <c r="C114" s="816"/>
      <c r="D114" s="765"/>
      <c r="E114" s="186" t="s">
        <v>10</v>
      </c>
      <c r="F114" s="187" t="str">
        <f t="shared" si="4"/>
        <v>IB3101B</v>
      </c>
      <c r="G114" s="254"/>
      <c r="H114" s="255"/>
      <c r="I114" s="255"/>
      <c r="J114" s="256"/>
      <c r="K114" s="182"/>
      <c r="L114" s="188"/>
      <c r="M114" s="186" t="s">
        <v>11</v>
      </c>
      <c r="N114" s="195" t="str">
        <f t="shared" si="5"/>
        <v>OB3101B</v>
      </c>
      <c r="O114" s="243"/>
      <c r="P114" s="244"/>
      <c r="Q114" s="244"/>
      <c r="R114" s="245"/>
      <c r="S114" s="190"/>
      <c r="T114" s="191"/>
      <c r="U114" s="909"/>
      <c r="V114" s="909"/>
      <c r="W114" s="182"/>
      <c r="X114" s="182"/>
      <c r="Y114" s="182"/>
      <c r="Z114" s="182"/>
      <c r="AA114" s="182"/>
      <c r="AB114" s="210"/>
      <c r="AC114" s="182"/>
      <c r="AD114" s="182"/>
      <c r="AE114" s="211"/>
    </row>
    <row r="115" spans="2:31" ht="17.25" customHeight="1">
      <c r="B115" s="180">
        <v>28</v>
      </c>
      <c r="C115" s="816"/>
      <c r="D115" s="765"/>
      <c r="E115" s="186" t="s">
        <v>10</v>
      </c>
      <c r="F115" s="187" t="str">
        <f t="shared" si="4"/>
        <v>IB3101C</v>
      </c>
      <c r="G115" s="254"/>
      <c r="H115" s="255"/>
      <c r="I115" s="255"/>
      <c r="J115" s="256"/>
      <c r="K115" s="182"/>
      <c r="L115" s="188"/>
      <c r="M115" s="186" t="s">
        <v>11</v>
      </c>
      <c r="N115" s="195" t="str">
        <f t="shared" si="5"/>
        <v>OB3101C</v>
      </c>
      <c r="O115" s="243"/>
      <c r="P115" s="244"/>
      <c r="Q115" s="244"/>
      <c r="R115" s="245"/>
      <c r="S115" s="190"/>
      <c r="T115" s="191"/>
      <c r="U115" s="909"/>
      <c r="V115" s="909"/>
      <c r="W115" s="193"/>
      <c r="X115" s="182"/>
      <c r="Y115" s="182"/>
      <c r="Z115" s="182"/>
      <c r="AA115" s="182"/>
      <c r="AB115" s="210"/>
      <c r="AC115" s="182"/>
      <c r="AD115" s="182"/>
      <c r="AE115" s="211"/>
    </row>
    <row r="116" spans="2:31" ht="17.25" customHeight="1">
      <c r="B116" s="180">
        <v>29</v>
      </c>
      <c r="C116" s="816"/>
      <c r="D116" s="765"/>
      <c r="E116" s="186" t="s">
        <v>10</v>
      </c>
      <c r="F116" s="187" t="str">
        <f t="shared" si="4"/>
        <v>IB3101D</v>
      </c>
      <c r="G116" s="254"/>
      <c r="H116" s="255"/>
      <c r="I116" s="255"/>
      <c r="J116" s="256"/>
      <c r="K116" s="182"/>
      <c r="L116" s="188"/>
      <c r="M116" s="186" t="s">
        <v>11</v>
      </c>
      <c r="N116" s="195" t="str">
        <f t="shared" si="5"/>
        <v>OB3101D</v>
      </c>
      <c r="O116" s="243"/>
      <c r="P116" s="244"/>
      <c r="Q116" s="244"/>
      <c r="R116" s="245"/>
      <c r="S116" s="190"/>
      <c r="T116" s="191"/>
      <c r="U116" s="192"/>
      <c r="V116" s="192"/>
      <c r="W116" s="193"/>
      <c r="X116" s="182"/>
      <c r="Y116" s="182"/>
      <c r="Z116" s="182"/>
      <c r="AA116" s="182"/>
      <c r="AB116" s="210"/>
      <c r="AC116" s="182"/>
      <c r="AD116" s="182"/>
      <c r="AE116" s="211"/>
    </row>
    <row r="117" spans="2:31" ht="17.25" customHeight="1">
      <c r="B117" s="180">
        <v>30</v>
      </c>
      <c r="C117" s="816"/>
      <c r="D117" s="765"/>
      <c r="E117" s="186" t="s">
        <v>10</v>
      </c>
      <c r="F117" s="187" t="str">
        <f t="shared" si="4"/>
        <v>IB3101E</v>
      </c>
      <c r="G117" s="254"/>
      <c r="H117" s="255"/>
      <c r="I117" s="255"/>
      <c r="J117" s="256"/>
      <c r="K117" s="182"/>
      <c r="L117" s="188"/>
      <c r="M117" s="186" t="s">
        <v>11</v>
      </c>
      <c r="N117" s="195" t="str">
        <f t="shared" si="5"/>
        <v>OB3101E</v>
      </c>
      <c r="O117" s="243"/>
      <c r="P117" s="244"/>
      <c r="Q117" s="244"/>
      <c r="R117" s="245"/>
      <c r="S117" s="190"/>
      <c r="T117" s="191"/>
      <c r="U117" s="909"/>
      <c r="V117" s="909"/>
      <c r="W117" s="193"/>
      <c r="X117" s="182"/>
      <c r="Y117" s="182"/>
      <c r="Z117" s="182"/>
      <c r="AA117" s="182"/>
      <c r="AB117" s="210"/>
      <c r="AC117" s="182"/>
      <c r="AD117" s="182"/>
      <c r="AE117" s="211"/>
    </row>
    <row r="118" spans="2:31" ht="17.25" customHeight="1">
      <c r="B118" s="180">
        <v>31</v>
      </c>
      <c r="C118" s="926"/>
      <c r="D118" s="765"/>
      <c r="E118" s="186" t="s">
        <v>10</v>
      </c>
      <c r="F118" s="187" t="str">
        <f t="shared" si="4"/>
        <v>IB3101F</v>
      </c>
      <c r="G118" s="254"/>
      <c r="H118" s="255"/>
      <c r="I118" s="255"/>
      <c r="J118" s="256"/>
      <c r="K118" s="182"/>
      <c r="L118" s="188"/>
      <c r="M118" s="186" t="s">
        <v>11</v>
      </c>
      <c r="N118" s="195" t="str">
        <f t="shared" si="5"/>
        <v>OB3101F</v>
      </c>
      <c r="O118" s="246" t="s">
        <v>1511</v>
      </c>
      <c r="P118" s="244"/>
      <c r="Q118" s="244"/>
      <c r="R118" s="245"/>
      <c r="S118" s="609"/>
      <c r="T118" s="191" t="s">
        <v>1574</v>
      </c>
      <c r="U118" s="909"/>
      <c r="V118" s="909"/>
      <c r="W118" s="193"/>
      <c r="X118" s="182"/>
      <c r="Y118" s="182"/>
      <c r="Z118" s="182"/>
      <c r="AA118" s="182"/>
      <c r="AB118" s="210"/>
      <c r="AC118" s="182"/>
      <c r="AD118" s="182"/>
      <c r="AE118" s="211"/>
    </row>
    <row r="119" spans="2:31" ht="17.25" customHeight="1">
      <c r="B119" s="180">
        <v>32</v>
      </c>
      <c r="C119" s="927" t="s">
        <v>38</v>
      </c>
      <c r="D119" s="940" t="s">
        <v>271</v>
      </c>
      <c r="E119" s="186" t="s">
        <v>10</v>
      </c>
      <c r="F119" s="187" t="str">
        <f t="shared" si="4"/>
        <v>IB31020</v>
      </c>
      <c r="G119" s="281" t="s">
        <v>176</v>
      </c>
      <c r="H119" s="581"/>
      <c r="I119" s="581"/>
      <c r="J119" s="282"/>
      <c r="K119" s="190" t="s">
        <v>1513</v>
      </c>
      <c r="L119" s="209"/>
      <c r="M119" s="186" t="s">
        <v>11</v>
      </c>
      <c r="N119" s="195" t="str">
        <f t="shared" si="5"/>
        <v>OB31020</v>
      </c>
      <c r="O119" s="254"/>
      <c r="P119" s="255"/>
      <c r="Q119" s="255"/>
      <c r="R119" s="256"/>
      <c r="S119" s="190"/>
      <c r="T119" s="191"/>
      <c r="U119" s="909"/>
      <c r="V119" s="909"/>
      <c r="W119" s="193"/>
      <c r="X119" s="182"/>
      <c r="Y119" s="182"/>
      <c r="Z119" s="182"/>
      <c r="AA119" s="182"/>
      <c r="AB119" s="210"/>
      <c r="AC119" s="182"/>
      <c r="AD119" s="182"/>
      <c r="AE119" s="211"/>
    </row>
    <row r="120" spans="2:31" ht="17.25" customHeight="1">
      <c r="B120" s="180">
        <v>33</v>
      </c>
      <c r="C120" s="811"/>
      <c r="D120" s="765"/>
      <c r="E120" s="186" t="s">
        <v>10</v>
      </c>
      <c r="F120" s="187" t="str">
        <f t="shared" si="4"/>
        <v>IB31021</v>
      </c>
      <c r="G120" s="281" t="s">
        <v>177</v>
      </c>
      <c r="H120" s="581"/>
      <c r="I120" s="581"/>
      <c r="J120" s="282"/>
      <c r="K120" s="190" t="s">
        <v>1513</v>
      </c>
      <c r="L120" s="209"/>
      <c r="M120" s="186" t="s">
        <v>11</v>
      </c>
      <c r="N120" s="195" t="str">
        <f t="shared" si="5"/>
        <v>OB31021</v>
      </c>
      <c r="O120" s="254"/>
      <c r="P120" s="255"/>
      <c r="Q120" s="255"/>
      <c r="R120" s="256"/>
      <c r="S120" s="190"/>
      <c r="T120" s="191"/>
      <c r="U120" s="909"/>
      <c r="V120" s="909"/>
      <c r="W120" s="193"/>
      <c r="X120" s="182"/>
      <c r="Y120" s="182"/>
      <c r="Z120" s="182"/>
      <c r="AA120" s="182"/>
      <c r="AB120" s="210"/>
      <c r="AC120" s="182"/>
      <c r="AD120" s="182"/>
      <c r="AE120" s="211"/>
    </row>
    <row r="121" spans="2:31" ht="17.25" customHeight="1">
      <c r="B121" s="180">
        <v>34</v>
      </c>
      <c r="C121" s="811"/>
      <c r="D121" s="765"/>
      <c r="E121" s="186" t="s">
        <v>10</v>
      </c>
      <c r="F121" s="187" t="str">
        <f t="shared" si="4"/>
        <v>IB31022</v>
      </c>
      <c r="G121" s="281" t="s">
        <v>178</v>
      </c>
      <c r="H121" s="581"/>
      <c r="I121" s="581"/>
      <c r="J121" s="282"/>
      <c r="K121" s="190" t="s">
        <v>1513</v>
      </c>
      <c r="L121" s="209"/>
      <c r="M121" s="186" t="s">
        <v>11</v>
      </c>
      <c r="N121" s="195" t="str">
        <f t="shared" si="5"/>
        <v>OB31022</v>
      </c>
      <c r="O121" s="254"/>
      <c r="P121" s="255"/>
      <c r="Q121" s="255"/>
      <c r="R121" s="256"/>
      <c r="S121" s="190"/>
      <c r="T121" s="191"/>
      <c r="U121" s="909"/>
      <c r="V121" s="909"/>
      <c r="W121" s="193"/>
      <c r="X121" s="182"/>
      <c r="Y121" s="182"/>
      <c r="Z121" s="182"/>
      <c r="AA121" s="182"/>
      <c r="AB121" s="210"/>
      <c r="AC121" s="182"/>
      <c r="AD121" s="182"/>
      <c r="AE121" s="211"/>
    </row>
    <row r="122" spans="2:31" ht="17.25" customHeight="1">
      <c r="B122" s="180">
        <v>35</v>
      </c>
      <c r="C122" s="811"/>
      <c r="D122" s="765"/>
      <c r="E122" s="186" t="s">
        <v>10</v>
      </c>
      <c r="F122" s="187" t="str">
        <f t="shared" si="4"/>
        <v>IB31023</v>
      </c>
      <c r="G122" s="281" t="s">
        <v>179</v>
      </c>
      <c r="H122" s="581"/>
      <c r="I122" s="581"/>
      <c r="J122" s="282"/>
      <c r="K122" s="190" t="s">
        <v>1513</v>
      </c>
      <c r="L122" s="209"/>
      <c r="M122" s="186" t="s">
        <v>11</v>
      </c>
      <c r="N122" s="195" t="str">
        <f t="shared" si="5"/>
        <v>OB31023</v>
      </c>
      <c r="O122" s="254"/>
      <c r="P122" s="255"/>
      <c r="Q122" s="255"/>
      <c r="R122" s="256"/>
      <c r="S122" s="190"/>
      <c r="T122" s="191"/>
      <c r="U122" s="909"/>
      <c r="V122" s="909"/>
      <c r="W122" s="182"/>
      <c r="X122" s="182"/>
      <c r="Y122" s="182"/>
      <c r="Z122" s="182"/>
      <c r="AA122" s="182"/>
      <c r="AB122" s="210"/>
      <c r="AC122" s="182"/>
      <c r="AD122" s="182"/>
      <c r="AE122" s="211"/>
    </row>
    <row r="123" spans="2:31" ht="17.25" customHeight="1">
      <c r="B123" s="180">
        <v>36</v>
      </c>
      <c r="C123" s="811"/>
      <c r="D123" s="765"/>
      <c r="E123" s="186" t="s">
        <v>10</v>
      </c>
      <c r="F123" s="187" t="str">
        <f t="shared" si="4"/>
        <v>IB31024</v>
      </c>
      <c r="G123" s="281" t="s">
        <v>180</v>
      </c>
      <c r="H123" s="581"/>
      <c r="I123" s="581"/>
      <c r="J123" s="282"/>
      <c r="K123" s="190" t="s">
        <v>1513</v>
      </c>
      <c r="L123" s="209"/>
      <c r="M123" s="186" t="s">
        <v>11</v>
      </c>
      <c r="N123" s="195" t="str">
        <f t="shared" si="5"/>
        <v>OB31024</v>
      </c>
      <c r="O123" s="254"/>
      <c r="P123" s="255"/>
      <c r="Q123" s="255"/>
      <c r="R123" s="256"/>
      <c r="S123" s="190"/>
      <c r="T123" s="191"/>
      <c r="U123" s="909"/>
      <c r="V123" s="909"/>
      <c r="W123" s="193"/>
      <c r="X123" s="182"/>
      <c r="Y123" s="182"/>
      <c r="Z123" s="182"/>
      <c r="AA123" s="182"/>
      <c r="AB123" s="210"/>
      <c r="AC123" s="182"/>
      <c r="AD123" s="182"/>
      <c r="AE123" s="211"/>
    </row>
    <row r="124" spans="2:31" ht="17.25" customHeight="1">
      <c r="B124" s="180">
        <v>37</v>
      </c>
      <c r="C124" s="811"/>
      <c r="D124" s="765"/>
      <c r="E124" s="186" t="s">
        <v>10</v>
      </c>
      <c r="F124" s="187" t="str">
        <f t="shared" si="4"/>
        <v>IB31025</v>
      </c>
      <c r="G124" s="281" t="s">
        <v>181</v>
      </c>
      <c r="H124" s="581"/>
      <c r="I124" s="581"/>
      <c r="J124" s="282"/>
      <c r="K124" s="190" t="s">
        <v>1513</v>
      </c>
      <c r="L124" s="209"/>
      <c r="M124" s="186" t="s">
        <v>11</v>
      </c>
      <c r="N124" s="195" t="str">
        <f t="shared" si="5"/>
        <v>OB31025</v>
      </c>
      <c r="O124" s="254"/>
      <c r="P124" s="255"/>
      <c r="Q124" s="255"/>
      <c r="R124" s="256"/>
      <c r="S124" s="190"/>
      <c r="T124" s="191"/>
      <c r="U124" s="909"/>
      <c r="V124" s="909"/>
      <c r="W124" s="193"/>
      <c r="X124" s="182"/>
      <c r="Y124" s="182"/>
      <c r="Z124" s="182"/>
      <c r="AA124" s="182"/>
      <c r="AB124" s="210"/>
      <c r="AC124" s="182"/>
      <c r="AD124" s="182"/>
      <c r="AE124" s="211"/>
    </row>
    <row r="125" spans="2:31" ht="17.25" customHeight="1">
      <c r="B125" s="180">
        <v>38</v>
      </c>
      <c r="C125" s="811"/>
      <c r="D125" s="765"/>
      <c r="E125" s="186" t="s">
        <v>10</v>
      </c>
      <c r="F125" s="187" t="str">
        <f t="shared" si="4"/>
        <v>IB31026</v>
      </c>
      <c r="G125" s="281" t="s">
        <v>182</v>
      </c>
      <c r="H125" s="581"/>
      <c r="I125" s="581"/>
      <c r="J125" s="282"/>
      <c r="K125" s="190" t="s">
        <v>1513</v>
      </c>
      <c r="L125" s="209"/>
      <c r="M125" s="186" t="s">
        <v>11</v>
      </c>
      <c r="N125" s="195" t="str">
        <f t="shared" si="5"/>
        <v>OB31026</v>
      </c>
      <c r="O125" s="254"/>
      <c r="P125" s="255"/>
      <c r="Q125" s="255"/>
      <c r="R125" s="256"/>
      <c r="S125" s="190"/>
      <c r="T125" s="191"/>
      <c r="U125" s="909"/>
      <c r="V125" s="909"/>
      <c r="W125" s="193"/>
      <c r="X125" s="182"/>
      <c r="Y125" s="182"/>
      <c r="Z125" s="182"/>
      <c r="AA125" s="182"/>
      <c r="AB125" s="210"/>
      <c r="AC125" s="182"/>
      <c r="AD125" s="182"/>
      <c r="AE125" s="211"/>
    </row>
    <row r="126" spans="2:31" ht="17.25" customHeight="1">
      <c r="B126" s="180">
        <v>39</v>
      </c>
      <c r="C126" s="811"/>
      <c r="D126" s="765"/>
      <c r="E126" s="186" t="s">
        <v>10</v>
      </c>
      <c r="F126" s="187" t="str">
        <f t="shared" si="4"/>
        <v>IB31027</v>
      </c>
      <c r="G126" s="243"/>
      <c r="H126" s="244"/>
      <c r="I126" s="244"/>
      <c r="J126" s="245"/>
      <c r="K126" s="190"/>
      <c r="L126" s="209"/>
      <c r="M126" s="186" t="s">
        <v>11</v>
      </c>
      <c r="N126" s="195" t="str">
        <f t="shared" si="5"/>
        <v>OB31027</v>
      </c>
      <c r="O126" s="254"/>
      <c r="P126" s="255"/>
      <c r="Q126" s="255"/>
      <c r="R126" s="256"/>
      <c r="S126" s="190"/>
      <c r="T126" s="191"/>
      <c r="U126" s="909"/>
      <c r="V126" s="909"/>
      <c r="W126" s="193"/>
      <c r="X126" s="182"/>
      <c r="Y126" s="182"/>
      <c r="Z126" s="182"/>
      <c r="AA126" s="182"/>
      <c r="AB126" s="210"/>
      <c r="AC126" s="182"/>
      <c r="AD126" s="182"/>
      <c r="AE126" s="211"/>
    </row>
    <row r="127" spans="2:31" ht="17.25" customHeight="1">
      <c r="B127" s="180">
        <v>40</v>
      </c>
      <c r="C127" s="811"/>
      <c r="D127" s="765"/>
      <c r="E127" s="186" t="s">
        <v>10</v>
      </c>
      <c r="F127" s="187" t="str">
        <f t="shared" si="4"/>
        <v>IB31028</v>
      </c>
      <c r="G127" s="243"/>
      <c r="H127" s="244"/>
      <c r="I127" s="244"/>
      <c r="J127" s="245"/>
      <c r="K127" s="190"/>
      <c r="L127" s="209"/>
      <c r="M127" s="186" t="s">
        <v>11</v>
      </c>
      <c r="N127" s="195" t="str">
        <f t="shared" si="5"/>
        <v>OB31028</v>
      </c>
      <c r="O127" s="254"/>
      <c r="P127" s="255"/>
      <c r="Q127" s="255"/>
      <c r="R127" s="256"/>
      <c r="S127" s="190"/>
      <c r="T127" s="191"/>
      <c r="U127" s="909"/>
      <c r="V127" s="909"/>
      <c r="W127" s="193"/>
      <c r="X127" s="182"/>
      <c r="Y127" s="182"/>
      <c r="Z127" s="182"/>
      <c r="AA127" s="182"/>
      <c r="AB127" s="210"/>
      <c r="AC127" s="182"/>
      <c r="AD127" s="182"/>
      <c r="AE127" s="211"/>
    </row>
    <row r="128" spans="2:31" ht="17.25" customHeight="1">
      <c r="B128" s="180">
        <v>41</v>
      </c>
      <c r="C128" s="811"/>
      <c r="D128" s="765"/>
      <c r="E128" s="186" t="s">
        <v>10</v>
      </c>
      <c r="F128" s="187" t="str">
        <f t="shared" si="4"/>
        <v>IB31029</v>
      </c>
      <c r="G128" s="243"/>
      <c r="H128" s="244"/>
      <c r="I128" s="244"/>
      <c r="J128" s="245"/>
      <c r="K128" s="190"/>
      <c r="L128" s="209"/>
      <c r="M128" s="186" t="s">
        <v>11</v>
      </c>
      <c r="N128" s="195" t="str">
        <f t="shared" si="5"/>
        <v>OB31029</v>
      </c>
      <c r="O128" s="254"/>
      <c r="P128" s="255"/>
      <c r="Q128" s="255"/>
      <c r="R128" s="256"/>
      <c r="S128" s="190"/>
      <c r="T128" s="191"/>
      <c r="U128" s="909"/>
      <c r="V128" s="909"/>
      <c r="W128" s="193"/>
      <c r="X128" s="182"/>
      <c r="Y128" s="182"/>
      <c r="Z128" s="182"/>
      <c r="AA128" s="182"/>
      <c r="AB128" s="210"/>
      <c r="AC128" s="182"/>
      <c r="AD128" s="182"/>
      <c r="AE128" s="211"/>
    </row>
    <row r="129" spans="2:31" ht="17.25" customHeight="1">
      <c r="B129" s="180">
        <v>42</v>
      </c>
      <c r="C129" s="811"/>
      <c r="D129" s="765"/>
      <c r="E129" s="186" t="s">
        <v>10</v>
      </c>
      <c r="F129" s="187" t="str">
        <f t="shared" si="4"/>
        <v>IB3102A</v>
      </c>
      <c r="G129" s="243"/>
      <c r="H129" s="244"/>
      <c r="I129" s="244"/>
      <c r="J129" s="245"/>
      <c r="K129" s="190"/>
      <c r="L129" s="209"/>
      <c r="M129" s="186" t="s">
        <v>11</v>
      </c>
      <c r="N129" s="195" t="str">
        <f t="shared" si="5"/>
        <v>OB3102A</v>
      </c>
      <c r="O129" s="254"/>
      <c r="P129" s="255"/>
      <c r="Q129" s="255"/>
      <c r="R129" s="256"/>
      <c r="S129" s="190"/>
      <c r="T129" s="191"/>
      <c r="U129" s="909"/>
      <c r="V129" s="909"/>
      <c r="W129" s="193"/>
      <c r="X129" s="182"/>
      <c r="Y129" s="182"/>
      <c r="Z129" s="182"/>
      <c r="AA129" s="182"/>
      <c r="AB129" s="210"/>
      <c r="AC129" s="182"/>
      <c r="AD129" s="182"/>
      <c r="AE129" s="211"/>
    </row>
    <row r="130" spans="2:31" ht="17.25" customHeight="1">
      <c r="B130" s="180">
        <v>43</v>
      </c>
      <c r="C130" s="811"/>
      <c r="D130" s="765"/>
      <c r="E130" s="186" t="s">
        <v>10</v>
      </c>
      <c r="F130" s="187" t="str">
        <f t="shared" si="4"/>
        <v>IB3102B</v>
      </c>
      <c r="G130" s="246"/>
      <c r="H130" s="247"/>
      <c r="I130" s="247"/>
      <c r="J130" s="248"/>
      <c r="K130" s="190"/>
      <c r="L130" s="209"/>
      <c r="M130" s="186" t="s">
        <v>11</v>
      </c>
      <c r="N130" s="195" t="str">
        <f t="shared" si="5"/>
        <v>OB3102B</v>
      </c>
      <c r="O130" s="254"/>
      <c r="P130" s="255"/>
      <c r="Q130" s="255"/>
      <c r="R130" s="256"/>
      <c r="S130" s="190"/>
      <c r="T130" s="191"/>
      <c r="U130" s="909"/>
      <c r="V130" s="909"/>
      <c r="W130" s="193"/>
      <c r="X130" s="182"/>
      <c r="Y130" s="182"/>
      <c r="Z130" s="182"/>
      <c r="AA130" s="182"/>
      <c r="AB130" s="210"/>
      <c r="AC130" s="182"/>
      <c r="AD130" s="182"/>
      <c r="AE130" s="211"/>
    </row>
    <row r="131" spans="2:31" ht="17.25" customHeight="1">
      <c r="B131" s="180">
        <v>44</v>
      </c>
      <c r="C131" s="811"/>
      <c r="D131" s="765"/>
      <c r="E131" s="186" t="s">
        <v>10</v>
      </c>
      <c r="F131" s="187" t="str">
        <f t="shared" si="4"/>
        <v>IB3102C</v>
      </c>
      <c r="G131" s="246"/>
      <c r="H131" s="247"/>
      <c r="I131" s="247"/>
      <c r="J131" s="248"/>
      <c r="K131" s="190"/>
      <c r="L131" s="209"/>
      <c r="M131" s="186" t="s">
        <v>11</v>
      </c>
      <c r="N131" s="195" t="str">
        <f t="shared" si="5"/>
        <v>OB3102C</v>
      </c>
      <c r="O131" s="254"/>
      <c r="P131" s="255"/>
      <c r="Q131" s="255"/>
      <c r="R131" s="256"/>
      <c r="S131" s="190"/>
      <c r="T131" s="191"/>
      <c r="U131" s="909"/>
      <c r="V131" s="909"/>
      <c r="W131" s="193"/>
      <c r="X131" s="182"/>
      <c r="Y131" s="182"/>
      <c r="Z131" s="182"/>
      <c r="AA131" s="182"/>
      <c r="AB131" s="210"/>
      <c r="AC131" s="182"/>
      <c r="AD131" s="182"/>
      <c r="AE131" s="211"/>
    </row>
    <row r="132" spans="2:31" ht="17.25" customHeight="1">
      <c r="B132" s="180">
        <v>45</v>
      </c>
      <c r="C132" s="811"/>
      <c r="D132" s="765"/>
      <c r="E132" s="186" t="s">
        <v>10</v>
      </c>
      <c r="F132" s="187" t="str">
        <f t="shared" si="4"/>
        <v>IB3102D</v>
      </c>
      <c r="G132" s="243"/>
      <c r="H132" s="244"/>
      <c r="I132" s="244"/>
      <c r="J132" s="245"/>
      <c r="K132" s="182"/>
      <c r="L132" s="188"/>
      <c r="M132" s="186" t="s">
        <v>11</v>
      </c>
      <c r="N132" s="195" t="str">
        <f t="shared" si="5"/>
        <v>OB3102D</v>
      </c>
      <c r="O132" s="254"/>
      <c r="P132" s="255"/>
      <c r="Q132" s="255"/>
      <c r="R132" s="256"/>
      <c r="S132" s="190"/>
      <c r="T132" s="191"/>
      <c r="U132" s="909"/>
      <c r="V132" s="909"/>
      <c r="W132" s="193"/>
      <c r="X132" s="182"/>
      <c r="Y132" s="182"/>
      <c r="Z132" s="182"/>
      <c r="AA132" s="182"/>
      <c r="AB132" s="210"/>
      <c r="AC132" s="182"/>
      <c r="AD132" s="182"/>
      <c r="AE132" s="211"/>
    </row>
    <row r="133" spans="2:31" ht="17.25" customHeight="1">
      <c r="B133" s="180">
        <v>46</v>
      </c>
      <c r="C133" s="811"/>
      <c r="D133" s="765"/>
      <c r="E133" s="186" t="s">
        <v>10</v>
      </c>
      <c r="F133" s="187" t="str">
        <f t="shared" si="4"/>
        <v>IB3102E</v>
      </c>
      <c r="G133" s="246"/>
      <c r="H133" s="247"/>
      <c r="I133" s="247"/>
      <c r="J133" s="248"/>
      <c r="K133" s="190"/>
      <c r="L133" s="209"/>
      <c r="M133" s="186" t="s">
        <v>11</v>
      </c>
      <c r="N133" s="195" t="str">
        <f t="shared" si="5"/>
        <v>OB3102E</v>
      </c>
      <c r="O133" s="254"/>
      <c r="P133" s="255"/>
      <c r="Q133" s="255"/>
      <c r="R133" s="256"/>
      <c r="S133" s="190"/>
      <c r="T133" s="191"/>
      <c r="U133" s="909"/>
      <c r="V133" s="909"/>
      <c r="W133" s="193"/>
      <c r="X133" s="182"/>
      <c r="Y133" s="182"/>
      <c r="Z133" s="182"/>
      <c r="AA133" s="182"/>
      <c r="AB133" s="210"/>
      <c r="AC133" s="182"/>
      <c r="AD133" s="182"/>
      <c r="AE133" s="211"/>
    </row>
    <row r="134" spans="2:31" ht="17.25" customHeight="1">
      <c r="B134" s="180">
        <v>47</v>
      </c>
      <c r="C134" s="928"/>
      <c r="D134" s="765"/>
      <c r="E134" s="186" t="s">
        <v>10</v>
      </c>
      <c r="F134" s="187" t="str">
        <f t="shared" si="4"/>
        <v>IB3102F</v>
      </c>
      <c r="G134" s="246"/>
      <c r="H134" s="247"/>
      <c r="I134" s="247"/>
      <c r="J134" s="248"/>
      <c r="K134" s="190"/>
      <c r="L134" s="209"/>
      <c r="M134" s="186" t="s">
        <v>11</v>
      </c>
      <c r="N134" s="195" t="str">
        <f t="shared" si="5"/>
        <v>OB3102F</v>
      </c>
      <c r="O134" s="254"/>
      <c r="P134" s="255"/>
      <c r="Q134" s="255"/>
      <c r="R134" s="256"/>
      <c r="S134" s="190"/>
      <c r="T134" s="191"/>
      <c r="U134" s="909"/>
      <c r="V134" s="909"/>
      <c r="W134" s="193"/>
      <c r="X134" s="182"/>
      <c r="Y134" s="182"/>
      <c r="Z134" s="182"/>
      <c r="AA134" s="182"/>
      <c r="AB134" s="210"/>
      <c r="AC134" s="182"/>
      <c r="AD134" s="182"/>
      <c r="AE134" s="211"/>
    </row>
    <row r="135" spans="2:31" ht="17.25" customHeight="1">
      <c r="B135" s="180">
        <v>48</v>
      </c>
      <c r="C135" s="927" t="s">
        <v>30</v>
      </c>
      <c r="D135" s="940" t="s">
        <v>271</v>
      </c>
      <c r="E135" s="186" t="s">
        <v>10</v>
      </c>
      <c r="F135" s="187" t="str">
        <f t="shared" si="4"/>
        <v>IB31030</v>
      </c>
      <c r="G135" s="87" t="s">
        <v>1314</v>
      </c>
      <c r="H135" s="581"/>
      <c r="I135" s="581"/>
      <c r="J135" s="282"/>
      <c r="K135" s="190" t="s">
        <v>1513</v>
      </c>
      <c r="L135" s="209"/>
      <c r="M135" s="186" t="s">
        <v>11</v>
      </c>
      <c r="N135" s="195" t="str">
        <f t="shared" si="5"/>
        <v>OB31030</v>
      </c>
      <c r="O135" s="254"/>
      <c r="P135" s="255"/>
      <c r="Q135" s="255"/>
      <c r="R135" s="256"/>
      <c r="S135" s="190"/>
      <c r="T135" s="191"/>
      <c r="U135" s="941"/>
      <c r="V135" s="909"/>
      <c r="W135" s="193"/>
      <c r="X135" s="182"/>
      <c r="Y135" s="182"/>
      <c r="Z135" s="182"/>
      <c r="AA135" s="182"/>
      <c r="AB135" s="210"/>
      <c r="AC135" s="182"/>
      <c r="AD135" s="182"/>
      <c r="AE135" s="211"/>
    </row>
    <row r="136" spans="2:31" ht="17.25" customHeight="1">
      <c r="B136" s="180">
        <v>49</v>
      </c>
      <c r="C136" s="811"/>
      <c r="D136" s="765"/>
      <c r="E136" s="186" t="s">
        <v>10</v>
      </c>
      <c r="F136" s="187" t="str">
        <f t="shared" si="4"/>
        <v>IB31031</v>
      </c>
      <c r="G136" s="87" t="s">
        <v>1315</v>
      </c>
      <c r="H136" s="581"/>
      <c r="I136" s="581"/>
      <c r="J136" s="282"/>
      <c r="K136" s="190" t="s">
        <v>1513</v>
      </c>
      <c r="L136" s="209"/>
      <c r="M136" s="186" t="s">
        <v>11</v>
      </c>
      <c r="N136" s="195" t="str">
        <f>LEFT(N135,1)&amp;DEC2HEX(HEX2DEC(MID(N135,2,LENB(N135)-1))+1,LENB(N135)-1)</f>
        <v>OB31031</v>
      </c>
      <c r="O136" s="254"/>
      <c r="P136" s="255"/>
      <c r="Q136" s="255"/>
      <c r="R136" s="256"/>
      <c r="S136" s="190"/>
      <c r="T136" s="191"/>
      <c r="U136" s="909"/>
      <c r="V136" s="909"/>
      <c r="W136" s="193"/>
      <c r="X136" s="182"/>
      <c r="Y136" s="182"/>
      <c r="Z136" s="182"/>
      <c r="AA136" s="182"/>
      <c r="AB136" s="210"/>
      <c r="AC136" s="182"/>
      <c r="AD136" s="182"/>
      <c r="AE136" s="211"/>
    </row>
    <row r="137" spans="2:31" ht="17.25" customHeight="1">
      <c r="B137" s="180">
        <v>50</v>
      </c>
      <c r="C137" s="811"/>
      <c r="D137" s="765"/>
      <c r="E137" s="186" t="s">
        <v>10</v>
      </c>
      <c r="F137" s="187" t="str">
        <f t="shared" si="4"/>
        <v>IB31032</v>
      </c>
      <c r="G137" s="87" t="s">
        <v>1316</v>
      </c>
      <c r="H137" s="581"/>
      <c r="I137" s="581"/>
      <c r="J137" s="282"/>
      <c r="K137" s="190" t="s">
        <v>1513</v>
      </c>
      <c r="L137" s="209"/>
      <c r="M137" s="186" t="s">
        <v>11</v>
      </c>
      <c r="N137" s="195" t="str">
        <f t="shared" ref="N137:N200" si="6">LEFT(N136,1)&amp;DEC2HEX(HEX2DEC(MID(N136,2,LENB(N136)-1))+1,LENB(N136)-1)</f>
        <v>OB31032</v>
      </c>
      <c r="O137" s="254"/>
      <c r="P137" s="255"/>
      <c r="Q137" s="255"/>
      <c r="R137" s="256"/>
      <c r="S137" s="190"/>
      <c r="T137" s="191"/>
      <c r="U137" s="909"/>
      <c r="V137" s="909"/>
      <c r="W137" s="193"/>
      <c r="X137" s="182"/>
      <c r="Y137" s="182"/>
      <c r="Z137" s="182"/>
      <c r="AA137" s="182"/>
      <c r="AB137" s="210"/>
      <c r="AC137" s="182"/>
      <c r="AD137" s="182"/>
      <c r="AE137" s="211"/>
    </row>
    <row r="138" spans="2:31" ht="17.25" customHeight="1">
      <c r="B138" s="180">
        <v>51</v>
      </c>
      <c r="C138" s="811"/>
      <c r="D138" s="765"/>
      <c r="E138" s="186" t="s">
        <v>10</v>
      </c>
      <c r="F138" s="187" t="str">
        <f t="shared" si="4"/>
        <v>IB31033</v>
      </c>
      <c r="G138" s="87" t="s">
        <v>1317</v>
      </c>
      <c r="H138" s="581"/>
      <c r="I138" s="581"/>
      <c r="J138" s="282"/>
      <c r="K138" s="190" t="s">
        <v>1513</v>
      </c>
      <c r="L138" s="209"/>
      <c r="M138" s="186" t="s">
        <v>11</v>
      </c>
      <c r="N138" s="195" t="str">
        <f t="shared" si="6"/>
        <v>OB31033</v>
      </c>
      <c r="O138" s="254"/>
      <c r="P138" s="255"/>
      <c r="Q138" s="255"/>
      <c r="R138" s="256"/>
      <c r="S138" s="190"/>
      <c r="T138" s="191"/>
      <c r="U138" s="909"/>
      <c r="V138" s="909"/>
      <c r="W138" s="193"/>
      <c r="X138" s="182"/>
      <c r="Y138" s="182"/>
      <c r="Z138" s="182"/>
      <c r="AA138" s="182"/>
      <c r="AB138" s="210"/>
      <c r="AC138" s="182"/>
      <c r="AD138" s="182"/>
      <c r="AE138" s="211"/>
    </row>
    <row r="139" spans="2:31" ht="17.25" customHeight="1">
      <c r="B139" s="180">
        <v>52</v>
      </c>
      <c r="C139" s="811"/>
      <c r="D139" s="765"/>
      <c r="E139" s="186" t="s">
        <v>10</v>
      </c>
      <c r="F139" s="187" t="str">
        <f t="shared" si="4"/>
        <v>IB31034</v>
      </c>
      <c r="G139" s="87" t="s">
        <v>1318</v>
      </c>
      <c r="H139" s="581"/>
      <c r="I139" s="581"/>
      <c r="J139" s="282"/>
      <c r="K139" s="190" t="s">
        <v>1513</v>
      </c>
      <c r="L139" s="209"/>
      <c r="M139" s="186" t="s">
        <v>11</v>
      </c>
      <c r="N139" s="195" t="str">
        <f t="shared" si="6"/>
        <v>OB31034</v>
      </c>
      <c r="O139" s="254"/>
      <c r="P139" s="255"/>
      <c r="Q139" s="255"/>
      <c r="R139" s="256"/>
      <c r="S139" s="190"/>
      <c r="T139" s="191"/>
      <c r="U139" s="909"/>
      <c r="V139" s="909"/>
      <c r="W139" s="182"/>
      <c r="X139" s="182"/>
      <c r="Y139" s="182"/>
      <c r="Z139" s="182"/>
      <c r="AA139" s="182"/>
      <c r="AB139" s="210"/>
      <c r="AC139" s="182"/>
      <c r="AD139" s="182"/>
      <c r="AE139" s="211"/>
    </row>
    <row r="140" spans="2:31" ht="17.25" customHeight="1">
      <c r="B140" s="180">
        <v>53</v>
      </c>
      <c r="C140" s="811"/>
      <c r="D140" s="765"/>
      <c r="E140" s="186" t="s">
        <v>10</v>
      </c>
      <c r="F140" s="187" t="str">
        <f t="shared" si="4"/>
        <v>IB31035</v>
      </c>
      <c r="G140" s="87" t="s">
        <v>1319</v>
      </c>
      <c r="H140" s="581"/>
      <c r="I140" s="581"/>
      <c r="J140" s="282"/>
      <c r="K140" s="190" t="s">
        <v>1513</v>
      </c>
      <c r="L140" s="209"/>
      <c r="M140" s="186" t="s">
        <v>11</v>
      </c>
      <c r="N140" s="195" t="str">
        <f t="shared" si="6"/>
        <v>OB31035</v>
      </c>
      <c r="O140" s="254"/>
      <c r="P140" s="255"/>
      <c r="Q140" s="255"/>
      <c r="R140" s="256"/>
      <c r="S140" s="190"/>
      <c r="T140" s="191"/>
      <c r="U140" s="909"/>
      <c r="V140" s="909"/>
      <c r="W140" s="182"/>
      <c r="X140" s="182"/>
      <c r="Y140" s="182"/>
      <c r="Z140" s="182"/>
      <c r="AA140" s="182"/>
      <c r="AB140" s="210"/>
      <c r="AC140" s="182"/>
      <c r="AD140" s="182"/>
      <c r="AE140" s="211"/>
    </row>
    <row r="141" spans="2:31" ht="17.25" customHeight="1">
      <c r="B141" s="180">
        <v>54</v>
      </c>
      <c r="C141" s="811"/>
      <c r="D141" s="765"/>
      <c r="E141" s="186" t="s">
        <v>10</v>
      </c>
      <c r="F141" s="187" t="str">
        <f t="shared" si="4"/>
        <v>IB31036</v>
      </c>
      <c r="G141" s="243"/>
      <c r="H141" s="244"/>
      <c r="I141" s="244"/>
      <c r="J141" s="245"/>
      <c r="K141" s="190"/>
      <c r="L141" s="209"/>
      <c r="M141" s="186" t="s">
        <v>11</v>
      </c>
      <c r="N141" s="195" t="str">
        <f t="shared" si="6"/>
        <v>OB31036</v>
      </c>
      <c r="O141" s="254"/>
      <c r="P141" s="255"/>
      <c r="Q141" s="255"/>
      <c r="R141" s="256"/>
      <c r="S141" s="190"/>
      <c r="T141" s="191"/>
      <c r="U141" s="909"/>
      <c r="V141" s="909"/>
      <c r="W141" s="193"/>
      <c r="X141" s="182"/>
      <c r="Y141" s="182"/>
      <c r="Z141" s="182"/>
      <c r="AA141" s="182"/>
      <c r="AB141" s="210"/>
      <c r="AC141" s="182"/>
      <c r="AD141" s="182"/>
      <c r="AE141" s="211"/>
    </row>
    <row r="142" spans="2:31" ht="17.25" customHeight="1">
      <c r="B142" s="180">
        <v>55</v>
      </c>
      <c r="C142" s="811"/>
      <c r="D142" s="765"/>
      <c r="E142" s="186" t="s">
        <v>10</v>
      </c>
      <c r="F142" s="187" t="str">
        <f t="shared" si="4"/>
        <v>IB31037</v>
      </c>
      <c r="G142" s="243"/>
      <c r="H142" s="244"/>
      <c r="I142" s="244"/>
      <c r="J142" s="245"/>
      <c r="K142" s="190"/>
      <c r="L142" s="209"/>
      <c r="M142" s="186" t="s">
        <v>11</v>
      </c>
      <c r="N142" s="195" t="str">
        <f t="shared" si="6"/>
        <v>OB31037</v>
      </c>
      <c r="O142" s="254"/>
      <c r="P142" s="255"/>
      <c r="Q142" s="255"/>
      <c r="R142" s="256"/>
      <c r="S142" s="190"/>
      <c r="T142" s="191"/>
      <c r="U142" s="909"/>
      <c r="V142" s="909"/>
      <c r="W142" s="193"/>
      <c r="X142" s="182"/>
      <c r="Y142" s="182"/>
      <c r="Z142" s="182"/>
      <c r="AA142" s="182"/>
      <c r="AB142" s="210"/>
      <c r="AC142" s="182"/>
      <c r="AD142" s="182"/>
      <c r="AE142" s="211"/>
    </row>
    <row r="143" spans="2:31" ht="17.25" customHeight="1">
      <c r="B143" s="180">
        <v>56</v>
      </c>
      <c r="C143" s="811"/>
      <c r="D143" s="765"/>
      <c r="E143" s="186" t="s">
        <v>10</v>
      </c>
      <c r="F143" s="187" t="str">
        <f t="shared" si="4"/>
        <v>IB31038</v>
      </c>
      <c r="G143" s="108" t="s">
        <v>1313</v>
      </c>
      <c r="H143" s="244"/>
      <c r="I143" s="244"/>
      <c r="J143" s="245"/>
      <c r="K143" s="190" t="s">
        <v>1513</v>
      </c>
      <c r="L143" s="209"/>
      <c r="M143" s="186" t="s">
        <v>11</v>
      </c>
      <c r="N143" s="195" t="str">
        <f t="shared" si="6"/>
        <v>OB31038</v>
      </c>
      <c r="O143" s="254"/>
      <c r="P143" s="255"/>
      <c r="Q143" s="255"/>
      <c r="R143" s="256"/>
      <c r="S143" s="190"/>
      <c r="T143" s="191"/>
      <c r="U143" s="909"/>
      <c r="V143" s="909"/>
      <c r="W143" s="193"/>
      <c r="X143" s="182"/>
      <c r="Y143" s="182"/>
      <c r="Z143" s="182"/>
      <c r="AA143" s="182"/>
      <c r="AB143" s="210"/>
      <c r="AC143" s="182"/>
      <c r="AD143" s="182"/>
      <c r="AE143" s="211"/>
    </row>
    <row r="144" spans="2:31" ht="17.25" customHeight="1">
      <c r="B144" s="180">
        <v>57</v>
      </c>
      <c r="C144" s="811"/>
      <c r="D144" s="765"/>
      <c r="E144" s="186" t="s">
        <v>10</v>
      </c>
      <c r="F144" s="187" t="str">
        <f t="shared" si="4"/>
        <v>IB31039</v>
      </c>
      <c r="G144" s="243"/>
      <c r="H144" s="244"/>
      <c r="I144" s="244"/>
      <c r="J144" s="245"/>
      <c r="K144" s="190"/>
      <c r="L144" s="191"/>
      <c r="M144" s="186" t="s">
        <v>11</v>
      </c>
      <c r="N144" s="195" t="str">
        <f t="shared" si="6"/>
        <v>OB31039</v>
      </c>
      <c r="O144" s="254"/>
      <c r="P144" s="255"/>
      <c r="Q144" s="255"/>
      <c r="R144" s="256"/>
      <c r="S144" s="190"/>
      <c r="T144" s="191"/>
      <c r="U144" s="909"/>
      <c r="V144" s="909"/>
      <c r="W144" s="193"/>
      <c r="X144" s="182"/>
      <c r="Y144" s="182"/>
      <c r="Z144" s="182"/>
      <c r="AA144" s="182"/>
      <c r="AB144" s="210"/>
      <c r="AC144" s="182"/>
      <c r="AD144" s="182"/>
      <c r="AE144" s="211"/>
    </row>
    <row r="145" spans="2:31" ht="17.25" customHeight="1">
      <c r="B145" s="180">
        <v>58</v>
      </c>
      <c r="C145" s="811"/>
      <c r="D145" s="765"/>
      <c r="E145" s="186" t="s">
        <v>10</v>
      </c>
      <c r="F145" s="187" t="str">
        <f t="shared" si="4"/>
        <v>IB3103A</v>
      </c>
      <c r="G145" s="243"/>
      <c r="H145" s="244"/>
      <c r="I145" s="244"/>
      <c r="J145" s="245"/>
      <c r="K145" s="190"/>
      <c r="L145" s="191"/>
      <c r="M145" s="186" t="s">
        <v>11</v>
      </c>
      <c r="N145" s="195" t="str">
        <f t="shared" si="6"/>
        <v>OB3103A</v>
      </c>
      <c r="O145" s="254"/>
      <c r="P145" s="255"/>
      <c r="Q145" s="255"/>
      <c r="R145" s="256"/>
      <c r="S145" s="190"/>
      <c r="T145" s="191"/>
      <c r="U145" s="909"/>
      <c r="V145" s="909"/>
      <c r="W145" s="193"/>
      <c r="X145" s="182"/>
      <c r="Y145" s="182"/>
      <c r="Z145" s="182"/>
      <c r="AA145" s="182"/>
      <c r="AB145" s="210"/>
      <c r="AC145" s="182"/>
      <c r="AD145" s="182"/>
      <c r="AE145" s="211"/>
    </row>
    <row r="146" spans="2:31" ht="17.25" customHeight="1">
      <c r="B146" s="180">
        <v>59</v>
      </c>
      <c r="C146" s="811"/>
      <c r="D146" s="765"/>
      <c r="E146" s="186" t="s">
        <v>10</v>
      </c>
      <c r="F146" s="187" t="str">
        <f t="shared" si="4"/>
        <v>IB3103B</v>
      </c>
      <c r="G146" s="243"/>
      <c r="H146" s="244"/>
      <c r="I146" s="244"/>
      <c r="J146" s="245"/>
      <c r="K146" s="190"/>
      <c r="L146" s="209"/>
      <c r="M146" s="186" t="s">
        <v>11</v>
      </c>
      <c r="N146" s="195" t="str">
        <f t="shared" si="6"/>
        <v>OB3103B</v>
      </c>
      <c r="O146" s="254"/>
      <c r="P146" s="255"/>
      <c r="Q146" s="255"/>
      <c r="R146" s="256"/>
      <c r="S146" s="190"/>
      <c r="T146" s="191"/>
      <c r="U146" s="909"/>
      <c r="V146" s="909"/>
      <c r="W146" s="182"/>
      <c r="X146" s="182"/>
      <c r="Y146" s="182"/>
      <c r="Z146" s="182"/>
      <c r="AA146" s="182"/>
      <c r="AB146" s="210"/>
      <c r="AC146" s="182"/>
      <c r="AD146" s="182"/>
      <c r="AE146" s="211"/>
    </row>
    <row r="147" spans="2:31" ht="17.25" customHeight="1">
      <c r="B147" s="180">
        <v>60</v>
      </c>
      <c r="C147" s="811"/>
      <c r="D147" s="765"/>
      <c r="E147" s="186" t="s">
        <v>10</v>
      </c>
      <c r="F147" s="187" t="str">
        <f t="shared" si="4"/>
        <v>IB3103C</v>
      </c>
      <c r="G147" s="243"/>
      <c r="H147" s="244"/>
      <c r="I147" s="244"/>
      <c r="J147" s="245"/>
      <c r="K147" s="190"/>
      <c r="L147" s="209"/>
      <c r="M147" s="186" t="s">
        <v>11</v>
      </c>
      <c r="N147" s="195" t="str">
        <f t="shared" si="6"/>
        <v>OB3103C</v>
      </c>
      <c r="O147" s="254"/>
      <c r="P147" s="255"/>
      <c r="Q147" s="255"/>
      <c r="R147" s="256"/>
      <c r="S147" s="190"/>
      <c r="T147" s="191"/>
      <c r="U147" s="909"/>
      <c r="V147" s="909"/>
      <c r="W147" s="182"/>
      <c r="X147" s="182"/>
      <c r="Y147" s="182"/>
      <c r="Z147" s="182"/>
      <c r="AA147" s="182"/>
      <c r="AB147" s="210"/>
      <c r="AC147" s="182"/>
      <c r="AD147" s="182"/>
      <c r="AE147" s="211"/>
    </row>
    <row r="148" spans="2:31" ht="17.25" customHeight="1">
      <c r="B148" s="180">
        <v>61</v>
      </c>
      <c r="C148" s="811"/>
      <c r="D148" s="765"/>
      <c r="E148" s="186" t="s">
        <v>10</v>
      </c>
      <c r="F148" s="187" t="str">
        <f t="shared" si="4"/>
        <v>IB3103D</v>
      </c>
      <c r="G148" s="243"/>
      <c r="H148" s="244"/>
      <c r="I148" s="244"/>
      <c r="J148" s="245"/>
      <c r="K148" s="182"/>
      <c r="L148" s="188"/>
      <c r="M148" s="186" t="s">
        <v>11</v>
      </c>
      <c r="N148" s="195" t="str">
        <f t="shared" si="6"/>
        <v>OB3103D</v>
      </c>
      <c r="O148" s="254"/>
      <c r="P148" s="255"/>
      <c r="Q148" s="255"/>
      <c r="R148" s="256"/>
      <c r="S148" s="190"/>
      <c r="T148" s="191"/>
      <c r="U148" s="909"/>
      <c r="V148" s="909"/>
      <c r="W148" s="182"/>
      <c r="X148" s="182"/>
      <c r="Y148" s="182"/>
      <c r="Z148" s="182"/>
      <c r="AA148" s="182"/>
      <c r="AB148" s="210"/>
      <c r="AC148" s="182"/>
      <c r="AD148" s="182"/>
      <c r="AE148" s="211"/>
    </row>
    <row r="149" spans="2:31" ht="17.25" customHeight="1">
      <c r="B149" s="180">
        <v>62</v>
      </c>
      <c r="C149" s="811"/>
      <c r="D149" s="765"/>
      <c r="E149" s="186" t="s">
        <v>10</v>
      </c>
      <c r="F149" s="187" t="str">
        <f t="shared" si="4"/>
        <v>IB3103E</v>
      </c>
      <c r="G149" s="243"/>
      <c r="H149" s="244"/>
      <c r="I149" s="244"/>
      <c r="J149" s="245"/>
      <c r="K149" s="182"/>
      <c r="L149" s="188"/>
      <c r="M149" s="186" t="s">
        <v>11</v>
      </c>
      <c r="N149" s="195" t="str">
        <f t="shared" si="6"/>
        <v>OB3103E</v>
      </c>
      <c r="O149" s="254"/>
      <c r="P149" s="255"/>
      <c r="Q149" s="255"/>
      <c r="R149" s="256"/>
      <c r="S149" s="190"/>
      <c r="T149" s="191"/>
      <c r="U149" s="909"/>
      <c r="V149" s="909"/>
      <c r="W149" s="182"/>
      <c r="X149" s="182"/>
      <c r="Y149" s="182"/>
      <c r="Z149" s="182"/>
      <c r="AA149" s="182"/>
      <c r="AB149" s="210"/>
      <c r="AC149" s="182"/>
      <c r="AD149" s="182"/>
      <c r="AE149" s="211"/>
    </row>
    <row r="150" spans="2:31" ht="17.25" customHeight="1">
      <c r="B150" s="180">
        <v>63</v>
      </c>
      <c r="C150" s="928"/>
      <c r="D150" s="765"/>
      <c r="E150" s="186" t="s">
        <v>10</v>
      </c>
      <c r="F150" s="187" t="str">
        <f t="shared" si="4"/>
        <v>IB3103F</v>
      </c>
      <c r="G150" s="243"/>
      <c r="H150" s="244"/>
      <c r="I150" s="244"/>
      <c r="J150" s="245"/>
      <c r="K150" s="182"/>
      <c r="L150" s="188"/>
      <c r="M150" s="186" t="s">
        <v>11</v>
      </c>
      <c r="N150" s="195" t="str">
        <f t="shared" si="6"/>
        <v>OB3103F</v>
      </c>
      <c r="O150" s="254"/>
      <c r="P150" s="255"/>
      <c r="Q150" s="255"/>
      <c r="R150" s="256"/>
      <c r="S150" s="190"/>
      <c r="T150" s="191"/>
      <c r="U150" s="909"/>
      <c r="V150" s="909"/>
      <c r="W150" s="182"/>
      <c r="X150" s="182"/>
      <c r="Y150" s="182"/>
      <c r="Z150" s="182"/>
      <c r="AA150" s="182"/>
      <c r="AB150" s="210"/>
      <c r="AC150" s="182"/>
      <c r="AD150" s="182"/>
      <c r="AE150" s="211"/>
    </row>
    <row r="151" spans="2:31" ht="17.25" customHeight="1">
      <c r="B151" s="180">
        <v>64</v>
      </c>
      <c r="C151" s="925" t="s">
        <v>1561</v>
      </c>
      <c r="D151" s="940" t="s">
        <v>271</v>
      </c>
      <c r="E151" s="186" t="s">
        <v>10</v>
      </c>
      <c r="F151" s="187" t="str">
        <f t="shared" si="4"/>
        <v>IB31040</v>
      </c>
      <c r="G151" s="271"/>
      <c r="H151" s="272"/>
      <c r="I151" s="272"/>
      <c r="J151" s="273"/>
      <c r="K151" s="190"/>
      <c r="L151" s="209"/>
      <c r="M151" s="186" t="s">
        <v>11</v>
      </c>
      <c r="N151" s="195" t="str">
        <f t="shared" si="6"/>
        <v>OB31040</v>
      </c>
      <c r="O151" s="463" t="s">
        <v>1312</v>
      </c>
      <c r="P151" s="250"/>
      <c r="Q151" s="250"/>
      <c r="R151" s="251"/>
      <c r="S151" s="190" t="s">
        <v>1513</v>
      </c>
      <c r="T151" s="191"/>
      <c r="U151" s="909"/>
      <c r="V151" s="909"/>
      <c r="W151" s="193"/>
      <c r="X151" s="182"/>
      <c r="Y151" s="182"/>
      <c r="Z151" s="182"/>
      <c r="AA151" s="182"/>
      <c r="AB151" s="210"/>
      <c r="AC151" s="182"/>
      <c r="AD151" s="182"/>
      <c r="AE151" s="211"/>
    </row>
    <row r="152" spans="2:31" ht="17.25" customHeight="1">
      <c r="B152" s="180">
        <v>65</v>
      </c>
      <c r="C152" s="816"/>
      <c r="D152" s="765"/>
      <c r="E152" s="186" t="s">
        <v>10</v>
      </c>
      <c r="F152" s="187" t="str">
        <f t="shared" si="4"/>
        <v>IB31041</v>
      </c>
      <c r="G152" s="271"/>
      <c r="H152" s="272"/>
      <c r="I152" s="272"/>
      <c r="J152" s="273"/>
      <c r="K152" s="190"/>
      <c r="L152" s="209"/>
      <c r="M152" s="186" t="s">
        <v>11</v>
      </c>
      <c r="N152" s="195" t="str">
        <f t="shared" si="6"/>
        <v>OB31041</v>
      </c>
      <c r="O152" s="249"/>
      <c r="P152" s="250"/>
      <c r="Q152" s="250"/>
      <c r="R152" s="251"/>
      <c r="S152" s="190"/>
      <c r="T152" s="191"/>
      <c r="U152" s="909"/>
      <c r="V152" s="909"/>
      <c r="W152" s="193"/>
      <c r="X152" s="182"/>
      <c r="Y152" s="182"/>
      <c r="Z152" s="182"/>
      <c r="AA152" s="182"/>
      <c r="AB152" s="210"/>
      <c r="AC152" s="182"/>
      <c r="AD152" s="182"/>
      <c r="AE152" s="211"/>
    </row>
    <row r="153" spans="2:31" ht="17.25" customHeight="1">
      <c r="B153" s="180">
        <v>66</v>
      </c>
      <c r="C153" s="816"/>
      <c r="D153" s="765"/>
      <c r="E153" s="186" t="s">
        <v>10</v>
      </c>
      <c r="F153" s="187" t="str">
        <f t="shared" ref="F153:F216" si="7">LEFT(F152,1)&amp;DEC2HEX(HEX2DEC(MID(F152,2,LENB(F152)-1))+1,LENB(F152)-1)</f>
        <v>IB31042</v>
      </c>
      <c r="G153" s="271"/>
      <c r="H153" s="272"/>
      <c r="I153" s="272"/>
      <c r="J153" s="273"/>
      <c r="K153" s="190"/>
      <c r="L153" s="209"/>
      <c r="M153" s="186" t="s">
        <v>11</v>
      </c>
      <c r="N153" s="195" t="str">
        <f t="shared" si="6"/>
        <v>OB31042</v>
      </c>
      <c r="O153" s="463" t="s">
        <v>1297</v>
      </c>
      <c r="P153" s="250"/>
      <c r="Q153" s="250"/>
      <c r="R153" s="251"/>
      <c r="S153" s="190" t="s">
        <v>1513</v>
      </c>
      <c r="T153" s="191"/>
      <c r="U153" s="909"/>
      <c r="V153" s="909"/>
      <c r="W153" s="193"/>
      <c r="X153" s="182"/>
      <c r="Y153" s="182"/>
      <c r="Z153" s="182"/>
      <c r="AA153" s="182"/>
      <c r="AB153" s="210"/>
      <c r="AC153" s="182"/>
      <c r="AD153" s="182"/>
      <c r="AE153" s="211"/>
    </row>
    <row r="154" spans="2:31" ht="17.25" customHeight="1">
      <c r="B154" s="180">
        <v>67</v>
      </c>
      <c r="C154" s="816"/>
      <c r="D154" s="765"/>
      <c r="E154" s="186" t="s">
        <v>10</v>
      </c>
      <c r="F154" s="187" t="str">
        <f t="shared" si="7"/>
        <v>IB31043</v>
      </c>
      <c r="G154" s="271"/>
      <c r="H154" s="272"/>
      <c r="I154" s="272"/>
      <c r="J154" s="273"/>
      <c r="K154" s="190"/>
      <c r="L154" s="209"/>
      <c r="M154" s="186" t="s">
        <v>11</v>
      </c>
      <c r="N154" s="195" t="str">
        <f t="shared" si="6"/>
        <v>OB31043</v>
      </c>
      <c r="O154" s="463" t="s">
        <v>1298</v>
      </c>
      <c r="P154" s="250"/>
      <c r="Q154" s="250"/>
      <c r="R154" s="251"/>
      <c r="S154" s="190" t="s">
        <v>1513</v>
      </c>
      <c r="T154" s="191"/>
      <c r="U154" s="909"/>
      <c r="V154" s="909"/>
      <c r="W154" s="193"/>
      <c r="X154" s="182"/>
      <c r="Y154" s="182"/>
      <c r="Z154" s="182"/>
      <c r="AA154" s="182"/>
      <c r="AB154" s="210"/>
      <c r="AC154" s="182"/>
      <c r="AD154" s="182"/>
      <c r="AE154" s="211"/>
    </row>
    <row r="155" spans="2:31" ht="17.25" customHeight="1">
      <c r="B155" s="180">
        <v>68</v>
      </c>
      <c r="C155" s="816"/>
      <c r="D155" s="765"/>
      <c r="E155" s="186" t="s">
        <v>10</v>
      </c>
      <c r="F155" s="187" t="str">
        <f t="shared" si="7"/>
        <v>IB31044</v>
      </c>
      <c r="G155" s="271"/>
      <c r="H155" s="272"/>
      <c r="I155" s="272"/>
      <c r="J155" s="273"/>
      <c r="K155" s="190"/>
      <c r="L155" s="209"/>
      <c r="M155" s="186" t="s">
        <v>11</v>
      </c>
      <c r="N155" s="195" t="str">
        <f t="shared" si="6"/>
        <v>OB31044</v>
      </c>
      <c r="O155" s="463" t="s">
        <v>1299</v>
      </c>
      <c r="P155" s="250"/>
      <c r="Q155" s="250"/>
      <c r="R155" s="251"/>
      <c r="S155" s="190" t="s">
        <v>1513</v>
      </c>
      <c r="T155" s="191"/>
      <c r="U155" s="909"/>
      <c r="V155" s="909"/>
      <c r="W155" s="193"/>
      <c r="X155" s="182"/>
      <c r="Y155" s="182"/>
      <c r="Z155" s="182"/>
      <c r="AA155" s="182"/>
      <c r="AB155" s="210"/>
      <c r="AC155" s="182"/>
      <c r="AD155" s="182"/>
      <c r="AE155" s="211"/>
    </row>
    <row r="156" spans="2:31" ht="17.25" customHeight="1">
      <c r="B156" s="180">
        <v>69</v>
      </c>
      <c r="C156" s="816"/>
      <c r="D156" s="765"/>
      <c r="E156" s="186" t="s">
        <v>10</v>
      </c>
      <c r="F156" s="187" t="str">
        <f t="shared" si="7"/>
        <v>IB31045</v>
      </c>
      <c r="G156" s="271"/>
      <c r="H156" s="272"/>
      <c r="I156" s="272"/>
      <c r="J156" s="273"/>
      <c r="K156" s="190"/>
      <c r="L156" s="209"/>
      <c r="M156" s="186" t="s">
        <v>11</v>
      </c>
      <c r="N156" s="195" t="str">
        <f t="shared" si="6"/>
        <v>OB31045</v>
      </c>
      <c r="O156" s="463" t="s">
        <v>1300</v>
      </c>
      <c r="P156" s="250"/>
      <c r="Q156" s="250"/>
      <c r="R156" s="251"/>
      <c r="S156" s="190" t="s">
        <v>1513</v>
      </c>
      <c r="T156" s="191"/>
      <c r="U156" s="909"/>
      <c r="V156" s="909"/>
      <c r="W156" s="193"/>
      <c r="X156" s="182"/>
      <c r="Y156" s="182"/>
      <c r="Z156" s="182"/>
      <c r="AA156" s="182"/>
      <c r="AB156" s="210"/>
      <c r="AC156" s="182"/>
      <c r="AD156" s="182"/>
      <c r="AE156" s="211"/>
    </row>
    <row r="157" spans="2:31" ht="17.25" customHeight="1">
      <c r="B157" s="180">
        <v>70</v>
      </c>
      <c r="C157" s="816"/>
      <c r="D157" s="765"/>
      <c r="E157" s="186" t="s">
        <v>10</v>
      </c>
      <c r="F157" s="187" t="str">
        <f t="shared" si="7"/>
        <v>IB31046</v>
      </c>
      <c r="G157" s="271"/>
      <c r="H157" s="272"/>
      <c r="I157" s="272"/>
      <c r="J157" s="273"/>
      <c r="K157" s="190"/>
      <c r="L157" s="209"/>
      <c r="M157" s="186" t="s">
        <v>11</v>
      </c>
      <c r="N157" s="195" t="str">
        <f t="shared" si="6"/>
        <v>OB31046</v>
      </c>
      <c r="O157" s="463" t="s">
        <v>1301</v>
      </c>
      <c r="P157" s="250"/>
      <c r="Q157" s="250"/>
      <c r="R157" s="251"/>
      <c r="S157" s="190" t="s">
        <v>1513</v>
      </c>
      <c r="T157" s="191"/>
      <c r="U157" s="909"/>
      <c r="V157" s="909"/>
      <c r="W157" s="182"/>
      <c r="X157" s="182"/>
      <c r="Y157" s="182"/>
      <c r="Z157" s="182"/>
      <c r="AA157" s="182"/>
      <c r="AB157" s="210"/>
      <c r="AC157" s="182"/>
      <c r="AD157" s="182"/>
      <c r="AE157" s="211"/>
    </row>
    <row r="158" spans="2:31" ht="17.25" customHeight="1">
      <c r="B158" s="180">
        <v>71</v>
      </c>
      <c r="C158" s="816"/>
      <c r="D158" s="765"/>
      <c r="E158" s="186" t="s">
        <v>10</v>
      </c>
      <c r="F158" s="187" t="str">
        <f t="shared" si="7"/>
        <v>IB31047</v>
      </c>
      <c r="G158" s="271"/>
      <c r="H158" s="272"/>
      <c r="I158" s="272"/>
      <c r="J158" s="273"/>
      <c r="K158" s="190"/>
      <c r="L158" s="209"/>
      <c r="M158" s="186" t="s">
        <v>11</v>
      </c>
      <c r="N158" s="195" t="str">
        <f t="shared" si="6"/>
        <v>OB31047</v>
      </c>
      <c r="O158" s="463" t="s">
        <v>1302</v>
      </c>
      <c r="P158" s="250"/>
      <c r="Q158" s="250"/>
      <c r="R158" s="251"/>
      <c r="S158" s="190" t="s">
        <v>1513</v>
      </c>
      <c r="T158" s="191"/>
      <c r="U158" s="909"/>
      <c r="V158" s="909"/>
      <c r="W158" s="182"/>
      <c r="X158" s="182"/>
      <c r="Y158" s="182"/>
      <c r="Z158" s="182"/>
      <c r="AA158" s="182"/>
      <c r="AB158" s="210"/>
      <c r="AC158" s="182"/>
      <c r="AD158" s="182"/>
      <c r="AE158" s="211"/>
    </row>
    <row r="159" spans="2:31" ht="17.25" customHeight="1">
      <c r="B159" s="180">
        <v>72</v>
      </c>
      <c r="C159" s="816"/>
      <c r="D159" s="765"/>
      <c r="E159" s="186" t="s">
        <v>10</v>
      </c>
      <c r="F159" s="187" t="str">
        <f t="shared" si="7"/>
        <v>IB31048</v>
      </c>
      <c r="G159" s="271"/>
      <c r="H159" s="272"/>
      <c r="I159" s="272"/>
      <c r="J159" s="273"/>
      <c r="K159" s="190"/>
      <c r="L159" s="209"/>
      <c r="M159" s="186" t="s">
        <v>11</v>
      </c>
      <c r="N159" s="195" t="str">
        <f t="shared" si="6"/>
        <v>OB31048</v>
      </c>
      <c r="O159" s="463" t="s">
        <v>1303</v>
      </c>
      <c r="P159" s="250"/>
      <c r="Q159" s="250"/>
      <c r="R159" s="251"/>
      <c r="S159" s="190" t="s">
        <v>1513</v>
      </c>
      <c r="T159" s="191"/>
      <c r="U159" s="909"/>
      <c r="V159" s="909"/>
      <c r="W159" s="193"/>
      <c r="X159" s="182"/>
      <c r="Y159" s="182"/>
      <c r="Z159" s="182"/>
      <c r="AA159" s="182"/>
      <c r="AB159" s="210"/>
      <c r="AC159" s="182"/>
      <c r="AD159" s="182"/>
      <c r="AE159" s="211"/>
    </row>
    <row r="160" spans="2:31" ht="17.25" customHeight="1">
      <c r="B160" s="180">
        <v>73</v>
      </c>
      <c r="C160" s="816"/>
      <c r="D160" s="765"/>
      <c r="E160" s="186" t="s">
        <v>10</v>
      </c>
      <c r="F160" s="187" t="str">
        <f t="shared" si="7"/>
        <v>IB31049</v>
      </c>
      <c r="G160" s="271"/>
      <c r="H160" s="272"/>
      <c r="I160" s="272"/>
      <c r="J160" s="273"/>
      <c r="K160" s="182"/>
      <c r="L160" s="188"/>
      <c r="M160" s="186" t="s">
        <v>11</v>
      </c>
      <c r="N160" s="195" t="str">
        <f t="shared" si="6"/>
        <v>OB31049</v>
      </c>
      <c r="O160" s="463" t="s">
        <v>1304</v>
      </c>
      <c r="P160" s="250"/>
      <c r="Q160" s="250"/>
      <c r="R160" s="251"/>
      <c r="S160" s="190" t="s">
        <v>1513</v>
      </c>
      <c r="T160" s="191"/>
      <c r="U160" s="909"/>
      <c r="V160" s="909"/>
      <c r="W160" s="193"/>
      <c r="X160" s="182"/>
      <c r="Y160" s="182"/>
      <c r="Z160" s="182"/>
      <c r="AA160" s="182"/>
      <c r="AB160" s="210"/>
      <c r="AC160" s="182"/>
      <c r="AD160" s="182"/>
      <c r="AE160" s="211"/>
    </row>
    <row r="161" spans="2:31" ht="17.25" customHeight="1">
      <c r="B161" s="180">
        <v>74</v>
      </c>
      <c r="C161" s="816"/>
      <c r="D161" s="765"/>
      <c r="E161" s="186" t="s">
        <v>10</v>
      </c>
      <c r="F161" s="187" t="str">
        <f t="shared" si="7"/>
        <v>IB3104A</v>
      </c>
      <c r="G161" s="271"/>
      <c r="H161" s="272"/>
      <c r="I161" s="272"/>
      <c r="J161" s="273"/>
      <c r="K161" s="182"/>
      <c r="L161" s="188"/>
      <c r="M161" s="186" t="s">
        <v>11</v>
      </c>
      <c r="N161" s="195" t="str">
        <f t="shared" si="6"/>
        <v>OB3104A</v>
      </c>
      <c r="O161" s="249"/>
      <c r="P161" s="250"/>
      <c r="Q161" s="250"/>
      <c r="R161" s="251"/>
      <c r="S161" s="190"/>
      <c r="T161" s="191"/>
      <c r="U161" s="909"/>
      <c r="V161" s="909"/>
      <c r="W161" s="193"/>
      <c r="X161" s="182"/>
      <c r="Y161" s="182"/>
      <c r="Z161" s="182"/>
      <c r="AA161" s="182"/>
      <c r="AB161" s="210"/>
      <c r="AC161" s="182"/>
      <c r="AD161" s="182"/>
      <c r="AE161" s="211"/>
    </row>
    <row r="162" spans="2:31" ht="17.25" customHeight="1">
      <c r="B162" s="180">
        <v>75</v>
      </c>
      <c r="C162" s="816"/>
      <c r="D162" s="765"/>
      <c r="E162" s="186" t="s">
        <v>10</v>
      </c>
      <c r="F162" s="187" t="str">
        <f t="shared" si="7"/>
        <v>IB3104B</v>
      </c>
      <c r="G162" s="271"/>
      <c r="H162" s="272"/>
      <c r="I162" s="272"/>
      <c r="J162" s="273"/>
      <c r="K162" s="182"/>
      <c r="L162" s="188"/>
      <c r="M162" s="186" t="s">
        <v>11</v>
      </c>
      <c r="N162" s="195" t="str">
        <f t="shared" si="6"/>
        <v>OB3104B</v>
      </c>
      <c r="O162" s="249"/>
      <c r="P162" s="250"/>
      <c r="Q162" s="250"/>
      <c r="R162" s="251"/>
      <c r="S162" s="190"/>
      <c r="T162" s="191"/>
      <c r="U162" s="909"/>
      <c r="V162" s="909"/>
      <c r="W162" s="193"/>
      <c r="X162" s="182"/>
      <c r="Y162" s="182"/>
      <c r="Z162" s="182"/>
      <c r="AA162" s="182"/>
      <c r="AB162" s="210"/>
      <c r="AC162" s="182"/>
      <c r="AD162" s="182"/>
      <c r="AE162" s="211"/>
    </row>
    <row r="163" spans="2:31" ht="17.25" customHeight="1">
      <c r="B163" s="180">
        <v>76</v>
      </c>
      <c r="C163" s="816"/>
      <c r="D163" s="765"/>
      <c r="E163" s="186" t="s">
        <v>10</v>
      </c>
      <c r="F163" s="187" t="str">
        <f t="shared" si="7"/>
        <v>IB3104C</v>
      </c>
      <c r="G163" s="271"/>
      <c r="H163" s="272"/>
      <c r="I163" s="272"/>
      <c r="J163" s="273"/>
      <c r="K163" s="182"/>
      <c r="L163" s="188"/>
      <c r="M163" s="186" t="s">
        <v>11</v>
      </c>
      <c r="N163" s="195" t="str">
        <f t="shared" si="6"/>
        <v>OB3104C</v>
      </c>
      <c r="O163" s="243" t="s">
        <v>1305</v>
      </c>
      <c r="P163" s="244"/>
      <c r="Q163" s="244"/>
      <c r="R163" s="245"/>
      <c r="S163" s="190" t="s">
        <v>1531</v>
      </c>
      <c r="T163" s="209" t="s">
        <v>1513</v>
      </c>
      <c r="U163" s="909"/>
      <c r="V163" s="909"/>
      <c r="W163" s="193"/>
      <c r="X163" s="182"/>
      <c r="Y163" s="182"/>
      <c r="Z163" s="193"/>
      <c r="AA163" s="182"/>
      <c r="AB163" s="210"/>
      <c r="AC163" s="193"/>
      <c r="AD163" s="182"/>
      <c r="AE163" s="211"/>
    </row>
    <row r="164" spans="2:31" ht="17.25" customHeight="1">
      <c r="B164" s="180">
        <v>77</v>
      </c>
      <c r="C164" s="816"/>
      <c r="D164" s="765"/>
      <c r="E164" s="186" t="s">
        <v>10</v>
      </c>
      <c r="F164" s="187" t="str">
        <f t="shared" si="7"/>
        <v>IB3104D</v>
      </c>
      <c r="G164" s="271"/>
      <c r="H164" s="272"/>
      <c r="I164" s="272"/>
      <c r="J164" s="273"/>
      <c r="K164" s="182"/>
      <c r="L164" s="188"/>
      <c r="M164" s="186" t="s">
        <v>11</v>
      </c>
      <c r="N164" s="195" t="str">
        <f t="shared" si="6"/>
        <v>OB3104D</v>
      </c>
      <c r="O164" s="243" t="s">
        <v>1306</v>
      </c>
      <c r="P164" s="244"/>
      <c r="Q164" s="244"/>
      <c r="R164" s="245"/>
      <c r="S164" s="190" t="s">
        <v>1531</v>
      </c>
      <c r="T164" s="209" t="s">
        <v>1513</v>
      </c>
      <c r="U164" s="909"/>
      <c r="V164" s="909"/>
      <c r="W164" s="193"/>
      <c r="X164" s="182"/>
      <c r="Y164" s="182"/>
      <c r="Z164" s="193"/>
      <c r="AA164" s="182"/>
      <c r="AB164" s="210"/>
      <c r="AC164" s="193"/>
      <c r="AD164" s="182"/>
      <c r="AE164" s="211"/>
    </row>
    <row r="165" spans="2:31" ht="17.25" customHeight="1">
      <c r="B165" s="180">
        <v>78</v>
      </c>
      <c r="C165" s="816"/>
      <c r="D165" s="765"/>
      <c r="E165" s="186" t="s">
        <v>10</v>
      </c>
      <c r="F165" s="187" t="str">
        <f t="shared" si="7"/>
        <v>IB3104E</v>
      </c>
      <c r="G165" s="271"/>
      <c r="H165" s="272"/>
      <c r="I165" s="272"/>
      <c r="J165" s="273"/>
      <c r="K165" s="182"/>
      <c r="L165" s="188"/>
      <c r="M165" s="186" t="s">
        <v>11</v>
      </c>
      <c r="N165" s="195" t="str">
        <f t="shared" si="6"/>
        <v>OB3104E</v>
      </c>
      <c r="O165" s="243" t="s">
        <v>1307</v>
      </c>
      <c r="P165" s="244"/>
      <c r="Q165" s="244"/>
      <c r="R165" s="245"/>
      <c r="S165" s="190" t="s">
        <v>1531</v>
      </c>
      <c r="T165" s="209" t="s">
        <v>1513</v>
      </c>
      <c r="U165" s="909"/>
      <c r="V165" s="909"/>
      <c r="W165" s="193"/>
      <c r="X165" s="182"/>
      <c r="Y165" s="182"/>
      <c r="Z165" s="193"/>
      <c r="AA165" s="182"/>
      <c r="AB165" s="210"/>
      <c r="AC165" s="193"/>
      <c r="AD165" s="182"/>
      <c r="AE165" s="211"/>
    </row>
    <row r="166" spans="2:31" ht="17.25" customHeight="1">
      <c r="B166" s="180">
        <v>79</v>
      </c>
      <c r="C166" s="926"/>
      <c r="D166" s="765"/>
      <c r="E166" s="186" t="s">
        <v>10</v>
      </c>
      <c r="F166" s="187" t="str">
        <f t="shared" si="7"/>
        <v>IB3104F</v>
      </c>
      <c r="G166" s="271"/>
      <c r="H166" s="272"/>
      <c r="I166" s="272"/>
      <c r="J166" s="273"/>
      <c r="K166" s="182"/>
      <c r="L166" s="188"/>
      <c r="M166" s="186" t="s">
        <v>11</v>
      </c>
      <c r="N166" s="195" t="str">
        <f t="shared" si="6"/>
        <v>OB3104F</v>
      </c>
      <c r="O166" s="249"/>
      <c r="P166" s="250"/>
      <c r="Q166" s="250"/>
      <c r="R166" s="251"/>
      <c r="S166" s="190"/>
      <c r="T166" s="209"/>
      <c r="U166" s="909"/>
      <c r="V166" s="909"/>
      <c r="W166" s="193"/>
      <c r="X166" s="182"/>
      <c r="Y166" s="182"/>
      <c r="Z166" s="193"/>
      <c r="AA166" s="182"/>
      <c r="AB166" s="210"/>
      <c r="AC166" s="193"/>
      <c r="AD166" s="182"/>
      <c r="AE166" s="211"/>
    </row>
    <row r="167" spans="2:31" ht="17.25" customHeight="1">
      <c r="B167" s="180">
        <v>80</v>
      </c>
      <c r="C167" s="927" t="s">
        <v>39</v>
      </c>
      <c r="D167" s="901" t="s">
        <v>264</v>
      </c>
      <c r="E167" s="186" t="s">
        <v>10</v>
      </c>
      <c r="F167" s="187" t="str">
        <f t="shared" si="7"/>
        <v>IB31050</v>
      </c>
      <c r="G167" s="108" t="s">
        <v>1289</v>
      </c>
      <c r="H167" s="244"/>
      <c r="I167" s="244"/>
      <c r="J167" s="245"/>
      <c r="K167" s="190" t="s">
        <v>1513</v>
      </c>
      <c r="L167" s="209"/>
      <c r="M167" s="186" t="s">
        <v>11</v>
      </c>
      <c r="N167" s="195" t="str">
        <f t="shared" si="6"/>
        <v>OB31050</v>
      </c>
      <c r="O167" s="268"/>
      <c r="P167" s="269"/>
      <c r="Q167" s="269"/>
      <c r="R167" s="270"/>
      <c r="S167" s="190"/>
      <c r="T167" s="191"/>
      <c r="U167" s="909"/>
      <c r="V167" s="909"/>
      <c r="W167" s="193"/>
      <c r="X167" s="182"/>
      <c r="Y167" s="182"/>
      <c r="Z167" s="193"/>
      <c r="AA167" s="182"/>
      <c r="AB167" s="210"/>
      <c r="AC167" s="193"/>
      <c r="AD167" s="182"/>
      <c r="AE167" s="211"/>
    </row>
    <row r="168" spans="2:31" ht="17.25" customHeight="1">
      <c r="B168" s="180">
        <v>81</v>
      </c>
      <c r="C168" s="811"/>
      <c r="D168" s="765"/>
      <c r="E168" s="186" t="s">
        <v>10</v>
      </c>
      <c r="F168" s="187" t="str">
        <f t="shared" si="7"/>
        <v>IB31051</v>
      </c>
      <c r="G168" s="108" t="s">
        <v>1290</v>
      </c>
      <c r="H168" s="244"/>
      <c r="I168" s="244"/>
      <c r="J168" s="245"/>
      <c r="K168" s="190" t="s">
        <v>1513</v>
      </c>
      <c r="L168" s="209"/>
      <c r="M168" s="186" t="s">
        <v>11</v>
      </c>
      <c r="N168" s="195" t="str">
        <f t="shared" si="6"/>
        <v>OB31051</v>
      </c>
      <c r="O168" s="268"/>
      <c r="P168" s="269"/>
      <c r="Q168" s="269"/>
      <c r="R168" s="270"/>
      <c r="S168" s="190"/>
      <c r="T168" s="191"/>
      <c r="U168" s="909"/>
      <c r="V168" s="909"/>
      <c r="W168" s="193"/>
      <c r="X168" s="182"/>
      <c r="Y168" s="182"/>
      <c r="Z168" s="193"/>
      <c r="AA168" s="182"/>
      <c r="AB168" s="210"/>
      <c r="AC168" s="193"/>
      <c r="AD168" s="182"/>
      <c r="AE168" s="211"/>
    </row>
    <row r="169" spans="2:31" ht="17.25" customHeight="1">
      <c r="B169" s="180">
        <v>82</v>
      </c>
      <c r="C169" s="811"/>
      <c r="D169" s="765"/>
      <c r="E169" s="186" t="s">
        <v>10</v>
      </c>
      <c r="F169" s="187" t="str">
        <f t="shared" si="7"/>
        <v>IB31052</v>
      </c>
      <c r="G169" s="108" t="s">
        <v>1291</v>
      </c>
      <c r="H169" s="244"/>
      <c r="I169" s="244"/>
      <c r="J169" s="245"/>
      <c r="K169" s="190" t="s">
        <v>1513</v>
      </c>
      <c r="L169" s="209"/>
      <c r="M169" s="186" t="s">
        <v>11</v>
      </c>
      <c r="N169" s="195" t="str">
        <f t="shared" si="6"/>
        <v>OB31052</v>
      </c>
      <c r="O169" s="268"/>
      <c r="P169" s="269"/>
      <c r="Q169" s="269"/>
      <c r="R169" s="270"/>
      <c r="S169" s="190"/>
      <c r="T169" s="191"/>
      <c r="U169" s="909"/>
      <c r="V169" s="909"/>
      <c r="W169" s="193"/>
      <c r="X169" s="182"/>
      <c r="Y169" s="182"/>
      <c r="Z169" s="193"/>
      <c r="AA169" s="182"/>
      <c r="AB169" s="210"/>
      <c r="AC169" s="193"/>
      <c r="AD169" s="182"/>
      <c r="AE169" s="211"/>
    </row>
    <row r="170" spans="2:31" ht="17.25" customHeight="1">
      <c r="B170" s="180">
        <v>83</v>
      </c>
      <c r="C170" s="811"/>
      <c r="D170" s="765"/>
      <c r="E170" s="186" t="s">
        <v>10</v>
      </c>
      <c r="F170" s="187" t="str">
        <f t="shared" si="7"/>
        <v>IB31053</v>
      </c>
      <c r="G170" s="108" t="s">
        <v>1292</v>
      </c>
      <c r="H170" s="244"/>
      <c r="I170" s="244"/>
      <c r="J170" s="245"/>
      <c r="K170" s="190" t="s">
        <v>1513</v>
      </c>
      <c r="L170" s="209"/>
      <c r="M170" s="186" t="s">
        <v>11</v>
      </c>
      <c r="N170" s="195" t="str">
        <f t="shared" si="6"/>
        <v>OB31053</v>
      </c>
      <c r="O170" s="268"/>
      <c r="P170" s="269"/>
      <c r="Q170" s="269"/>
      <c r="R170" s="270"/>
      <c r="S170" s="190"/>
      <c r="T170" s="191"/>
      <c r="U170" s="909"/>
      <c r="V170" s="909"/>
      <c r="W170" s="193"/>
      <c r="X170" s="182"/>
      <c r="Y170" s="182"/>
      <c r="Z170" s="193"/>
      <c r="AA170" s="182"/>
      <c r="AB170" s="210"/>
      <c r="AC170" s="193"/>
      <c r="AD170" s="182"/>
      <c r="AE170" s="211"/>
    </row>
    <row r="171" spans="2:31" ht="17.25" customHeight="1">
      <c r="B171" s="180">
        <v>84</v>
      </c>
      <c r="C171" s="811"/>
      <c r="D171" s="765"/>
      <c r="E171" s="186" t="s">
        <v>10</v>
      </c>
      <c r="F171" s="187" t="str">
        <f t="shared" si="7"/>
        <v>IB31054</v>
      </c>
      <c r="G171" s="108" t="s">
        <v>1293</v>
      </c>
      <c r="H171" s="244"/>
      <c r="I171" s="244"/>
      <c r="J171" s="245"/>
      <c r="K171" s="190" t="s">
        <v>1513</v>
      </c>
      <c r="L171" s="209"/>
      <c r="M171" s="186" t="s">
        <v>11</v>
      </c>
      <c r="N171" s="195" t="str">
        <f t="shared" si="6"/>
        <v>OB31054</v>
      </c>
      <c r="O171" s="268"/>
      <c r="P171" s="269"/>
      <c r="Q171" s="269"/>
      <c r="R171" s="270"/>
      <c r="S171" s="190"/>
      <c r="T171" s="191"/>
      <c r="U171" s="909"/>
      <c r="V171" s="909"/>
      <c r="W171" s="193"/>
      <c r="X171" s="182"/>
      <c r="Y171" s="182"/>
      <c r="Z171" s="193"/>
      <c r="AA171" s="182"/>
      <c r="AB171" s="210"/>
      <c r="AC171" s="193"/>
      <c r="AD171" s="182"/>
      <c r="AE171" s="211"/>
    </row>
    <row r="172" spans="2:31" ht="17.25" customHeight="1">
      <c r="B172" s="180">
        <v>85</v>
      </c>
      <c r="C172" s="811"/>
      <c r="D172" s="765"/>
      <c r="E172" s="186" t="s">
        <v>10</v>
      </c>
      <c r="F172" s="187" t="str">
        <f t="shared" si="7"/>
        <v>IB31055</v>
      </c>
      <c r="G172" s="108" t="s">
        <v>1294</v>
      </c>
      <c r="H172" s="244"/>
      <c r="I172" s="244"/>
      <c r="J172" s="245" t="s">
        <v>284</v>
      </c>
      <c r="K172" s="190" t="s">
        <v>1513</v>
      </c>
      <c r="L172" s="209"/>
      <c r="M172" s="186" t="s">
        <v>11</v>
      </c>
      <c r="N172" s="195" t="str">
        <f t="shared" si="6"/>
        <v>OB31055</v>
      </c>
      <c r="O172" s="268"/>
      <c r="P172" s="269"/>
      <c r="Q172" s="269"/>
      <c r="R172" s="270"/>
      <c r="S172" s="190"/>
      <c r="T172" s="191"/>
      <c r="U172" s="909"/>
      <c r="V172" s="909"/>
      <c r="W172" s="193"/>
      <c r="X172" s="182"/>
      <c r="Y172" s="182"/>
      <c r="Z172" s="193"/>
      <c r="AA172" s="182"/>
      <c r="AB172" s="210"/>
      <c r="AC172" s="193"/>
      <c r="AD172" s="182"/>
      <c r="AE172" s="211"/>
    </row>
    <row r="173" spans="2:31" ht="17.25" customHeight="1">
      <c r="B173" s="180">
        <v>86</v>
      </c>
      <c r="C173" s="811"/>
      <c r="D173" s="765"/>
      <c r="E173" s="186" t="s">
        <v>10</v>
      </c>
      <c r="F173" s="187" t="str">
        <f t="shared" si="7"/>
        <v>IB31056</v>
      </c>
      <c r="G173" s="108" t="s">
        <v>1295</v>
      </c>
      <c r="H173" s="244"/>
      <c r="I173" s="244"/>
      <c r="J173" s="245"/>
      <c r="K173" s="190" t="s">
        <v>1513</v>
      </c>
      <c r="L173" s="209"/>
      <c r="M173" s="186" t="s">
        <v>11</v>
      </c>
      <c r="N173" s="195" t="str">
        <f t="shared" si="6"/>
        <v>OB31056</v>
      </c>
      <c r="O173" s="268"/>
      <c r="P173" s="269"/>
      <c r="Q173" s="269"/>
      <c r="R173" s="270"/>
      <c r="S173" s="190"/>
      <c r="T173" s="191"/>
      <c r="U173" s="909"/>
      <c r="V173" s="909"/>
      <c r="W173" s="193"/>
      <c r="X173" s="182"/>
      <c r="Y173" s="182"/>
      <c r="Z173" s="193"/>
      <c r="AA173" s="182"/>
      <c r="AB173" s="210"/>
      <c r="AC173" s="193"/>
      <c r="AD173" s="182"/>
      <c r="AE173" s="211"/>
    </row>
    <row r="174" spans="2:31" ht="17.25" customHeight="1">
      <c r="B174" s="180">
        <v>87</v>
      </c>
      <c r="C174" s="811"/>
      <c r="D174" s="765"/>
      <c r="E174" s="186" t="s">
        <v>10</v>
      </c>
      <c r="F174" s="187" t="str">
        <f t="shared" si="7"/>
        <v>IB31057</v>
      </c>
      <c r="G174" s="108" t="s">
        <v>1296</v>
      </c>
      <c r="H174" s="244"/>
      <c r="I174" s="244"/>
      <c r="J174" s="245"/>
      <c r="K174" s="190" t="s">
        <v>1513</v>
      </c>
      <c r="L174" s="209"/>
      <c r="M174" s="186" t="s">
        <v>11</v>
      </c>
      <c r="N174" s="195" t="str">
        <f t="shared" si="6"/>
        <v>OB31057</v>
      </c>
      <c r="O174" s="268"/>
      <c r="P174" s="269"/>
      <c r="Q174" s="269"/>
      <c r="R174" s="270"/>
      <c r="S174" s="190"/>
      <c r="T174" s="191"/>
      <c r="U174" s="909"/>
      <c r="V174" s="909"/>
      <c r="W174" s="193"/>
      <c r="X174" s="182"/>
      <c r="Y174" s="182"/>
      <c r="Z174" s="193"/>
      <c r="AA174" s="182"/>
      <c r="AB174" s="210"/>
      <c r="AC174" s="193"/>
      <c r="AD174" s="182"/>
      <c r="AE174" s="211"/>
    </row>
    <row r="175" spans="2:31" ht="17.25" customHeight="1">
      <c r="B175" s="180">
        <v>88</v>
      </c>
      <c r="C175" s="811"/>
      <c r="D175" s="765"/>
      <c r="E175" s="186" t="s">
        <v>10</v>
      </c>
      <c r="F175" s="187" t="str">
        <f t="shared" si="7"/>
        <v>IB31058</v>
      </c>
      <c r="G175" s="257"/>
      <c r="H175" s="380"/>
      <c r="I175" s="380"/>
      <c r="J175" s="267"/>
      <c r="K175" s="190"/>
      <c r="L175" s="191"/>
      <c r="M175" s="186" t="s">
        <v>11</v>
      </c>
      <c r="N175" s="195" t="str">
        <f t="shared" si="6"/>
        <v>OB31058</v>
      </c>
      <c r="O175" s="268"/>
      <c r="P175" s="269"/>
      <c r="Q175" s="269"/>
      <c r="R175" s="270"/>
      <c r="S175" s="190"/>
      <c r="T175" s="191"/>
      <c r="U175" s="909"/>
      <c r="V175" s="909"/>
      <c r="W175" s="193"/>
      <c r="X175" s="182"/>
      <c r="Y175" s="182"/>
      <c r="Z175" s="182"/>
      <c r="AA175" s="182"/>
      <c r="AB175" s="210"/>
      <c r="AC175" s="182"/>
      <c r="AD175" s="182"/>
      <c r="AE175" s="211"/>
    </row>
    <row r="176" spans="2:31" ht="17.25" customHeight="1">
      <c r="B176" s="180">
        <v>89</v>
      </c>
      <c r="C176" s="811"/>
      <c r="D176" s="765"/>
      <c r="E176" s="186" t="s">
        <v>10</v>
      </c>
      <c r="F176" s="187" t="str">
        <f t="shared" si="7"/>
        <v>IB31059</v>
      </c>
      <c r="G176" s="257"/>
      <c r="H176" s="380"/>
      <c r="I176" s="380"/>
      <c r="J176" s="267"/>
      <c r="K176" s="190"/>
      <c r="L176" s="191"/>
      <c r="M176" s="186" t="s">
        <v>11</v>
      </c>
      <c r="N176" s="195" t="str">
        <f t="shared" si="6"/>
        <v>OB31059</v>
      </c>
      <c r="O176" s="268"/>
      <c r="P176" s="269"/>
      <c r="Q176" s="269"/>
      <c r="R176" s="270"/>
      <c r="S176" s="190"/>
      <c r="T176" s="191"/>
      <c r="U176" s="909"/>
      <c r="V176" s="909"/>
      <c r="W176" s="193"/>
      <c r="X176" s="182"/>
      <c r="Y176" s="182"/>
      <c r="Z176" s="182"/>
      <c r="AA176" s="182"/>
      <c r="AB176" s="210"/>
      <c r="AC176" s="182"/>
      <c r="AD176" s="182"/>
      <c r="AE176" s="211"/>
    </row>
    <row r="177" spans="2:31" ht="17.25" customHeight="1">
      <c r="B177" s="180">
        <v>90</v>
      </c>
      <c r="C177" s="811"/>
      <c r="D177" s="765"/>
      <c r="E177" s="186" t="s">
        <v>10</v>
      </c>
      <c r="F177" s="187" t="str">
        <f t="shared" si="7"/>
        <v>IB3105A</v>
      </c>
      <c r="G177" s="257"/>
      <c r="H177" s="380"/>
      <c r="I177" s="380"/>
      <c r="J177" s="267"/>
      <c r="K177" s="190"/>
      <c r="L177" s="191"/>
      <c r="M177" s="186" t="s">
        <v>11</v>
      </c>
      <c r="N177" s="195" t="str">
        <f t="shared" si="6"/>
        <v>OB3105A</v>
      </c>
      <c r="O177" s="268"/>
      <c r="P177" s="269"/>
      <c r="Q177" s="269"/>
      <c r="R177" s="270"/>
      <c r="S177" s="190"/>
      <c r="T177" s="191"/>
      <c r="U177" s="909"/>
      <c r="V177" s="909"/>
      <c r="W177" s="182"/>
      <c r="X177" s="182"/>
      <c r="Y177" s="182"/>
      <c r="Z177" s="182"/>
      <c r="AA177" s="182"/>
      <c r="AB177" s="210"/>
      <c r="AC177" s="182"/>
      <c r="AD177" s="182"/>
      <c r="AE177" s="211"/>
    </row>
    <row r="178" spans="2:31" ht="17.25" customHeight="1">
      <c r="B178" s="180">
        <v>91</v>
      </c>
      <c r="C178" s="811"/>
      <c r="D178" s="765"/>
      <c r="E178" s="186" t="s">
        <v>10</v>
      </c>
      <c r="F178" s="187" t="str">
        <f t="shared" si="7"/>
        <v>IB3105B</v>
      </c>
      <c r="G178" s="257"/>
      <c r="H178" s="380"/>
      <c r="I178" s="380"/>
      <c r="J178" s="267"/>
      <c r="K178" s="190"/>
      <c r="L178" s="191"/>
      <c r="M178" s="186" t="s">
        <v>11</v>
      </c>
      <c r="N178" s="195" t="str">
        <f t="shared" si="6"/>
        <v>OB3105B</v>
      </c>
      <c r="O178" s="268"/>
      <c r="P178" s="269"/>
      <c r="Q178" s="269"/>
      <c r="R178" s="270"/>
      <c r="S178" s="190"/>
      <c r="T178" s="191"/>
      <c r="U178" s="909"/>
      <c r="V178" s="909"/>
      <c r="W178" s="182"/>
      <c r="X178" s="182"/>
      <c r="Y178" s="182"/>
      <c r="Z178" s="182"/>
      <c r="AA178" s="182"/>
      <c r="AB178" s="210"/>
      <c r="AC178" s="182"/>
      <c r="AD178" s="182"/>
      <c r="AE178" s="211"/>
    </row>
    <row r="179" spans="2:31" ht="17.25" customHeight="1">
      <c r="B179" s="180">
        <v>92</v>
      </c>
      <c r="C179" s="811"/>
      <c r="D179" s="765"/>
      <c r="E179" s="186" t="s">
        <v>10</v>
      </c>
      <c r="F179" s="187" t="str">
        <f t="shared" si="7"/>
        <v>IB3105C</v>
      </c>
      <c r="G179" s="243"/>
      <c r="H179" s="244"/>
      <c r="I179" s="244"/>
      <c r="J179" s="245"/>
      <c r="K179" s="213"/>
      <c r="L179" s="214"/>
      <c r="M179" s="186" t="s">
        <v>11</v>
      </c>
      <c r="N179" s="195" t="str">
        <f t="shared" si="6"/>
        <v>OB3105C</v>
      </c>
      <c r="O179" s="268"/>
      <c r="P179" s="269"/>
      <c r="Q179" s="269"/>
      <c r="R179" s="270"/>
      <c r="S179" s="190"/>
      <c r="T179" s="191"/>
      <c r="U179" s="909"/>
      <c r="V179" s="909"/>
      <c r="W179" s="182"/>
      <c r="X179" s="182"/>
      <c r="Y179" s="182"/>
      <c r="Z179" s="182"/>
      <c r="AA179" s="182"/>
      <c r="AB179" s="210"/>
      <c r="AC179" s="182"/>
      <c r="AD179" s="182"/>
      <c r="AE179" s="211"/>
    </row>
    <row r="180" spans="2:31" ht="17.25" customHeight="1">
      <c r="B180" s="180">
        <v>93</v>
      </c>
      <c r="C180" s="811"/>
      <c r="D180" s="765"/>
      <c r="E180" s="186" t="s">
        <v>10</v>
      </c>
      <c r="F180" s="187" t="str">
        <f t="shared" si="7"/>
        <v>IB3105D</v>
      </c>
      <c r="G180" s="243"/>
      <c r="H180" s="244"/>
      <c r="I180" s="244"/>
      <c r="J180" s="245"/>
      <c r="K180" s="213"/>
      <c r="L180" s="214"/>
      <c r="M180" s="186" t="s">
        <v>11</v>
      </c>
      <c r="N180" s="195" t="str">
        <f t="shared" si="6"/>
        <v>OB3105D</v>
      </c>
      <c r="O180" s="268"/>
      <c r="P180" s="269"/>
      <c r="Q180" s="269"/>
      <c r="R180" s="270"/>
      <c r="S180" s="190"/>
      <c r="T180" s="191"/>
      <c r="U180" s="909"/>
      <c r="V180" s="909"/>
      <c r="W180" s="193"/>
      <c r="X180" s="182"/>
      <c r="Y180" s="182"/>
      <c r="Z180" s="182"/>
      <c r="AA180" s="182"/>
      <c r="AB180" s="210"/>
      <c r="AC180" s="182"/>
      <c r="AD180" s="182"/>
      <c r="AE180" s="211"/>
    </row>
    <row r="181" spans="2:31" ht="17.25" customHeight="1">
      <c r="B181" s="180">
        <v>94</v>
      </c>
      <c r="C181" s="811"/>
      <c r="D181" s="765"/>
      <c r="E181" s="186" t="s">
        <v>10</v>
      </c>
      <c r="F181" s="187" t="str">
        <f t="shared" si="7"/>
        <v>IB3105E</v>
      </c>
      <c r="G181" s="108" t="s">
        <v>1287</v>
      </c>
      <c r="H181" s="244"/>
      <c r="I181" s="244"/>
      <c r="J181" s="245"/>
      <c r="K181" s="182" t="s">
        <v>1513</v>
      </c>
      <c r="L181" s="188"/>
      <c r="M181" s="186" t="s">
        <v>11</v>
      </c>
      <c r="N181" s="195" t="str">
        <f t="shared" si="6"/>
        <v>OB3105E</v>
      </c>
      <c r="O181" s="268"/>
      <c r="P181" s="269"/>
      <c r="Q181" s="269"/>
      <c r="R181" s="270"/>
      <c r="S181" s="190"/>
      <c r="T181" s="191"/>
      <c r="U181" s="909"/>
      <c r="V181" s="909"/>
      <c r="W181" s="193"/>
      <c r="X181" s="182"/>
      <c r="Y181" s="182"/>
      <c r="Z181" s="182"/>
      <c r="AA181" s="182"/>
      <c r="AB181" s="210"/>
      <c r="AC181" s="182"/>
      <c r="AD181" s="182"/>
      <c r="AE181" s="211"/>
    </row>
    <row r="182" spans="2:31" ht="17.25" customHeight="1">
      <c r="B182" s="180">
        <v>95</v>
      </c>
      <c r="C182" s="928"/>
      <c r="D182" s="765"/>
      <c r="E182" s="186" t="s">
        <v>10</v>
      </c>
      <c r="F182" s="187" t="str">
        <f t="shared" si="7"/>
        <v>IB3105F</v>
      </c>
      <c r="G182" s="108" t="s">
        <v>1288</v>
      </c>
      <c r="H182" s="244"/>
      <c r="I182" s="244"/>
      <c r="J182" s="245"/>
      <c r="K182" s="182" t="s">
        <v>1513</v>
      </c>
      <c r="L182" s="188"/>
      <c r="M182" s="186" t="s">
        <v>11</v>
      </c>
      <c r="N182" s="195" t="str">
        <f t="shared" si="6"/>
        <v>OB3105F</v>
      </c>
      <c r="O182" s="268"/>
      <c r="P182" s="269"/>
      <c r="Q182" s="269"/>
      <c r="R182" s="270"/>
      <c r="S182" s="190"/>
      <c r="T182" s="191"/>
      <c r="U182" s="909"/>
      <c r="V182" s="909"/>
      <c r="W182" s="193"/>
      <c r="X182" s="182"/>
      <c r="Y182" s="182"/>
      <c r="Z182" s="182"/>
      <c r="AA182" s="182"/>
      <c r="AB182" s="210"/>
      <c r="AC182" s="182"/>
      <c r="AD182" s="182"/>
      <c r="AE182" s="211"/>
    </row>
    <row r="183" spans="2:31" ht="17.25" customHeight="1">
      <c r="B183" s="180">
        <v>96</v>
      </c>
      <c r="C183" s="925" t="s">
        <v>31</v>
      </c>
      <c r="D183" s="901" t="s">
        <v>264</v>
      </c>
      <c r="E183" s="186" t="s">
        <v>10</v>
      </c>
      <c r="F183" s="187" t="str">
        <f t="shared" si="7"/>
        <v>IB31060</v>
      </c>
      <c r="G183" s="271"/>
      <c r="H183" s="272"/>
      <c r="I183" s="272"/>
      <c r="J183" s="273"/>
      <c r="K183" s="190"/>
      <c r="L183" s="188"/>
      <c r="M183" s="186" t="s">
        <v>11</v>
      </c>
      <c r="N183" s="195" t="str">
        <f t="shared" si="6"/>
        <v>OB31060</v>
      </c>
      <c r="O183" s="463" t="s">
        <v>1273</v>
      </c>
      <c r="P183" s="472"/>
      <c r="Q183" s="250"/>
      <c r="R183" s="251"/>
      <c r="S183" s="190" t="s">
        <v>1513</v>
      </c>
      <c r="T183" s="191"/>
      <c r="U183" s="909"/>
      <c r="V183" s="909"/>
      <c r="W183" s="193"/>
      <c r="X183" s="182"/>
      <c r="Y183" s="182"/>
      <c r="Z183" s="182"/>
      <c r="AA183" s="182"/>
      <c r="AB183" s="210"/>
      <c r="AC183" s="182"/>
      <c r="AD183" s="182"/>
      <c r="AE183" s="211"/>
    </row>
    <row r="184" spans="2:31" ht="17.25" customHeight="1">
      <c r="B184" s="180">
        <v>97</v>
      </c>
      <c r="C184" s="816"/>
      <c r="D184" s="765"/>
      <c r="E184" s="186" t="s">
        <v>10</v>
      </c>
      <c r="F184" s="187" t="str">
        <f t="shared" si="7"/>
        <v>IB31061</v>
      </c>
      <c r="G184" s="271"/>
      <c r="H184" s="272"/>
      <c r="I184" s="272"/>
      <c r="J184" s="273"/>
      <c r="K184" s="190"/>
      <c r="L184" s="188"/>
      <c r="M184" s="186" t="s">
        <v>11</v>
      </c>
      <c r="N184" s="195" t="str">
        <f t="shared" si="6"/>
        <v>OB31061</v>
      </c>
      <c r="O184" s="463" t="s">
        <v>1274</v>
      </c>
      <c r="P184" s="472"/>
      <c r="Q184" s="250"/>
      <c r="R184" s="251"/>
      <c r="S184" s="190" t="s">
        <v>1513</v>
      </c>
      <c r="T184" s="191"/>
      <c r="U184" s="909"/>
      <c r="V184" s="909"/>
      <c r="W184" s="193"/>
      <c r="X184" s="182"/>
      <c r="Y184" s="182"/>
      <c r="Z184" s="182"/>
      <c r="AA184" s="182"/>
      <c r="AB184" s="210"/>
      <c r="AC184" s="182"/>
      <c r="AD184" s="182"/>
      <c r="AE184" s="211"/>
    </row>
    <row r="185" spans="2:31" ht="17.25" customHeight="1">
      <c r="B185" s="180">
        <v>98</v>
      </c>
      <c r="C185" s="816"/>
      <c r="D185" s="765"/>
      <c r="E185" s="186" t="s">
        <v>10</v>
      </c>
      <c r="F185" s="187" t="str">
        <f t="shared" si="7"/>
        <v>IB31062</v>
      </c>
      <c r="G185" s="271"/>
      <c r="H185" s="272"/>
      <c r="I185" s="272"/>
      <c r="J185" s="273"/>
      <c r="K185" s="190"/>
      <c r="L185" s="209"/>
      <c r="M185" s="186" t="s">
        <v>11</v>
      </c>
      <c r="N185" s="195" t="str">
        <f t="shared" si="6"/>
        <v>OB31062</v>
      </c>
      <c r="O185" s="463" t="s">
        <v>1275</v>
      </c>
      <c r="P185" s="472"/>
      <c r="Q185" s="250"/>
      <c r="R185" s="251"/>
      <c r="S185" s="190" t="s">
        <v>1513</v>
      </c>
      <c r="T185" s="191"/>
      <c r="U185" s="909"/>
      <c r="V185" s="909"/>
      <c r="W185" s="193"/>
      <c r="X185" s="182"/>
      <c r="Y185" s="182"/>
      <c r="Z185" s="182"/>
      <c r="AA185" s="182"/>
      <c r="AB185" s="210"/>
      <c r="AC185" s="182"/>
      <c r="AD185" s="182"/>
      <c r="AE185" s="211"/>
    </row>
    <row r="186" spans="2:31" ht="17.25" customHeight="1">
      <c r="B186" s="180">
        <v>99</v>
      </c>
      <c r="C186" s="816"/>
      <c r="D186" s="765"/>
      <c r="E186" s="186" t="s">
        <v>10</v>
      </c>
      <c r="F186" s="187" t="str">
        <f t="shared" si="7"/>
        <v>IB31063</v>
      </c>
      <c r="G186" s="271"/>
      <c r="H186" s="272"/>
      <c r="I186" s="272"/>
      <c r="J186" s="273"/>
      <c r="K186" s="190"/>
      <c r="L186" s="209"/>
      <c r="M186" s="186" t="s">
        <v>11</v>
      </c>
      <c r="N186" s="195" t="str">
        <f t="shared" si="6"/>
        <v>OB31063</v>
      </c>
      <c r="O186" s="463" t="s">
        <v>1276</v>
      </c>
      <c r="P186" s="472"/>
      <c r="Q186" s="250"/>
      <c r="R186" s="251"/>
      <c r="S186" s="190" t="s">
        <v>1513</v>
      </c>
      <c r="T186" s="191"/>
      <c r="U186" s="909"/>
      <c r="V186" s="909"/>
      <c r="W186" s="193"/>
      <c r="X186" s="182"/>
      <c r="Y186" s="182"/>
      <c r="Z186" s="182"/>
      <c r="AA186" s="182"/>
      <c r="AB186" s="210"/>
      <c r="AC186" s="182"/>
      <c r="AD186" s="182"/>
      <c r="AE186" s="211"/>
    </row>
    <row r="187" spans="2:31" ht="17.25" customHeight="1">
      <c r="B187" s="180">
        <v>100</v>
      </c>
      <c r="C187" s="816"/>
      <c r="D187" s="765"/>
      <c r="E187" s="186" t="s">
        <v>10</v>
      </c>
      <c r="F187" s="187" t="str">
        <f t="shared" si="7"/>
        <v>IB31064</v>
      </c>
      <c r="G187" s="271"/>
      <c r="H187" s="272"/>
      <c r="I187" s="272"/>
      <c r="J187" s="273"/>
      <c r="K187" s="190"/>
      <c r="L187" s="209"/>
      <c r="M187" s="186" t="s">
        <v>11</v>
      </c>
      <c r="N187" s="195" t="str">
        <f t="shared" si="6"/>
        <v>OB31064</v>
      </c>
      <c r="O187" s="463" t="s">
        <v>1277</v>
      </c>
      <c r="P187" s="472"/>
      <c r="Q187" s="250"/>
      <c r="R187" s="251"/>
      <c r="S187" s="190" t="s">
        <v>1513</v>
      </c>
      <c r="T187" s="191"/>
      <c r="U187" s="909"/>
      <c r="V187" s="909"/>
      <c r="W187" s="193"/>
      <c r="X187" s="182"/>
      <c r="Y187" s="182"/>
      <c r="Z187" s="182"/>
      <c r="AA187" s="182"/>
      <c r="AB187" s="210"/>
      <c r="AC187" s="182"/>
      <c r="AD187" s="182"/>
      <c r="AE187" s="211"/>
    </row>
    <row r="188" spans="2:31" ht="17.25" customHeight="1">
      <c r="B188" s="180">
        <v>101</v>
      </c>
      <c r="C188" s="816"/>
      <c r="D188" s="765"/>
      <c r="E188" s="186" t="s">
        <v>10</v>
      </c>
      <c r="F188" s="187" t="str">
        <f t="shared" si="7"/>
        <v>IB31065</v>
      </c>
      <c r="G188" s="271"/>
      <c r="H188" s="272"/>
      <c r="I188" s="272"/>
      <c r="J188" s="273"/>
      <c r="K188" s="190"/>
      <c r="L188" s="209"/>
      <c r="M188" s="186" t="s">
        <v>11</v>
      </c>
      <c r="N188" s="195" t="str">
        <f t="shared" si="6"/>
        <v>OB31065</v>
      </c>
      <c r="O188" s="463" t="s">
        <v>1278</v>
      </c>
      <c r="P188" s="472"/>
      <c r="Q188" s="250"/>
      <c r="R188" s="251"/>
      <c r="S188" s="190" t="s">
        <v>1513</v>
      </c>
      <c r="T188" s="191"/>
      <c r="U188" s="909"/>
      <c r="V188" s="909"/>
      <c r="W188" s="193"/>
      <c r="X188" s="182"/>
      <c r="Y188" s="182"/>
      <c r="Z188" s="182"/>
      <c r="AA188" s="182"/>
      <c r="AB188" s="210"/>
      <c r="AC188" s="182"/>
      <c r="AD188" s="182"/>
      <c r="AE188" s="211"/>
    </row>
    <row r="189" spans="2:31" ht="17.25" customHeight="1">
      <c r="B189" s="180">
        <v>102</v>
      </c>
      <c r="C189" s="816"/>
      <c r="D189" s="765"/>
      <c r="E189" s="186" t="s">
        <v>10</v>
      </c>
      <c r="F189" s="187" t="str">
        <f t="shared" si="7"/>
        <v>IB31066</v>
      </c>
      <c r="G189" s="271"/>
      <c r="H189" s="272"/>
      <c r="I189" s="272"/>
      <c r="J189" s="273"/>
      <c r="K189" s="190"/>
      <c r="L189" s="209"/>
      <c r="M189" s="186" t="s">
        <v>11</v>
      </c>
      <c r="N189" s="195" t="str">
        <f t="shared" si="6"/>
        <v>OB31066</v>
      </c>
      <c r="O189" s="463" t="s">
        <v>1279</v>
      </c>
      <c r="P189" s="472"/>
      <c r="Q189" s="250"/>
      <c r="R189" s="251"/>
      <c r="S189" s="190" t="s">
        <v>1513</v>
      </c>
      <c r="T189" s="191"/>
      <c r="U189" s="909"/>
      <c r="V189" s="909"/>
      <c r="W189" s="193"/>
      <c r="X189" s="182"/>
      <c r="Y189" s="182"/>
      <c r="Z189" s="182"/>
      <c r="AA189" s="182"/>
      <c r="AB189" s="210"/>
      <c r="AC189" s="182"/>
      <c r="AD189" s="182"/>
      <c r="AE189" s="211"/>
    </row>
    <row r="190" spans="2:31" ht="17.25" customHeight="1">
      <c r="B190" s="180">
        <v>103</v>
      </c>
      <c r="C190" s="816"/>
      <c r="D190" s="765"/>
      <c r="E190" s="186" t="s">
        <v>10</v>
      </c>
      <c r="F190" s="187" t="str">
        <f t="shared" si="7"/>
        <v>IB31067</v>
      </c>
      <c r="G190" s="271"/>
      <c r="H190" s="272"/>
      <c r="I190" s="272"/>
      <c r="J190" s="273"/>
      <c r="K190" s="190"/>
      <c r="L190" s="209"/>
      <c r="M190" s="186" t="s">
        <v>11</v>
      </c>
      <c r="N190" s="195" t="str">
        <f t="shared" si="6"/>
        <v>OB31067</v>
      </c>
      <c r="O190" s="463" t="s">
        <v>1280</v>
      </c>
      <c r="P190" s="472"/>
      <c r="Q190" s="250"/>
      <c r="R190" s="251"/>
      <c r="S190" s="190" t="s">
        <v>1513</v>
      </c>
      <c r="T190" s="191"/>
      <c r="U190" s="909"/>
      <c r="V190" s="909"/>
      <c r="W190" s="182"/>
      <c r="X190" s="182"/>
      <c r="Y190" s="182"/>
      <c r="Z190" s="182"/>
      <c r="AA190" s="182"/>
      <c r="AB190" s="210"/>
      <c r="AC190" s="182"/>
      <c r="AD190" s="182"/>
      <c r="AE190" s="211"/>
    </row>
    <row r="191" spans="2:31" ht="17.25" customHeight="1">
      <c r="B191" s="180">
        <v>104</v>
      </c>
      <c r="C191" s="816"/>
      <c r="D191" s="765"/>
      <c r="E191" s="186" t="s">
        <v>10</v>
      </c>
      <c r="F191" s="187" t="str">
        <f t="shared" si="7"/>
        <v>IB31068</v>
      </c>
      <c r="G191" s="271"/>
      <c r="H191" s="272"/>
      <c r="I191" s="272"/>
      <c r="J191" s="273"/>
      <c r="K191" s="190"/>
      <c r="L191" s="209"/>
      <c r="M191" s="186" t="s">
        <v>11</v>
      </c>
      <c r="N191" s="195" t="str">
        <f t="shared" si="6"/>
        <v>OB31068</v>
      </c>
      <c r="O191" s="463" t="s">
        <v>1281</v>
      </c>
      <c r="P191" s="472"/>
      <c r="Q191" s="250"/>
      <c r="R191" s="251"/>
      <c r="S191" s="190" t="s">
        <v>1513</v>
      </c>
      <c r="T191" s="191"/>
      <c r="U191" s="909"/>
      <c r="V191" s="909"/>
      <c r="W191" s="182"/>
      <c r="X191" s="182"/>
      <c r="Y191" s="182"/>
      <c r="Z191" s="182"/>
      <c r="AA191" s="182"/>
      <c r="AB191" s="210"/>
      <c r="AC191" s="182"/>
      <c r="AD191" s="182"/>
      <c r="AE191" s="211"/>
    </row>
    <row r="192" spans="2:31" ht="17.25" customHeight="1">
      <c r="B192" s="180">
        <v>105</v>
      </c>
      <c r="C192" s="816"/>
      <c r="D192" s="765"/>
      <c r="E192" s="186" t="s">
        <v>10</v>
      </c>
      <c r="F192" s="187" t="str">
        <f t="shared" si="7"/>
        <v>IB31069</v>
      </c>
      <c r="G192" s="271"/>
      <c r="H192" s="272"/>
      <c r="I192" s="272"/>
      <c r="J192" s="273"/>
      <c r="K192" s="190"/>
      <c r="L192" s="209"/>
      <c r="M192" s="186" t="s">
        <v>11</v>
      </c>
      <c r="N192" s="195" t="str">
        <f t="shared" si="6"/>
        <v>OB31069</v>
      </c>
      <c r="O192" s="463" t="s">
        <v>1282</v>
      </c>
      <c r="P192" s="472"/>
      <c r="Q192" s="250"/>
      <c r="R192" s="251"/>
      <c r="S192" s="190" t="s">
        <v>1513</v>
      </c>
      <c r="T192" s="191"/>
      <c r="U192" s="909"/>
      <c r="V192" s="909"/>
      <c r="W192" s="182"/>
      <c r="X192" s="182"/>
      <c r="Y192" s="182"/>
      <c r="Z192" s="182"/>
      <c r="AA192" s="182"/>
      <c r="AB192" s="210"/>
      <c r="AC192" s="182"/>
      <c r="AD192" s="182"/>
      <c r="AE192" s="211"/>
    </row>
    <row r="193" spans="2:31" ht="17.25" customHeight="1">
      <c r="B193" s="180">
        <v>106</v>
      </c>
      <c r="C193" s="816"/>
      <c r="D193" s="765"/>
      <c r="E193" s="186" t="s">
        <v>10</v>
      </c>
      <c r="F193" s="187" t="str">
        <f t="shared" si="7"/>
        <v>IB3106A</v>
      </c>
      <c r="G193" s="271"/>
      <c r="H193" s="272"/>
      <c r="I193" s="272"/>
      <c r="J193" s="273"/>
      <c r="K193" s="190"/>
      <c r="L193" s="209"/>
      <c r="M193" s="186" t="s">
        <v>11</v>
      </c>
      <c r="N193" s="195" t="str">
        <f t="shared" si="6"/>
        <v>OB3106A</v>
      </c>
      <c r="O193" s="463" t="s">
        <v>1283</v>
      </c>
      <c r="P193" s="472"/>
      <c r="Q193" s="250"/>
      <c r="R193" s="251"/>
      <c r="S193" s="190" t="s">
        <v>1513</v>
      </c>
      <c r="T193" s="191"/>
      <c r="U193" s="909"/>
      <c r="V193" s="909"/>
      <c r="W193" s="182"/>
      <c r="X193" s="182"/>
      <c r="Y193" s="182"/>
      <c r="Z193" s="182"/>
      <c r="AA193" s="182"/>
      <c r="AB193" s="210"/>
      <c r="AC193" s="182"/>
      <c r="AD193" s="182"/>
      <c r="AE193" s="211"/>
    </row>
    <row r="194" spans="2:31" ht="17.25" customHeight="1">
      <c r="B194" s="180">
        <v>107</v>
      </c>
      <c r="C194" s="816"/>
      <c r="D194" s="765"/>
      <c r="E194" s="186" t="s">
        <v>10</v>
      </c>
      <c r="F194" s="187" t="str">
        <f t="shared" si="7"/>
        <v>IB3106B</v>
      </c>
      <c r="G194" s="271"/>
      <c r="H194" s="272"/>
      <c r="I194" s="272"/>
      <c r="J194" s="273"/>
      <c r="K194" s="190"/>
      <c r="L194" s="209"/>
      <c r="M194" s="186" t="s">
        <v>11</v>
      </c>
      <c r="N194" s="195" t="str">
        <f t="shared" si="6"/>
        <v>OB3106B</v>
      </c>
      <c r="O194" s="249"/>
      <c r="P194" s="250"/>
      <c r="Q194" s="250"/>
      <c r="R194" s="251"/>
      <c r="S194" s="190"/>
      <c r="T194" s="191"/>
      <c r="U194" s="909"/>
      <c r="V194" s="909"/>
      <c r="W194" s="182"/>
      <c r="X194" s="182"/>
      <c r="Y194" s="182"/>
      <c r="Z194" s="182"/>
      <c r="AA194" s="182"/>
      <c r="AB194" s="210"/>
      <c r="AC194" s="182"/>
      <c r="AD194" s="182"/>
      <c r="AE194" s="211"/>
    </row>
    <row r="195" spans="2:31" ht="17.25" customHeight="1">
      <c r="B195" s="180">
        <v>108</v>
      </c>
      <c r="C195" s="816"/>
      <c r="D195" s="765"/>
      <c r="E195" s="186" t="s">
        <v>10</v>
      </c>
      <c r="F195" s="187" t="str">
        <f t="shared" si="7"/>
        <v>IB3106C</v>
      </c>
      <c r="G195" s="271"/>
      <c r="H195" s="272"/>
      <c r="I195" s="272"/>
      <c r="J195" s="273"/>
      <c r="K195" s="190"/>
      <c r="L195" s="209"/>
      <c r="M195" s="186" t="s">
        <v>11</v>
      </c>
      <c r="N195" s="195" t="str">
        <f t="shared" si="6"/>
        <v>OB3106C</v>
      </c>
      <c r="O195" s="463" t="s">
        <v>1284</v>
      </c>
      <c r="P195" s="250"/>
      <c r="Q195" s="250"/>
      <c r="R195" s="251"/>
      <c r="S195" s="190" t="s">
        <v>1513</v>
      </c>
      <c r="T195" s="191"/>
      <c r="U195" s="909"/>
      <c r="V195" s="909"/>
      <c r="W195" s="182"/>
      <c r="X195" s="182"/>
      <c r="Y195" s="182"/>
      <c r="Z195" s="182"/>
      <c r="AA195" s="182"/>
      <c r="AB195" s="210"/>
      <c r="AC195" s="182"/>
      <c r="AD195" s="182"/>
      <c r="AE195" s="211"/>
    </row>
    <row r="196" spans="2:31" ht="17.25" customHeight="1">
      <c r="B196" s="180">
        <v>109</v>
      </c>
      <c r="C196" s="816"/>
      <c r="D196" s="765"/>
      <c r="E196" s="186" t="s">
        <v>10</v>
      </c>
      <c r="F196" s="187" t="str">
        <f t="shared" si="7"/>
        <v>IB3106D</v>
      </c>
      <c r="G196" s="271"/>
      <c r="H196" s="272"/>
      <c r="I196" s="272"/>
      <c r="J196" s="273"/>
      <c r="K196" s="190"/>
      <c r="L196" s="209"/>
      <c r="M196" s="186" t="s">
        <v>11</v>
      </c>
      <c r="N196" s="195" t="str">
        <f t="shared" si="6"/>
        <v>OB3106D</v>
      </c>
      <c r="O196" s="463" t="s">
        <v>1285</v>
      </c>
      <c r="P196" s="250"/>
      <c r="Q196" s="250"/>
      <c r="R196" s="251"/>
      <c r="S196" s="190" t="s">
        <v>1513</v>
      </c>
      <c r="T196" s="191"/>
      <c r="U196" s="909"/>
      <c r="V196" s="909"/>
      <c r="W196" s="182"/>
      <c r="X196" s="182"/>
      <c r="Y196" s="182"/>
      <c r="Z196" s="182"/>
      <c r="AA196" s="182"/>
      <c r="AB196" s="210"/>
      <c r="AC196" s="182"/>
      <c r="AD196" s="182"/>
      <c r="AE196" s="211"/>
    </row>
    <row r="197" spans="2:31" ht="17.25" customHeight="1">
      <c r="B197" s="180">
        <v>110</v>
      </c>
      <c r="C197" s="816"/>
      <c r="D197" s="765"/>
      <c r="E197" s="186" t="s">
        <v>10</v>
      </c>
      <c r="F197" s="187" t="str">
        <f t="shared" si="7"/>
        <v>IB3106E</v>
      </c>
      <c r="G197" s="271"/>
      <c r="H197" s="272"/>
      <c r="I197" s="272"/>
      <c r="J197" s="273"/>
      <c r="K197" s="182"/>
      <c r="L197" s="188"/>
      <c r="M197" s="186" t="s">
        <v>11</v>
      </c>
      <c r="N197" s="195" t="str">
        <f t="shared" si="6"/>
        <v>OB3106E</v>
      </c>
      <c r="O197" s="463" t="s">
        <v>1286</v>
      </c>
      <c r="P197" s="250"/>
      <c r="Q197" s="250"/>
      <c r="R197" s="251"/>
      <c r="S197" s="190" t="s">
        <v>1519</v>
      </c>
      <c r="T197" s="191"/>
      <c r="U197" s="909"/>
      <c r="V197" s="909"/>
      <c r="W197" s="182"/>
      <c r="X197" s="182"/>
      <c r="Y197" s="182"/>
      <c r="Z197" s="182"/>
      <c r="AA197" s="182"/>
      <c r="AB197" s="210"/>
      <c r="AC197" s="182"/>
      <c r="AD197" s="182"/>
      <c r="AE197" s="211"/>
    </row>
    <row r="198" spans="2:31" ht="17.25" customHeight="1">
      <c r="B198" s="180">
        <v>111</v>
      </c>
      <c r="C198" s="926"/>
      <c r="D198" s="765"/>
      <c r="E198" s="186" t="s">
        <v>10</v>
      </c>
      <c r="F198" s="187" t="str">
        <f t="shared" si="7"/>
        <v>IB3106F</v>
      </c>
      <c r="G198" s="271"/>
      <c r="H198" s="272"/>
      <c r="I198" s="272"/>
      <c r="J198" s="273"/>
      <c r="K198" s="190"/>
      <c r="L198" s="209"/>
      <c r="M198" s="186" t="s">
        <v>11</v>
      </c>
      <c r="N198" s="195" t="str">
        <f t="shared" si="6"/>
        <v>OB3106F</v>
      </c>
      <c r="O198" s="249"/>
      <c r="P198" s="250"/>
      <c r="Q198" s="250"/>
      <c r="R198" s="251"/>
      <c r="S198" s="190"/>
      <c r="T198" s="191"/>
      <c r="U198" s="909"/>
      <c r="V198" s="909"/>
      <c r="W198" s="182"/>
      <c r="X198" s="182"/>
      <c r="Y198" s="182"/>
      <c r="Z198" s="182"/>
      <c r="AA198" s="182"/>
      <c r="AB198" s="210"/>
      <c r="AC198" s="182"/>
      <c r="AD198" s="182"/>
      <c r="AE198" s="211"/>
    </row>
    <row r="199" spans="2:31" ht="17.25" customHeight="1">
      <c r="B199" s="180">
        <v>112</v>
      </c>
      <c r="C199" s="927" t="s">
        <v>40</v>
      </c>
      <c r="D199" s="901" t="s">
        <v>264</v>
      </c>
      <c r="E199" s="186" t="s">
        <v>10</v>
      </c>
      <c r="F199" s="187" t="str">
        <f t="shared" si="7"/>
        <v>IB31070</v>
      </c>
      <c r="G199" s="108" t="s">
        <v>1261</v>
      </c>
      <c r="H199" s="244"/>
      <c r="I199" s="244"/>
      <c r="J199" s="245"/>
      <c r="K199" s="190" t="s">
        <v>1513</v>
      </c>
      <c r="L199" s="209"/>
      <c r="M199" s="186" t="s">
        <v>11</v>
      </c>
      <c r="N199" s="195" t="str">
        <f t="shared" si="6"/>
        <v>OB31070</v>
      </c>
      <c r="O199" s="254"/>
      <c r="P199" s="255"/>
      <c r="Q199" s="255"/>
      <c r="R199" s="256"/>
      <c r="S199" s="190"/>
      <c r="T199" s="191"/>
      <c r="U199" s="909"/>
      <c r="V199" s="909"/>
      <c r="W199" s="193"/>
      <c r="X199" s="182"/>
      <c r="Y199" s="182"/>
      <c r="Z199" s="182"/>
      <c r="AA199" s="182"/>
      <c r="AB199" s="210"/>
      <c r="AC199" s="182"/>
      <c r="AD199" s="182"/>
      <c r="AE199" s="211"/>
    </row>
    <row r="200" spans="2:31" ht="17.25" customHeight="1">
      <c r="B200" s="180">
        <v>113</v>
      </c>
      <c r="C200" s="811"/>
      <c r="D200" s="765"/>
      <c r="E200" s="186" t="s">
        <v>10</v>
      </c>
      <c r="F200" s="187" t="str">
        <f t="shared" si="7"/>
        <v>IB31071</v>
      </c>
      <c r="G200" s="108" t="s">
        <v>1262</v>
      </c>
      <c r="H200" s="244"/>
      <c r="I200" s="244"/>
      <c r="J200" s="245"/>
      <c r="K200" s="190" t="s">
        <v>1513</v>
      </c>
      <c r="L200" s="209"/>
      <c r="M200" s="186" t="s">
        <v>11</v>
      </c>
      <c r="N200" s="195" t="str">
        <f t="shared" si="6"/>
        <v>OB31071</v>
      </c>
      <c r="O200" s="254"/>
      <c r="P200" s="255"/>
      <c r="Q200" s="255"/>
      <c r="R200" s="256"/>
      <c r="S200" s="190"/>
      <c r="T200" s="191"/>
      <c r="U200" s="909"/>
      <c r="V200" s="909"/>
      <c r="W200" s="193"/>
      <c r="X200" s="182"/>
      <c r="Y200" s="182"/>
      <c r="Z200" s="182"/>
      <c r="AA200" s="182"/>
      <c r="AB200" s="210"/>
      <c r="AC200" s="182"/>
      <c r="AD200" s="182"/>
      <c r="AE200" s="211"/>
    </row>
    <row r="201" spans="2:31" ht="17.25" customHeight="1">
      <c r="B201" s="180">
        <v>114</v>
      </c>
      <c r="C201" s="811"/>
      <c r="D201" s="765"/>
      <c r="E201" s="186" t="s">
        <v>10</v>
      </c>
      <c r="F201" s="187" t="str">
        <f t="shared" si="7"/>
        <v>IB31072</v>
      </c>
      <c r="G201" s="108" t="s">
        <v>1263</v>
      </c>
      <c r="H201" s="244"/>
      <c r="I201" s="244"/>
      <c r="J201" s="245"/>
      <c r="K201" s="190" t="s">
        <v>1513</v>
      </c>
      <c r="L201" s="209"/>
      <c r="M201" s="186" t="s">
        <v>11</v>
      </c>
      <c r="N201" s="195" t="str">
        <f t="shared" ref="N201:N264" si="8">LEFT(N200,1)&amp;DEC2HEX(HEX2DEC(MID(N200,2,LENB(N200)-1))+1,LENB(N200)-1)</f>
        <v>OB31072</v>
      </c>
      <c r="O201" s="254"/>
      <c r="P201" s="255"/>
      <c r="Q201" s="255"/>
      <c r="R201" s="256"/>
      <c r="S201" s="190"/>
      <c r="T201" s="191"/>
      <c r="U201" s="909"/>
      <c r="V201" s="909"/>
      <c r="W201" s="182"/>
      <c r="X201" s="182"/>
      <c r="Y201" s="182"/>
      <c r="Z201" s="182"/>
      <c r="AA201" s="182"/>
      <c r="AB201" s="210"/>
      <c r="AC201" s="182"/>
      <c r="AD201" s="182"/>
      <c r="AE201" s="211"/>
    </row>
    <row r="202" spans="2:31" ht="17.25" customHeight="1">
      <c r="B202" s="180">
        <v>115</v>
      </c>
      <c r="C202" s="811"/>
      <c r="D202" s="765"/>
      <c r="E202" s="186" t="s">
        <v>10</v>
      </c>
      <c r="F202" s="187" t="str">
        <f t="shared" si="7"/>
        <v>IB31073</v>
      </c>
      <c r="G202" s="108" t="s">
        <v>1264</v>
      </c>
      <c r="H202" s="244"/>
      <c r="I202" s="244"/>
      <c r="J202" s="245"/>
      <c r="K202" s="190" t="s">
        <v>1513</v>
      </c>
      <c r="L202" s="209"/>
      <c r="M202" s="186" t="s">
        <v>11</v>
      </c>
      <c r="N202" s="195" t="str">
        <f t="shared" si="8"/>
        <v>OB31073</v>
      </c>
      <c r="O202" s="254"/>
      <c r="P202" s="255"/>
      <c r="Q202" s="255"/>
      <c r="R202" s="256"/>
      <c r="S202" s="190"/>
      <c r="T202" s="191"/>
      <c r="U202" s="909"/>
      <c r="V202" s="909"/>
      <c r="W202" s="182"/>
      <c r="X202" s="182"/>
      <c r="Y202" s="182"/>
      <c r="Z202" s="182"/>
      <c r="AA202" s="182"/>
      <c r="AB202" s="210"/>
      <c r="AC202" s="182"/>
      <c r="AD202" s="182"/>
      <c r="AE202" s="211"/>
    </row>
    <row r="203" spans="2:31" ht="17.25" customHeight="1">
      <c r="B203" s="180">
        <v>116</v>
      </c>
      <c r="C203" s="811"/>
      <c r="D203" s="765"/>
      <c r="E203" s="186" t="s">
        <v>10</v>
      </c>
      <c r="F203" s="187" t="str">
        <f t="shared" si="7"/>
        <v>IB31074</v>
      </c>
      <c r="G203" s="108" t="s">
        <v>1265</v>
      </c>
      <c r="H203" s="244"/>
      <c r="I203" s="244"/>
      <c r="J203" s="245"/>
      <c r="K203" s="190" t="s">
        <v>1513</v>
      </c>
      <c r="L203" s="209"/>
      <c r="M203" s="186" t="s">
        <v>11</v>
      </c>
      <c r="N203" s="195" t="str">
        <f t="shared" si="8"/>
        <v>OB31074</v>
      </c>
      <c r="O203" s="254"/>
      <c r="P203" s="255"/>
      <c r="Q203" s="255"/>
      <c r="R203" s="256"/>
      <c r="S203" s="190"/>
      <c r="T203" s="191"/>
      <c r="U203" s="909"/>
      <c r="V203" s="909"/>
      <c r="W203" s="193"/>
      <c r="X203" s="182"/>
      <c r="Y203" s="182"/>
      <c r="Z203" s="193"/>
      <c r="AA203" s="182"/>
      <c r="AB203" s="210"/>
      <c r="AC203" s="193"/>
      <c r="AD203" s="182"/>
      <c r="AE203" s="211"/>
    </row>
    <row r="204" spans="2:31" ht="17.25" customHeight="1">
      <c r="B204" s="180">
        <v>117</v>
      </c>
      <c r="C204" s="811"/>
      <c r="D204" s="765"/>
      <c r="E204" s="186" t="s">
        <v>10</v>
      </c>
      <c r="F204" s="187" t="str">
        <f t="shared" si="7"/>
        <v>IB31075</v>
      </c>
      <c r="G204" s="108" t="s">
        <v>1266</v>
      </c>
      <c r="H204" s="244"/>
      <c r="I204" s="244"/>
      <c r="J204" s="245"/>
      <c r="K204" s="190" t="s">
        <v>1513</v>
      </c>
      <c r="L204" s="209"/>
      <c r="M204" s="186" t="s">
        <v>11</v>
      </c>
      <c r="N204" s="195" t="str">
        <f t="shared" si="8"/>
        <v>OB31075</v>
      </c>
      <c r="O204" s="254"/>
      <c r="P204" s="255"/>
      <c r="Q204" s="255"/>
      <c r="R204" s="256"/>
      <c r="S204" s="190"/>
      <c r="T204" s="191"/>
      <c r="U204" s="909"/>
      <c r="V204" s="909"/>
      <c r="W204" s="193"/>
      <c r="X204" s="182"/>
      <c r="Y204" s="182"/>
      <c r="Z204" s="193"/>
      <c r="AA204" s="182"/>
      <c r="AB204" s="210"/>
      <c r="AC204" s="193"/>
      <c r="AD204" s="182"/>
      <c r="AE204" s="211"/>
    </row>
    <row r="205" spans="2:31" ht="17.25" customHeight="1">
      <c r="B205" s="180">
        <v>118</v>
      </c>
      <c r="C205" s="811"/>
      <c r="D205" s="765"/>
      <c r="E205" s="186" t="s">
        <v>10</v>
      </c>
      <c r="F205" s="187" t="str">
        <f t="shared" si="7"/>
        <v>IB31076</v>
      </c>
      <c r="G205" s="108" t="s">
        <v>1267</v>
      </c>
      <c r="H205" s="244"/>
      <c r="I205" s="244"/>
      <c r="J205" s="245"/>
      <c r="K205" s="190" t="s">
        <v>1513</v>
      </c>
      <c r="L205" s="209"/>
      <c r="M205" s="186" t="s">
        <v>11</v>
      </c>
      <c r="N205" s="195" t="str">
        <f t="shared" si="8"/>
        <v>OB31076</v>
      </c>
      <c r="O205" s="254"/>
      <c r="P205" s="255"/>
      <c r="Q205" s="255"/>
      <c r="R205" s="256"/>
      <c r="S205" s="190"/>
      <c r="T205" s="191"/>
      <c r="U205" s="909"/>
      <c r="V205" s="909"/>
      <c r="W205" s="182"/>
      <c r="X205" s="182"/>
      <c r="Y205" s="182"/>
      <c r="Z205" s="182"/>
      <c r="AA205" s="182"/>
      <c r="AB205" s="210"/>
      <c r="AC205" s="182"/>
      <c r="AD205" s="182"/>
      <c r="AE205" s="211"/>
    </row>
    <row r="206" spans="2:31" ht="17.25" customHeight="1">
      <c r="B206" s="180">
        <v>119</v>
      </c>
      <c r="C206" s="811"/>
      <c r="D206" s="765"/>
      <c r="E206" s="186" t="s">
        <v>10</v>
      </c>
      <c r="F206" s="187" t="str">
        <f t="shared" si="7"/>
        <v>IB31077</v>
      </c>
      <c r="G206" s="108" t="s">
        <v>1268</v>
      </c>
      <c r="H206" s="244"/>
      <c r="I206" s="244"/>
      <c r="J206" s="245"/>
      <c r="K206" s="190" t="s">
        <v>1519</v>
      </c>
      <c r="L206" s="209"/>
      <c r="M206" s="186" t="s">
        <v>11</v>
      </c>
      <c r="N206" s="195" t="str">
        <f t="shared" si="8"/>
        <v>OB31077</v>
      </c>
      <c r="O206" s="254"/>
      <c r="P206" s="255"/>
      <c r="Q206" s="255"/>
      <c r="R206" s="256"/>
      <c r="S206" s="190"/>
      <c r="T206" s="191"/>
      <c r="U206" s="909"/>
      <c r="V206" s="909"/>
      <c r="W206" s="182"/>
      <c r="X206" s="182"/>
      <c r="Y206" s="182"/>
      <c r="Z206" s="182"/>
      <c r="AA206" s="182"/>
      <c r="AB206" s="210"/>
      <c r="AC206" s="182"/>
      <c r="AD206" s="182"/>
      <c r="AE206" s="211"/>
    </row>
    <row r="207" spans="2:31" ht="17.25" customHeight="1">
      <c r="B207" s="180">
        <v>120</v>
      </c>
      <c r="C207" s="811"/>
      <c r="D207" s="765"/>
      <c r="E207" s="186" t="s">
        <v>10</v>
      </c>
      <c r="F207" s="187" t="str">
        <f t="shared" si="7"/>
        <v>IB31078</v>
      </c>
      <c r="G207" s="249" t="s">
        <v>1269</v>
      </c>
      <c r="H207" s="250"/>
      <c r="I207" s="250"/>
      <c r="J207" s="251"/>
      <c r="K207" s="190" t="s">
        <v>1513</v>
      </c>
      <c r="L207" s="191"/>
      <c r="M207" s="186" t="s">
        <v>11</v>
      </c>
      <c r="N207" s="195" t="str">
        <f t="shared" si="8"/>
        <v>OB31078</v>
      </c>
      <c r="O207" s="254"/>
      <c r="P207" s="255"/>
      <c r="Q207" s="255"/>
      <c r="R207" s="256"/>
      <c r="S207" s="190"/>
      <c r="T207" s="191"/>
      <c r="U207" s="909"/>
      <c r="V207" s="909"/>
      <c r="W207" s="193"/>
      <c r="X207" s="182"/>
      <c r="Y207" s="182"/>
      <c r="Z207" s="182"/>
      <c r="AA207" s="182"/>
      <c r="AB207" s="210"/>
      <c r="AC207" s="182"/>
      <c r="AD207" s="182"/>
      <c r="AE207" s="211"/>
    </row>
    <row r="208" spans="2:31" ht="17.25" customHeight="1">
      <c r="B208" s="180">
        <v>121</v>
      </c>
      <c r="C208" s="811"/>
      <c r="D208" s="765"/>
      <c r="E208" s="186" t="s">
        <v>10</v>
      </c>
      <c r="F208" s="187" t="str">
        <f t="shared" si="7"/>
        <v>IB31079</v>
      </c>
      <c r="G208" s="249" t="s">
        <v>1270</v>
      </c>
      <c r="H208" s="250"/>
      <c r="I208" s="250"/>
      <c r="J208" s="251"/>
      <c r="K208" s="190" t="s">
        <v>1513</v>
      </c>
      <c r="L208" s="191"/>
      <c r="M208" s="186" t="s">
        <v>11</v>
      </c>
      <c r="N208" s="195" t="str">
        <f t="shared" si="8"/>
        <v>OB31079</v>
      </c>
      <c r="O208" s="254"/>
      <c r="P208" s="255"/>
      <c r="Q208" s="255"/>
      <c r="R208" s="256"/>
      <c r="S208" s="190"/>
      <c r="T208" s="191"/>
      <c r="U208" s="909"/>
      <c r="V208" s="909"/>
      <c r="W208" s="193"/>
      <c r="X208" s="182"/>
      <c r="Y208" s="182"/>
      <c r="Z208" s="182"/>
      <c r="AA208" s="182"/>
      <c r="AB208" s="210"/>
      <c r="AC208" s="182"/>
      <c r="AD208" s="182"/>
      <c r="AE208" s="211"/>
    </row>
    <row r="209" spans="2:31" ht="17.25" customHeight="1">
      <c r="B209" s="180">
        <v>122</v>
      </c>
      <c r="C209" s="811"/>
      <c r="D209" s="765"/>
      <c r="E209" s="186" t="s">
        <v>10</v>
      </c>
      <c r="F209" s="187" t="str">
        <f t="shared" si="7"/>
        <v>IB3107A</v>
      </c>
      <c r="G209" s="249" t="s">
        <v>1271</v>
      </c>
      <c r="H209" s="250"/>
      <c r="I209" s="250"/>
      <c r="J209" s="251"/>
      <c r="K209" s="213" t="s">
        <v>1513</v>
      </c>
      <c r="L209" s="191"/>
      <c r="M209" s="186" t="s">
        <v>11</v>
      </c>
      <c r="N209" s="195" t="str">
        <f t="shared" si="8"/>
        <v>OB3107A</v>
      </c>
      <c r="O209" s="254"/>
      <c r="P209" s="255"/>
      <c r="Q209" s="255"/>
      <c r="R209" s="256"/>
      <c r="S209" s="190"/>
      <c r="T209" s="191"/>
      <c r="U209" s="909"/>
      <c r="V209" s="909"/>
      <c r="W209" s="193"/>
      <c r="X209" s="182"/>
      <c r="Y209" s="182"/>
      <c r="Z209" s="182"/>
      <c r="AA209" s="182"/>
      <c r="AB209" s="210"/>
      <c r="AC209" s="182"/>
      <c r="AD209" s="182"/>
      <c r="AE209" s="211"/>
    </row>
    <row r="210" spans="2:31" ht="17.25" customHeight="1">
      <c r="B210" s="180">
        <v>123</v>
      </c>
      <c r="C210" s="811"/>
      <c r="D210" s="765"/>
      <c r="E210" s="186" t="s">
        <v>10</v>
      </c>
      <c r="F210" s="187" t="str">
        <f t="shared" si="7"/>
        <v>IB3107B</v>
      </c>
      <c r="G210" s="249" t="s">
        <v>1272</v>
      </c>
      <c r="H210" s="250"/>
      <c r="I210" s="250"/>
      <c r="J210" s="251"/>
      <c r="K210" s="213" t="s">
        <v>1513</v>
      </c>
      <c r="L210" s="191"/>
      <c r="M210" s="186" t="s">
        <v>11</v>
      </c>
      <c r="N210" s="195" t="str">
        <f t="shared" si="8"/>
        <v>OB3107B</v>
      </c>
      <c r="O210" s="254"/>
      <c r="P210" s="255"/>
      <c r="Q210" s="255"/>
      <c r="R210" s="256"/>
      <c r="S210" s="190"/>
      <c r="T210" s="191"/>
      <c r="U210" s="909"/>
      <c r="V210" s="909"/>
      <c r="W210" s="215"/>
      <c r="X210" s="182"/>
      <c r="Y210" s="182"/>
      <c r="Z210" s="182"/>
      <c r="AA210" s="182"/>
      <c r="AB210" s="210"/>
      <c r="AC210" s="182"/>
      <c r="AD210" s="182"/>
      <c r="AE210" s="211"/>
    </row>
    <row r="211" spans="2:31" ht="17.25" customHeight="1">
      <c r="B211" s="180">
        <v>124</v>
      </c>
      <c r="C211" s="811"/>
      <c r="D211" s="765"/>
      <c r="E211" s="186" t="s">
        <v>10</v>
      </c>
      <c r="F211" s="187" t="str">
        <f t="shared" si="7"/>
        <v>IB3107C</v>
      </c>
      <c r="G211" s="108" t="s">
        <v>1257</v>
      </c>
      <c r="H211" s="250"/>
      <c r="I211" s="250"/>
      <c r="J211" s="251"/>
      <c r="K211" s="190" t="s">
        <v>1513</v>
      </c>
      <c r="L211" s="209"/>
      <c r="M211" s="186" t="s">
        <v>11</v>
      </c>
      <c r="N211" s="195" t="str">
        <f t="shared" si="8"/>
        <v>OB3107C</v>
      </c>
      <c r="O211" s="254"/>
      <c r="P211" s="255"/>
      <c r="Q211" s="255"/>
      <c r="R211" s="256"/>
      <c r="S211" s="190"/>
      <c r="T211" s="191"/>
      <c r="U211" s="909"/>
      <c r="V211" s="909"/>
      <c r="W211" s="193"/>
      <c r="X211" s="182"/>
      <c r="Y211" s="182"/>
      <c r="Z211" s="182"/>
      <c r="AA211" s="182"/>
      <c r="AB211" s="210"/>
      <c r="AC211" s="182"/>
      <c r="AD211" s="182"/>
      <c r="AE211" s="211"/>
    </row>
    <row r="212" spans="2:31" ht="17.25" customHeight="1">
      <c r="B212" s="180">
        <v>125</v>
      </c>
      <c r="C212" s="811"/>
      <c r="D212" s="765"/>
      <c r="E212" s="186" t="s">
        <v>10</v>
      </c>
      <c r="F212" s="187" t="str">
        <f t="shared" si="7"/>
        <v>IB3107D</v>
      </c>
      <c r="G212" s="108" t="s">
        <v>1258</v>
      </c>
      <c r="H212" s="250"/>
      <c r="I212" s="250"/>
      <c r="J212" s="251"/>
      <c r="K212" s="190" t="s">
        <v>1513</v>
      </c>
      <c r="L212" s="209"/>
      <c r="M212" s="186" t="s">
        <v>11</v>
      </c>
      <c r="N212" s="195" t="str">
        <f t="shared" si="8"/>
        <v>OB3107D</v>
      </c>
      <c r="O212" s="254"/>
      <c r="P212" s="255"/>
      <c r="Q212" s="255"/>
      <c r="R212" s="256"/>
      <c r="S212" s="190"/>
      <c r="T212" s="191"/>
      <c r="U212" s="909"/>
      <c r="V212" s="909"/>
      <c r="W212" s="215"/>
      <c r="X212" s="182"/>
      <c r="Y212" s="182"/>
      <c r="Z212" s="182"/>
      <c r="AA212" s="182"/>
      <c r="AB212" s="210"/>
      <c r="AC212" s="182"/>
      <c r="AD212" s="182"/>
      <c r="AE212" s="211"/>
    </row>
    <row r="213" spans="2:31" ht="17.25" customHeight="1">
      <c r="B213" s="180">
        <v>126</v>
      </c>
      <c r="C213" s="811"/>
      <c r="D213" s="765"/>
      <c r="E213" s="186" t="s">
        <v>10</v>
      </c>
      <c r="F213" s="187" t="str">
        <f t="shared" si="7"/>
        <v>IB3107E</v>
      </c>
      <c r="G213" s="108" t="s">
        <v>1259</v>
      </c>
      <c r="H213" s="244"/>
      <c r="I213" s="244"/>
      <c r="J213" s="245"/>
      <c r="K213" s="190" t="s">
        <v>1513</v>
      </c>
      <c r="L213" s="209"/>
      <c r="M213" s="186" t="s">
        <v>11</v>
      </c>
      <c r="N213" s="195" t="str">
        <f t="shared" si="8"/>
        <v>OB3107E</v>
      </c>
      <c r="O213" s="254"/>
      <c r="P213" s="255"/>
      <c r="Q213" s="255"/>
      <c r="R213" s="256"/>
      <c r="S213" s="190"/>
      <c r="T213" s="191"/>
      <c r="U213" s="909"/>
      <c r="V213" s="909"/>
      <c r="W213" s="215"/>
      <c r="X213" s="182"/>
      <c r="Y213" s="182"/>
      <c r="Z213" s="182"/>
      <c r="AA213" s="182"/>
      <c r="AB213" s="210"/>
      <c r="AC213" s="182"/>
      <c r="AD213" s="182"/>
      <c r="AE213" s="211"/>
    </row>
    <row r="214" spans="2:31" ht="17.25" customHeight="1">
      <c r="B214" s="180">
        <v>127</v>
      </c>
      <c r="C214" s="928"/>
      <c r="D214" s="765"/>
      <c r="E214" s="186" t="s">
        <v>10</v>
      </c>
      <c r="F214" s="187" t="str">
        <f t="shared" si="7"/>
        <v>IB3107F</v>
      </c>
      <c r="G214" s="108" t="s">
        <v>1260</v>
      </c>
      <c r="H214" s="244"/>
      <c r="I214" s="244"/>
      <c r="J214" s="245"/>
      <c r="K214" s="190" t="s">
        <v>1513</v>
      </c>
      <c r="L214" s="209"/>
      <c r="M214" s="186" t="s">
        <v>11</v>
      </c>
      <c r="N214" s="195" t="str">
        <f t="shared" si="8"/>
        <v>OB3107F</v>
      </c>
      <c r="O214" s="254"/>
      <c r="P214" s="255"/>
      <c r="Q214" s="255"/>
      <c r="R214" s="256"/>
      <c r="S214" s="190"/>
      <c r="T214" s="191"/>
      <c r="U214" s="909"/>
      <c r="V214" s="909"/>
      <c r="W214" s="215"/>
      <c r="X214" s="182"/>
      <c r="Y214" s="182"/>
      <c r="Z214" s="182"/>
      <c r="AA214" s="182"/>
      <c r="AB214" s="210"/>
      <c r="AC214" s="182"/>
      <c r="AD214" s="182"/>
      <c r="AE214" s="211"/>
    </row>
    <row r="215" spans="2:31" ht="17.25" customHeight="1">
      <c r="B215" s="180">
        <v>128</v>
      </c>
      <c r="C215" s="927" t="s">
        <v>1562</v>
      </c>
      <c r="D215" s="901" t="s">
        <v>264</v>
      </c>
      <c r="E215" s="186" t="s">
        <v>10</v>
      </c>
      <c r="F215" s="187" t="str">
        <f t="shared" si="7"/>
        <v>IB31080</v>
      </c>
      <c r="G215" s="553" t="s">
        <v>1243</v>
      </c>
      <c r="H215" s="380"/>
      <c r="I215" s="380"/>
      <c r="J215" s="267"/>
      <c r="K215" s="190" t="s">
        <v>1513</v>
      </c>
      <c r="L215" s="209"/>
      <c r="M215" s="186" t="s">
        <v>11</v>
      </c>
      <c r="N215" s="195" t="str">
        <f t="shared" si="8"/>
        <v>OB31080</v>
      </c>
      <c r="O215" s="254"/>
      <c r="P215" s="255"/>
      <c r="Q215" s="255"/>
      <c r="R215" s="256"/>
      <c r="S215" s="190"/>
      <c r="T215" s="191"/>
      <c r="U215" s="909"/>
      <c r="V215" s="909"/>
      <c r="W215" s="193"/>
      <c r="X215" s="182"/>
      <c r="Y215" s="182"/>
      <c r="Z215" s="182"/>
      <c r="AA215" s="182"/>
      <c r="AB215" s="210"/>
      <c r="AC215" s="182"/>
      <c r="AD215" s="182"/>
      <c r="AE215" s="211"/>
    </row>
    <row r="216" spans="2:31" ht="17.25" customHeight="1">
      <c r="B216" s="180">
        <v>129</v>
      </c>
      <c r="C216" s="811"/>
      <c r="D216" s="765"/>
      <c r="E216" s="186" t="s">
        <v>10</v>
      </c>
      <c r="F216" s="187" t="str">
        <f t="shared" si="7"/>
        <v>IB31081</v>
      </c>
      <c r="G216" s="553" t="s">
        <v>1244</v>
      </c>
      <c r="H216" s="380"/>
      <c r="I216" s="380"/>
      <c r="J216" s="267"/>
      <c r="K216" s="190" t="s">
        <v>1513</v>
      </c>
      <c r="L216" s="209"/>
      <c r="M216" s="186" t="s">
        <v>11</v>
      </c>
      <c r="N216" s="195" t="str">
        <f t="shared" si="8"/>
        <v>OB31081</v>
      </c>
      <c r="O216" s="254"/>
      <c r="P216" s="255"/>
      <c r="Q216" s="255"/>
      <c r="R216" s="256"/>
      <c r="S216" s="190"/>
      <c r="T216" s="191"/>
      <c r="U216" s="909"/>
      <c r="V216" s="909"/>
      <c r="W216" s="193"/>
      <c r="X216" s="182"/>
      <c r="Y216" s="182"/>
      <c r="Z216" s="182"/>
      <c r="AA216" s="182"/>
      <c r="AB216" s="210"/>
      <c r="AC216" s="182"/>
      <c r="AD216" s="182"/>
      <c r="AE216" s="211"/>
    </row>
    <row r="217" spans="2:31" ht="17.25" customHeight="1">
      <c r="B217" s="180">
        <v>130</v>
      </c>
      <c r="C217" s="811"/>
      <c r="D217" s="765"/>
      <c r="E217" s="186" t="s">
        <v>10</v>
      </c>
      <c r="F217" s="187" t="str">
        <f t="shared" ref="F217:F280" si="9">LEFT(F216,1)&amp;DEC2HEX(HEX2DEC(MID(F216,2,LENB(F216)-1))+1,LENB(F216)-1)</f>
        <v>IB31082</v>
      </c>
      <c r="G217" s="553" t="s">
        <v>1245</v>
      </c>
      <c r="H217" s="380"/>
      <c r="I217" s="380"/>
      <c r="J217" s="267"/>
      <c r="K217" s="190" t="s">
        <v>1513</v>
      </c>
      <c r="L217" s="209"/>
      <c r="M217" s="186" t="s">
        <v>11</v>
      </c>
      <c r="N217" s="195" t="str">
        <f t="shared" si="8"/>
        <v>OB31082</v>
      </c>
      <c r="O217" s="254"/>
      <c r="P217" s="255"/>
      <c r="Q217" s="255"/>
      <c r="R217" s="256"/>
      <c r="S217" s="190"/>
      <c r="T217" s="191"/>
      <c r="U217" s="909"/>
      <c r="V217" s="909"/>
      <c r="W217" s="193"/>
      <c r="X217" s="182"/>
      <c r="Y217" s="182"/>
      <c r="Z217" s="182"/>
      <c r="AA217" s="182"/>
      <c r="AB217" s="210"/>
      <c r="AC217" s="182"/>
      <c r="AD217" s="182"/>
      <c r="AE217" s="211"/>
    </row>
    <row r="218" spans="2:31" ht="17.25" customHeight="1">
      <c r="B218" s="180">
        <v>131</v>
      </c>
      <c r="C218" s="811"/>
      <c r="D218" s="765"/>
      <c r="E218" s="186" t="s">
        <v>10</v>
      </c>
      <c r="F218" s="187" t="str">
        <f t="shared" si="9"/>
        <v>IB31083</v>
      </c>
      <c r="G218" s="553" t="s">
        <v>1246</v>
      </c>
      <c r="H218" s="380"/>
      <c r="I218" s="380"/>
      <c r="J218" s="267"/>
      <c r="K218" s="213" t="s">
        <v>1513</v>
      </c>
      <c r="L218" s="214"/>
      <c r="M218" s="186" t="s">
        <v>11</v>
      </c>
      <c r="N218" s="195" t="str">
        <f t="shared" si="8"/>
        <v>OB31083</v>
      </c>
      <c r="O218" s="254"/>
      <c r="P218" s="255"/>
      <c r="Q218" s="255"/>
      <c r="R218" s="256"/>
      <c r="S218" s="190"/>
      <c r="T218" s="191"/>
      <c r="U218" s="909"/>
      <c r="V218" s="909"/>
      <c r="W218" s="193"/>
      <c r="X218" s="182"/>
      <c r="Y218" s="182"/>
      <c r="Z218" s="182"/>
      <c r="AA218" s="182"/>
      <c r="AB218" s="210"/>
      <c r="AC218" s="182"/>
      <c r="AD218" s="182"/>
      <c r="AE218" s="211"/>
    </row>
    <row r="219" spans="2:31" ht="17.25" customHeight="1">
      <c r="B219" s="180">
        <v>132</v>
      </c>
      <c r="C219" s="811"/>
      <c r="D219" s="765"/>
      <c r="E219" s="186" t="s">
        <v>10</v>
      </c>
      <c r="F219" s="187" t="str">
        <f t="shared" si="9"/>
        <v>IB31084</v>
      </c>
      <c r="G219" s="553" t="s">
        <v>1247</v>
      </c>
      <c r="H219" s="380"/>
      <c r="I219" s="380"/>
      <c r="J219" s="267"/>
      <c r="K219" s="213" t="s">
        <v>1513</v>
      </c>
      <c r="L219" s="214"/>
      <c r="M219" s="186" t="s">
        <v>11</v>
      </c>
      <c r="N219" s="195" t="str">
        <f t="shared" si="8"/>
        <v>OB31084</v>
      </c>
      <c r="O219" s="254"/>
      <c r="P219" s="255"/>
      <c r="Q219" s="255"/>
      <c r="R219" s="256"/>
      <c r="S219" s="190"/>
      <c r="T219" s="191"/>
      <c r="U219" s="909"/>
      <c r="V219" s="909"/>
      <c r="W219" s="193"/>
      <c r="X219" s="182"/>
      <c r="Y219" s="182"/>
      <c r="Z219" s="182"/>
      <c r="AA219" s="182"/>
      <c r="AB219" s="210"/>
      <c r="AC219" s="182"/>
      <c r="AD219" s="182"/>
      <c r="AE219" s="211"/>
    </row>
    <row r="220" spans="2:31" ht="17.25" customHeight="1">
      <c r="B220" s="180">
        <v>133</v>
      </c>
      <c r="C220" s="811"/>
      <c r="D220" s="765"/>
      <c r="E220" s="186" t="s">
        <v>10</v>
      </c>
      <c r="F220" s="187" t="str">
        <f t="shared" si="9"/>
        <v>IB31085</v>
      </c>
      <c r="G220" s="553" t="s">
        <v>1248</v>
      </c>
      <c r="H220" s="380"/>
      <c r="I220" s="380"/>
      <c r="J220" s="267"/>
      <c r="K220" s="213" t="s">
        <v>1513</v>
      </c>
      <c r="L220" s="214"/>
      <c r="M220" s="186" t="s">
        <v>11</v>
      </c>
      <c r="N220" s="195" t="str">
        <f t="shared" si="8"/>
        <v>OB31085</v>
      </c>
      <c r="O220" s="254"/>
      <c r="P220" s="255"/>
      <c r="Q220" s="255"/>
      <c r="R220" s="256"/>
      <c r="S220" s="190"/>
      <c r="T220" s="191"/>
      <c r="U220" s="909"/>
      <c r="V220" s="909"/>
      <c r="W220" s="215"/>
      <c r="X220" s="182"/>
      <c r="Y220" s="182"/>
      <c r="Z220" s="182"/>
      <c r="AA220" s="182"/>
      <c r="AB220" s="210"/>
      <c r="AC220" s="182"/>
      <c r="AD220" s="182"/>
      <c r="AE220" s="211"/>
    </row>
    <row r="221" spans="2:31" ht="17.25" customHeight="1">
      <c r="B221" s="180">
        <v>134</v>
      </c>
      <c r="C221" s="811"/>
      <c r="D221" s="765"/>
      <c r="E221" s="186" t="s">
        <v>10</v>
      </c>
      <c r="F221" s="187" t="str">
        <f t="shared" si="9"/>
        <v>IB31086</v>
      </c>
      <c r="G221" s="553" t="s">
        <v>1249</v>
      </c>
      <c r="H221" s="380"/>
      <c r="I221" s="380"/>
      <c r="J221" s="267"/>
      <c r="K221" s="213" t="s">
        <v>1513</v>
      </c>
      <c r="L221" s="214"/>
      <c r="M221" s="186" t="s">
        <v>11</v>
      </c>
      <c r="N221" s="195" t="str">
        <f t="shared" si="8"/>
        <v>OB31086</v>
      </c>
      <c r="O221" s="254"/>
      <c r="P221" s="255"/>
      <c r="Q221" s="255"/>
      <c r="R221" s="256"/>
      <c r="S221" s="190"/>
      <c r="T221" s="191"/>
      <c r="U221" s="909"/>
      <c r="V221" s="909"/>
      <c r="W221" s="193"/>
      <c r="X221" s="182"/>
      <c r="Y221" s="182"/>
      <c r="Z221" s="182"/>
      <c r="AA221" s="182"/>
      <c r="AB221" s="210"/>
      <c r="AC221" s="182"/>
      <c r="AD221" s="182"/>
      <c r="AE221" s="211"/>
    </row>
    <row r="222" spans="2:31" ht="17.25" customHeight="1">
      <c r="B222" s="180">
        <v>135</v>
      </c>
      <c r="C222" s="811"/>
      <c r="D222" s="765"/>
      <c r="E222" s="186" t="s">
        <v>10</v>
      </c>
      <c r="F222" s="187" t="str">
        <f t="shared" si="9"/>
        <v>IB31087</v>
      </c>
      <c r="G222" s="553" t="s">
        <v>1250</v>
      </c>
      <c r="H222" s="380"/>
      <c r="I222" s="380"/>
      <c r="J222" s="267"/>
      <c r="K222" s="216" t="s">
        <v>1513</v>
      </c>
      <c r="L222" s="217"/>
      <c r="M222" s="186" t="s">
        <v>11</v>
      </c>
      <c r="N222" s="195" t="str">
        <f t="shared" si="8"/>
        <v>OB31087</v>
      </c>
      <c r="O222" s="254"/>
      <c r="P222" s="255"/>
      <c r="Q222" s="255"/>
      <c r="R222" s="256"/>
      <c r="S222" s="190"/>
      <c r="T222" s="191"/>
      <c r="U222" s="909"/>
      <c r="V222" s="909"/>
      <c r="W222" s="193"/>
      <c r="X222" s="182"/>
      <c r="Y222" s="182"/>
      <c r="Z222" s="182"/>
      <c r="AA222" s="182"/>
      <c r="AB222" s="210"/>
      <c r="AC222" s="182"/>
      <c r="AD222" s="182"/>
      <c r="AE222" s="211"/>
    </row>
    <row r="223" spans="2:31" ht="17.25" customHeight="1">
      <c r="B223" s="180">
        <v>136</v>
      </c>
      <c r="C223" s="811"/>
      <c r="D223" s="765"/>
      <c r="E223" s="186" t="s">
        <v>10</v>
      </c>
      <c r="F223" s="187" t="str">
        <f t="shared" si="9"/>
        <v>IB31088</v>
      </c>
      <c r="G223" s="553" t="s">
        <v>1251</v>
      </c>
      <c r="H223" s="380"/>
      <c r="I223" s="380"/>
      <c r="J223" s="267"/>
      <c r="K223" s="190" t="s">
        <v>1513</v>
      </c>
      <c r="L223" s="209"/>
      <c r="M223" s="186" t="s">
        <v>11</v>
      </c>
      <c r="N223" s="195" t="str">
        <f t="shared" si="8"/>
        <v>OB31088</v>
      </c>
      <c r="O223" s="254"/>
      <c r="P223" s="255"/>
      <c r="Q223" s="255"/>
      <c r="R223" s="256"/>
      <c r="S223" s="190"/>
      <c r="T223" s="191"/>
      <c r="U223" s="909"/>
      <c r="V223" s="909"/>
      <c r="W223" s="193"/>
      <c r="X223" s="182"/>
      <c r="Y223" s="182"/>
      <c r="Z223" s="182"/>
      <c r="AA223" s="182"/>
      <c r="AB223" s="210"/>
      <c r="AC223" s="182"/>
      <c r="AD223" s="182"/>
      <c r="AE223" s="211"/>
    </row>
    <row r="224" spans="2:31" ht="17.25" customHeight="1">
      <c r="B224" s="180">
        <v>137</v>
      </c>
      <c r="C224" s="811"/>
      <c r="D224" s="765"/>
      <c r="E224" s="186" t="s">
        <v>10</v>
      </c>
      <c r="F224" s="187" t="str">
        <f t="shared" si="9"/>
        <v>IB31089</v>
      </c>
      <c r="G224" s="553" t="s">
        <v>1252</v>
      </c>
      <c r="H224" s="380"/>
      <c r="I224" s="380"/>
      <c r="J224" s="267"/>
      <c r="K224" s="190" t="s">
        <v>1513</v>
      </c>
      <c r="L224" s="209"/>
      <c r="M224" s="186" t="s">
        <v>11</v>
      </c>
      <c r="N224" s="195" t="str">
        <f t="shared" si="8"/>
        <v>OB31089</v>
      </c>
      <c r="O224" s="254"/>
      <c r="P224" s="255"/>
      <c r="Q224" s="255"/>
      <c r="R224" s="256"/>
      <c r="S224" s="190"/>
      <c r="T224" s="191"/>
      <c r="U224" s="909"/>
      <c r="V224" s="909"/>
      <c r="W224" s="193"/>
      <c r="X224" s="182"/>
      <c r="Y224" s="182"/>
      <c r="Z224" s="182"/>
      <c r="AA224" s="182"/>
      <c r="AB224" s="210"/>
      <c r="AC224" s="182"/>
      <c r="AD224" s="182"/>
      <c r="AE224" s="211"/>
    </row>
    <row r="225" spans="2:31" ht="17.25" customHeight="1">
      <c r="B225" s="180">
        <v>138</v>
      </c>
      <c r="C225" s="811"/>
      <c r="D225" s="765"/>
      <c r="E225" s="186" t="s">
        <v>10</v>
      </c>
      <c r="F225" s="187" t="str">
        <f t="shared" si="9"/>
        <v>IB3108A</v>
      </c>
      <c r="G225" s="553" t="s">
        <v>1253</v>
      </c>
      <c r="H225" s="380"/>
      <c r="I225" s="380"/>
      <c r="J225" s="267"/>
      <c r="K225" s="190" t="s">
        <v>1513</v>
      </c>
      <c r="L225" s="209"/>
      <c r="M225" s="186" t="s">
        <v>11</v>
      </c>
      <c r="N225" s="195" t="str">
        <f t="shared" si="8"/>
        <v>OB3108A</v>
      </c>
      <c r="O225" s="254"/>
      <c r="P225" s="255"/>
      <c r="Q225" s="255"/>
      <c r="R225" s="256"/>
      <c r="S225" s="190"/>
      <c r="T225" s="191"/>
      <c r="U225" s="909"/>
      <c r="V225" s="909"/>
      <c r="W225" s="193"/>
      <c r="X225" s="182"/>
      <c r="Y225" s="182"/>
      <c r="Z225" s="182"/>
      <c r="AA225" s="182"/>
      <c r="AB225" s="210"/>
      <c r="AC225" s="182"/>
      <c r="AD225" s="182"/>
      <c r="AE225" s="211"/>
    </row>
    <row r="226" spans="2:31" ht="17.25" customHeight="1">
      <c r="B226" s="180">
        <v>139</v>
      </c>
      <c r="C226" s="811"/>
      <c r="D226" s="765"/>
      <c r="E226" s="186" t="s">
        <v>10</v>
      </c>
      <c r="F226" s="187" t="str">
        <f t="shared" si="9"/>
        <v>IB3108B</v>
      </c>
      <c r="G226" s="553" t="s">
        <v>1254</v>
      </c>
      <c r="H226" s="380"/>
      <c r="I226" s="380"/>
      <c r="J226" s="267"/>
      <c r="K226" s="190" t="s">
        <v>1513</v>
      </c>
      <c r="L226" s="209"/>
      <c r="M226" s="186" t="s">
        <v>11</v>
      </c>
      <c r="N226" s="195" t="str">
        <f t="shared" si="8"/>
        <v>OB3108B</v>
      </c>
      <c r="O226" s="254"/>
      <c r="P226" s="255"/>
      <c r="Q226" s="255"/>
      <c r="R226" s="256"/>
      <c r="S226" s="190"/>
      <c r="T226" s="191"/>
      <c r="U226" s="909"/>
      <c r="V226" s="909"/>
      <c r="W226" s="193"/>
      <c r="X226" s="182"/>
      <c r="Y226" s="182"/>
      <c r="Z226" s="182"/>
      <c r="AA226" s="182"/>
      <c r="AB226" s="210"/>
      <c r="AC226" s="182"/>
      <c r="AD226" s="182"/>
      <c r="AE226" s="211"/>
    </row>
    <row r="227" spans="2:31" ht="17.25" customHeight="1">
      <c r="B227" s="180">
        <v>140</v>
      </c>
      <c r="C227" s="811"/>
      <c r="D227" s="765"/>
      <c r="E227" s="186" t="s">
        <v>10</v>
      </c>
      <c r="F227" s="187" t="str">
        <f t="shared" si="9"/>
        <v>IB3108C</v>
      </c>
      <c r="G227" s="553" t="s">
        <v>1255</v>
      </c>
      <c r="H227" s="380"/>
      <c r="I227" s="380"/>
      <c r="J227" s="267"/>
      <c r="K227" s="190" t="s">
        <v>1513</v>
      </c>
      <c r="L227" s="209"/>
      <c r="M227" s="186" t="s">
        <v>11</v>
      </c>
      <c r="N227" s="195" t="str">
        <f t="shared" si="8"/>
        <v>OB3108C</v>
      </c>
      <c r="O227" s="254"/>
      <c r="P227" s="255"/>
      <c r="Q227" s="255"/>
      <c r="R227" s="256"/>
      <c r="S227" s="190"/>
      <c r="T227" s="191"/>
      <c r="U227" s="909">
        <v>0</v>
      </c>
      <c r="V227" s="909"/>
      <c r="W227" s="193"/>
      <c r="X227" s="182"/>
      <c r="Y227" s="182"/>
      <c r="Z227" s="182"/>
      <c r="AA227" s="182"/>
      <c r="AB227" s="210"/>
      <c r="AC227" s="182"/>
      <c r="AD227" s="182"/>
      <c r="AE227" s="211"/>
    </row>
    <row r="228" spans="2:31" ht="17.25" customHeight="1">
      <c r="B228" s="180">
        <v>141</v>
      </c>
      <c r="C228" s="811"/>
      <c r="D228" s="765"/>
      <c r="E228" s="186" t="s">
        <v>10</v>
      </c>
      <c r="F228" s="187" t="str">
        <f t="shared" si="9"/>
        <v>IB3108D</v>
      </c>
      <c r="G228" s="553" t="s">
        <v>1256</v>
      </c>
      <c r="H228" s="380"/>
      <c r="I228" s="380"/>
      <c r="J228" s="267"/>
      <c r="K228" s="190" t="s">
        <v>1513</v>
      </c>
      <c r="L228" s="209"/>
      <c r="M228" s="186" t="s">
        <v>11</v>
      </c>
      <c r="N228" s="195" t="str">
        <f t="shared" si="8"/>
        <v>OB3108D</v>
      </c>
      <c r="O228" s="254"/>
      <c r="P228" s="255"/>
      <c r="Q228" s="255"/>
      <c r="R228" s="256"/>
      <c r="S228" s="190"/>
      <c r="T228" s="191"/>
      <c r="U228" s="909"/>
      <c r="V228" s="909"/>
      <c r="W228" s="193"/>
      <c r="X228" s="182"/>
      <c r="Y228" s="182"/>
      <c r="Z228" s="182"/>
      <c r="AA228" s="182"/>
      <c r="AB228" s="210"/>
      <c r="AC228" s="182"/>
      <c r="AD228" s="182"/>
      <c r="AE228" s="211"/>
    </row>
    <row r="229" spans="2:31" ht="17.25" customHeight="1">
      <c r="B229" s="180">
        <v>142</v>
      </c>
      <c r="C229" s="811"/>
      <c r="D229" s="765"/>
      <c r="E229" s="186" t="s">
        <v>10</v>
      </c>
      <c r="F229" s="187" t="str">
        <f t="shared" si="9"/>
        <v>IB3108E</v>
      </c>
      <c r="G229" s="249"/>
      <c r="H229" s="250"/>
      <c r="I229" s="250"/>
      <c r="J229" s="251"/>
      <c r="K229" s="190"/>
      <c r="L229" s="209"/>
      <c r="M229" s="186" t="s">
        <v>11</v>
      </c>
      <c r="N229" s="195" t="str">
        <f t="shared" si="8"/>
        <v>OB3108E</v>
      </c>
      <c r="O229" s="254"/>
      <c r="P229" s="255"/>
      <c r="Q229" s="255"/>
      <c r="R229" s="256"/>
      <c r="S229" s="190"/>
      <c r="T229" s="191"/>
      <c r="U229" s="909"/>
      <c r="V229" s="909"/>
      <c r="W229" s="193"/>
      <c r="X229" s="182"/>
      <c r="Y229" s="182"/>
      <c r="Z229" s="182"/>
      <c r="AA229" s="182"/>
      <c r="AB229" s="210"/>
      <c r="AC229" s="182"/>
      <c r="AD229" s="182"/>
      <c r="AE229" s="211"/>
    </row>
    <row r="230" spans="2:31" ht="17.25" customHeight="1">
      <c r="B230" s="180">
        <v>143</v>
      </c>
      <c r="C230" s="928"/>
      <c r="D230" s="765"/>
      <c r="E230" s="186" t="s">
        <v>10</v>
      </c>
      <c r="F230" s="187" t="str">
        <f t="shared" si="9"/>
        <v>IB3108F</v>
      </c>
      <c r="G230" s="243"/>
      <c r="H230" s="244"/>
      <c r="I230" s="244"/>
      <c r="J230" s="245"/>
      <c r="K230" s="216"/>
      <c r="L230" s="217"/>
      <c r="M230" s="186" t="s">
        <v>11</v>
      </c>
      <c r="N230" s="195" t="str">
        <f t="shared" si="8"/>
        <v>OB3108F</v>
      </c>
      <c r="O230" s="254"/>
      <c r="P230" s="255"/>
      <c r="Q230" s="255"/>
      <c r="R230" s="256"/>
      <c r="S230" s="190"/>
      <c r="T230" s="191"/>
      <c r="U230" s="909"/>
      <c r="V230" s="909"/>
      <c r="W230" s="193"/>
      <c r="X230" s="182"/>
      <c r="Y230" s="182"/>
      <c r="Z230" s="182"/>
      <c r="AA230" s="182"/>
      <c r="AB230" s="210"/>
      <c r="AC230" s="182"/>
      <c r="AD230" s="182"/>
      <c r="AE230" s="211"/>
    </row>
    <row r="231" spans="2:31" ht="17.25" customHeight="1">
      <c r="B231" s="180">
        <v>144</v>
      </c>
      <c r="C231" s="925" t="s">
        <v>1581</v>
      </c>
      <c r="D231" s="901" t="s">
        <v>264</v>
      </c>
      <c r="E231" s="186" t="s">
        <v>10</v>
      </c>
      <c r="F231" s="187" t="str">
        <f t="shared" si="9"/>
        <v>IB31090</v>
      </c>
      <c r="G231" s="271"/>
      <c r="H231" s="272"/>
      <c r="I231" s="272"/>
      <c r="J231" s="273"/>
      <c r="K231" s="190"/>
      <c r="L231" s="209"/>
      <c r="M231" s="186" t="s">
        <v>11</v>
      </c>
      <c r="N231" s="195" t="str">
        <f t="shared" si="8"/>
        <v>OB31090</v>
      </c>
      <c r="O231" s="463" t="s">
        <v>1228</v>
      </c>
      <c r="P231" s="250"/>
      <c r="Q231" s="250"/>
      <c r="R231" s="251"/>
      <c r="S231" s="190" t="s">
        <v>1513</v>
      </c>
      <c r="T231" s="191"/>
      <c r="U231" s="909"/>
      <c r="V231" s="909"/>
      <c r="W231" s="193"/>
      <c r="X231" s="182"/>
      <c r="Y231" s="182"/>
      <c r="Z231" s="182"/>
      <c r="AA231" s="182"/>
      <c r="AB231" s="210"/>
      <c r="AC231" s="182"/>
      <c r="AD231" s="182"/>
      <c r="AE231" s="211"/>
    </row>
    <row r="232" spans="2:31" ht="17.25" customHeight="1">
      <c r="B232" s="180">
        <v>145</v>
      </c>
      <c r="C232" s="816"/>
      <c r="D232" s="765"/>
      <c r="E232" s="186" t="s">
        <v>10</v>
      </c>
      <c r="F232" s="187" t="str">
        <f t="shared" si="9"/>
        <v>IB31091</v>
      </c>
      <c r="G232" s="271"/>
      <c r="H232" s="272"/>
      <c r="I232" s="272"/>
      <c r="J232" s="273"/>
      <c r="K232" s="190"/>
      <c r="L232" s="209"/>
      <c r="M232" s="186" t="s">
        <v>11</v>
      </c>
      <c r="N232" s="195" t="str">
        <f t="shared" si="8"/>
        <v>OB31091</v>
      </c>
      <c r="O232" s="463" t="s">
        <v>1229</v>
      </c>
      <c r="P232" s="250"/>
      <c r="Q232" s="250"/>
      <c r="R232" s="251"/>
      <c r="S232" s="190" t="s">
        <v>1513</v>
      </c>
      <c r="T232" s="191"/>
      <c r="U232" s="909"/>
      <c r="V232" s="909"/>
      <c r="W232" s="193"/>
      <c r="X232" s="182"/>
      <c r="Y232" s="182"/>
      <c r="Z232" s="182"/>
      <c r="AA232" s="182"/>
      <c r="AB232" s="210"/>
      <c r="AC232" s="182"/>
      <c r="AD232" s="182"/>
      <c r="AE232" s="211"/>
    </row>
    <row r="233" spans="2:31" ht="17.25" customHeight="1">
      <c r="B233" s="180">
        <v>146</v>
      </c>
      <c r="C233" s="816"/>
      <c r="D233" s="765"/>
      <c r="E233" s="186" t="s">
        <v>10</v>
      </c>
      <c r="F233" s="187" t="str">
        <f t="shared" si="9"/>
        <v>IB31092</v>
      </c>
      <c r="G233" s="271"/>
      <c r="H233" s="272"/>
      <c r="I233" s="272"/>
      <c r="J233" s="273"/>
      <c r="K233" s="190"/>
      <c r="L233" s="209"/>
      <c r="M233" s="186" t="s">
        <v>11</v>
      </c>
      <c r="N233" s="195" t="str">
        <f t="shared" si="8"/>
        <v>OB31092</v>
      </c>
      <c r="O233" s="463" t="s">
        <v>1230</v>
      </c>
      <c r="P233" s="250"/>
      <c r="Q233" s="250"/>
      <c r="R233" s="251"/>
      <c r="S233" s="190" t="s">
        <v>1513</v>
      </c>
      <c r="T233" s="191"/>
      <c r="U233" s="909"/>
      <c r="V233" s="909"/>
      <c r="W233" s="193"/>
      <c r="X233" s="182"/>
      <c r="Y233" s="182"/>
      <c r="Z233" s="182"/>
      <c r="AA233" s="182"/>
      <c r="AB233" s="210"/>
      <c r="AC233" s="182"/>
      <c r="AD233" s="182"/>
      <c r="AE233" s="211"/>
    </row>
    <row r="234" spans="2:31" ht="17.25" customHeight="1">
      <c r="B234" s="180">
        <v>147</v>
      </c>
      <c r="C234" s="816"/>
      <c r="D234" s="765"/>
      <c r="E234" s="186" t="s">
        <v>10</v>
      </c>
      <c r="F234" s="187" t="str">
        <f t="shared" si="9"/>
        <v>IB31093</v>
      </c>
      <c r="G234" s="271"/>
      <c r="H234" s="272"/>
      <c r="I234" s="272"/>
      <c r="J234" s="273"/>
      <c r="K234" s="190"/>
      <c r="L234" s="209"/>
      <c r="M234" s="186" t="s">
        <v>11</v>
      </c>
      <c r="N234" s="195" t="str">
        <f t="shared" si="8"/>
        <v>OB31093</v>
      </c>
      <c r="O234" s="463" t="s">
        <v>1231</v>
      </c>
      <c r="P234" s="250"/>
      <c r="Q234" s="250"/>
      <c r="R234" s="251"/>
      <c r="S234" s="190" t="s">
        <v>1513</v>
      </c>
      <c r="T234" s="191"/>
      <c r="U234" s="909"/>
      <c r="V234" s="909"/>
      <c r="W234" s="193"/>
      <c r="X234" s="182"/>
      <c r="Y234" s="182"/>
      <c r="Z234" s="182"/>
      <c r="AA234" s="182"/>
      <c r="AB234" s="210"/>
      <c r="AC234" s="182"/>
      <c r="AD234" s="182"/>
      <c r="AE234" s="211"/>
    </row>
    <row r="235" spans="2:31" ht="17.25" customHeight="1">
      <c r="B235" s="180">
        <v>148</v>
      </c>
      <c r="C235" s="816"/>
      <c r="D235" s="765"/>
      <c r="E235" s="186" t="s">
        <v>10</v>
      </c>
      <c r="F235" s="187" t="str">
        <f t="shared" si="9"/>
        <v>IB31094</v>
      </c>
      <c r="G235" s="271"/>
      <c r="H235" s="272"/>
      <c r="I235" s="272"/>
      <c r="J235" s="273"/>
      <c r="K235" s="190"/>
      <c r="L235" s="209"/>
      <c r="M235" s="186" t="s">
        <v>11</v>
      </c>
      <c r="N235" s="195" t="str">
        <f t="shared" si="8"/>
        <v>OB31094</v>
      </c>
      <c r="O235" s="463" t="s">
        <v>1232</v>
      </c>
      <c r="P235" s="250"/>
      <c r="Q235" s="250"/>
      <c r="R235" s="251"/>
      <c r="S235" s="190" t="s">
        <v>1513</v>
      </c>
      <c r="T235" s="191"/>
      <c r="U235" s="909"/>
      <c r="V235" s="909"/>
      <c r="W235" s="193"/>
      <c r="X235" s="182"/>
      <c r="Y235" s="182"/>
      <c r="Z235" s="182"/>
      <c r="AA235" s="182"/>
      <c r="AB235" s="210"/>
      <c r="AC235" s="182"/>
      <c r="AD235" s="182"/>
      <c r="AE235" s="211"/>
    </row>
    <row r="236" spans="2:31" ht="17.25" customHeight="1">
      <c r="B236" s="180">
        <v>149</v>
      </c>
      <c r="C236" s="816"/>
      <c r="D236" s="765"/>
      <c r="E236" s="186" t="s">
        <v>10</v>
      </c>
      <c r="F236" s="187" t="str">
        <f t="shared" si="9"/>
        <v>IB31095</v>
      </c>
      <c r="G236" s="271"/>
      <c r="H236" s="272"/>
      <c r="I236" s="272"/>
      <c r="J236" s="273"/>
      <c r="K236" s="190"/>
      <c r="L236" s="209"/>
      <c r="M236" s="186" t="s">
        <v>11</v>
      </c>
      <c r="N236" s="195" t="str">
        <f t="shared" si="8"/>
        <v>OB31095</v>
      </c>
      <c r="O236" s="463" t="s">
        <v>1233</v>
      </c>
      <c r="P236" s="250"/>
      <c r="Q236" s="250"/>
      <c r="R236" s="251"/>
      <c r="S236" s="190" t="s">
        <v>1513</v>
      </c>
      <c r="T236" s="191"/>
      <c r="U236" s="909"/>
      <c r="V236" s="909"/>
      <c r="W236" s="193"/>
      <c r="X236" s="182"/>
      <c r="Y236" s="182"/>
      <c r="Z236" s="182"/>
      <c r="AA236" s="182"/>
      <c r="AB236" s="210"/>
      <c r="AC236" s="182"/>
      <c r="AD236" s="182"/>
      <c r="AE236" s="211"/>
    </row>
    <row r="237" spans="2:31" ht="17.25" customHeight="1">
      <c r="B237" s="180">
        <v>150</v>
      </c>
      <c r="C237" s="816"/>
      <c r="D237" s="765"/>
      <c r="E237" s="186" t="s">
        <v>10</v>
      </c>
      <c r="F237" s="187" t="str">
        <f t="shared" si="9"/>
        <v>IB31096</v>
      </c>
      <c r="G237" s="271"/>
      <c r="H237" s="272"/>
      <c r="I237" s="272"/>
      <c r="J237" s="273"/>
      <c r="K237" s="190"/>
      <c r="L237" s="209"/>
      <c r="M237" s="186" t="s">
        <v>11</v>
      </c>
      <c r="N237" s="195" t="str">
        <f t="shared" si="8"/>
        <v>OB31096</v>
      </c>
      <c r="O237" s="463" t="s">
        <v>1234</v>
      </c>
      <c r="P237" s="250"/>
      <c r="Q237" s="250"/>
      <c r="R237" s="251"/>
      <c r="S237" s="190" t="s">
        <v>1513</v>
      </c>
      <c r="T237" s="191"/>
      <c r="U237" s="909"/>
      <c r="V237" s="909"/>
      <c r="W237" s="193"/>
      <c r="X237" s="182"/>
      <c r="Y237" s="182"/>
      <c r="Z237" s="182"/>
      <c r="AA237" s="182"/>
      <c r="AB237" s="210"/>
      <c r="AC237" s="182"/>
      <c r="AD237" s="182"/>
      <c r="AE237" s="211"/>
    </row>
    <row r="238" spans="2:31" ht="17.25" customHeight="1">
      <c r="B238" s="180">
        <v>151</v>
      </c>
      <c r="C238" s="816"/>
      <c r="D238" s="765"/>
      <c r="E238" s="186" t="s">
        <v>10</v>
      </c>
      <c r="F238" s="187" t="str">
        <f t="shared" si="9"/>
        <v>IB31097</v>
      </c>
      <c r="G238" s="271"/>
      <c r="H238" s="272"/>
      <c r="I238" s="272"/>
      <c r="J238" s="273"/>
      <c r="K238" s="190"/>
      <c r="L238" s="209"/>
      <c r="M238" s="186" t="s">
        <v>11</v>
      </c>
      <c r="N238" s="195" t="str">
        <f t="shared" si="8"/>
        <v>OB31097</v>
      </c>
      <c r="O238" s="463" t="s">
        <v>1235</v>
      </c>
      <c r="P238" s="250"/>
      <c r="Q238" s="250"/>
      <c r="R238" s="251"/>
      <c r="S238" s="190" t="s">
        <v>1513</v>
      </c>
      <c r="T238" s="191"/>
      <c r="U238" s="909"/>
      <c r="V238" s="909"/>
      <c r="W238" s="182"/>
      <c r="X238" s="182"/>
      <c r="Y238" s="182"/>
      <c r="Z238" s="182"/>
      <c r="AA238" s="182"/>
      <c r="AB238" s="210"/>
      <c r="AC238" s="182"/>
      <c r="AD238" s="182"/>
      <c r="AE238" s="211"/>
    </row>
    <row r="239" spans="2:31" ht="17.25" customHeight="1">
      <c r="B239" s="180">
        <v>152</v>
      </c>
      <c r="C239" s="816"/>
      <c r="D239" s="765"/>
      <c r="E239" s="186" t="s">
        <v>10</v>
      </c>
      <c r="F239" s="187" t="str">
        <f t="shared" si="9"/>
        <v>IB31098</v>
      </c>
      <c r="G239" s="271"/>
      <c r="H239" s="272"/>
      <c r="I239" s="272"/>
      <c r="J239" s="273"/>
      <c r="K239" s="213"/>
      <c r="L239" s="214"/>
      <c r="M239" s="186" t="s">
        <v>11</v>
      </c>
      <c r="N239" s="195" t="str">
        <f t="shared" si="8"/>
        <v>OB31098</v>
      </c>
      <c r="O239" s="463" t="s">
        <v>1236</v>
      </c>
      <c r="P239" s="250"/>
      <c r="Q239" s="250"/>
      <c r="R239" s="251"/>
      <c r="S239" s="190" t="s">
        <v>1513</v>
      </c>
      <c r="T239" s="191"/>
      <c r="U239" s="909"/>
      <c r="V239" s="909"/>
      <c r="W239" s="193"/>
      <c r="X239" s="182"/>
      <c r="Y239" s="182"/>
      <c r="Z239" s="182"/>
      <c r="AA239" s="182"/>
      <c r="AB239" s="210"/>
      <c r="AC239" s="182"/>
      <c r="AD239" s="182"/>
      <c r="AE239" s="211"/>
    </row>
    <row r="240" spans="2:31" ht="17.25" customHeight="1">
      <c r="B240" s="180">
        <v>153</v>
      </c>
      <c r="C240" s="816"/>
      <c r="D240" s="765"/>
      <c r="E240" s="186" t="s">
        <v>10</v>
      </c>
      <c r="F240" s="187" t="str">
        <f t="shared" si="9"/>
        <v>IB31099</v>
      </c>
      <c r="G240" s="271"/>
      <c r="H240" s="272"/>
      <c r="I240" s="272"/>
      <c r="J240" s="273"/>
      <c r="K240" s="213"/>
      <c r="L240" s="214"/>
      <c r="M240" s="186" t="s">
        <v>11</v>
      </c>
      <c r="N240" s="195" t="str">
        <f t="shared" si="8"/>
        <v>OB31099</v>
      </c>
      <c r="O240" s="463" t="s">
        <v>1237</v>
      </c>
      <c r="P240" s="250"/>
      <c r="Q240" s="250"/>
      <c r="R240" s="251"/>
      <c r="S240" s="190" t="s">
        <v>1513</v>
      </c>
      <c r="T240" s="191"/>
      <c r="U240" s="909"/>
      <c r="V240" s="909"/>
      <c r="W240" s="193"/>
      <c r="X240" s="182"/>
      <c r="Y240" s="182"/>
      <c r="Z240" s="182"/>
      <c r="AA240" s="182"/>
      <c r="AB240" s="210"/>
      <c r="AC240" s="182"/>
      <c r="AD240" s="182"/>
      <c r="AE240" s="211"/>
    </row>
    <row r="241" spans="2:31" ht="17.25" customHeight="1">
      <c r="B241" s="180">
        <v>154</v>
      </c>
      <c r="C241" s="816"/>
      <c r="D241" s="765"/>
      <c r="E241" s="186" t="s">
        <v>29</v>
      </c>
      <c r="F241" s="187" t="str">
        <f t="shared" si="9"/>
        <v>IB3109A</v>
      </c>
      <c r="G241" s="271"/>
      <c r="H241" s="272"/>
      <c r="I241" s="272"/>
      <c r="J241" s="273"/>
      <c r="K241" s="213"/>
      <c r="L241" s="214"/>
      <c r="M241" s="186" t="s">
        <v>11</v>
      </c>
      <c r="N241" s="195" t="str">
        <f t="shared" si="8"/>
        <v>OB3109A</v>
      </c>
      <c r="O241" s="463" t="s">
        <v>1238</v>
      </c>
      <c r="P241" s="250"/>
      <c r="Q241" s="250"/>
      <c r="R241" s="251"/>
      <c r="S241" s="190" t="s">
        <v>1513</v>
      </c>
      <c r="T241" s="191"/>
      <c r="U241" s="909"/>
      <c r="V241" s="909"/>
      <c r="W241" s="193"/>
      <c r="X241" s="182"/>
      <c r="Y241" s="182"/>
      <c r="Z241" s="182"/>
      <c r="AA241" s="182"/>
      <c r="AB241" s="210"/>
      <c r="AC241" s="182"/>
      <c r="AD241" s="182"/>
      <c r="AE241" s="211"/>
    </row>
    <row r="242" spans="2:31" ht="17.25" customHeight="1">
      <c r="B242" s="180">
        <v>155</v>
      </c>
      <c r="C242" s="816"/>
      <c r="D242" s="765"/>
      <c r="E242" s="186" t="s">
        <v>10</v>
      </c>
      <c r="F242" s="187" t="str">
        <f t="shared" si="9"/>
        <v>IB3109B</v>
      </c>
      <c r="G242" s="271"/>
      <c r="H242" s="272"/>
      <c r="I242" s="272"/>
      <c r="J242" s="273"/>
      <c r="K242" s="213"/>
      <c r="L242" s="214"/>
      <c r="M242" s="186" t="s">
        <v>11</v>
      </c>
      <c r="N242" s="195" t="str">
        <f t="shared" si="8"/>
        <v>OB3109B</v>
      </c>
      <c r="O242" s="463" t="s">
        <v>1239</v>
      </c>
      <c r="P242" s="250"/>
      <c r="Q242" s="250"/>
      <c r="R242" s="251"/>
      <c r="S242" s="190" t="s">
        <v>1513</v>
      </c>
      <c r="T242" s="191"/>
      <c r="U242" s="909"/>
      <c r="V242" s="909"/>
      <c r="W242" s="193"/>
      <c r="X242" s="182"/>
      <c r="Y242" s="182"/>
      <c r="Z242" s="182"/>
      <c r="AA242" s="182"/>
      <c r="AB242" s="210"/>
      <c r="AC242" s="182"/>
      <c r="AD242" s="182"/>
      <c r="AE242" s="211"/>
    </row>
    <row r="243" spans="2:31" ht="17.25" customHeight="1">
      <c r="B243" s="180">
        <v>156</v>
      </c>
      <c r="C243" s="816"/>
      <c r="D243" s="765"/>
      <c r="E243" s="186" t="s">
        <v>10</v>
      </c>
      <c r="F243" s="187" t="str">
        <f t="shared" si="9"/>
        <v>IB3109C</v>
      </c>
      <c r="G243" s="271"/>
      <c r="H243" s="272"/>
      <c r="I243" s="272"/>
      <c r="J243" s="273"/>
      <c r="K243" s="216"/>
      <c r="L243" s="217"/>
      <c r="M243" s="186" t="s">
        <v>11</v>
      </c>
      <c r="N243" s="195" t="str">
        <f t="shared" si="8"/>
        <v>OB3109C</v>
      </c>
      <c r="O243" s="463" t="s">
        <v>1240</v>
      </c>
      <c r="P243" s="250"/>
      <c r="Q243" s="250"/>
      <c r="R243" s="251"/>
      <c r="S243" s="190" t="s">
        <v>1513</v>
      </c>
      <c r="T243" s="191"/>
      <c r="U243" s="909"/>
      <c r="V243" s="909"/>
      <c r="W243" s="193"/>
      <c r="X243" s="182"/>
      <c r="Y243" s="182"/>
      <c r="Z243" s="182"/>
      <c r="AA243" s="182"/>
      <c r="AB243" s="210"/>
      <c r="AC243" s="182"/>
      <c r="AD243" s="182"/>
      <c r="AE243" s="211"/>
    </row>
    <row r="244" spans="2:31" ht="17.25" customHeight="1">
      <c r="B244" s="180">
        <v>157</v>
      </c>
      <c r="C244" s="816"/>
      <c r="D244" s="765"/>
      <c r="E244" s="186" t="s">
        <v>10</v>
      </c>
      <c r="F244" s="187" t="str">
        <f t="shared" si="9"/>
        <v>IB3109D</v>
      </c>
      <c r="G244" s="271"/>
      <c r="H244" s="272"/>
      <c r="I244" s="272"/>
      <c r="J244" s="273"/>
      <c r="K244" s="182"/>
      <c r="L244" s="188"/>
      <c r="M244" s="186" t="s">
        <v>11</v>
      </c>
      <c r="N244" s="195" t="str">
        <f t="shared" si="8"/>
        <v>OB3109D</v>
      </c>
      <c r="O244" s="463" t="s">
        <v>1241</v>
      </c>
      <c r="P244" s="250"/>
      <c r="Q244" s="250"/>
      <c r="R244" s="251"/>
      <c r="S244" s="190" t="s">
        <v>1513</v>
      </c>
      <c r="T244" s="191"/>
      <c r="U244" s="909"/>
      <c r="V244" s="909"/>
      <c r="W244" s="193"/>
      <c r="X244" s="182"/>
      <c r="Y244" s="182"/>
      <c r="Z244" s="182"/>
      <c r="AA244" s="182"/>
      <c r="AB244" s="210"/>
      <c r="AC244" s="182"/>
      <c r="AD244" s="182"/>
      <c r="AE244" s="211"/>
    </row>
    <row r="245" spans="2:31" ht="17.25" customHeight="1">
      <c r="B245" s="180">
        <v>158</v>
      </c>
      <c r="C245" s="816"/>
      <c r="D245" s="765"/>
      <c r="E245" s="186" t="s">
        <v>10</v>
      </c>
      <c r="F245" s="187" t="str">
        <f t="shared" si="9"/>
        <v>IB3109E</v>
      </c>
      <c r="G245" s="271"/>
      <c r="H245" s="272"/>
      <c r="I245" s="272"/>
      <c r="J245" s="273"/>
      <c r="K245" s="182"/>
      <c r="L245" s="188"/>
      <c r="M245" s="186" t="s">
        <v>11</v>
      </c>
      <c r="N245" s="195" t="str">
        <f t="shared" si="8"/>
        <v>OB3109E</v>
      </c>
      <c r="O245" s="463" t="s">
        <v>1242</v>
      </c>
      <c r="P245" s="250"/>
      <c r="Q245" s="250"/>
      <c r="R245" s="251"/>
      <c r="S245" s="190" t="s">
        <v>1513</v>
      </c>
      <c r="T245" s="191"/>
      <c r="U245" s="909"/>
      <c r="V245" s="909"/>
      <c r="W245" s="193"/>
      <c r="X245" s="182"/>
      <c r="Y245" s="182"/>
      <c r="Z245" s="182"/>
      <c r="AA245" s="182"/>
      <c r="AB245" s="210"/>
      <c r="AC245" s="182"/>
      <c r="AD245" s="182"/>
      <c r="AE245" s="211"/>
    </row>
    <row r="246" spans="2:31" ht="17.25" customHeight="1">
      <c r="B246" s="180">
        <v>159</v>
      </c>
      <c r="C246" s="926"/>
      <c r="D246" s="765"/>
      <c r="E246" s="186" t="s">
        <v>10</v>
      </c>
      <c r="F246" s="187" t="str">
        <f t="shared" si="9"/>
        <v>IB3109F</v>
      </c>
      <c r="G246" s="271"/>
      <c r="H246" s="272"/>
      <c r="I246" s="272"/>
      <c r="J246" s="273"/>
      <c r="K246" s="182"/>
      <c r="L246" s="188"/>
      <c r="M246" s="186" t="s">
        <v>11</v>
      </c>
      <c r="N246" s="195" t="str">
        <f t="shared" si="8"/>
        <v>OB3109F</v>
      </c>
      <c r="O246" s="249"/>
      <c r="P246" s="250"/>
      <c r="Q246" s="250"/>
      <c r="R246" s="251"/>
      <c r="S246" s="190"/>
      <c r="T246" s="191"/>
      <c r="U246" s="909"/>
      <c r="V246" s="909"/>
      <c r="W246" s="182"/>
      <c r="X246" s="182"/>
      <c r="Y246" s="182"/>
      <c r="Z246" s="182"/>
      <c r="AA246" s="182"/>
      <c r="AB246" s="210"/>
      <c r="AC246" s="182"/>
      <c r="AD246" s="182"/>
      <c r="AE246" s="211"/>
    </row>
    <row r="247" spans="2:31" ht="17.25" customHeight="1">
      <c r="B247" s="180">
        <v>160</v>
      </c>
      <c r="C247" s="927" t="s">
        <v>52</v>
      </c>
      <c r="D247" s="901" t="s">
        <v>264</v>
      </c>
      <c r="E247" s="186" t="s">
        <v>10</v>
      </c>
      <c r="F247" s="187" t="str">
        <f t="shared" si="9"/>
        <v>IB310A0</v>
      </c>
      <c r="G247" s="243" t="s">
        <v>1220</v>
      </c>
      <c r="H247" s="244"/>
      <c r="I247" s="244"/>
      <c r="J247" s="245"/>
      <c r="K247" s="190" t="s">
        <v>1513</v>
      </c>
      <c r="L247" s="191"/>
      <c r="M247" s="186" t="s">
        <v>11</v>
      </c>
      <c r="N247" s="195" t="str">
        <f t="shared" si="8"/>
        <v>OB310A0</v>
      </c>
      <c r="O247" s="254"/>
      <c r="P247" s="255"/>
      <c r="Q247" s="255"/>
      <c r="R247" s="256"/>
      <c r="S247" s="190"/>
      <c r="T247" s="191"/>
      <c r="U247" s="909"/>
      <c r="V247" s="909"/>
      <c r="W247" s="193"/>
      <c r="X247" s="182"/>
      <c r="Y247" s="182"/>
      <c r="Z247" s="182"/>
      <c r="AA247" s="182"/>
      <c r="AB247" s="210"/>
      <c r="AC247" s="182"/>
      <c r="AD247" s="182"/>
      <c r="AE247" s="211"/>
    </row>
    <row r="248" spans="2:31" ht="17.25" customHeight="1">
      <c r="B248" s="180">
        <v>161</v>
      </c>
      <c r="C248" s="811"/>
      <c r="D248" s="765"/>
      <c r="E248" s="186" t="s">
        <v>10</v>
      </c>
      <c r="F248" s="187" t="str">
        <f t="shared" si="9"/>
        <v>IB310A1</v>
      </c>
      <c r="G248" s="243" t="s">
        <v>1221</v>
      </c>
      <c r="H248" s="244"/>
      <c r="I248" s="244"/>
      <c r="J248" s="245"/>
      <c r="K248" s="190" t="s">
        <v>1513</v>
      </c>
      <c r="L248" s="191"/>
      <c r="M248" s="186" t="s">
        <v>11</v>
      </c>
      <c r="N248" s="195" t="str">
        <f t="shared" si="8"/>
        <v>OB310A1</v>
      </c>
      <c r="O248" s="254"/>
      <c r="P248" s="255"/>
      <c r="Q248" s="255"/>
      <c r="R248" s="256"/>
      <c r="S248" s="190"/>
      <c r="T248" s="191"/>
      <c r="U248" s="909"/>
      <c r="V248" s="909"/>
      <c r="W248" s="193"/>
      <c r="X248" s="182"/>
      <c r="Y248" s="182"/>
      <c r="Z248" s="182"/>
      <c r="AA248" s="182"/>
      <c r="AB248" s="210"/>
      <c r="AC248" s="182"/>
      <c r="AD248" s="182"/>
      <c r="AE248" s="211"/>
    </row>
    <row r="249" spans="2:31" ht="17.25" customHeight="1">
      <c r="B249" s="180">
        <v>162</v>
      </c>
      <c r="C249" s="811"/>
      <c r="D249" s="765"/>
      <c r="E249" s="186" t="s">
        <v>10</v>
      </c>
      <c r="F249" s="187" t="str">
        <f t="shared" si="9"/>
        <v>IB310A2</v>
      </c>
      <c r="G249" s="243" t="s">
        <v>1222</v>
      </c>
      <c r="H249" s="244"/>
      <c r="I249" s="244"/>
      <c r="J249" s="245"/>
      <c r="K249" s="213" t="s">
        <v>1513</v>
      </c>
      <c r="L249" s="191"/>
      <c r="M249" s="186" t="s">
        <v>11</v>
      </c>
      <c r="N249" s="195" t="str">
        <f t="shared" si="8"/>
        <v>OB310A2</v>
      </c>
      <c r="O249" s="254"/>
      <c r="P249" s="255"/>
      <c r="Q249" s="255"/>
      <c r="R249" s="256"/>
      <c r="S249" s="190"/>
      <c r="T249" s="191"/>
      <c r="U249" s="909"/>
      <c r="V249" s="909"/>
      <c r="W249" s="193"/>
      <c r="X249" s="182"/>
      <c r="Y249" s="182"/>
      <c r="Z249" s="182"/>
      <c r="AA249" s="182"/>
      <c r="AB249" s="210"/>
      <c r="AC249" s="182"/>
      <c r="AD249" s="182"/>
      <c r="AE249" s="211"/>
    </row>
    <row r="250" spans="2:31" ht="17.25" customHeight="1">
      <c r="B250" s="180">
        <v>163</v>
      </c>
      <c r="C250" s="811"/>
      <c r="D250" s="765"/>
      <c r="E250" s="186" t="s">
        <v>10</v>
      </c>
      <c r="F250" s="187" t="str">
        <f t="shared" si="9"/>
        <v>IB310A3</v>
      </c>
      <c r="G250" s="243" t="s">
        <v>1223</v>
      </c>
      <c r="H250" s="244"/>
      <c r="I250" s="244"/>
      <c r="J250" s="245"/>
      <c r="K250" s="213" t="s">
        <v>1513</v>
      </c>
      <c r="L250" s="191"/>
      <c r="M250" s="186" t="s">
        <v>11</v>
      </c>
      <c r="N250" s="195" t="str">
        <f t="shared" si="8"/>
        <v>OB310A3</v>
      </c>
      <c r="O250" s="254"/>
      <c r="P250" s="255"/>
      <c r="Q250" s="255"/>
      <c r="R250" s="256"/>
      <c r="S250" s="190"/>
      <c r="T250" s="191"/>
      <c r="U250" s="909"/>
      <c r="V250" s="909"/>
      <c r="W250" s="193"/>
      <c r="X250" s="182"/>
      <c r="Y250" s="182"/>
      <c r="Z250" s="182"/>
      <c r="AA250" s="182"/>
      <c r="AB250" s="210"/>
      <c r="AC250" s="182"/>
      <c r="AD250" s="182"/>
      <c r="AE250" s="211"/>
    </row>
    <row r="251" spans="2:31" ht="17.25" customHeight="1">
      <c r="B251" s="180">
        <v>164</v>
      </c>
      <c r="C251" s="811"/>
      <c r="D251" s="765"/>
      <c r="E251" s="186" t="s">
        <v>10</v>
      </c>
      <c r="F251" s="187" t="str">
        <f t="shared" si="9"/>
        <v>IB310A4</v>
      </c>
      <c r="G251" s="243" t="s">
        <v>1224</v>
      </c>
      <c r="H251" s="244"/>
      <c r="I251" s="244"/>
      <c r="J251" s="245"/>
      <c r="K251" s="190" t="s">
        <v>1513</v>
      </c>
      <c r="L251" s="191"/>
      <c r="M251" s="186" t="s">
        <v>11</v>
      </c>
      <c r="N251" s="195" t="str">
        <f t="shared" si="8"/>
        <v>OB310A4</v>
      </c>
      <c r="O251" s="254"/>
      <c r="P251" s="255"/>
      <c r="Q251" s="255"/>
      <c r="R251" s="256"/>
      <c r="S251" s="190"/>
      <c r="T251" s="191"/>
      <c r="U251" s="909"/>
      <c r="V251" s="909"/>
      <c r="W251" s="182"/>
      <c r="X251" s="182"/>
      <c r="Y251" s="182"/>
      <c r="Z251" s="182"/>
      <c r="AA251" s="182"/>
      <c r="AB251" s="210"/>
      <c r="AC251" s="182"/>
      <c r="AD251" s="182"/>
      <c r="AE251" s="211"/>
    </row>
    <row r="252" spans="2:31" ht="17.25" customHeight="1">
      <c r="B252" s="180">
        <v>165</v>
      </c>
      <c r="C252" s="811"/>
      <c r="D252" s="765"/>
      <c r="E252" s="186" t="s">
        <v>10</v>
      </c>
      <c r="F252" s="187" t="str">
        <f t="shared" si="9"/>
        <v>IB310A5</v>
      </c>
      <c r="G252" s="243" t="s">
        <v>1225</v>
      </c>
      <c r="H252" s="244"/>
      <c r="I252" s="244"/>
      <c r="J252" s="245"/>
      <c r="K252" s="190" t="s">
        <v>1513</v>
      </c>
      <c r="L252" s="191"/>
      <c r="M252" s="186" t="s">
        <v>11</v>
      </c>
      <c r="N252" s="195" t="str">
        <f t="shared" si="8"/>
        <v>OB310A5</v>
      </c>
      <c r="O252" s="254"/>
      <c r="P252" s="255"/>
      <c r="Q252" s="255"/>
      <c r="R252" s="256"/>
      <c r="S252" s="190"/>
      <c r="T252" s="191"/>
      <c r="U252" s="909"/>
      <c r="V252" s="909"/>
      <c r="W252" s="182"/>
      <c r="X252" s="182"/>
      <c r="Y252" s="182"/>
      <c r="Z252" s="182"/>
      <c r="AA252" s="182"/>
      <c r="AB252" s="210"/>
      <c r="AC252" s="182"/>
      <c r="AD252" s="182"/>
      <c r="AE252" s="211"/>
    </row>
    <row r="253" spans="2:31" ht="17.25" customHeight="1">
      <c r="B253" s="180">
        <v>166</v>
      </c>
      <c r="C253" s="811"/>
      <c r="D253" s="765"/>
      <c r="E253" s="186" t="s">
        <v>10</v>
      </c>
      <c r="F253" s="187" t="str">
        <f t="shared" si="9"/>
        <v>IB310A6</v>
      </c>
      <c r="G253" s="243" t="s">
        <v>1226</v>
      </c>
      <c r="H253" s="244"/>
      <c r="I253" s="244"/>
      <c r="J253" s="245"/>
      <c r="K253" s="213" t="s">
        <v>1513</v>
      </c>
      <c r="L253" s="191"/>
      <c r="M253" s="186" t="s">
        <v>11</v>
      </c>
      <c r="N253" s="195" t="str">
        <f t="shared" si="8"/>
        <v>OB310A6</v>
      </c>
      <c r="O253" s="254"/>
      <c r="P253" s="255"/>
      <c r="Q253" s="255"/>
      <c r="R253" s="256"/>
      <c r="S253" s="190"/>
      <c r="T253" s="191"/>
      <c r="U253" s="909"/>
      <c r="V253" s="909"/>
      <c r="W253" s="182"/>
      <c r="X253" s="182"/>
      <c r="Y253" s="182"/>
      <c r="Z253" s="182"/>
      <c r="AA253" s="182"/>
      <c r="AB253" s="210"/>
      <c r="AC253" s="182"/>
      <c r="AD253" s="182"/>
      <c r="AE253" s="211"/>
    </row>
    <row r="254" spans="2:31" ht="17.25" customHeight="1">
      <c r="B254" s="180">
        <v>167</v>
      </c>
      <c r="C254" s="811"/>
      <c r="D254" s="765"/>
      <c r="E254" s="186" t="s">
        <v>10</v>
      </c>
      <c r="F254" s="187" t="str">
        <f t="shared" si="9"/>
        <v>IB310A7</v>
      </c>
      <c r="G254" s="243" t="s">
        <v>1227</v>
      </c>
      <c r="H254" s="244"/>
      <c r="I254" s="244"/>
      <c r="J254" s="245"/>
      <c r="K254" s="213" t="s">
        <v>1513</v>
      </c>
      <c r="L254" s="191"/>
      <c r="M254" s="186" t="s">
        <v>11</v>
      </c>
      <c r="N254" s="195" t="str">
        <f t="shared" si="8"/>
        <v>OB310A7</v>
      </c>
      <c r="O254" s="254"/>
      <c r="P254" s="255"/>
      <c r="Q254" s="255"/>
      <c r="R254" s="256"/>
      <c r="S254" s="190"/>
      <c r="T254" s="191"/>
      <c r="U254" s="909"/>
      <c r="V254" s="909"/>
      <c r="W254" s="182"/>
      <c r="X254" s="182"/>
      <c r="Y254" s="182"/>
      <c r="Z254" s="182"/>
      <c r="AA254" s="182"/>
      <c r="AB254" s="210"/>
      <c r="AC254" s="182"/>
      <c r="AD254" s="182"/>
      <c r="AE254" s="211"/>
    </row>
    <row r="255" spans="2:31" ht="17.25" customHeight="1">
      <c r="B255" s="180">
        <v>168</v>
      </c>
      <c r="C255" s="811"/>
      <c r="D255" s="765"/>
      <c r="E255" s="186" t="s">
        <v>10</v>
      </c>
      <c r="F255" s="187" t="str">
        <f t="shared" si="9"/>
        <v>IB310A8</v>
      </c>
      <c r="G255" s="381"/>
      <c r="H255" s="382"/>
      <c r="I255" s="382"/>
      <c r="J255" s="383"/>
      <c r="K255" s="213"/>
      <c r="L255" s="214"/>
      <c r="M255" s="186" t="s">
        <v>11</v>
      </c>
      <c r="N255" s="195" t="str">
        <f t="shared" si="8"/>
        <v>OB310A8</v>
      </c>
      <c r="O255" s="254"/>
      <c r="P255" s="255"/>
      <c r="Q255" s="255"/>
      <c r="R255" s="256"/>
      <c r="S255" s="190"/>
      <c r="T255" s="191"/>
      <c r="U255" s="909"/>
      <c r="V255" s="909"/>
      <c r="W255" s="193"/>
      <c r="X255" s="182"/>
      <c r="Y255" s="182"/>
      <c r="Z255" s="182"/>
      <c r="AA255" s="182"/>
      <c r="AB255" s="210"/>
      <c r="AC255" s="182"/>
      <c r="AD255" s="182"/>
      <c r="AE255" s="211"/>
    </row>
    <row r="256" spans="2:31" ht="17.25" customHeight="1">
      <c r="B256" s="180">
        <v>169</v>
      </c>
      <c r="C256" s="811"/>
      <c r="D256" s="765"/>
      <c r="E256" s="186" t="s">
        <v>10</v>
      </c>
      <c r="F256" s="187" t="str">
        <f t="shared" si="9"/>
        <v>IB310A9</v>
      </c>
      <c r="G256" s="381"/>
      <c r="H256" s="382"/>
      <c r="I256" s="382"/>
      <c r="J256" s="383"/>
      <c r="K256" s="213"/>
      <c r="L256" s="214"/>
      <c r="M256" s="186" t="s">
        <v>11</v>
      </c>
      <c r="N256" s="195" t="str">
        <f t="shared" si="8"/>
        <v>OB310A9</v>
      </c>
      <c r="O256" s="254"/>
      <c r="P256" s="255"/>
      <c r="Q256" s="255"/>
      <c r="R256" s="256"/>
      <c r="S256" s="190"/>
      <c r="T256" s="191"/>
      <c r="U256" s="909"/>
      <c r="V256" s="909"/>
      <c r="W256" s="193"/>
      <c r="X256" s="182"/>
      <c r="Y256" s="182"/>
      <c r="Z256" s="182"/>
      <c r="AA256" s="182"/>
      <c r="AB256" s="210"/>
      <c r="AC256" s="182"/>
      <c r="AD256" s="182"/>
      <c r="AE256" s="211"/>
    </row>
    <row r="257" spans="2:31" ht="17.25" customHeight="1">
      <c r="B257" s="180">
        <v>170</v>
      </c>
      <c r="C257" s="811"/>
      <c r="D257" s="765"/>
      <c r="E257" s="186" t="s">
        <v>10</v>
      </c>
      <c r="F257" s="187" t="str">
        <f t="shared" si="9"/>
        <v>IB310AA</v>
      </c>
      <c r="G257" s="381"/>
      <c r="H257" s="382"/>
      <c r="I257" s="382"/>
      <c r="J257" s="383"/>
      <c r="K257" s="213"/>
      <c r="L257" s="214"/>
      <c r="M257" s="186" t="s">
        <v>11</v>
      </c>
      <c r="N257" s="195" t="str">
        <f t="shared" si="8"/>
        <v>OB310AA</v>
      </c>
      <c r="O257" s="254"/>
      <c r="P257" s="255"/>
      <c r="Q257" s="255"/>
      <c r="R257" s="256"/>
      <c r="S257" s="190"/>
      <c r="T257" s="191"/>
      <c r="U257" s="909"/>
      <c r="V257" s="909"/>
      <c r="W257" s="193"/>
      <c r="X257" s="182"/>
      <c r="Y257" s="182"/>
      <c r="Z257" s="182"/>
      <c r="AA257" s="182"/>
      <c r="AB257" s="210"/>
      <c r="AC257" s="182"/>
      <c r="AD257" s="182"/>
      <c r="AE257" s="211"/>
    </row>
    <row r="258" spans="2:31" ht="17.25" customHeight="1">
      <c r="B258" s="180">
        <v>171</v>
      </c>
      <c r="C258" s="811"/>
      <c r="D258" s="765"/>
      <c r="E258" s="186" t="s">
        <v>10</v>
      </c>
      <c r="F258" s="187" t="str">
        <f t="shared" si="9"/>
        <v>IB310AB</v>
      </c>
      <c r="G258" s="381"/>
      <c r="H258" s="382"/>
      <c r="I258" s="382"/>
      <c r="J258" s="383"/>
      <c r="K258" s="213"/>
      <c r="L258" s="214"/>
      <c r="M258" s="186" t="s">
        <v>11</v>
      </c>
      <c r="N258" s="195" t="str">
        <f t="shared" si="8"/>
        <v>OB310AB</v>
      </c>
      <c r="O258" s="254"/>
      <c r="P258" s="255"/>
      <c r="Q258" s="255"/>
      <c r="R258" s="256"/>
      <c r="S258" s="190"/>
      <c r="T258" s="191"/>
      <c r="U258" s="909"/>
      <c r="V258" s="909"/>
      <c r="W258" s="193"/>
      <c r="X258" s="182"/>
      <c r="Y258" s="182"/>
      <c r="Z258" s="182"/>
      <c r="AA258" s="182"/>
      <c r="AB258" s="210"/>
      <c r="AC258" s="182"/>
      <c r="AD258" s="182"/>
      <c r="AE258" s="211"/>
    </row>
    <row r="259" spans="2:31" ht="17.25" customHeight="1">
      <c r="B259" s="180">
        <v>172</v>
      </c>
      <c r="C259" s="811"/>
      <c r="D259" s="765"/>
      <c r="E259" s="186" t="s">
        <v>10</v>
      </c>
      <c r="F259" s="187" t="str">
        <f t="shared" si="9"/>
        <v>IB310AC</v>
      </c>
      <c r="G259" s="381"/>
      <c r="H259" s="382"/>
      <c r="I259" s="382"/>
      <c r="J259" s="383"/>
      <c r="K259" s="216"/>
      <c r="L259" s="217"/>
      <c r="M259" s="186" t="s">
        <v>11</v>
      </c>
      <c r="N259" s="195" t="str">
        <f t="shared" si="8"/>
        <v>OB310AC</v>
      </c>
      <c r="O259" s="254"/>
      <c r="P259" s="255"/>
      <c r="Q259" s="255"/>
      <c r="R259" s="256"/>
      <c r="S259" s="190"/>
      <c r="T259" s="191"/>
      <c r="U259" s="909"/>
      <c r="V259" s="909"/>
      <c r="W259" s="193"/>
      <c r="X259" s="182"/>
      <c r="Y259" s="182"/>
      <c r="Z259" s="182"/>
      <c r="AA259" s="182"/>
      <c r="AB259" s="210"/>
      <c r="AC259" s="182"/>
      <c r="AD259" s="182"/>
      <c r="AE259" s="211"/>
    </row>
    <row r="260" spans="2:31" ht="17.25" customHeight="1">
      <c r="B260" s="180">
        <v>173</v>
      </c>
      <c r="C260" s="811"/>
      <c r="D260" s="765"/>
      <c r="E260" s="186" t="s">
        <v>10</v>
      </c>
      <c r="F260" s="187" t="str">
        <f t="shared" si="9"/>
        <v>IB310AD</v>
      </c>
      <c r="G260" s="381"/>
      <c r="H260" s="382"/>
      <c r="I260" s="382"/>
      <c r="J260" s="383"/>
      <c r="K260" s="182"/>
      <c r="L260" s="188"/>
      <c r="M260" s="186" t="s">
        <v>11</v>
      </c>
      <c r="N260" s="195" t="str">
        <f t="shared" si="8"/>
        <v>OB310AD</v>
      </c>
      <c r="O260" s="254"/>
      <c r="P260" s="255"/>
      <c r="Q260" s="255"/>
      <c r="R260" s="256"/>
      <c r="S260" s="190"/>
      <c r="T260" s="191"/>
      <c r="U260" s="909"/>
      <c r="V260" s="909"/>
      <c r="W260" s="193"/>
      <c r="X260" s="182"/>
      <c r="Y260" s="182"/>
      <c r="Z260" s="182"/>
      <c r="AA260" s="182"/>
      <c r="AB260" s="210"/>
      <c r="AC260" s="182"/>
      <c r="AD260" s="182"/>
      <c r="AE260" s="211"/>
    </row>
    <row r="261" spans="2:31" ht="17.25" customHeight="1">
      <c r="B261" s="180">
        <v>174</v>
      </c>
      <c r="C261" s="811"/>
      <c r="D261" s="765"/>
      <c r="E261" s="186" t="s">
        <v>10</v>
      </c>
      <c r="F261" s="187" t="str">
        <f t="shared" si="9"/>
        <v>IB310AE</v>
      </c>
      <c r="G261" s="381"/>
      <c r="H261" s="382"/>
      <c r="I261" s="382"/>
      <c r="J261" s="383"/>
      <c r="K261" s="182"/>
      <c r="L261" s="188"/>
      <c r="M261" s="186" t="s">
        <v>11</v>
      </c>
      <c r="N261" s="195" t="str">
        <f t="shared" si="8"/>
        <v>OB310AE</v>
      </c>
      <c r="O261" s="254"/>
      <c r="P261" s="255"/>
      <c r="Q261" s="255"/>
      <c r="R261" s="256"/>
      <c r="S261" s="190"/>
      <c r="T261" s="191"/>
      <c r="U261" s="909"/>
      <c r="V261" s="909"/>
      <c r="W261" s="193"/>
      <c r="X261" s="182"/>
      <c r="Y261" s="182"/>
      <c r="Z261" s="182"/>
      <c r="AA261" s="182"/>
      <c r="AB261" s="210"/>
      <c r="AC261" s="182"/>
      <c r="AD261" s="182"/>
      <c r="AE261" s="211"/>
    </row>
    <row r="262" spans="2:31" ht="17.25" customHeight="1">
      <c r="B262" s="180">
        <v>175</v>
      </c>
      <c r="C262" s="928"/>
      <c r="D262" s="765"/>
      <c r="E262" s="186" t="s">
        <v>10</v>
      </c>
      <c r="F262" s="187" t="str">
        <f t="shared" si="9"/>
        <v>IB310AF</v>
      </c>
      <c r="G262" s="381"/>
      <c r="H262" s="382"/>
      <c r="I262" s="382"/>
      <c r="J262" s="383"/>
      <c r="K262" s="182"/>
      <c r="L262" s="188"/>
      <c r="M262" s="186" t="s">
        <v>11</v>
      </c>
      <c r="N262" s="195" t="str">
        <f t="shared" si="8"/>
        <v>OB310AF</v>
      </c>
      <c r="O262" s="254"/>
      <c r="P262" s="255"/>
      <c r="Q262" s="255"/>
      <c r="R262" s="256"/>
      <c r="S262" s="190"/>
      <c r="T262" s="191"/>
      <c r="U262" s="909"/>
      <c r="V262" s="909"/>
      <c r="W262" s="193"/>
      <c r="X262" s="182"/>
      <c r="Y262" s="182"/>
      <c r="Z262" s="182"/>
      <c r="AA262" s="182"/>
      <c r="AB262" s="210"/>
      <c r="AC262" s="182"/>
      <c r="AD262" s="182"/>
      <c r="AE262" s="211"/>
    </row>
    <row r="263" spans="2:31" ht="17.25" customHeight="1">
      <c r="B263" s="180">
        <v>176</v>
      </c>
      <c r="C263" s="927" t="s">
        <v>1563</v>
      </c>
      <c r="D263" s="901" t="s">
        <v>264</v>
      </c>
      <c r="E263" s="186" t="s">
        <v>10</v>
      </c>
      <c r="F263" s="187" t="str">
        <f t="shared" si="9"/>
        <v>IB310B0</v>
      </c>
      <c r="G263" s="463" t="s">
        <v>1205</v>
      </c>
      <c r="H263" s="250"/>
      <c r="I263" s="250"/>
      <c r="J263" s="251"/>
      <c r="K263" s="190" t="s">
        <v>1513</v>
      </c>
      <c r="L263" s="209"/>
      <c r="M263" s="186" t="s">
        <v>11</v>
      </c>
      <c r="N263" s="195" t="str">
        <f t="shared" si="8"/>
        <v>OB310B0</v>
      </c>
      <c r="O263" s="254"/>
      <c r="P263" s="255"/>
      <c r="Q263" s="255"/>
      <c r="R263" s="256"/>
      <c r="S263" s="190"/>
      <c r="T263" s="191"/>
      <c r="U263" s="909"/>
      <c r="V263" s="909"/>
      <c r="W263" s="182"/>
      <c r="X263" s="182"/>
      <c r="Y263" s="182"/>
      <c r="Z263" s="182"/>
      <c r="AA263" s="182"/>
      <c r="AB263" s="210"/>
      <c r="AC263" s="182"/>
      <c r="AD263" s="182"/>
      <c r="AE263" s="211"/>
    </row>
    <row r="264" spans="2:31" ht="17.25" customHeight="1">
      <c r="B264" s="180">
        <v>177</v>
      </c>
      <c r="C264" s="811"/>
      <c r="D264" s="765"/>
      <c r="E264" s="186" t="s">
        <v>10</v>
      </c>
      <c r="F264" s="187" t="str">
        <f t="shared" si="9"/>
        <v>IB310B1</v>
      </c>
      <c r="G264" s="463" t="s">
        <v>1206</v>
      </c>
      <c r="H264" s="250"/>
      <c r="I264" s="250"/>
      <c r="J264" s="251"/>
      <c r="K264" s="190" t="s">
        <v>1513</v>
      </c>
      <c r="L264" s="209"/>
      <c r="M264" s="186" t="s">
        <v>11</v>
      </c>
      <c r="N264" s="195" t="str">
        <f t="shared" si="8"/>
        <v>OB310B1</v>
      </c>
      <c r="O264" s="254"/>
      <c r="P264" s="255"/>
      <c r="Q264" s="255"/>
      <c r="R264" s="256"/>
      <c r="S264" s="190"/>
      <c r="T264" s="191"/>
      <c r="U264" s="909"/>
      <c r="V264" s="909"/>
      <c r="W264" s="182"/>
      <c r="X264" s="182"/>
      <c r="Y264" s="182"/>
      <c r="Z264" s="182"/>
      <c r="AA264" s="182"/>
      <c r="AB264" s="210"/>
      <c r="AC264" s="182"/>
      <c r="AD264" s="182"/>
      <c r="AE264" s="211"/>
    </row>
    <row r="265" spans="2:31" ht="17.25" customHeight="1">
      <c r="B265" s="180">
        <v>178</v>
      </c>
      <c r="C265" s="811"/>
      <c r="D265" s="765"/>
      <c r="E265" s="186" t="s">
        <v>10</v>
      </c>
      <c r="F265" s="187" t="str">
        <f t="shared" si="9"/>
        <v>IB310B2</v>
      </c>
      <c r="G265" s="463" t="s">
        <v>1207</v>
      </c>
      <c r="H265" s="250"/>
      <c r="I265" s="250"/>
      <c r="J265" s="251"/>
      <c r="K265" s="190" t="s">
        <v>1513</v>
      </c>
      <c r="L265" s="209"/>
      <c r="M265" s="186" t="s">
        <v>11</v>
      </c>
      <c r="N265" s="195" t="str">
        <f t="shared" ref="N265:N328" si="10">LEFT(N264,1)&amp;DEC2HEX(HEX2DEC(MID(N264,2,LENB(N264)-1))+1,LENB(N264)-1)</f>
        <v>OB310B2</v>
      </c>
      <c r="O265" s="254"/>
      <c r="P265" s="255"/>
      <c r="Q265" s="255"/>
      <c r="R265" s="256"/>
      <c r="S265" s="190"/>
      <c r="T265" s="191"/>
      <c r="U265" s="909"/>
      <c r="V265" s="909"/>
      <c r="W265" s="182"/>
      <c r="X265" s="182"/>
      <c r="Y265" s="182"/>
      <c r="Z265" s="182"/>
      <c r="AA265" s="182"/>
      <c r="AB265" s="210"/>
      <c r="AC265" s="182"/>
      <c r="AD265" s="182"/>
      <c r="AE265" s="211"/>
    </row>
    <row r="266" spans="2:31" ht="17.25" customHeight="1">
      <c r="B266" s="180">
        <v>179</v>
      </c>
      <c r="C266" s="811"/>
      <c r="D266" s="765"/>
      <c r="E266" s="186" t="s">
        <v>10</v>
      </c>
      <c r="F266" s="187" t="str">
        <f t="shared" si="9"/>
        <v>IB310B3</v>
      </c>
      <c r="G266" s="463" t="s">
        <v>1208</v>
      </c>
      <c r="H266" s="250"/>
      <c r="I266" s="250"/>
      <c r="J266" s="251"/>
      <c r="K266" s="190" t="s">
        <v>1513</v>
      </c>
      <c r="L266" s="209"/>
      <c r="M266" s="186" t="s">
        <v>11</v>
      </c>
      <c r="N266" s="195" t="str">
        <f t="shared" si="10"/>
        <v>OB310B3</v>
      </c>
      <c r="O266" s="254"/>
      <c r="P266" s="255"/>
      <c r="Q266" s="255"/>
      <c r="R266" s="256"/>
      <c r="S266" s="190"/>
      <c r="T266" s="191"/>
      <c r="U266" s="909"/>
      <c r="V266" s="909"/>
      <c r="W266" s="182"/>
      <c r="X266" s="182"/>
      <c r="Y266" s="182"/>
      <c r="Z266" s="182"/>
      <c r="AA266" s="182"/>
      <c r="AB266" s="210"/>
      <c r="AC266" s="182"/>
      <c r="AD266" s="182"/>
      <c r="AE266" s="211"/>
    </row>
    <row r="267" spans="2:31" ht="17.25" customHeight="1">
      <c r="B267" s="180">
        <v>180</v>
      </c>
      <c r="C267" s="811"/>
      <c r="D267" s="765"/>
      <c r="E267" s="186" t="s">
        <v>10</v>
      </c>
      <c r="F267" s="187" t="str">
        <f t="shared" si="9"/>
        <v>IB310B4</v>
      </c>
      <c r="G267" s="463" t="s">
        <v>1209</v>
      </c>
      <c r="H267" s="384"/>
      <c r="I267" s="384"/>
      <c r="J267" s="385"/>
      <c r="K267" s="190" t="s">
        <v>1513</v>
      </c>
      <c r="L267" s="209"/>
      <c r="M267" s="186" t="s">
        <v>11</v>
      </c>
      <c r="N267" s="195" t="str">
        <f t="shared" si="10"/>
        <v>OB310B4</v>
      </c>
      <c r="O267" s="254"/>
      <c r="P267" s="255"/>
      <c r="Q267" s="255"/>
      <c r="R267" s="256"/>
      <c r="S267" s="190"/>
      <c r="T267" s="191"/>
      <c r="U267" s="909"/>
      <c r="V267" s="909"/>
      <c r="W267" s="182"/>
      <c r="X267" s="182"/>
      <c r="Y267" s="182"/>
      <c r="Z267" s="182"/>
      <c r="AA267" s="182"/>
      <c r="AB267" s="210"/>
      <c r="AC267" s="182"/>
      <c r="AD267" s="182"/>
      <c r="AE267" s="211"/>
    </row>
    <row r="268" spans="2:31" ht="17.25" customHeight="1">
      <c r="B268" s="180">
        <v>181</v>
      </c>
      <c r="C268" s="811"/>
      <c r="D268" s="765"/>
      <c r="E268" s="186" t="s">
        <v>10</v>
      </c>
      <c r="F268" s="187" t="str">
        <f t="shared" si="9"/>
        <v>IB310B5</v>
      </c>
      <c r="G268" s="249"/>
      <c r="H268" s="250"/>
      <c r="I268" s="250"/>
      <c r="J268" s="251"/>
      <c r="K268" s="190"/>
      <c r="L268" s="209"/>
      <c r="M268" s="186" t="s">
        <v>11</v>
      </c>
      <c r="N268" s="195" t="str">
        <f t="shared" si="10"/>
        <v>OB310B5</v>
      </c>
      <c r="O268" s="254"/>
      <c r="P268" s="255"/>
      <c r="Q268" s="255"/>
      <c r="R268" s="256"/>
      <c r="S268" s="190"/>
      <c r="T268" s="191"/>
      <c r="U268" s="909"/>
      <c r="V268" s="909"/>
      <c r="W268" s="182"/>
      <c r="X268" s="182"/>
      <c r="Y268" s="182"/>
      <c r="Z268" s="182"/>
      <c r="AA268" s="182"/>
      <c r="AB268" s="210"/>
      <c r="AC268" s="182"/>
      <c r="AD268" s="182"/>
      <c r="AE268" s="211"/>
    </row>
    <row r="269" spans="2:31" ht="17.25" customHeight="1">
      <c r="B269" s="180">
        <v>182</v>
      </c>
      <c r="C269" s="811"/>
      <c r="D269" s="765"/>
      <c r="E269" s="186" t="s">
        <v>10</v>
      </c>
      <c r="F269" s="187" t="str">
        <f t="shared" si="9"/>
        <v>IB310B6</v>
      </c>
      <c r="G269" s="243" t="s">
        <v>1214</v>
      </c>
      <c r="H269" s="244"/>
      <c r="I269" s="244"/>
      <c r="J269" s="245"/>
      <c r="K269" s="190" t="s">
        <v>1516</v>
      </c>
      <c r="L269" s="209"/>
      <c r="M269" s="186" t="s">
        <v>11</v>
      </c>
      <c r="N269" s="195" t="str">
        <f t="shared" si="10"/>
        <v>OB310B6</v>
      </c>
      <c r="O269" s="254"/>
      <c r="P269" s="255"/>
      <c r="Q269" s="255"/>
      <c r="R269" s="256"/>
      <c r="S269" s="190"/>
      <c r="T269" s="191"/>
      <c r="U269" s="909"/>
      <c r="V269" s="909"/>
      <c r="W269" s="182"/>
      <c r="X269" s="182"/>
      <c r="Y269" s="182"/>
      <c r="Z269" s="182"/>
      <c r="AA269" s="182"/>
      <c r="AB269" s="210"/>
      <c r="AC269" s="182"/>
      <c r="AD269" s="182"/>
      <c r="AE269" s="211"/>
    </row>
    <row r="270" spans="2:31" ht="17.25" customHeight="1">
      <c r="B270" s="180">
        <v>183</v>
      </c>
      <c r="C270" s="811"/>
      <c r="D270" s="765"/>
      <c r="E270" s="186" t="s">
        <v>10</v>
      </c>
      <c r="F270" s="187" t="str">
        <f t="shared" si="9"/>
        <v>IB310B7</v>
      </c>
      <c r="G270" s="243" t="s">
        <v>1219</v>
      </c>
      <c r="H270" s="244"/>
      <c r="I270" s="244"/>
      <c r="J270" s="245"/>
      <c r="K270" s="190" t="s">
        <v>1513</v>
      </c>
      <c r="L270" s="209"/>
      <c r="M270" s="186" t="s">
        <v>11</v>
      </c>
      <c r="N270" s="195" t="str">
        <f t="shared" si="10"/>
        <v>OB310B7</v>
      </c>
      <c r="O270" s="254"/>
      <c r="P270" s="255"/>
      <c r="Q270" s="255"/>
      <c r="R270" s="256"/>
      <c r="S270" s="190"/>
      <c r="T270" s="191"/>
      <c r="U270" s="909"/>
      <c r="V270" s="909"/>
      <c r="W270" s="182"/>
      <c r="X270" s="182"/>
      <c r="Y270" s="182"/>
      <c r="Z270" s="182"/>
      <c r="AA270" s="182"/>
      <c r="AB270" s="210"/>
      <c r="AC270" s="182"/>
      <c r="AD270" s="182"/>
      <c r="AE270" s="211"/>
    </row>
    <row r="271" spans="2:31" ht="17.25" customHeight="1">
      <c r="B271" s="180">
        <v>184</v>
      </c>
      <c r="C271" s="811"/>
      <c r="D271" s="765"/>
      <c r="E271" s="186" t="s">
        <v>10</v>
      </c>
      <c r="F271" s="187" t="str">
        <f t="shared" si="9"/>
        <v>IB310B8</v>
      </c>
      <c r="G271" s="463" t="s">
        <v>1210</v>
      </c>
      <c r="H271" s="250"/>
      <c r="I271" s="250"/>
      <c r="J271" s="251"/>
      <c r="K271" s="190" t="s">
        <v>1513</v>
      </c>
      <c r="L271" s="209"/>
      <c r="M271" s="186" t="s">
        <v>11</v>
      </c>
      <c r="N271" s="195" t="str">
        <f t="shared" si="10"/>
        <v>OB310B8</v>
      </c>
      <c r="O271" s="254"/>
      <c r="P271" s="255"/>
      <c r="Q271" s="255"/>
      <c r="R271" s="256"/>
      <c r="S271" s="190"/>
      <c r="T271" s="191"/>
      <c r="U271" s="909"/>
      <c r="V271" s="909"/>
      <c r="W271" s="193"/>
      <c r="X271" s="182"/>
      <c r="Y271" s="182"/>
      <c r="Z271" s="182"/>
      <c r="AA271" s="182"/>
      <c r="AB271" s="210"/>
      <c r="AC271" s="182"/>
      <c r="AD271" s="182"/>
      <c r="AE271" s="211"/>
    </row>
    <row r="272" spans="2:31" ht="17.25" customHeight="1">
      <c r="B272" s="180">
        <v>185</v>
      </c>
      <c r="C272" s="811"/>
      <c r="D272" s="765"/>
      <c r="E272" s="186" t="s">
        <v>10</v>
      </c>
      <c r="F272" s="187" t="str">
        <f t="shared" si="9"/>
        <v>IB310B9</v>
      </c>
      <c r="G272" s="463" t="s">
        <v>1211</v>
      </c>
      <c r="H272" s="250"/>
      <c r="I272" s="250"/>
      <c r="J272" s="251"/>
      <c r="K272" s="190" t="s">
        <v>1513</v>
      </c>
      <c r="L272" s="209"/>
      <c r="M272" s="186" t="s">
        <v>11</v>
      </c>
      <c r="N272" s="195" t="str">
        <f t="shared" si="10"/>
        <v>OB310B9</v>
      </c>
      <c r="O272" s="254"/>
      <c r="P272" s="255"/>
      <c r="Q272" s="255"/>
      <c r="R272" s="256"/>
      <c r="S272" s="190"/>
      <c r="T272" s="191"/>
      <c r="U272" s="909"/>
      <c r="V272" s="909"/>
      <c r="W272" s="193"/>
      <c r="X272" s="182"/>
      <c r="Y272" s="182"/>
      <c r="Z272" s="182"/>
      <c r="AA272" s="182"/>
      <c r="AB272" s="210"/>
      <c r="AC272" s="182"/>
      <c r="AD272" s="182"/>
      <c r="AE272" s="211"/>
    </row>
    <row r="273" spans="2:31" ht="17.25" customHeight="1">
      <c r="B273" s="180">
        <v>186</v>
      </c>
      <c r="C273" s="811"/>
      <c r="D273" s="765"/>
      <c r="E273" s="186" t="s">
        <v>10</v>
      </c>
      <c r="F273" s="187" t="str">
        <f t="shared" si="9"/>
        <v>IB310BA</v>
      </c>
      <c r="G273" s="463" t="s">
        <v>1212</v>
      </c>
      <c r="H273" s="250"/>
      <c r="I273" s="250"/>
      <c r="J273" s="251"/>
      <c r="K273" s="190" t="s">
        <v>1513</v>
      </c>
      <c r="L273" s="209"/>
      <c r="M273" s="186" t="s">
        <v>11</v>
      </c>
      <c r="N273" s="195" t="str">
        <f t="shared" si="10"/>
        <v>OB310BA</v>
      </c>
      <c r="O273" s="254"/>
      <c r="P273" s="255"/>
      <c r="Q273" s="255"/>
      <c r="R273" s="256"/>
      <c r="S273" s="190"/>
      <c r="T273" s="191"/>
      <c r="U273" s="909"/>
      <c r="V273" s="909"/>
      <c r="W273" s="193"/>
      <c r="X273" s="182"/>
      <c r="Y273" s="182"/>
      <c r="Z273" s="182"/>
      <c r="AA273" s="182"/>
      <c r="AB273" s="210"/>
      <c r="AC273" s="182"/>
      <c r="AD273" s="182"/>
      <c r="AE273" s="211"/>
    </row>
    <row r="274" spans="2:31" ht="17.25" customHeight="1">
      <c r="B274" s="180">
        <v>187</v>
      </c>
      <c r="C274" s="811"/>
      <c r="D274" s="765"/>
      <c r="E274" s="186" t="s">
        <v>10</v>
      </c>
      <c r="F274" s="187" t="str">
        <f t="shared" si="9"/>
        <v>IB310BB</v>
      </c>
      <c r="G274" s="463" t="s">
        <v>1213</v>
      </c>
      <c r="H274" s="250"/>
      <c r="I274" s="250"/>
      <c r="J274" s="251"/>
      <c r="K274" s="190" t="s">
        <v>1513</v>
      </c>
      <c r="L274" s="209"/>
      <c r="M274" s="186" t="s">
        <v>11</v>
      </c>
      <c r="N274" s="195" t="str">
        <f t="shared" si="10"/>
        <v>OB310BB</v>
      </c>
      <c r="O274" s="254"/>
      <c r="P274" s="255"/>
      <c r="Q274" s="255"/>
      <c r="R274" s="256"/>
      <c r="S274" s="190"/>
      <c r="T274" s="191"/>
      <c r="U274" s="909"/>
      <c r="V274" s="909"/>
      <c r="W274" s="193"/>
      <c r="X274" s="182"/>
      <c r="Y274" s="182"/>
      <c r="Z274" s="182"/>
      <c r="AA274" s="182"/>
      <c r="AB274" s="210"/>
      <c r="AC274" s="182"/>
      <c r="AD274" s="182"/>
      <c r="AE274" s="211"/>
    </row>
    <row r="275" spans="2:31" ht="17.25" customHeight="1">
      <c r="B275" s="180">
        <v>188</v>
      </c>
      <c r="C275" s="811"/>
      <c r="D275" s="765"/>
      <c r="E275" s="186" t="s">
        <v>10</v>
      </c>
      <c r="F275" s="187" t="str">
        <f t="shared" si="9"/>
        <v>IB310BC</v>
      </c>
      <c r="G275" s="249" t="s">
        <v>1215</v>
      </c>
      <c r="H275" s="250"/>
      <c r="I275" s="250"/>
      <c r="J275" s="251"/>
      <c r="K275" s="213" t="s">
        <v>1513</v>
      </c>
      <c r="L275" s="218"/>
      <c r="M275" s="186" t="s">
        <v>11</v>
      </c>
      <c r="N275" s="195" t="str">
        <f t="shared" si="10"/>
        <v>OB310BC</v>
      </c>
      <c r="O275" s="254"/>
      <c r="P275" s="255"/>
      <c r="Q275" s="255"/>
      <c r="R275" s="256"/>
      <c r="S275" s="190"/>
      <c r="T275" s="191"/>
      <c r="U275" s="909"/>
      <c r="V275" s="909"/>
      <c r="W275" s="193"/>
      <c r="X275" s="182"/>
      <c r="Y275" s="182"/>
      <c r="Z275" s="182"/>
      <c r="AA275" s="182"/>
      <c r="AB275" s="210"/>
      <c r="AC275" s="182"/>
      <c r="AD275" s="182"/>
      <c r="AE275" s="211"/>
    </row>
    <row r="276" spans="2:31" ht="17.25" customHeight="1">
      <c r="B276" s="180">
        <v>189</v>
      </c>
      <c r="C276" s="811"/>
      <c r="D276" s="765"/>
      <c r="E276" s="186" t="s">
        <v>10</v>
      </c>
      <c r="F276" s="187" t="str">
        <f t="shared" si="9"/>
        <v>IB310BD</v>
      </c>
      <c r="G276" s="249" t="s">
        <v>1216</v>
      </c>
      <c r="H276" s="250"/>
      <c r="I276" s="250"/>
      <c r="J276" s="251"/>
      <c r="K276" s="213" t="s">
        <v>1513</v>
      </c>
      <c r="L276" s="218"/>
      <c r="M276" s="186" t="s">
        <v>11</v>
      </c>
      <c r="N276" s="195" t="str">
        <f t="shared" si="10"/>
        <v>OB310BD</v>
      </c>
      <c r="O276" s="254"/>
      <c r="P276" s="255"/>
      <c r="Q276" s="255"/>
      <c r="R276" s="256"/>
      <c r="S276" s="190"/>
      <c r="T276" s="191"/>
      <c r="U276" s="909"/>
      <c r="V276" s="909"/>
      <c r="W276" s="193"/>
      <c r="X276" s="182"/>
      <c r="Y276" s="182"/>
      <c r="Z276" s="182"/>
      <c r="AA276" s="182"/>
      <c r="AB276" s="210"/>
      <c r="AC276" s="182"/>
      <c r="AD276" s="182"/>
      <c r="AE276" s="211"/>
    </row>
    <row r="277" spans="2:31" ht="17.25" customHeight="1">
      <c r="B277" s="180">
        <v>190</v>
      </c>
      <c r="C277" s="811"/>
      <c r="D277" s="765"/>
      <c r="E277" s="186" t="s">
        <v>10</v>
      </c>
      <c r="F277" s="187" t="str">
        <f t="shared" si="9"/>
        <v>IB310BE</v>
      </c>
      <c r="G277" s="249" t="s">
        <v>1217</v>
      </c>
      <c r="H277" s="250"/>
      <c r="I277" s="250"/>
      <c r="J277" s="251"/>
      <c r="K277" s="213" t="s">
        <v>1513</v>
      </c>
      <c r="L277" s="218"/>
      <c r="M277" s="186" t="s">
        <v>11</v>
      </c>
      <c r="N277" s="195" t="str">
        <f t="shared" si="10"/>
        <v>OB310BE</v>
      </c>
      <c r="O277" s="254"/>
      <c r="P277" s="255"/>
      <c r="Q277" s="255"/>
      <c r="R277" s="256"/>
      <c r="S277" s="190"/>
      <c r="T277" s="191"/>
      <c r="U277" s="909"/>
      <c r="V277" s="909"/>
      <c r="W277" s="193"/>
      <c r="X277" s="182"/>
      <c r="Y277" s="182"/>
      <c r="Z277" s="182"/>
      <c r="AA277" s="182"/>
      <c r="AB277" s="210"/>
      <c r="AC277" s="182"/>
      <c r="AD277" s="182"/>
      <c r="AE277" s="211"/>
    </row>
    <row r="278" spans="2:31" ht="17.25" customHeight="1">
      <c r="B278" s="180">
        <v>191</v>
      </c>
      <c r="C278" s="928"/>
      <c r="D278" s="765"/>
      <c r="E278" s="186" t="s">
        <v>10</v>
      </c>
      <c r="F278" s="187" t="str">
        <f t="shared" si="9"/>
        <v>IB310BF</v>
      </c>
      <c r="G278" s="249" t="s">
        <v>1218</v>
      </c>
      <c r="H278" s="250"/>
      <c r="I278" s="250"/>
      <c r="J278" s="251"/>
      <c r="K278" s="213" t="s">
        <v>1513</v>
      </c>
      <c r="L278" s="218"/>
      <c r="M278" s="186" t="s">
        <v>11</v>
      </c>
      <c r="N278" s="195" t="str">
        <f t="shared" si="10"/>
        <v>OB310BF</v>
      </c>
      <c r="O278" s="254"/>
      <c r="P278" s="255"/>
      <c r="Q278" s="255"/>
      <c r="R278" s="256"/>
      <c r="S278" s="190"/>
      <c r="T278" s="191"/>
      <c r="U278" s="909"/>
      <c r="V278" s="909"/>
      <c r="W278" s="182"/>
      <c r="X278" s="182"/>
      <c r="Y278" s="182"/>
      <c r="Z278" s="182"/>
      <c r="AA278" s="182"/>
      <c r="AB278" s="210"/>
      <c r="AC278" s="182"/>
      <c r="AD278" s="182"/>
      <c r="AE278" s="211"/>
    </row>
    <row r="279" spans="2:31" ht="17.25" customHeight="1">
      <c r="B279" s="180">
        <v>192</v>
      </c>
      <c r="C279" s="925" t="s">
        <v>1582</v>
      </c>
      <c r="D279" s="901" t="s">
        <v>264</v>
      </c>
      <c r="E279" s="186" t="s">
        <v>10</v>
      </c>
      <c r="F279" s="187" t="str">
        <f t="shared" si="9"/>
        <v>IB310C0</v>
      </c>
      <c r="G279" s="271"/>
      <c r="H279" s="272"/>
      <c r="I279" s="272"/>
      <c r="J279" s="273"/>
      <c r="K279" s="190"/>
      <c r="L279" s="209"/>
      <c r="M279" s="186" t="s">
        <v>11</v>
      </c>
      <c r="N279" s="195" t="str">
        <f t="shared" si="10"/>
        <v>OB310C0</v>
      </c>
      <c r="O279" s="249" t="s">
        <v>1191</v>
      </c>
      <c r="P279" s="250"/>
      <c r="Q279" s="250"/>
      <c r="R279" s="251"/>
      <c r="S279" s="196" t="s">
        <v>1513</v>
      </c>
      <c r="T279" s="191"/>
      <c r="U279" s="909"/>
      <c r="V279" s="909"/>
      <c r="W279" s="193"/>
      <c r="X279" s="182"/>
      <c r="Y279" s="182"/>
      <c r="Z279" s="182"/>
      <c r="AA279" s="182"/>
      <c r="AB279" s="210"/>
      <c r="AC279" s="182"/>
      <c r="AD279" s="182"/>
      <c r="AE279" s="211"/>
    </row>
    <row r="280" spans="2:31" ht="17.25" customHeight="1">
      <c r="B280" s="180">
        <v>193</v>
      </c>
      <c r="C280" s="816"/>
      <c r="D280" s="765"/>
      <c r="E280" s="186" t="s">
        <v>10</v>
      </c>
      <c r="F280" s="187" t="str">
        <f t="shared" si="9"/>
        <v>IB310C1</v>
      </c>
      <c r="G280" s="271"/>
      <c r="H280" s="272"/>
      <c r="I280" s="272"/>
      <c r="J280" s="273"/>
      <c r="K280" s="190"/>
      <c r="L280" s="209"/>
      <c r="M280" s="186" t="s">
        <v>11</v>
      </c>
      <c r="N280" s="195" t="str">
        <f t="shared" si="10"/>
        <v>OB310C1</v>
      </c>
      <c r="O280" s="249" t="s">
        <v>1192</v>
      </c>
      <c r="P280" s="250"/>
      <c r="Q280" s="250"/>
      <c r="R280" s="251"/>
      <c r="S280" s="196" t="s">
        <v>1513</v>
      </c>
      <c r="T280" s="191"/>
      <c r="U280" s="909"/>
      <c r="V280" s="909"/>
      <c r="W280" s="193"/>
      <c r="X280" s="182"/>
      <c r="Y280" s="182"/>
      <c r="Z280" s="182"/>
      <c r="AA280" s="182"/>
      <c r="AB280" s="210"/>
      <c r="AC280" s="182"/>
      <c r="AD280" s="182"/>
      <c r="AE280" s="211"/>
    </row>
    <row r="281" spans="2:31" ht="17.25" customHeight="1">
      <c r="B281" s="180">
        <v>194</v>
      </c>
      <c r="C281" s="816"/>
      <c r="D281" s="765"/>
      <c r="E281" s="186" t="s">
        <v>10</v>
      </c>
      <c r="F281" s="187" t="str">
        <f t="shared" ref="F281:F342" si="11">LEFT(F280,1)&amp;DEC2HEX(HEX2DEC(MID(F280,2,LENB(F280)-1))+1,LENB(F280)-1)</f>
        <v>IB310C2</v>
      </c>
      <c r="G281" s="271"/>
      <c r="H281" s="272"/>
      <c r="I281" s="272"/>
      <c r="J281" s="273"/>
      <c r="K281" s="190"/>
      <c r="L281" s="209"/>
      <c r="M281" s="186" t="s">
        <v>11</v>
      </c>
      <c r="N281" s="195" t="str">
        <f t="shared" si="10"/>
        <v>OB310C2</v>
      </c>
      <c r="O281" s="249" t="s">
        <v>1193</v>
      </c>
      <c r="P281" s="250"/>
      <c r="Q281" s="250"/>
      <c r="R281" s="251"/>
      <c r="S281" s="196" t="s">
        <v>1513</v>
      </c>
      <c r="T281" s="191"/>
      <c r="U281" s="909"/>
      <c r="V281" s="909"/>
      <c r="W281" s="193"/>
      <c r="X281" s="182"/>
      <c r="Y281" s="182"/>
      <c r="Z281" s="182"/>
      <c r="AA281" s="182"/>
      <c r="AB281" s="210"/>
      <c r="AC281" s="182"/>
      <c r="AD281" s="182"/>
      <c r="AE281" s="211"/>
    </row>
    <row r="282" spans="2:31" ht="17.25" customHeight="1">
      <c r="B282" s="180">
        <v>195</v>
      </c>
      <c r="C282" s="816"/>
      <c r="D282" s="765"/>
      <c r="E282" s="186" t="s">
        <v>10</v>
      </c>
      <c r="F282" s="187" t="str">
        <f t="shared" si="11"/>
        <v>IB310C3</v>
      </c>
      <c r="G282" s="271"/>
      <c r="H282" s="272"/>
      <c r="I282" s="272"/>
      <c r="J282" s="273"/>
      <c r="K282" s="190"/>
      <c r="L282" s="209"/>
      <c r="M282" s="186" t="s">
        <v>11</v>
      </c>
      <c r="N282" s="195" t="str">
        <f t="shared" si="10"/>
        <v>OB310C3</v>
      </c>
      <c r="O282" s="249" t="s">
        <v>1194</v>
      </c>
      <c r="P282" s="250"/>
      <c r="Q282" s="250"/>
      <c r="R282" s="251"/>
      <c r="S282" s="196" t="s">
        <v>1513</v>
      </c>
      <c r="T282" s="191"/>
      <c r="U282" s="909"/>
      <c r="V282" s="909"/>
      <c r="W282" s="193"/>
      <c r="X282" s="182"/>
      <c r="Y282" s="182"/>
      <c r="Z282" s="182"/>
      <c r="AA282" s="182"/>
      <c r="AB282" s="210"/>
      <c r="AC282" s="182"/>
      <c r="AD282" s="182"/>
      <c r="AE282" s="211"/>
    </row>
    <row r="283" spans="2:31" ht="17.25" customHeight="1">
      <c r="B283" s="180">
        <v>196</v>
      </c>
      <c r="C283" s="816"/>
      <c r="D283" s="765"/>
      <c r="E283" s="186" t="s">
        <v>10</v>
      </c>
      <c r="F283" s="187" t="str">
        <f t="shared" si="11"/>
        <v>IB310C4</v>
      </c>
      <c r="G283" s="271"/>
      <c r="H283" s="272"/>
      <c r="I283" s="272"/>
      <c r="J283" s="273"/>
      <c r="K283" s="190"/>
      <c r="L283" s="209"/>
      <c r="M283" s="186" t="s">
        <v>11</v>
      </c>
      <c r="N283" s="195" t="str">
        <f t="shared" si="10"/>
        <v>OB310C4</v>
      </c>
      <c r="O283" s="249" t="s">
        <v>1195</v>
      </c>
      <c r="P283" s="250"/>
      <c r="Q283" s="250"/>
      <c r="R283" s="251"/>
      <c r="S283" s="196" t="s">
        <v>1513</v>
      </c>
      <c r="T283" s="191"/>
      <c r="U283" s="909"/>
      <c r="V283" s="909"/>
      <c r="W283" s="193"/>
      <c r="X283" s="182"/>
      <c r="Y283" s="182"/>
      <c r="Z283" s="182"/>
      <c r="AA283" s="182"/>
      <c r="AB283" s="210"/>
      <c r="AC283" s="182"/>
      <c r="AD283" s="182"/>
      <c r="AE283" s="211"/>
    </row>
    <row r="284" spans="2:31" ht="17.25" customHeight="1">
      <c r="B284" s="180">
        <v>197</v>
      </c>
      <c r="C284" s="816"/>
      <c r="D284" s="765"/>
      <c r="E284" s="186" t="s">
        <v>10</v>
      </c>
      <c r="F284" s="187" t="str">
        <f t="shared" si="11"/>
        <v>IB310C5</v>
      </c>
      <c r="G284" s="271"/>
      <c r="H284" s="272"/>
      <c r="I284" s="272"/>
      <c r="J284" s="273"/>
      <c r="K284" s="190"/>
      <c r="L284" s="209"/>
      <c r="M284" s="186" t="s">
        <v>11</v>
      </c>
      <c r="N284" s="195" t="str">
        <f t="shared" si="10"/>
        <v>OB310C5</v>
      </c>
      <c r="O284" s="249" t="s">
        <v>1196</v>
      </c>
      <c r="P284" s="250"/>
      <c r="Q284" s="250"/>
      <c r="R284" s="251"/>
      <c r="S284" s="196" t="s">
        <v>1513</v>
      </c>
      <c r="T284" s="191"/>
      <c r="U284" s="909"/>
      <c r="V284" s="909"/>
      <c r="W284" s="193"/>
      <c r="X284" s="182"/>
      <c r="Y284" s="182"/>
      <c r="Z284" s="182"/>
      <c r="AA284" s="182"/>
      <c r="AB284" s="210"/>
      <c r="AC284" s="182"/>
      <c r="AD284" s="182"/>
      <c r="AE284" s="211"/>
    </row>
    <row r="285" spans="2:31" ht="17.25" customHeight="1">
      <c r="B285" s="180">
        <v>198</v>
      </c>
      <c r="C285" s="816"/>
      <c r="D285" s="765"/>
      <c r="E285" s="186" t="s">
        <v>10</v>
      </c>
      <c r="F285" s="187" t="str">
        <f t="shared" si="11"/>
        <v>IB310C6</v>
      </c>
      <c r="G285" s="271"/>
      <c r="H285" s="272"/>
      <c r="I285" s="272"/>
      <c r="J285" s="273"/>
      <c r="K285" s="190"/>
      <c r="L285" s="209"/>
      <c r="M285" s="186" t="s">
        <v>11</v>
      </c>
      <c r="N285" s="195" t="str">
        <f t="shared" si="10"/>
        <v>OB310C6</v>
      </c>
      <c r="O285" s="249" t="s">
        <v>1197</v>
      </c>
      <c r="P285" s="250"/>
      <c r="Q285" s="250"/>
      <c r="R285" s="251"/>
      <c r="S285" s="196" t="s">
        <v>1513</v>
      </c>
      <c r="T285" s="191"/>
      <c r="U285" s="909"/>
      <c r="V285" s="909"/>
      <c r="W285" s="182"/>
      <c r="X285" s="182"/>
      <c r="Y285" s="182"/>
      <c r="Z285" s="182"/>
      <c r="AA285" s="182"/>
      <c r="AB285" s="210"/>
      <c r="AC285" s="182"/>
      <c r="AD285" s="182"/>
      <c r="AE285" s="211"/>
    </row>
    <row r="286" spans="2:31" ht="17.25" customHeight="1">
      <c r="B286" s="180">
        <v>199</v>
      </c>
      <c r="C286" s="816"/>
      <c r="D286" s="765"/>
      <c r="E286" s="186" t="s">
        <v>10</v>
      </c>
      <c r="F286" s="187" t="str">
        <f t="shared" si="11"/>
        <v>IB310C7</v>
      </c>
      <c r="G286" s="271"/>
      <c r="H286" s="272"/>
      <c r="I286" s="272"/>
      <c r="J286" s="273"/>
      <c r="K286" s="190"/>
      <c r="L286" s="209"/>
      <c r="M286" s="186" t="s">
        <v>11</v>
      </c>
      <c r="N286" s="195" t="str">
        <f t="shared" si="10"/>
        <v>OB310C7</v>
      </c>
      <c r="O286" s="249" t="s">
        <v>1198</v>
      </c>
      <c r="P286" s="250"/>
      <c r="Q286" s="250"/>
      <c r="R286" s="251"/>
      <c r="S286" s="196" t="s">
        <v>1513</v>
      </c>
      <c r="T286" s="191"/>
      <c r="U286" s="909"/>
      <c r="V286" s="909"/>
      <c r="W286" s="182"/>
      <c r="X286" s="182"/>
      <c r="Y286" s="182"/>
      <c r="Z286" s="182"/>
      <c r="AA286" s="182"/>
      <c r="AB286" s="210"/>
      <c r="AC286" s="182"/>
      <c r="AD286" s="182"/>
      <c r="AE286" s="211"/>
    </row>
    <row r="287" spans="2:31" ht="17.25" customHeight="1">
      <c r="B287" s="180">
        <v>200</v>
      </c>
      <c r="C287" s="816"/>
      <c r="D287" s="765"/>
      <c r="E287" s="186" t="s">
        <v>10</v>
      </c>
      <c r="F287" s="187" t="str">
        <f t="shared" si="11"/>
        <v>IB310C8</v>
      </c>
      <c r="G287" s="271"/>
      <c r="H287" s="272"/>
      <c r="I287" s="272"/>
      <c r="J287" s="273"/>
      <c r="K287" s="190"/>
      <c r="L287" s="209"/>
      <c r="M287" s="186" t="s">
        <v>11</v>
      </c>
      <c r="N287" s="195" t="str">
        <f t="shared" si="10"/>
        <v>OB310C8</v>
      </c>
      <c r="O287" s="249"/>
      <c r="P287" s="250"/>
      <c r="Q287" s="250"/>
      <c r="R287" s="251"/>
      <c r="S287" s="196"/>
      <c r="T287" s="191"/>
      <c r="U287" s="909"/>
      <c r="V287" s="909"/>
      <c r="W287" s="193"/>
      <c r="X287" s="182"/>
      <c r="Y287" s="182"/>
      <c r="Z287" s="182"/>
      <c r="AA287" s="182"/>
      <c r="AB287" s="210"/>
      <c r="AC287" s="182"/>
      <c r="AD287" s="182"/>
      <c r="AE287" s="211"/>
    </row>
    <row r="288" spans="2:31" ht="17.25" customHeight="1">
      <c r="B288" s="180">
        <v>201</v>
      </c>
      <c r="C288" s="816"/>
      <c r="D288" s="765"/>
      <c r="E288" s="186" t="s">
        <v>10</v>
      </c>
      <c r="F288" s="187" t="str">
        <f t="shared" si="11"/>
        <v>IB310C9</v>
      </c>
      <c r="G288" s="271"/>
      <c r="H288" s="272"/>
      <c r="I288" s="272"/>
      <c r="J288" s="273"/>
      <c r="K288" s="190"/>
      <c r="L288" s="209"/>
      <c r="M288" s="186" t="s">
        <v>11</v>
      </c>
      <c r="N288" s="195" t="str">
        <f t="shared" si="10"/>
        <v>OB310C9</v>
      </c>
      <c r="O288" s="249"/>
      <c r="P288" s="250"/>
      <c r="Q288" s="250"/>
      <c r="R288" s="251"/>
      <c r="S288" s="196"/>
      <c r="T288" s="191"/>
      <c r="U288" s="909"/>
      <c r="V288" s="909"/>
      <c r="W288" s="193"/>
      <c r="X288" s="182"/>
      <c r="Y288" s="182"/>
      <c r="Z288" s="182"/>
      <c r="AA288" s="182"/>
      <c r="AB288" s="210"/>
      <c r="AC288" s="182"/>
      <c r="AD288" s="182"/>
      <c r="AE288" s="211"/>
    </row>
    <row r="289" spans="2:31" ht="17.25" customHeight="1">
      <c r="B289" s="180">
        <v>202</v>
      </c>
      <c r="C289" s="816"/>
      <c r="D289" s="765"/>
      <c r="E289" s="186" t="s">
        <v>10</v>
      </c>
      <c r="F289" s="187" t="str">
        <f t="shared" si="11"/>
        <v>IB310CA</v>
      </c>
      <c r="G289" s="271"/>
      <c r="H289" s="272"/>
      <c r="I289" s="272"/>
      <c r="J289" s="273"/>
      <c r="K289" s="190"/>
      <c r="L289" s="209"/>
      <c r="M289" s="186" t="s">
        <v>11</v>
      </c>
      <c r="N289" s="195" t="str">
        <f t="shared" si="10"/>
        <v>OB310CA</v>
      </c>
      <c r="O289" s="243" t="s">
        <v>1199</v>
      </c>
      <c r="P289" s="244"/>
      <c r="Q289" s="244"/>
      <c r="R289" s="245"/>
      <c r="S289" s="190" t="s">
        <v>1531</v>
      </c>
      <c r="T289" s="209" t="s">
        <v>1513</v>
      </c>
      <c r="U289" s="909"/>
      <c r="V289" s="909"/>
      <c r="W289" s="193"/>
      <c r="X289" s="182"/>
      <c r="Y289" s="182"/>
      <c r="Z289" s="182"/>
      <c r="AA289" s="182"/>
      <c r="AB289" s="210"/>
      <c r="AC289" s="182"/>
      <c r="AD289" s="182"/>
      <c r="AE289" s="211"/>
    </row>
    <row r="290" spans="2:31" ht="17.25" customHeight="1">
      <c r="B290" s="180">
        <v>203</v>
      </c>
      <c r="C290" s="816"/>
      <c r="D290" s="765"/>
      <c r="E290" s="186" t="s">
        <v>10</v>
      </c>
      <c r="F290" s="187" t="str">
        <f t="shared" si="11"/>
        <v>IB310CB</v>
      </c>
      <c r="G290" s="271"/>
      <c r="H290" s="272"/>
      <c r="I290" s="272"/>
      <c r="J290" s="273"/>
      <c r="K290" s="190"/>
      <c r="L290" s="209"/>
      <c r="M290" s="186" t="s">
        <v>11</v>
      </c>
      <c r="N290" s="195" t="str">
        <f t="shared" si="10"/>
        <v>OB310CB</v>
      </c>
      <c r="O290" s="243" t="s">
        <v>1201</v>
      </c>
      <c r="P290" s="244"/>
      <c r="Q290" s="244"/>
      <c r="R290" s="245"/>
      <c r="S290" s="190" t="s">
        <v>1531</v>
      </c>
      <c r="T290" s="209" t="s">
        <v>1513</v>
      </c>
      <c r="U290" s="909"/>
      <c r="V290" s="909"/>
      <c r="W290" s="193"/>
      <c r="X290" s="182"/>
      <c r="Y290" s="182"/>
      <c r="Z290" s="182"/>
      <c r="AA290" s="182"/>
      <c r="AB290" s="210"/>
      <c r="AC290" s="182"/>
      <c r="AD290" s="182"/>
      <c r="AE290" s="211"/>
    </row>
    <row r="291" spans="2:31" ht="17.25" customHeight="1">
      <c r="B291" s="180">
        <v>204</v>
      </c>
      <c r="C291" s="816"/>
      <c r="D291" s="765"/>
      <c r="E291" s="186" t="s">
        <v>10</v>
      </c>
      <c r="F291" s="187" t="str">
        <f t="shared" si="11"/>
        <v>IB310CC</v>
      </c>
      <c r="G291" s="271"/>
      <c r="H291" s="272"/>
      <c r="I291" s="272"/>
      <c r="J291" s="273"/>
      <c r="K291" s="190"/>
      <c r="L291" s="209"/>
      <c r="M291" s="186" t="s">
        <v>11</v>
      </c>
      <c r="N291" s="195" t="str">
        <f t="shared" si="10"/>
        <v>OB310CC</v>
      </c>
      <c r="O291" s="243" t="s">
        <v>1202</v>
      </c>
      <c r="P291" s="244"/>
      <c r="Q291" s="244"/>
      <c r="R291" s="245"/>
      <c r="S291" s="190" t="s">
        <v>1531</v>
      </c>
      <c r="T291" s="209" t="s">
        <v>1513</v>
      </c>
      <c r="U291" s="909"/>
      <c r="V291" s="909"/>
      <c r="W291" s="193"/>
      <c r="X291" s="182"/>
      <c r="Y291" s="182"/>
      <c r="Z291" s="182"/>
      <c r="AA291" s="182"/>
      <c r="AB291" s="210"/>
      <c r="AC291" s="182"/>
      <c r="AD291" s="182"/>
      <c r="AE291" s="211"/>
    </row>
    <row r="292" spans="2:31" ht="17.25" customHeight="1">
      <c r="B292" s="180">
        <v>205</v>
      </c>
      <c r="C292" s="816"/>
      <c r="D292" s="765"/>
      <c r="E292" s="186" t="s">
        <v>10</v>
      </c>
      <c r="F292" s="187" t="str">
        <f t="shared" si="11"/>
        <v>IB310CD</v>
      </c>
      <c r="G292" s="271"/>
      <c r="H292" s="272"/>
      <c r="I292" s="272"/>
      <c r="J292" s="273"/>
      <c r="K292" s="190"/>
      <c r="L292" s="209"/>
      <c r="M292" s="186" t="s">
        <v>11</v>
      </c>
      <c r="N292" s="195" t="str">
        <f t="shared" si="10"/>
        <v>OB310CD</v>
      </c>
      <c r="O292" s="243" t="s">
        <v>1200</v>
      </c>
      <c r="P292" s="244"/>
      <c r="Q292" s="244"/>
      <c r="R292" s="245"/>
      <c r="S292" s="190" t="s">
        <v>1531</v>
      </c>
      <c r="T292" s="209" t="s">
        <v>1513</v>
      </c>
      <c r="U292" s="909"/>
      <c r="V292" s="909"/>
      <c r="W292" s="193"/>
      <c r="X292" s="182"/>
      <c r="Y292" s="182"/>
      <c r="Z292" s="182"/>
      <c r="AA292" s="182"/>
      <c r="AB292" s="210"/>
      <c r="AC292" s="182"/>
      <c r="AD292" s="182"/>
      <c r="AE292" s="211"/>
    </row>
    <row r="293" spans="2:31" ht="17.25" customHeight="1">
      <c r="B293" s="180">
        <v>206</v>
      </c>
      <c r="C293" s="816"/>
      <c r="D293" s="765"/>
      <c r="E293" s="186" t="s">
        <v>10</v>
      </c>
      <c r="F293" s="187" t="str">
        <f t="shared" si="11"/>
        <v>IB310CE</v>
      </c>
      <c r="G293" s="271"/>
      <c r="H293" s="272"/>
      <c r="I293" s="272"/>
      <c r="J293" s="273"/>
      <c r="K293" s="190"/>
      <c r="L293" s="209"/>
      <c r="M293" s="186" t="s">
        <v>11</v>
      </c>
      <c r="N293" s="195" t="str">
        <f t="shared" si="10"/>
        <v>OB310CE</v>
      </c>
      <c r="O293" s="243" t="s">
        <v>1203</v>
      </c>
      <c r="P293" s="244"/>
      <c r="Q293" s="244"/>
      <c r="R293" s="245"/>
      <c r="S293" s="190" t="s">
        <v>1531</v>
      </c>
      <c r="T293" s="209" t="s">
        <v>1513</v>
      </c>
      <c r="U293" s="909"/>
      <c r="V293" s="909"/>
      <c r="W293" s="182"/>
      <c r="X293" s="182"/>
      <c r="Y293" s="182"/>
      <c r="Z293" s="182"/>
      <c r="AA293" s="182"/>
      <c r="AB293" s="210"/>
      <c r="AC293" s="182"/>
      <c r="AD293" s="182"/>
      <c r="AE293" s="211"/>
    </row>
    <row r="294" spans="2:31" ht="17.25" customHeight="1">
      <c r="B294" s="180">
        <v>207</v>
      </c>
      <c r="C294" s="926"/>
      <c r="D294" s="765"/>
      <c r="E294" s="186" t="s">
        <v>10</v>
      </c>
      <c r="F294" s="187" t="str">
        <f t="shared" si="11"/>
        <v>IB310CF</v>
      </c>
      <c r="G294" s="271"/>
      <c r="H294" s="272"/>
      <c r="I294" s="272"/>
      <c r="J294" s="273"/>
      <c r="K294" s="190"/>
      <c r="L294" s="209"/>
      <c r="M294" s="186" t="s">
        <v>11</v>
      </c>
      <c r="N294" s="195" t="str">
        <f t="shared" si="10"/>
        <v>OB310CF</v>
      </c>
      <c r="O294" s="243" t="s">
        <v>1204</v>
      </c>
      <c r="P294" s="244"/>
      <c r="Q294" s="244"/>
      <c r="R294" s="245"/>
      <c r="S294" s="190" t="s">
        <v>1531</v>
      </c>
      <c r="T294" s="209" t="s">
        <v>1513</v>
      </c>
      <c r="U294" s="909"/>
      <c r="V294" s="909"/>
      <c r="W294" s="182"/>
      <c r="X294" s="182"/>
      <c r="Y294" s="182"/>
      <c r="Z294" s="182"/>
      <c r="AA294" s="182"/>
      <c r="AB294" s="210"/>
      <c r="AC294" s="182"/>
      <c r="AD294" s="182"/>
      <c r="AE294" s="211"/>
    </row>
    <row r="295" spans="2:31" ht="17.25" customHeight="1">
      <c r="B295" s="180">
        <v>208</v>
      </c>
      <c r="C295" s="927" t="s">
        <v>1583</v>
      </c>
      <c r="D295" s="901" t="s">
        <v>264</v>
      </c>
      <c r="E295" s="186" t="s">
        <v>10</v>
      </c>
      <c r="F295" s="187" t="str">
        <f t="shared" si="11"/>
        <v>IB310D0</v>
      </c>
      <c r="G295" s="243" t="s">
        <v>1186</v>
      </c>
      <c r="H295" s="244"/>
      <c r="I295" s="244"/>
      <c r="J295" s="245"/>
      <c r="K295" s="190" t="s">
        <v>1513</v>
      </c>
      <c r="L295" s="209"/>
      <c r="M295" s="186" t="s">
        <v>11</v>
      </c>
      <c r="N295" s="195" t="str">
        <f t="shared" si="10"/>
        <v>OB310D0</v>
      </c>
      <c r="O295" s="386"/>
      <c r="P295" s="387"/>
      <c r="Q295" s="387"/>
      <c r="R295" s="388"/>
      <c r="S295" s="190"/>
      <c r="T295" s="191"/>
      <c r="U295" s="909"/>
      <c r="V295" s="909"/>
      <c r="W295" s="193"/>
      <c r="X295" s="182"/>
      <c r="Y295" s="186"/>
      <c r="Z295" s="182"/>
      <c r="AA295" s="182"/>
      <c r="AB295" s="210"/>
      <c r="AC295" s="182"/>
      <c r="AD295" s="182"/>
      <c r="AE295" s="211"/>
    </row>
    <row r="296" spans="2:31" ht="17.25" customHeight="1">
      <c r="B296" s="180">
        <v>209</v>
      </c>
      <c r="C296" s="811"/>
      <c r="D296" s="765"/>
      <c r="E296" s="186" t="s">
        <v>10</v>
      </c>
      <c r="F296" s="187" t="str">
        <f t="shared" si="11"/>
        <v>IB310D1</v>
      </c>
      <c r="G296" s="243" t="s">
        <v>1187</v>
      </c>
      <c r="H296" s="380"/>
      <c r="I296" s="380"/>
      <c r="J296" s="267"/>
      <c r="K296" s="190" t="s">
        <v>1513</v>
      </c>
      <c r="L296" s="209"/>
      <c r="M296" s="186" t="s">
        <v>11</v>
      </c>
      <c r="N296" s="195" t="str">
        <f t="shared" si="10"/>
        <v>OB310D1</v>
      </c>
      <c r="O296" s="386"/>
      <c r="P296" s="387"/>
      <c r="Q296" s="387"/>
      <c r="R296" s="388"/>
      <c r="S296" s="190"/>
      <c r="T296" s="191"/>
      <c r="U296" s="909"/>
      <c r="V296" s="909"/>
      <c r="W296" s="193"/>
      <c r="X296" s="182"/>
      <c r="Y296" s="186"/>
      <c r="Z296" s="182"/>
      <c r="AA296" s="182"/>
      <c r="AB296" s="210"/>
      <c r="AC296" s="182"/>
      <c r="AD296" s="182"/>
      <c r="AE296" s="211"/>
    </row>
    <row r="297" spans="2:31" ht="17.25" customHeight="1">
      <c r="B297" s="180">
        <v>210</v>
      </c>
      <c r="C297" s="811"/>
      <c r="D297" s="765"/>
      <c r="E297" s="186" t="s">
        <v>10</v>
      </c>
      <c r="F297" s="187" t="str">
        <f t="shared" si="11"/>
        <v>IB310D2</v>
      </c>
      <c r="G297" s="243" t="s">
        <v>1188</v>
      </c>
      <c r="H297" s="244"/>
      <c r="I297" s="244"/>
      <c r="J297" s="245"/>
      <c r="K297" s="190" t="s">
        <v>1513</v>
      </c>
      <c r="L297" s="209"/>
      <c r="M297" s="186" t="s">
        <v>11</v>
      </c>
      <c r="N297" s="195" t="str">
        <f t="shared" si="10"/>
        <v>OB310D2</v>
      </c>
      <c r="O297" s="386"/>
      <c r="P297" s="387"/>
      <c r="Q297" s="387"/>
      <c r="R297" s="388"/>
      <c r="S297" s="190"/>
      <c r="T297" s="191"/>
      <c r="U297" s="909"/>
      <c r="V297" s="909"/>
      <c r="W297" s="193"/>
      <c r="X297" s="182"/>
      <c r="Y297" s="182"/>
      <c r="Z297" s="182"/>
      <c r="AA297" s="182"/>
      <c r="AB297" s="210"/>
      <c r="AC297" s="182"/>
      <c r="AD297" s="182"/>
      <c r="AE297" s="211"/>
    </row>
    <row r="298" spans="2:31" ht="17.25" customHeight="1">
      <c r="B298" s="180">
        <v>211</v>
      </c>
      <c r="C298" s="811"/>
      <c r="D298" s="765"/>
      <c r="E298" s="186" t="s">
        <v>10</v>
      </c>
      <c r="F298" s="187" t="str">
        <f t="shared" si="11"/>
        <v>IB310D3</v>
      </c>
      <c r="G298" s="243" t="s">
        <v>1189</v>
      </c>
      <c r="H298" s="244"/>
      <c r="I298" s="244"/>
      <c r="J298" s="245"/>
      <c r="K298" s="190" t="s">
        <v>1513</v>
      </c>
      <c r="L298" s="209"/>
      <c r="M298" s="186" t="s">
        <v>11</v>
      </c>
      <c r="N298" s="195" t="str">
        <f t="shared" si="10"/>
        <v>OB310D3</v>
      </c>
      <c r="O298" s="254"/>
      <c r="P298" s="255"/>
      <c r="Q298" s="255"/>
      <c r="R298" s="256"/>
      <c r="S298" s="190"/>
      <c r="T298" s="191"/>
      <c r="U298" s="909"/>
      <c r="V298" s="909"/>
      <c r="W298" s="193"/>
      <c r="X298" s="182"/>
      <c r="Y298" s="182"/>
      <c r="Z298" s="182"/>
      <c r="AA298" s="182"/>
      <c r="AB298" s="210"/>
      <c r="AC298" s="182"/>
      <c r="AD298" s="182"/>
      <c r="AE298" s="211"/>
    </row>
    <row r="299" spans="2:31" ht="17.25" customHeight="1">
      <c r="B299" s="180">
        <v>212</v>
      </c>
      <c r="C299" s="811"/>
      <c r="D299" s="765"/>
      <c r="E299" s="186" t="s">
        <v>10</v>
      </c>
      <c r="F299" s="187" t="str">
        <f t="shared" si="11"/>
        <v>IB310D4</v>
      </c>
      <c r="G299" s="243" t="s">
        <v>1190</v>
      </c>
      <c r="H299" s="244"/>
      <c r="I299" s="244"/>
      <c r="J299" s="245"/>
      <c r="K299" s="190" t="s">
        <v>1513</v>
      </c>
      <c r="L299" s="209"/>
      <c r="M299" s="186" t="s">
        <v>11</v>
      </c>
      <c r="N299" s="195" t="str">
        <f t="shared" si="10"/>
        <v>OB310D4</v>
      </c>
      <c r="O299" s="254"/>
      <c r="P299" s="255"/>
      <c r="Q299" s="255"/>
      <c r="R299" s="256"/>
      <c r="S299" s="190"/>
      <c r="T299" s="191"/>
      <c r="U299" s="909"/>
      <c r="V299" s="909"/>
      <c r="W299" s="193"/>
      <c r="X299" s="182"/>
      <c r="Y299" s="182"/>
      <c r="Z299" s="182"/>
      <c r="AA299" s="182"/>
      <c r="AB299" s="210"/>
      <c r="AC299" s="182"/>
      <c r="AD299" s="182"/>
      <c r="AE299" s="211"/>
    </row>
    <row r="300" spans="2:31" ht="17.25" customHeight="1">
      <c r="B300" s="180">
        <v>213</v>
      </c>
      <c r="C300" s="811"/>
      <c r="D300" s="765"/>
      <c r="E300" s="186" t="s">
        <v>10</v>
      </c>
      <c r="F300" s="187" t="str">
        <f t="shared" si="11"/>
        <v>IB310D5</v>
      </c>
      <c r="K300" s="190"/>
      <c r="L300" s="209"/>
      <c r="M300" s="186" t="s">
        <v>11</v>
      </c>
      <c r="N300" s="195" t="str">
        <f t="shared" si="10"/>
        <v>OB310D5</v>
      </c>
      <c r="O300" s="254"/>
      <c r="P300" s="255"/>
      <c r="Q300" s="255"/>
      <c r="R300" s="256"/>
      <c r="S300" s="190"/>
      <c r="T300" s="191"/>
      <c r="U300" s="909"/>
      <c r="V300" s="909"/>
      <c r="W300" s="193"/>
      <c r="X300" s="182"/>
      <c r="Y300" s="182"/>
      <c r="Z300" s="182"/>
      <c r="AA300" s="182"/>
      <c r="AB300" s="210"/>
      <c r="AC300" s="182"/>
      <c r="AD300" s="182"/>
      <c r="AE300" s="211"/>
    </row>
    <row r="301" spans="2:31" ht="17.25" customHeight="1">
      <c r="B301" s="180">
        <v>214</v>
      </c>
      <c r="C301" s="811"/>
      <c r="D301" s="765"/>
      <c r="E301" s="186" t="s">
        <v>10</v>
      </c>
      <c r="F301" s="187" t="str">
        <f t="shared" si="11"/>
        <v>IB310D6</v>
      </c>
      <c r="G301" s="463" t="s">
        <v>1413</v>
      </c>
      <c r="H301" s="250"/>
      <c r="I301" s="250"/>
      <c r="J301" s="251"/>
      <c r="K301" s="182" t="s">
        <v>1513</v>
      </c>
      <c r="L301" s="209"/>
      <c r="M301" s="186" t="s">
        <v>11</v>
      </c>
      <c r="N301" s="195" t="str">
        <f t="shared" si="10"/>
        <v>OB310D6</v>
      </c>
      <c r="O301" s="254"/>
      <c r="P301" s="255"/>
      <c r="Q301" s="255"/>
      <c r="R301" s="256"/>
      <c r="S301" s="190"/>
      <c r="T301" s="191"/>
      <c r="U301" s="909"/>
      <c r="V301" s="909"/>
      <c r="W301" s="193"/>
      <c r="X301" s="182"/>
      <c r="Y301" s="182"/>
      <c r="Z301" s="182"/>
      <c r="AA301" s="182"/>
      <c r="AB301" s="210"/>
      <c r="AC301" s="182"/>
      <c r="AD301" s="182"/>
      <c r="AE301" s="211"/>
    </row>
    <row r="302" spans="2:31" ht="17.25" customHeight="1">
      <c r="B302" s="180">
        <v>215</v>
      </c>
      <c r="C302" s="811"/>
      <c r="D302" s="765"/>
      <c r="E302" s="186" t="s">
        <v>10</v>
      </c>
      <c r="F302" s="187" t="str">
        <f t="shared" si="11"/>
        <v>IB310D7</v>
      </c>
      <c r="G302" s="463" t="s">
        <v>1414</v>
      </c>
      <c r="H302" s="250"/>
      <c r="I302" s="250"/>
      <c r="J302" s="251"/>
      <c r="K302" s="182" t="s">
        <v>1513</v>
      </c>
      <c r="L302" s="209"/>
      <c r="M302" s="186" t="s">
        <v>11</v>
      </c>
      <c r="N302" s="195" t="str">
        <f t="shared" si="10"/>
        <v>OB310D7</v>
      </c>
      <c r="O302" s="254"/>
      <c r="P302" s="255"/>
      <c r="Q302" s="255"/>
      <c r="R302" s="256"/>
      <c r="S302" s="190"/>
      <c r="T302" s="191"/>
      <c r="U302" s="909"/>
      <c r="V302" s="909"/>
      <c r="W302" s="193"/>
      <c r="X302" s="182"/>
      <c r="Y302" s="182"/>
      <c r="Z302" s="182"/>
      <c r="AA302" s="182"/>
      <c r="AB302" s="210"/>
      <c r="AC302" s="182"/>
      <c r="AD302" s="182"/>
      <c r="AE302" s="211"/>
    </row>
    <row r="303" spans="2:31" ht="17.25" customHeight="1">
      <c r="B303" s="180">
        <v>216</v>
      </c>
      <c r="C303" s="811"/>
      <c r="D303" s="765"/>
      <c r="E303" s="186" t="s">
        <v>10</v>
      </c>
      <c r="F303" s="187" t="str">
        <f t="shared" si="11"/>
        <v>IB310D8</v>
      </c>
      <c r="G303" s="249" t="s">
        <v>1178</v>
      </c>
      <c r="H303" s="250"/>
      <c r="I303" s="250"/>
      <c r="J303" s="251"/>
      <c r="K303" s="182" t="s">
        <v>1513</v>
      </c>
      <c r="L303" s="188"/>
      <c r="M303" s="186" t="s">
        <v>11</v>
      </c>
      <c r="N303" s="195" t="str">
        <f t="shared" si="10"/>
        <v>OB310D8</v>
      </c>
      <c r="O303" s="254"/>
      <c r="P303" s="255"/>
      <c r="Q303" s="255"/>
      <c r="R303" s="256"/>
      <c r="S303" s="190"/>
      <c r="T303" s="191"/>
      <c r="U303" s="909"/>
      <c r="V303" s="909"/>
      <c r="W303" s="182"/>
      <c r="X303" s="182"/>
      <c r="Y303" s="182"/>
      <c r="Z303" s="182"/>
      <c r="AA303" s="182"/>
      <c r="AB303" s="210"/>
      <c r="AC303" s="182"/>
      <c r="AD303" s="182"/>
      <c r="AE303" s="211"/>
    </row>
    <row r="304" spans="2:31" ht="17.25" customHeight="1">
      <c r="B304" s="180">
        <v>217</v>
      </c>
      <c r="C304" s="811"/>
      <c r="D304" s="765"/>
      <c r="E304" s="186" t="s">
        <v>10</v>
      </c>
      <c r="F304" s="187" t="str">
        <f t="shared" si="11"/>
        <v>IB310D9</v>
      </c>
      <c r="G304" s="249" t="s">
        <v>1179</v>
      </c>
      <c r="H304" s="250"/>
      <c r="I304" s="250"/>
      <c r="J304" s="251"/>
      <c r="K304" s="182" t="s">
        <v>1513</v>
      </c>
      <c r="L304" s="188"/>
      <c r="M304" s="186" t="s">
        <v>11</v>
      </c>
      <c r="N304" s="195" t="str">
        <f t="shared" si="10"/>
        <v>OB310D9</v>
      </c>
      <c r="O304" s="254"/>
      <c r="P304" s="255"/>
      <c r="Q304" s="255"/>
      <c r="R304" s="256"/>
      <c r="S304" s="190"/>
      <c r="T304" s="191"/>
      <c r="U304" s="909"/>
      <c r="V304" s="909"/>
      <c r="W304" s="182"/>
      <c r="X304" s="182"/>
      <c r="Y304" s="182"/>
      <c r="Z304" s="182"/>
      <c r="AA304" s="182"/>
      <c r="AB304" s="210"/>
      <c r="AC304" s="182"/>
      <c r="AD304" s="182"/>
      <c r="AE304" s="211"/>
    </row>
    <row r="305" spans="2:31" ht="17.25" customHeight="1">
      <c r="B305" s="180">
        <v>218</v>
      </c>
      <c r="C305" s="811"/>
      <c r="D305" s="765"/>
      <c r="E305" s="186" t="s">
        <v>10</v>
      </c>
      <c r="F305" s="187" t="str">
        <f t="shared" si="11"/>
        <v>IB310DA</v>
      </c>
      <c r="G305" s="249" t="s">
        <v>1180</v>
      </c>
      <c r="H305" s="250"/>
      <c r="I305" s="250"/>
      <c r="J305" s="251"/>
      <c r="K305" s="182" t="s">
        <v>1513</v>
      </c>
      <c r="L305" s="183"/>
      <c r="M305" s="186" t="s">
        <v>11</v>
      </c>
      <c r="N305" s="195" t="str">
        <f t="shared" si="10"/>
        <v>OB310DA</v>
      </c>
      <c r="O305" s="254"/>
      <c r="P305" s="255"/>
      <c r="Q305" s="255"/>
      <c r="R305" s="256"/>
      <c r="S305" s="190"/>
      <c r="T305" s="191"/>
      <c r="U305" s="909"/>
      <c r="V305" s="909"/>
      <c r="W305" s="182"/>
      <c r="X305" s="182"/>
      <c r="Y305" s="182"/>
      <c r="Z305" s="182"/>
      <c r="AA305" s="182"/>
      <c r="AB305" s="210"/>
      <c r="AC305" s="182"/>
      <c r="AD305" s="182"/>
      <c r="AE305" s="211"/>
    </row>
    <row r="306" spans="2:31" ht="17.25" customHeight="1">
      <c r="B306" s="180">
        <v>219</v>
      </c>
      <c r="C306" s="811"/>
      <c r="D306" s="765"/>
      <c r="E306" s="186" t="s">
        <v>10</v>
      </c>
      <c r="F306" s="187" t="str">
        <f t="shared" si="11"/>
        <v>IB310DB</v>
      </c>
      <c r="G306" s="249" t="s">
        <v>1181</v>
      </c>
      <c r="H306" s="250"/>
      <c r="I306" s="250"/>
      <c r="J306" s="251"/>
      <c r="K306" s="182" t="s">
        <v>1513</v>
      </c>
      <c r="L306" s="183"/>
      <c r="M306" s="186" t="s">
        <v>11</v>
      </c>
      <c r="N306" s="195" t="str">
        <f t="shared" si="10"/>
        <v>OB310DB</v>
      </c>
      <c r="O306" s="254"/>
      <c r="P306" s="255"/>
      <c r="Q306" s="255"/>
      <c r="R306" s="256"/>
      <c r="S306" s="190"/>
      <c r="T306" s="191"/>
      <c r="U306" s="909"/>
      <c r="V306" s="909"/>
      <c r="W306" s="182"/>
      <c r="X306" s="182"/>
      <c r="Y306" s="182"/>
      <c r="Z306" s="182"/>
      <c r="AA306" s="182"/>
      <c r="AB306" s="210"/>
      <c r="AC306" s="182"/>
      <c r="AD306" s="182"/>
      <c r="AE306" s="211"/>
    </row>
    <row r="307" spans="2:31" ht="17.25" customHeight="1">
      <c r="B307" s="180">
        <v>220</v>
      </c>
      <c r="C307" s="811"/>
      <c r="D307" s="765"/>
      <c r="E307" s="186" t="s">
        <v>10</v>
      </c>
      <c r="F307" s="187" t="str">
        <f t="shared" si="11"/>
        <v>IB310DC</v>
      </c>
      <c r="G307" s="249" t="s">
        <v>1182</v>
      </c>
      <c r="H307" s="384"/>
      <c r="I307" s="384"/>
      <c r="J307" s="385"/>
      <c r="K307" s="190" t="s">
        <v>1513</v>
      </c>
      <c r="L307" s="191"/>
      <c r="M307" s="186" t="s">
        <v>11</v>
      </c>
      <c r="N307" s="195" t="str">
        <f t="shared" si="10"/>
        <v>OB310DC</v>
      </c>
      <c r="O307" s="254"/>
      <c r="P307" s="255"/>
      <c r="Q307" s="255"/>
      <c r="R307" s="256"/>
      <c r="S307" s="190"/>
      <c r="T307" s="191"/>
      <c r="U307" s="909"/>
      <c r="V307" s="909"/>
      <c r="W307" s="182"/>
      <c r="X307" s="182"/>
      <c r="Y307" s="182"/>
      <c r="Z307" s="182"/>
      <c r="AA307" s="182"/>
      <c r="AB307" s="210"/>
      <c r="AC307" s="182"/>
      <c r="AD307" s="182"/>
      <c r="AE307" s="211"/>
    </row>
    <row r="308" spans="2:31" ht="17.25" customHeight="1">
      <c r="B308" s="180">
        <v>221</v>
      </c>
      <c r="C308" s="811"/>
      <c r="D308" s="765"/>
      <c r="E308" s="186" t="s">
        <v>10</v>
      </c>
      <c r="F308" s="187" t="str">
        <f t="shared" si="11"/>
        <v>IB310DD</v>
      </c>
      <c r="G308" s="249" t="s">
        <v>1183</v>
      </c>
      <c r="H308" s="384"/>
      <c r="I308" s="384"/>
      <c r="J308" s="385"/>
      <c r="K308" s="190" t="s">
        <v>1513</v>
      </c>
      <c r="L308" s="191"/>
      <c r="M308" s="186" t="s">
        <v>11</v>
      </c>
      <c r="N308" s="195" t="str">
        <f t="shared" si="10"/>
        <v>OB310DD</v>
      </c>
      <c r="O308" s="254"/>
      <c r="P308" s="255"/>
      <c r="Q308" s="255"/>
      <c r="R308" s="256"/>
      <c r="S308" s="190"/>
      <c r="T308" s="191"/>
      <c r="U308" s="909"/>
      <c r="V308" s="909"/>
      <c r="W308" s="182"/>
      <c r="X308" s="182"/>
      <c r="Y308" s="182"/>
      <c r="Z308" s="182"/>
      <c r="AA308" s="182"/>
      <c r="AB308" s="210"/>
      <c r="AC308" s="182"/>
      <c r="AD308" s="182"/>
      <c r="AE308" s="211"/>
    </row>
    <row r="309" spans="2:31" ht="17.25" customHeight="1">
      <c r="B309" s="180">
        <v>222</v>
      </c>
      <c r="C309" s="811"/>
      <c r="D309" s="765"/>
      <c r="E309" s="186" t="s">
        <v>10</v>
      </c>
      <c r="F309" s="187" t="str">
        <f t="shared" si="11"/>
        <v>IB310DE</v>
      </c>
      <c r="G309" s="249" t="s">
        <v>1184</v>
      </c>
      <c r="H309" s="384"/>
      <c r="I309" s="384"/>
      <c r="J309" s="385"/>
      <c r="K309" s="190" t="s">
        <v>1513</v>
      </c>
      <c r="L309" s="191"/>
      <c r="M309" s="186" t="s">
        <v>11</v>
      </c>
      <c r="N309" s="195" t="str">
        <f t="shared" si="10"/>
        <v>OB310DE</v>
      </c>
      <c r="O309" s="254"/>
      <c r="P309" s="255"/>
      <c r="Q309" s="255"/>
      <c r="R309" s="256"/>
      <c r="S309" s="190"/>
      <c r="T309" s="191"/>
      <c r="U309" s="909"/>
      <c r="V309" s="909"/>
      <c r="W309" s="182"/>
      <c r="X309" s="182"/>
      <c r="Y309" s="182"/>
      <c r="Z309" s="182"/>
      <c r="AA309" s="182"/>
      <c r="AB309" s="210"/>
      <c r="AC309" s="182"/>
      <c r="AD309" s="182"/>
      <c r="AE309" s="211"/>
    </row>
    <row r="310" spans="2:31" ht="17.25" customHeight="1">
      <c r="B310" s="180">
        <v>223</v>
      </c>
      <c r="C310" s="928"/>
      <c r="D310" s="765"/>
      <c r="E310" s="186" t="s">
        <v>10</v>
      </c>
      <c r="F310" s="187" t="str">
        <f t="shared" si="11"/>
        <v>IB310DF</v>
      </c>
      <c r="G310" s="249" t="s">
        <v>1185</v>
      </c>
      <c r="H310" s="384"/>
      <c r="I310" s="384"/>
      <c r="J310" s="385"/>
      <c r="K310" s="190" t="s">
        <v>1513</v>
      </c>
      <c r="L310" s="191"/>
      <c r="M310" s="186" t="s">
        <v>11</v>
      </c>
      <c r="N310" s="195" t="str">
        <f t="shared" si="10"/>
        <v>OB310DF</v>
      </c>
      <c r="O310" s="254"/>
      <c r="P310" s="255"/>
      <c r="Q310" s="255"/>
      <c r="R310" s="256"/>
      <c r="S310" s="190"/>
      <c r="T310" s="191"/>
      <c r="U310" s="909"/>
      <c r="V310" s="909"/>
      <c r="W310" s="182"/>
      <c r="X310" s="182"/>
      <c r="Y310" s="182"/>
      <c r="Z310" s="182"/>
      <c r="AA310" s="182"/>
      <c r="AB310" s="210"/>
      <c r="AC310" s="182"/>
      <c r="AD310" s="182"/>
      <c r="AE310" s="211"/>
    </row>
    <row r="311" spans="2:31" ht="17.25" customHeight="1">
      <c r="B311" s="180">
        <v>224</v>
      </c>
      <c r="C311" s="925" t="s">
        <v>1564</v>
      </c>
      <c r="D311" s="901" t="s">
        <v>264</v>
      </c>
      <c r="E311" s="186" t="s">
        <v>10</v>
      </c>
      <c r="F311" s="187" t="str">
        <f t="shared" si="11"/>
        <v>IB310E0</v>
      </c>
      <c r="G311" s="271"/>
      <c r="H311" s="272"/>
      <c r="I311" s="272"/>
      <c r="J311" s="273"/>
      <c r="K311" s="190"/>
      <c r="L311" s="209"/>
      <c r="M311" s="186" t="s">
        <v>11</v>
      </c>
      <c r="N311" s="195" t="str">
        <f t="shared" si="10"/>
        <v>OB310E0</v>
      </c>
      <c r="O311" s="463" t="s">
        <v>1162</v>
      </c>
      <c r="P311" s="250"/>
      <c r="Q311" s="250"/>
      <c r="R311" s="251"/>
      <c r="S311" s="190" t="s">
        <v>1513</v>
      </c>
      <c r="T311" s="191"/>
      <c r="U311" s="909"/>
      <c r="V311" s="909"/>
      <c r="W311" s="182"/>
      <c r="X311" s="182"/>
      <c r="Y311" s="182"/>
      <c r="Z311" s="182"/>
      <c r="AA311" s="182"/>
      <c r="AB311" s="210"/>
      <c r="AC311" s="182"/>
      <c r="AD311" s="182"/>
      <c r="AE311" s="211"/>
    </row>
    <row r="312" spans="2:31" ht="17.25" customHeight="1">
      <c r="B312" s="180">
        <v>225</v>
      </c>
      <c r="C312" s="816"/>
      <c r="D312" s="765"/>
      <c r="E312" s="186" t="s">
        <v>10</v>
      </c>
      <c r="F312" s="187" t="str">
        <f t="shared" si="11"/>
        <v>IB310E1</v>
      </c>
      <c r="G312" s="271"/>
      <c r="H312" s="272"/>
      <c r="I312" s="272"/>
      <c r="J312" s="273"/>
      <c r="K312" s="190"/>
      <c r="L312" s="209"/>
      <c r="M312" s="186" t="s">
        <v>11</v>
      </c>
      <c r="N312" s="195" t="str">
        <f t="shared" si="10"/>
        <v>OB310E1</v>
      </c>
      <c r="O312" s="463" t="s">
        <v>1163</v>
      </c>
      <c r="P312" s="250"/>
      <c r="Q312" s="250"/>
      <c r="R312" s="251"/>
      <c r="S312" s="190" t="s">
        <v>1513</v>
      </c>
      <c r="T312" s="191"/>
      <c r="U312" s="909"/>
      <c r="V312" s="909"/>
      <c r="W312" s="182"/>
      <c r="X312" s="182"/>
      <c r="Y312" s="182"/>
      <c r="Z312" s="182"/>
      <c r="AA312" s="182"/>
      <c r="AB312" s="210"/>
      <c r="AC312" s="182"/>
      <c r="AD312" s="182"/>
      <c r="AE312" s="211"/>
    </row>
    <row r="313" spans="2:31" ht="17.25" customHeight="1">
      <c r="B313" s="180">
        <v>226</v>
      </c>
      <c r="C313" s="816"/>
      <c r="D313" s="765"/>
      <c r="E313" s="186" t="s">
        <v>10</v>
      </c>
      <c r="F313" s="187" t="str">
        <f t="shared" si="11"/>
        <v>IB310E2</v>
      </c>
      <c r="G313" s="271"/>
      <c r="H313" s="272"/>
      <c r="I313" s="272"/>
      <c r="J313" s="273"/>
      <c r="K313" s="190"/>
      <c r="L313" s="209"/>
      <c r="M313" s="186" t="s">
        <v>11</v>
      </c>
      <c r="N313" s="195" t="str">
        <f t="shared" si="10"/>
        <v>OB310E2</v>
      </c>
      <c r="O313" s="463" t="s">
        <v>1164</v>
      </c>
      <c r="P313" s="250"/>
      <c r="Q313" s="250"/>
      <c r="R313" s="251"/>
      <c r="S313" s="190" t="s">
        <v>1513</v>
      </c>
      <c r="T313" s="191"/>
      <c r="U313" s="909"/>
      <c r="V313" s="909"/>
      <c r="W313" s="182"/>
      <c r="X313" s="182"/>
      <c r="Y313" s="182"/>
      <c r="Z313" s="182"/>
      <c r="AA313" s="182"/>
      <c r="AB313" s="210"/>
      <c r="AC313" s="182"/>
      <c r="AD313" s="182"/>
      <c r="AE313" s="211"/>
    </row>
    <row r="314" spans="2:31" ht="17.25" customHeight="1">
      <c r="B314" s="180">
        <v>227</v>
      </c>
      <c r="C314" s="816"/>
      <c r="D314" s="765"/>
      <c r="E314" s="186" t="s">
        <v>10</v>
      </c>
      <c r="F314" s="187" t="str">
        <f t="shared" si="11"/>
        <v>IB310E3</v>
      </c>
      <c r="G314" s="271"/>
      <c r="H314" s="272"/>
      <c r="I314" s="272"/>
      <c r="J314" s="273"/>
      <c r="K314" s="190"/>
      <c r="L314" s="209"/>
      <c r="M314" s="186" t="s">
        <v>11</v>
      </c>
      <c r="N314" s="195" t="str">
        <f t="shared" si="10"/>
        <v>OB310E3</v>
      </c>
      <c r="O314" s="463" t="s">
        <v>1165</v>
      </c>
      <c r="P314" s="250"/>
      <c r="Q314" s="250"/>
      <c r="R314" s="251"/>
      <c r="S314" s="190" t="s">
        <v>1513</v>
      </c>
      <c r="T314" s="191"/>
      <c r="U314" s="909"/>
      <c r="V314" s="909"/>
      <c r="W314" s="182"/>
      <c r="X314" s="182"/>
      <c r="Y314" s="182"/>
      <c r="Z314" s="182"/>
      <c r="AA314" s="182"/>
      <c r="AB314" s="210"/>
      <c r="AC314" s="182"/>
      <c r="AD314" s="182"/>
      <c r="AE314" s="211"/>
    </row>
    <row r="315" spans="2:31" ht="17.25" customHeight="1">
      <c r="B315" s="180">
        <v>228</v>
      </c>
      <c r="C315" s="816"/>
      <c r="D315" s="765"/>
      <c r="E315" s="186" t="s">
        <v>10</v>
      </c>
      <c r="F315" s="187" t="str">
        <f t="shared" si="11"/>
        <v>IB310E4</v>
      </c>
      <c r="G315" s="271"/>
      <c r="H315" s="272"/>
      <c r="I315" s="272"/>
      <c r="J315" s="273"/>
      <c r="K315" s="190"/>
      <c r="L315" s="209"/>
      <c r="M315" s="186" t="s">
        <v>11</v>
      </c>
      <c r="N315" s="195" t="str">
        <f t="shared" si="10"/>
        <v>OB310E4</v>
      </c>
      <c r="O315" s="463" t="s">
        <v>1166</v>
      </c>
      <c r="P315" s="250"/>
      <c r="Q315" s="250"/>
      <c r="R315" s="251"/>
      <c r="S315" s="190" t="s">
        <v>1513</v>
      </c>
      <c r="T315" s="191"/>
      <c r="U315" s="909"/>
      <c r="V315" s="909"/>
      <c r="W315" s="193"/>
      <c r="X315" s="182"/>
      <c r="Y315" s="182"/>
      <c r="Z315" s="182"/>
      <c r="AA315" s="182"/>
      <c r="AB315" s="210"/>
      <c r="AC315" s="182"/>
      <c r="AD315" s="182"/>
      <c r="AE315" s="211"/>
    </row>
    <row r="316" spans="2:31" ht="17.25" customHeight="1">
      <c r="B316" s="180">
        <v>229</v>
      </c>
      <c r="C316" s="816"/>
      <c r="D316" s="765"/>
      <c r="E316" s="186" t="s">
        <v>10</v>
      </c>
      <c r="F316" s="187" t="str">
        <f t="shared" si="11"/>
        <v>IB310E5</v>
      </c>
      <c r="G316" s="271"/>
      <c r="H316" s="272"/>
      <c r="I316" s="272"/>
      <c r="J316" s="273"/>
      <c r="K316" s="190"/>
      <c r="L316" s="209"/>
      <c r="M316" s="186" t="s">
        <v>11</v>
      </c>
      <c r="N316" s="195" t="str">
        <f t="shared" si="10"/>
        <v>OB310E5</v>
      </c>
      <c r="O316" s="463" t="s">
        <v>1167</v>
      </c>
      <c r="P316" s="250"/>
      <c r="Q316" s="250"/>
      <c r="R316" s="251"/>
      <c r="S316" s="190" t="s">
        <v>1513</v>
      </c>
      <c r="T316" s="191"/>
      <c r="U316" s="909"/>
      <c r="V316" s="909"/>
      <c r="W316" s="193"/>
      <c r="X316" s="182"/>
      <c r="Y316" s="182"/>
      <c r="Z316" s="182"/>
      <c r="AA316" s="182"/>
      <c r="AB316" s="210"/>
      <c r="AC316" s="182"/>
      <c r="AD316" s="182"/>
      <c r="AE316" s="211"/>
    </row>
    <row r="317" spans="2:31" ht="17.25" customHeight="1">
      <c r="B317" s="180">
        <v>230</v>
      </c>
      <c r="C317" s="816"/>
      <c r="D317" s="765"/>
      <c r="E317" s="186" t="s">
        <v>10</v>
      </c>
      <c r="F317" s="187" t="str">
        <f t="shared" si="11"/>
        <v>IB310E6</v>
      </c>
      <c r="G317" s="271"/>
      <c r="H317" s="272"/>
      <c r="I317" s="272"/>
      <c r="J317" s="273"/>
      <c r="K317" s="190"/>
      <c r="L317" s="209"/>
      <c r="M317" s="186" t="s">
        <v>11</v>
      </c>
      <c r="N317" s="195" t="str">
        <f t="shared" si="10"/>
        <v>OB310E6</v>
      </c>
      <c r="O317" s="463" t="s">
        <v>1168</v>
      </c>
      <c r="P317" s="250"/>
      <c r="Q317" s="250"/>
      <c r="R317" s="251"/>
      <c r="S317" s="190" t="s">
        <v>1513</v>
      </c>
      <c r="T317" s="191"/>
      <c r="U317" s="909"/>
      <c r="V317" s="909"/>
      <c r="W317" s="193"/>
      <c r="X317" s="182"/>
      <c r="Y317" s="182"/>
      <c r="Z317" s="182"/>
      <c r="AA317" s="182"/>
      <c r="AB317" s="210"/>
      <c r="AC317" s="182"/>
      <c r="AD317" s="182"/>
      <c r="AE317" s="211"/>
    </row>
    <row r="318" spans="2:31" ht="17.25" customHeight="1">
      <c r="B318" s="180">
        <v>231</v>
      </c>
      <c r="C318" s="816"/>
      <c r="D318" s="765"/>
      <c r="E318" s="186" t="s">
        <v>10</v>
      </c>
      <c r="F318" s="187" t="str">
        <f t="shared" si="11"/>
        <v>IB310E7</v>
      </c>
      <c r="G318" s="271"/>
      <c r="H318" s="272"/>
      <c r="I318" s="272"/>
      <c r="J318" s="273"/>
      <c r="K318" s="190"/>
      <c r="L318" s="209"/>
      <c r="M318" s="186" t="s">
        <v>11</v>
      </c>
      <c r="N318" s="195" t="str">
        <f t="shared" si="10"/>
        <v>OB310E7</v>
      </c>
      <c r="O318" s="463" t="s">
        <v>1169</v>
      </c>
      <c r="P318" s="250"/>
      <c r="Q318" s="250"/>
      <c r="R318" s="251"/>
      <c r="S318" s="190" t="s">
        <v>1513</v>
      </c>
      <c r="T318" s="191"/>
      <c r="U318" s="909"/>
      <c r="V318" s="909"/>
      <c r="W318" s="182"/>
      <c r="X318" s="182"/>
      <c r="Y318" s="182"/>
      <c r="Z318" s="182"/>
      <c r="AA318" s="182"/>
      <c r="AB318" s="210"/>
      <c r="AC318" s="182"/>
      <c r="AD318" s="182"/>
      <c r="AE318" s="211"/>
    </row>
    <row r="319" spans="2:31" ht="17.25" customHeight="1">
      <c r="B319" s="180">
        <v>232</v>
      </c>
      <c r="C319" s="816"/>
      <c r="D319" s="765"/>
      <c r="E319" s="186" t="s">
        <v>10</v>
      </c>
      <c r="F319" s="187" t="str">
        <f t="shared" si="11"/>
        <v>IB310E8</v>
      </c>
      <c r="G319" s="271"/>
      <c r="H319" s="272"/>
      <c r="I319" s="272"/>
      <c r="J319" s="273"/>
      <c r="K319" s="190"/>
      <c r="L319" s="209"/>
      <c r="M319" s="186" t="s">
        <v>11</v>
      </c>
      <c r="N319" s="195" t="str">
        <f t="shared" si="10"/>
        <v>OB310E8</v>
      </c>
      <c r="O319" s="463" t="s">
        <v>1170</v>
      </c>
      <c r="P319" s="250"/>
      <c r="Q319" s="250"/>
      <c r="R319" s="251"/>
      <c r="S319" s="190" t="s">
        <v>1513</v>
      </c>
      <c r="T319" s="191"/>
      <c r="U319" s="909"/>
      <c r="V319" s="909"/>
      <c r="W319" s="182"/>
      <c r="X319" s="182"/>
      <c r="Y319" s="182"/>
      <c r="Z319" s="182"/>
      <c r="AA319" s="182"/>
      <c r="AB319" s="210"/>
      <c r="AC319" s="182"/>
      <c r="AD319" s="182"/>
      <c r="AE319" s="211"/>
    </row>
    <row r="320" spans="2:31" ht="17.25" customHeight="1">
      <c r="B320" s="180">
        <v>233</v>
      </c>
      <c r="C320" s="816"/>
      <c r="D320" s="765"/>
      <c r="E320" s="186" t="s">
        <v>10</v>
      </c>
      <c r="F320" s="187" t="str">
        <f t="shared" si="11"/>
        <v>IB310E9</v>
      </c>
      <c r="G320" s="271"/>
      <c r="H320" s="272"/>
      <c r="I320" s="272"/>
      <c r="J320" s="273"/>
      <c r="K320" s="190"/>
      <c r="L320" s="209"/>
      <c r="M320" s="186" t="s">
        <v>11</v>
      </c>
      <c r="N320" s="195" t="str">
        <f t="shared" si="10"/>
        <v>OB310E9</v>
      </c>
      <c r="O320" s="463" t="s">
        <v>1171</v>
      </c>
      <c r="P320" s="250"/>
      <c r="Q320" s="250"/>
      <c r="R320" s="251"/>
      <c r="S320" s="190" t="s">
        <v>1513</v>
      </c>
      <c r="T320" s="191"/>
      <c r="U320" s="909"/>
      <c r="V320" s="909"/>
      <c r="W320" s="182"/>
      <c r="X320" s="182"/>
      <c r="Y320" s="182"/>
      <c r="Z320" s="182"/>
      <c r="AA320" s="182"/>
      <c r="AB320" s="210"/>
      <c r="AC320" s="182"/>
      <c r="AD320" s="182"/>
      <c r="AE320" s="211"/>
    </row>
    <row r="321" spans="2:31" ht="17.25" customHeight="1">
      <c r="B321" s="180">
        <v>234</v>
      </c>
      <c r="C321" s="816"/>
      <c r="D321" s="765"/>
      <c r="E321" s="186" t="s">
        <v>10</v>
      </c>
      <c r="F321" s="187" t="str">
        <f t="shared" si="11"/>
        <v>IB310EA</v>
      </c>
      <c r="G321" s="271"/>
      <c r="H321" s="272"/>
      <c r="I321" s="272"/>
      <c r="J321" s="273"/>
      <c r="K321" s="190"/>
      <c r="L321" s="209"/>
      <c r="M321" s="186" t="s">
        <v>11</v>
      </c>
      <c r="N321" s="195" t="str">
        <f t="shared" si="10"/>
        <v>OB310EA</v>
      </c>
      <c r="O321" s="463" t="s">
        <v>1172</v>
      </c>
      <c r="P321" s="250"/>
      <c r="Q321" s="250"/>
      <c r="R321" s="251"/>
      <c r="S321" s="190" t="s">
        <v>1513</v>
      </c>
      <c r="T321" s="191"/>
      <c r="U321" s="909"/>
      <c r="V321" s="909"/>
      <c r="W321" s="182"/>
      <c r="X321" s="182"/>
      <c r="Y321" s="182"/>
      <c r="Z321" s="182"/>
      <c r="AA321" s="182"/>
      <c r="AB321" s="210"/>
      <c r="AC321" s="182"/>
      <c r="AD321" s="182"/>
      <c r="AE321" s="211"/>
    </row>
    <row r="322" spans="2:31" ht="17.25" customHeight="1">
      <c r="B322" s="180">
        <v>235</v>
      </c>
      <c r="C322" s="816"/>
      <c r="D322" s="765"/>
      <c r="E322" s="186" t="s">
        <v>10</v>
      </c>
      <c r="F322" s="187" t="str">
        <f t="shared" si="11"/>
        <v>IB310EB</v>
      </c>
      <c r="G322" s="271"/>
      <c r="H322" s="272"/>
      <c r="I322" s="272"/>
      <c r="J322" s="273"/>
      <c r="K322" s="190"/>
      <c r="L322" s="209"/>
      <c r="M322" s="186" t="s">
        <v>11</v>
      </c>
      <c r="N322" s="195" t="str">
        <f t="shared" si="10"/>
        <v>OB310EB</v>
      </c>
      <c r="O322" s="463" t="s">
        <v>1173</v>
      </c>
      <c r="P322" s="250"/>
      <c r="Q322" s="250"/>
      <c r="R322" s="251"/>
      <c r="S322" s="190" t="s">
        <v>1513</v>
      </c>
      <c r="T322" s="191"/>
      <c r="U322" s="909"/>
      <c r="V322" s="909"/>
      <c r="W322" s="182"/>
      <c r="X322" s="182"/>
      <c r="Y322" s="182"/>
      <c r="Z322" s="182"/>
      <c r="AA322" s="182"/>
      <c r="AB322" s="210"/>
      <c r="AC322" s="182"/>
      <c r="AD322" s="182"/>
      <c r="AE322" s="211"/>
    </row>
    <row r="323" spans="2:31" ht="17.25" customHeight="1">
      <c r="B323" s="180">
        <v>236</v>
      </c>
      <c r="C323" s="816"/>
      <c r="D323" s="765"/>
      <c r="E323" s="186" t="s">
        <v>10</v>
      </c>
      <c r="F323" s="187" t="str">
        <f t="shared" si="11"/>
        <v>IB310EC</v>
      </c>
      <c r="G323" s="271"/>
      <c r="H323" s="272"/>
      <c r="I323" s="272"/>
      <c r="J323" s="273"/>
      <c r="K323" s="190"/>
      <c r="L323" s="209"/>
      <c r="M323" s="186" t="s">
        <v>11</v>
      </c>
      <c r="N323" s="195" t="str">
        <f t="shared" si="10"/>
        <v>OB310EC</v>
      </c>
      <c r="O323" s="463" t="s">
        <v>1174</v>
      </c>
      <c r="P323" s="250"/>
      <c r="Q323" s="250"/>
      <c r="R323" s="251"/>
      <c r="S323" s="190" t="s">
        <v>1513</v>
      </c>
      <c r="T323" s="191"/>
      <c r="U323" s="909"/>
      <c r="V323" s="909"/>
      <c r="W323" s="182"/>
      <c r="X323" s="182"/>
      <c r="Y323" s="182"/>
      <c r="Z323" s="182"/>
      <c r="AA323" s="182"/>
      <c r="AB323" s="210"/>
      <c r="AC323" s="182"/>
      <c r="AD323" s="182"/>
      <c r="AE323" s="211"/>
    </row>
    <row r="324" spans="2:31" ht="17.25" customHeight="1">
      <c r="B324" s="180">
        <v>237</v>
      </c>
      <c r="C324" s="816"/>
      <c r="D324" s="765"/>
      <c r="E324" s="186" t="s">
        <v>10</v>
      </c>
      <c r="F324" s="187" t="str">
        <f t="shared" si="11"/>
        <v>IB310ED</v>
      </c>
      <c r="G324" s="271"/>
      <c r="H324" s="272"/>
      <c r="I324" s="272"/>
      <c r="J324" s="273"/>
      <c r="K324" s="182"/>
      <c r="L324" s="188"/>
      <c r="M324" s="186" t="s">
        <v>11</v>
      </c>
      <c r="N324" s="195" t="str">
        <f t="shared" si="10"/>
        <v>OB310ED</v>
      </c>
      <c r="O324" s="463" t="s">
        <v>1175</v>
      </c>
      <c r="P324" s="250"/>
      <c r="Q324" s="250"/>
      <c r="R324" s="251"/>
      <c r="S324" s="196" t="s">
        <v>1513</v>
      </c>
      <c r="T324" s="191"/>
      <c r="U324" s="909"/>
      <c r="V324" s="909"/>
      <c r="W324" s="182"/>
      <c r="X324" s="182"/>
      <c r="Y324" s="182"/>
      <c r="Z324" s="182"/>
      <c r="AA324" s="182"/>
      <c r="AB324" s="210"/>
      <c r="AC324" s="182"/>
      <c r="AD324" s="182"/>
      <c r="AE324" s="211"/>
    </row>
    <row r="325" spans="2:31" ht="17.25" customHeight="1">
      <c r="B325" s="180">
        <v>238</v>
      </c>
      <c r="C325" s="816"/>
      <c r="D325" s="765"/>
      <c r="E325" s="186" t="s">
        <v>10</v>
      </c>
      <c r="F325" s="187" t="str">
        <f t="shared" si="11"/>
        <v>IB310EE</v>
      </c>
      <c r="G325" s="271"/>
      <c r="H325" s="272"/>
      <c r="I325" s="272"/>
      <c r="J325" s="273"/>
      <c r="K325" s="182"/>
      <c r="L325" s="188"/>
      <c r="M325" s="186" t="s">
        <v>11</v>
      </c>
      <c r="N325" s="195" t="str">
        <f t="shared" si="10"/>
        <v>OB310EE</v>
      </c>
      <c r="O325" s="463" t="s">
        <v>1177</v>
      </c>
      <c r="P325" s="250"/>
      <c r="Q325" s="250"/>
      <c r="R325" s="251"/>
      <c r="S325" s="196" t="s">
        <v>1513</v>
      </c>
      <c r="T325" s="191"/>
      <c r="U325" s="909"/>
      <c r="V325" s="909"/>
      <c r="W325" s="182"/>
      <c r="X325" s="182"/>
      <c r="Y325" s="182"/>
      <c r="Z325" s="182"/>
      <c r="AA325" s="182"/>
      <c r="AB325" s="210"/>
      <c r="AC325" s="182"/>
      <c r="AD325" s="182"/>
      <c r="AE325" s="211"/>
    </row>
    <row r="326" spans="2:31" ht="17.25" customHeight="1">
      <c r="B326" s="180">
        <v>239</v>
      </c>
      <c r="C326" s="926"/>
      <c r="D326" s="765"/>
      <c r="E326" s="186" t="s">
        <v>10</v>
      </c>
      <c r="F326" s="187" t="str">
        <f t="shared" si="11"/>
        <v>IB310EF</v>
      </c>
      <c r="G326" s="271"/>
      <c r="H326" s="272"/>
      <c r="I326" s="272"/>
      <c r="J326" s="273"/>
      <c r="K326" s="182"/>
      <c r="L326" s="188"/>
      <c r="M326" s="186" t="s">
        <v>11</v>
      </c>
      <c r="N326" s="195" t="str">
        <f t="shared" si="10"/>
        <v>OB310EF</v>
      </c>
      <c r="O326" s="249"/>
      <c r="P326" s="250"/>
      <c r="Q326" s="250"/>
      <c r="R326" s="251"/>
      <c r="S326" s="190"/>
      <c r="T326" s="191"/>
      <c r="U326" s="909"/>
      <c r="V326" s="909"/>
      <c r="W326" s="182"/>
      <c r="X326" s="182"/>
      <c r="Y326" s="182"/>
      <c r="Z326" s="182"/>
      <c r="AA326" s="182"/>
      <c r="AB326" s="210"/>
      <c r="AC326" s="182"/>
      <c r="AD326" s="182"/>
      <c r="AE326" s="211"/>
    </row>
    <row r="327" spans="2:31" ht="17.25" customHeight="1">
      <c r="B327" s="180">
        <v>240</v>
      </c>
      <c r="C327" s="927" t="s">
        <v>41</v>
      </c>
      <c r="D327" s="901" t="s">
        <v>264</v>
      </c>
      <c r="E327" s="186" t="s">
        <v>10</v>
      </c>
      <c r="F327" s="187" t="str">
        <f t="shared" si="11"/>
        <v>IB310F0</v>
      </c>
      <c r="G327" s="243" t="s">
        <v>1154</v>
      </c>
      <c r="H327" s="244"/>
      <c r="I327" s="244"/>
      <c r="J327" s="245"/>
      <c r="K327" s="182" t="s">
        <v>1513</v>
      </c>
      <c r="L327" s="188"/>
      <c r="M327" s="186" t="s">
        <v>11</v>
      </c>
      <c r="N327" s="195" t="str">
        <f t="shared" si="10"/>
        <v>OB310F0</v>
      </c>
      <c r="O327" s="268"/>
      <c r="P327" s="269"/>
      <c r="Q327" s="269"/>
      <c r="R327" s="270"/>
      <c r="S327" s="190"/>
      <c r="T327" s="191"/>
      <c r="U327" s="909"/>
      <c r="V327" s="909"/>
      <c r="W327" s="193"/>
      <c r="X327" s="182"/>
      <c r="Y327" s="182"/>
      <c r="Z327" s="182"/>
      <c r="AA327" s="182"/>
      <c r="AB327" s="210"/>
      <c r="AC327" s="182"/>
      <c r="AD327" s="182"/>
      <c r="AE327" s="211"/>
    </row>
    <row r="328" spans="2:31" ht="17.25" customHeight="1">
      <c r="B328" s="180">
        <v>241</v>
      </c>
      <c r="C328" s="811"/>
      <c r="D328" s="765"/>
      <c r="E328" s="186" t="s">
        <v>10</v>
      </c>
      <c r="F328" s="187" t="str">
        <f t="shared" si="11"/>
        <v>IB310F1</v>
      </c>
      <c r="G328" s="243" t="s">
        <v>1155</v>
      </c>
      <c r="H328" s="244"/>
      <c r="I328" s="244"/>
      <c r="J328" s="245"/>
      <c r="K328" s="182" t="s">
        <v>1513</v>
      </c>
      <c r="L328" s="188"/>
      <c r="M328" s="186" t="s">
        <v>11</v>
      </c>
      <c r="N328" s="195" t="str">
        <f t="shared" si="10"/>
        <v>OB310F1</v>
      </c>
      <c r="O328" s="268"/>
      <c r="P328" s="269"/>
      <c r="Q328" s="269"/>
      <c r="R328" s="270"/>
      <c r="S328" s="190"/>
      <c r="T328" s="191"/>
      <c r="U328" s="909"/>
      <c r="V328" s="909"/>
      <c r="W328" s="193"/>
      <c r="X328" s="182"/>
      <c r="Y328" s="182"/>
      <c r="Z328" s="182"/>
      <c r="AA328" s="182"/>
      <c r="AB328" s="210"/>
      <c r="AC328" s="182"/>
      <c r="AD328" s="182"/>
      <c r="AE328" s="211"/>
    </row>
    <row r="329" spans="2:31" ht="17.25" customHeight="1">
      <c r="B329" s="180">
        <v>242</v>
      </c>
      <c r="C329" s="811"/>
      <c r="D329" s="765"/>
      <c r="E329" s="186" t="s">
        <v>10</v>
      </c>
      <c r="F329" s="187" t="str">
        <f t="shared" si="11"/>
        <v>IB310F2</v>
      </c>
      <c r="G329" s="243" t="s">
        <v>1156</v>
      </c>
      <c r="H329" s="244"/>
      <c r="I329" s="244"/>
      <c r="J329" s="245"/>
      <c r="K329" s="182" t="s">
        <v>1513</v>
      </c>
      <c r="L329" s="188"/>
      <c r="M329" s="186" t="s">
        <v>11</v>
      </c>
      <c r="N329" s="195" t="str">
        <f t="shared" ref="N329:N342" si="12">LEFT(N328,1)&amp;DEC2HEX(HEX2DEC(MID(N328,2,LENB(N328)-1))+1,LENB(N328)-1)</f>
        <v>OB310F2</v>
      </c>
      <c r="O329" s="268"/>
      <c r="P329" s="269"/>
      <c r="Q329" s="269"/>
      <c r="R329" s="270"/>
      <c r="S329" s="190"/>
      <c r="T329" s="191"/>
      <c r="U329" s="909"/>
      <c r="V329" s="909"/>
      <c r="W329" s="193"/>
      <c r="X329" s="182"/>
      <c r="Y329" s="182"/>
      <c r="Z329" s="182"/>
      <c r="AA329" s="182"/>
      <c r="AB329" s="210"/>
      <c r="AC329" s="182"/>
      <c r="AD329" s="182"/>
      <c r="AE329" s="211"/>
    </row>
    <row r="330" spans="2:31" ht="17.25" customHeight="1">
      <c r="B330" s="180">
        <v>243</v>
      </c>
      <c r="C330" s="811"/>
      <c r="D330" s="765"/>
      <c r="E330" s="186" t="s">
        <v>10</v>
      </c>
      <c r="F330" s="187" t="str">
        <f t="shared" si="11"/>
        <v>IB310F3</v>
      </c>
      <c r="G330" s="243" t="s">
        <v>1157</v>
      </c>
      <c r="H330" s="244"/>
      <c r="I330" s="244"/>
      <c r="J330" s="245"/>
      <c r="K330" s="182" t="s">
        <v>1513</v>
      </c>
      <c r="L330" s="188"/>
      <c r="M330" s="186" t="s">
        <v>11</v>
      </c>
      <c r="N330" s="195" t="str">
        <f t="shared" si="12"/>
        <v>OB310F3</v>
      </c>
      <c r="O330" s="268"/>
      <c r="P330" s="269"/>
      <c r="Q330" s="269"/>
      <c r="R330" s="270"/>
      <c r="S330" s="190"/>
      <c r="T330" s="191"/>
      <c r="U330" s="909"/>
      <c r="V330" s="909"/>
      <c r="W330" s="193"/>
      <c r="X330" s="182"/>
      <c r="Y330" s="182"/>
      <c r="Z330" s="182"/>
      <c r="AA330" s="182"/>
      <c r="AB330" s="210"/>
      <c r="AC330" s="182"/>
      <c r="AD330" s="182"/>
      <c r="AE330" s="211"/>
    </row>
    <row r="331" spans="2:31" ht="17.25" customHeight="1">
      <c r="B331" s="180">
        <v>244</v>
      </c>
      <c r="C331" s="811"/>
      <c r="D331" s="765"/>
      <c r="E331" s="186" t="s">
        <v>10</v>
      </c>
      <c r="F331" s="187" t="str">
        <f t="shared" si="11"/>
        <v>IB310F4</v>
      </c>
      <c r="G331" s="243" t="s">
        <v>1158</v>
      </c>
      <c r="H331" s="244"/>
      <c r="I331" s="244"/>
      <c r="J331" s="245"/>
      <c r="K331" s="182" t="s">
        <v>1513</v>
      </c>
      <c r="L331" s="188"/>
      <c r="M331" s="186" t="s">
        <v>11</v>
      </c>
      <c r="N331" s="195" t="str">
        <f t="shared" si="12"/>
        <v>OB310F4</v>
      </c>
      <c r="O331" s="268"/>
      <c r="P331" s="269"/>
      <c r="Q331" s="269"/>
      <c r="R331" s="270"/>
      <c r="S331" s="190"/>
      <c r="T331" s="191"/>
      <c r="U331" s="909"/>
      <c r="V331" s="909"/>
      <c r="W331" s="187"/>
      <c r="X331" s="182"/>
      <c r="Y331" s="182"/>
      <c r="Z331" s="182"/>
      <c r="AA331" s="182"/>
      <c r="AB331" s="210"/>
      <c r="AC331" s="182"/>
      <c r="AD331" s="182"/>
      <c r="AE331" s="211"/>
    </row>
    <row r="332" spans="2:31" ht="17.25" customHeight="1">
      <c r="B332" s="180">
        <v>245</v>
      </c>
      <c r="C332" s="811"/>
      <c r="D332" s="765"/>
      <c r="E332" s="186" t="s">
        <v>10</v>
      </c>
      <c r="F332" s="187" t="str">
        <f t="shared" si="11"/>
        <v>IB310F5</v>
      </c>
      <c r="G332" s="243" t="s">
        <v>1159</v>
      </c>
      <c r="H332" s="244"/>
      <c r="I332" s="244"/>
      <c r="J332" s="245"/>
      <c r="K332" s="182" t="s">
        <v>1513</v>
      </c>
      <c r="L332" s="183"/>
      <c r="M332" s="186" t="s">
        <v>11</v>
      </c>
      <c r="N332" s="195" t="str">
        <f t="shared" si="12"/>
        <v>OB310F5</v>
      </c>
      <c r="O332" s="268"/>
      <c r="P332" s="269"/>
      <c r="Q332" s="269"/>
      <c r="R332" s="270"/>
      <c r="S332" s="190"/>
      <c r="T332" s="191"/>
      <c r="U332" s="909"/>
      <c r="V332" s="909"/>
      <c r="W332" s="187"/>
      <c r="X332" s="182"/>
      <c r="Y332" s="182"/>
      <c r="Z332" s="182"/>
      <c r="AA332" s="182"/>
      <c r="AB332" s="210"/>
      <c r="AC332" s="182"/>
      <c r="AD332" s="182"/>
      <c r="AE332" s="211"/>
    </row>
    <row r="333" spans="2:31" ht="17.25" customHeight="1">
      <c r="B333" s="180">
        <v>246</v>
      </c>
      <c r="C333" s="811"/>
      <c r="D333" s="765"/>
      <c r="E333" s="186" t="s">
        <v>10</v>
      </c>
      <c r="F333" s="187" t="str">
        <f t="shared" si="11"/>
        <v>IB310F6</v>
      </c>
      <c r="G333" s="243" t="s">
        <v>1160</v>
      </c>
      <c r="H333" s="244"/>
      <c r="I333" s="244"/>
      <c r="J333" s="245"/>
      <c r="K333" s="182" t="s">
        <v>1513</v>
      </c>
      <c r="L333" s="183"/>
      <c r="M333" s="186" t="s">
        <v>11</v>
      </c>
      <c r="N333" s="195" t="str">
        <f t="shared" si="12"/>
        <v>OB310F6</v>
      </c>
      <c r="O333" s="268"/>
      <c r="P333" s="269"/>
      <c r="Q333" s="269"/>
      <c r="R333" s="270"/>
      <c r="S333" s="190"/>
      <c r="T333" s="191"/>
      <c r="U333" s="909"/>
      <c r="V333" s="909"/>
      <c r="W333" s="187"/>
      <c r="X333" s="182"/>
      <c r="Y333" s="182"/>
      <c r="Z333" s="182"/>
      <c r="AA333" s="182"/>
      <c r="AB333" s="210"/>
      <c r="AC333" s="182"/>
      <c r="AD333" s="182"/>
      <c r="AE333" s="211"/>
    </row>
    <row r="334" spans="2:31" ht="17.25" customHeight="1">
      <c r="B334" s="180">
        <v>247</v>
      </c>
      <c r="C334" s="811"/>
      <c r="D334" s="765"/>
      <c r="E334" s="186" t="s">
        <v>10</v>
      </c>
      <c r="F334" s="187" t="str">
        <f t="shared" si="11"/>
        <v>IB310F7</v>
      </c>
      <c r="G334" s="243" t="s">
        <v>1161</v>
      </c>
      <c r="H334" s="244"/>
      <c r="I334" s="244"/>
      <c r="J334" s="245"/>
      <c r="K334" s="182" t="s">
        <v>1513</v>
      </c>
      <c r="L334" s="183"/>
      <c r="M334" s="186" t="s">
        <v>11</v>
      </c>
      <c r="N334" s="195" t="str">
        <f t="shared" si="12"/>
        <v>OB310F7</v>
      </c>
      <c r="O334" s="268"/>
      <c r="P334" s="269"/>
      <c r="Q334" s="269"/>
      <c r="R334" s="270"/>
      <c r="S334" s="190"/>
      <c r="T334" s="191"/>
      <c r="U334" s="909"/>
      <c r="V334" s="909"/>
      <c r="W334" s="187"/>
      <c r="X334" s="182"/>
      <c r="Y334" s="182"/>
      <c r="Z334" s="182"/>
      <c r="AA334" s="182"/>
      <c r="AB334" s="210"/>
      <c r="AC334" s="182"/>
      <c r="AD334" s="182"/>
      <c r="AE334" s="211"/>
    </row>
    <row r="335" spans="2:31" ht="17.25" customHeight="1">
      <c r="B335" s="180">
        <v>248</v>
      </c>
      <c r="C335" s="811"/>
      <c r="D335" s="765"/>
      <c r="E335" s="186" t="s">
        <v>10</v>
      </c>
      <c r="F335" s="187" t="str">
        <f t="shared" si="11"/>
        <v>IB310F8</v>
      </c>
      <c r="G335" s="328" t="s">
        <v>1379</v>
      </c>
      <c r="H335" s="329"/>
      <c r="I335" s="329"/>
      <c r="J335" s="585"/>
      <c r="K335" s="584" t="s">
        <v>1513</v>
      </c>
      <c r="L335" s="183"/>
      <c r="M335" s="186" t="s">
        <v>11</v>
      </c>
      <c r="N335" s="195" t="str">
        <f t="shared" si="12"/>
        <v>OB310F8</v>
      </c>
      <c r="O335" s="268"/>
      <c r="P335" s="269"/>
      <c r="Q335" s="269"/>
      <c r="R335" s="270"/>
      <c r="S335" s="190"/>
      <c r="T335" s="191"/>
      <c r="U335" s="909"/>
      <c r="V335" s="909"/>
      <c r="W335" s="187"/>
      <c r="X335" s="182"/>
      <c r="Y335" s="182"/>
      <c r="Z335" s="182"/>
      <c r="AA335" s="182"/>
      <c r="AB335" s="210"/>
      <c r="AC335" s="182"/>
      <c r="AD335" s="182"/>
      <c r="AE335" s="211"/>
    </row>
    <row r="336" spans="2:31" ht="17.25" customHeight="1">
      <c r="B336" s="180">
        <v>249</v>
      </c>
      <c r="C336" s="811"/>
      <c r="D336" s="765"/>
      <c r="E336" s="186" t="s">
        <v>10</v>
      </c>
      <c r="F336" s="187" t="str">
        <f t="shared" si="11"/>
        <v>IB310F9</v>
      </c>
      <c r="G336" s="328" t="s">
        <v>1380</v>
      </c>
      <c r="H336" s="329"/>
      <c r="I336" s="329"/>
      <c r="J336" s="585"/>
      <c r="K336" s="584" t="s">
        <v>1513</v>
      </c>
      <c r="L336" s="183"/>
      <c r="M336" s="186" t="s">
        <v>11</v>
      </c>
      <c r="N336" s="195" t="str">
        <f t="shared" si="12"/>
        <v>OB310F9</v>
      </c>
      <c r="O336" s="271"/>
      <c r="P336" s="272"/>
      <c r="Q336" s="272"/>
      <c r="R336" s="273"/>
      <c r="S336" s="190"/>
      <c r="T336" s="191"/>
      <c r="U336" s="909"/>
      <c r="V336" s="909"/>
      <c r="W336" s="187"/>
      <c r="X336" s="182"/>
      <c r="Y336" s="182"/>
      <c r="Z336" s="182"/>
      <c r="AA336" s="182"/>
      <c r="AB336" s="210"/>
      <c r="AC336" s="182"/>
      <c r="AD336" s="182"/>
      <c r="AE336" s="211"/>
    </row>
    <row r="337" spans="2:31" ht="17.25" customHeight="1">
      <c r="B337" s="180">
        <v>250</v>
      </c>
      <c r="C337" s="811"/>
      <c r="D337" s="765"/>
      <c r="E337" s="186" t="s">
        <v>10</v>
      </c>
      <c r="F337" s="187" t="str">
        <f t="shared" si="11"/>
        <v>IB310FA</v>
      </c>
      <c r="G337" s="328" t="s">
        <v>1381</v>
      </c>
      <c r="H337" s="329"/>
      <c r="I337" s="329"/>
      <c r="J337" s="585"/>
      <c r="K337" s="584" t="s">
        <v>1513</v>
      </c>
      <c r="L337" s="183"/>
      <c r="M337" s="186" t="s">
        <v>11</v>
      </c>
      <c r="N337" s="195" t="str">
        <f t="shared" si="12"/>
        <v>OB310FA</v>
      </c>
      <c r="O337" s="271"/>
      <c r="P337" s="272"/>
      <c r="Q337" s="272"/>
      <c r="R337" s="273"/>
      <c r="S337" s="190"/>
      <c r="T337" s="191"/>
      <c r="U337" s="909"/>
      <c r="V337" s="909"/>
      <c r="W337" s="187"/>
      <c r="X337" s="182"/>
      <c r="Y337" s="182"/>
      <c r="Z337" s="182"/>
      <c r="AA337" s="182"/>
      <c r="AB337" s="210"/>
      <c r="AC337" s="182"/>
      <c r="AD337" s="182"/>
      <c r="AE337" s="211"/>
    </row>
    <row r="338" spans="2:31" ht="17.25" customHeight="1">
      <c r="B338" s="180">
        <v>251</v>
      </c>
      <c r="C338" s="811"/>
      <c r="D338" s="765"/>
      <c r="E338" s="186" t="s">
        <v>10</v>
      </c>
      <c r="F338" s="187" t="str">
        <f t="shared" si="11"/>
        <v>IB310FB</v>
      </c>
      <c r="G338" s="328" t="s">
        <v>1382</v>
      </c>
      <c r="H338" s="329"/>
      <c r="I338" s="329"/>
      <c r="J338" s="585"/>
      <c r="K338" s="584" t="s">
        <v>1513</v>
      </c>
      <c r="L338" s="183"/>
      <c r="M338" s="186" t="s">
        <v>11</v>
      </c>
      <c r="N338" s="195" t="str">
        <f t="shared" si="12"/>
        <v>OB310FB</v>
      </c>
      <c r="O338" s="271"/>
      <c r="P338" s="272"/>
      <c r="Q338" s="272"/>
      <c r="R338" s="273"/>
      <c r="S338" s="190"/>
      <c r="T338" s="191"/>
      <c r="U338" s="909"/>
      <c r="V338" s="909"/>
      <c r="W338" s="187"/>
      <c r="X338" s="182"/>
      <c r="Y338" s="182"/>
      <c r="Z338" s="182"/>
      <c r="AA338" s="182"/>
      <c r="AB338" s="210"/>
      <c r="AC338" s="182"/>
      <c r="AD338" s="182"/>
      <c r="AE338" s="211"/>
    </row>
    <row r="339" spans="2:31" ht="17.25" customHeight="1">
      <c r="B339" s="180">
        <v>252</v>
      </c>
      <c r="C339" s="811"/>
      <c r="D339" s="765"/>
      <c r="E339" s="186" t="s">
        <v>10</v>
      </c>
      <c r="F339" s="187" t="str">
        <f t="shared" si="11"/>
        <v>IB310FC</v>
      </c>
      <c r="G339" s="328" t="s">
        <v>1383</v>
      </c>
      <c r="H339" s="471"/>
      <c r="I339" s="471"/>
      <c r="J339" s="583"/>
      <c r="K339" s="584" t="s">
        <v>1513</v>
      </c>
      <c r="L339" s="188"/>
      <c r="M339" s="186" t="s">
        <v>11</v>
      </c>
      <c r="N339" s="195" t="str">
        <f t="shared" si="12"/>
        <v>OB310FC</v>
      </c>
      <c r="O339" s="271"/>
      <c r="P339" s="272"/>
      <c r="Q339" s="272"/>
      <c r="R339" s="273"/>
      <c r="S339" s="190"/>
      <c r="T339" s="191"/>
      <c r="U339" s="909"/>
      <c r="V339" s="909"/>
      <c r="W339" s="187"/>
      <c r="X339" s="182"/>
      <c r="Y339" s="182"/>
      <c r="Z339" s="182"/>
      <c r="AA339" s="182"/>
      <c r="AB339" s="210"/>
      <c r="AC339" s="182"/>
      <c r="AD339" s="182"/>
      <c r="AE339" s="211"/>
    </row>
    <row r="340" spans="2:31" ht="17.25" customHeight="1">
      <c r="B340" s="180">
        <v>253</v>
      </c>
      <c r="C340" s="811"/>
      <c r="D340" s="765"/>
      <c r="E340" s="186" t="s">
        <v>10</v>
      </c>
      <c r="F340" s="187" t="str">
        <f t="shared" si="11"/>
        <v>IB310FD</v>
      </c>
      <c r="G340" s="586"/>
      <c r="H340" s="471"/>
      <c r="I340" s="471"/>
      <c r="J340" s="583"/>
      <c r="K340" s="587"/>
      <c r="L340" s="214"/>
      <c r="M340" s="186" t="s">
        <v>11</v>
      </c>
      <c r="N340" s="195" t="str">
        <f t="shared" si="12"/>
        <v>OB310FD</v>
      </c>
      <c r="O340" s="271"/>
      <c r="P340" s="272"/>
      <c r="Q340" s="272"/>
      <c r="R340" s="273"/>
      <c r="S340" s="190"/>
      <c r="T340" s="191"/>
      <c r="U340" s="909"/>
      <c r="V340" s="909"/>
      <c r="W340" s="187"/>
      <c r="X340" s="182"/>
      <c r="Y340" s="182"/>
      <c r="Z340" s="182"/>
      <c r="AA340" s="182"/>
      <c r="AB340" s="210"/>
      <c r="AC340" s="182"/>
      <c r="AD340" s="182"/>
      <c r="AE340" s="211"/>
    </row>
    <row r="341" spans="2:31" ht="17.25" customHeight="1">
      <c r="B341" s="180">
        <v>254</v>
      </c>
      <c r="C341" s="811"/>
      <c r="D341" s="765"/>
      <c r="E341" s="186" t="s">
        <v>10</v>
      </c>
      <c r="F341" s="187" t="str">
        <f t="shared" si="11"/>
        <v>IB310FE</v>
      </c>
      <c r="G341" s="466" t="s">
        <v>1384</v>
      </c>
      <c r="H341" s="471"/>
      <c r="I341" s="471"/>
      <c r="J341" s="583"/>
      <c r="K341" s="584" t="s">
        <v>1513</v>
      </c>
      <c r="L341" s="214"/>
      <c r="M341" s="186" t="s">
        <v>11</v>
      </c>
      <c r="N341" s="195" t="str">
        <f t="shared" si="12"/>
        <v>OB310FE</v>
      </c>
      <c r="O341" s="271"/>
      <c r="P341" s="272"/>
      <c r="Q341" s="272"/>
      <c r="R341" s="273"/>
      <c r="S341" s="190"/>
      <c r="T341" s="191"/>
      <c r="U341" s="909"/>
      <c r="V341" s="909"/>
      <c r="W341" s="187"/>
      <c r="X341" s="182"/>
      <c r="Y341" s="182"/>
      <c r="Z341" s="182"/>
      <c r="AA341" s="182"/>
      <c r="AB341" s="210"/>
      <c r="AC341" s="182"/>
      <c r="AD341" s="182"/>
      <c r="AE341" s="211"/>
    </row>
    <row r="342" spans="2:31" ht="17.25" customHeight="1" thickBot="1">
      <c r="B342" s="197">
        <v>255</v>
      </c>
      <c r="C342" s="939"/>
      <c r="D342" s="924"/>
      <c r="E342" s="198" t="s">
        <v>10</v>
      </c>
      <c r="F342" s="199" t="str">
        <f t="shared" si="11"/>
        <v>IB310FF</v>
      </c>
      <c r="G342" s="327"/>
      <c r="H342" s="252"/>
      <c r="I342" s="252"/>
      <c r="J342" s="253"/>
      <c r="K342" s="556"/>
      <c r="L342" s="576"/>
      <c r="M342" s="198" t="s">
        <v>11</v>
      </c>
      <c r="N342" s="202" t="str">
        <f t="shared" si="12"/>
        <v>OB310FF</v>
      </c>
      <c r="O342" s="274"/>
      <c r="P342" s="275"/>
      <c r="Q342" s="275"/>
      <c r="R342" s="276"/>
      <c r="S342" s="203"/>
      <c r="T342" s="204"/>
      <c r="U342" s="910"/>
      <c r="V342" s="910"/>
      <c r="W342" s="199"/>
      <c r="X342" s="200"/>
      <c r="Y342" s="200"/>
      <c r="Z342" s="200"/>
      <c r="AA342" s="200"/>
      <c r="AB342" s="222"/>
      <c r="AC342" s="200"/>
      <c r="AD342" s="200"/>
      <c r="AE342" s="223"/>
    </row>
    <row r="343" spans="2:31" ht="17.25" customHeight="1">
      <c r="B343" s="28"/>
      <c r="C343" s="120"/>
      <c r="D343" s="120"/>
      <c r="E343" s="121"/>
      <c r="F343" s="122"/>
      <c r="G343" s="123"/>
      <c r="H343" s="123"/>
      <c r="I343" s="123"/>
      <c r="J343" s="123"/>
      <c r="K343" s="165"/>
      <c r="L343" s="166"/>
      <c r="M343" s="123"/>
      <c r="N343" s="123"/>
      <c r="O343" s="125"/>
      <c r="P343" s="125"/>
      <c r="Q343" s="125"/>
      <c r="R343" s="125"/>
      <c r="S343" s="125"/>
      <c r="T343" s="167"/>
      <c r="U343" s="127"/>
      <c r="V343" s="127"/>
      <c r="W343" s="122"/>
      <c r="X343" s="28"/>
      <c r="Y343" s="28"/>
      <c r="Z343" s="28"/>
      <c r="AA343" s="28"/>
      <c r="AB343" s="128"/>
      <c r="AC343" s="28"/>
      <c r="AD343" s="28"/>
      <c r="AE343" s="128"/>
    </row>
    <row r="344" spans="2:31" ht="17.25" customHeight="1" thickBot="1">
      <c r="B344" s="71"/>
      <c r="C344" s="64"/>
      <c r="D344" s="64"/>
      <c r="E344" s="65"/>
      <c r="F344" s="129"/>
      <c r="G344" s="130"/>
      <c r="H344" s="130"/>
      <c r="I344" s="130"/>
      <c r="J344" s="130"/>
      <c r="K344" s="168"/>
      <c r="L344" s="169"/>
      <c r="M344" s="130"/>
      <c r="N344" s="130"/>
      <c r="O344" s="132"/>
      <c r="P344" s="132"/>
      <c r="Q344" s="132"/>
      <c r="R344" s="132"/>
      <c r="S344" s="132"/>
      <c r="T344" s="170"/>
      <c r="U344" s="134"/>
      <c r="V344" s="134"/>
      <c r="W344" s="129"/>
      <c r="X344" s="71"/>
      <c r="Y344" s="71"/>
      <c r="Z344" s="71"/>
      <c r="AA344" s="71"/>
      <c r="AB344" s="135"/>
      <c r="AC344" s="71"/>
      <c r="AD344" s="71"/>
      <c r="AE344" s="135"/>
    </row>
    <row r="345" spans="2:31" ht="16.5" customHeight="1">
      <c r="B345" s="929" t="s">
        <v>0</v>
      </c>
      <c r="C345" s="781" t="s">
        <v>4</v>
      </c>
      <c r="D345" s="921" t="s">
        <v>5</v>
      </c>
      <c r="E345" s="911" t="s">
        <v>90</v>
      </c>
      <c r="F345" s="911" t="s">
        <v>6</v>
      </c>
      <c r="G345" s="913"/>
      <c r="H345" s="914"/>
      <c r="I345" s="914"/>
      <c r="J345" s="915"/>
      <c r="K345" s="911" t="s">
        <v>8</v>
      </c>
      <c r="L345" s="207"/>
      <c r="M345" s="911" t="s">
        <v>90</v>
      </c>
      <c r="N345" s="911" t="s">
        <v>6</v>
      </c>
      <c r="O345" s="913"/>
      <c r="P345" s="914"/>
      <c r="Q345" s="914"/>
      <c r="R345" s="915"/>
      <c r="S345" s="919" t="s">
        <v>8</v>
      </c>
      <c r="T345" s="179"/>
      <c r="U345" s="911" t="s">
        <v>13</v>
      </c>
      <c r="V345" s="911"/>
      <c r="W345" s="921" t="s">
        <v>96</v>
      </c>
      <c r="X345" s="921"/>
      <c r="Y345" s="921"/>
      <c r="Z345" s="921" t="s">
        <v>92</v>
      </c>
      <c r="AA345" s="921"/>
      <c r="AB345" s="921"/>
      <c r="AC345" s="921" t="s">
        <v>9</v>
      </c>
      <c r="AD345" s="921"/>
      <c r="AE345" s="922"/>
    </row>
    <row r="346" spans="2:31" ht="17.25" customHeight="1" thickBot="1">
      <c r="B346" s="930"/>
      <c r="C346" s="931"/>
      <c r="D346" s="932"/>
      <c r="E346" s="912"/>
      <c r="F346" s="912"/>
      <c r="G346" s="916"/>
      <c r="H346" s="917"/>
      <c r="I346" s="917"/>
      <c r="J346" s="918"/>
      <c r="K346" s="912"/>
      <c r="L346" s="208"/>
      <c r="M346" s="912"/>
      <c r="N346" s="912"/>
      <c r="O346" s="916"/>
      <c r="P346" s="917"/>
      <c r="Q346" s="917"/>
      <c r="R346" s="918"/>
      <c r="S346" s="920"/>
      <c r="T346" s="183"/>
      <c r="U346" s="912"/>
      <c r="V346" s="912"/>
      <c r="W346" s="184" t="s">
        <v>93</v>
      </c>
      <c r="X346" s="181" t="s">
        <v>94</v>
      </c>
      <c r="Y346" s="181" t="s">
        <v>95</v>
      </c>
      <c r="Z346" s="184" t="s">
        <v>93</v>
      </c>
      <c r="AA346" s="181" t="s">
        <v>94</v>
      </c>
      <c r="AB346" s="181" t="s">
        <v>95</v>
      </c>
      <c r="AC346" s="184" t="s">
        <v>93</v>
      </c>
      <c r="AD346" s="181" t="s">
        <v>94</v>
      </c>
      <c r="AE346" s="185" t="s">
        <v>95</v>
      </c>
    </row>
    <row r="347" spans="2:31" ht="17.25" customHeight="1">
      <c r="B347" s="180">
        <v>0</v>
      </c>
      <c r="C347" s="927" t="s">
        <v>60</v>
      </c>
      <c r="D347" s="901" t="s">
        <v>264</v>
      </c>
      <c r="E347" s="186" t="s">
        <v>10</v>
      </c>
      <c r="F347" s="187" t="s">
        <v>50</v>
      </c>
      <c r="G347" s="358" t="s">
        <v>261</v>
      </c>
      <c r="H347" s="244"/>
      <c r="I347" s="244"/>
      <c r="J347" s="245"/>
      <c r="K347" s="584" t="s">
        <v>1513</v>
      </c>
      <c r="L347" s="188"/>
      <c r="M347" s="190" t="s">
        <v>11</v>
      </c>
      <c r="N347" s="195" t="s">
        <v>51</v>
      </c>
      <c r="O347" s="262"/>
      <c r="P347" s="263"/>
      <c r="Q347" s="263"/>
      <c r="R347" s="264"/>
      <c r="S347" s="190"/>
      <c r="T347" s="191"/>
      <c r="U347" s="909"/>
      <c r="V347" s="909"/>
      <c r="W347" s="187"/>
      <c r="X347" s="182"/>
      <c r="Y347" s="182"/>
      <c r="Z347" s="182"/>
      <c r="AA347" s="182"/>
      <c r="AB347" s="210"/>
      <c r="AC347" s="182"/>
      <c r="AD347" s="182"/>
      <c r="AE347" s="211"/>
    </row>
    <row r="348" spans="2:31" ht="17.25" customHeight="1">
      <c r="B348" s="180">
        <v>1</v>
      </c>
      <c r="C348" s="811"/>
      <c r="D348" s="765"/>
      <c r="E348" s="186" t="s">
        <v>10</v>
      </c>
      <c r="F348" s="187" t="str">
        <f t="shared" ref="F348:F411" si="13">LEFT(F347,1)&amp;DEC2HEX(HEX2DEC(MID(F347,2,LENB(F347)-1))+1,LENB(F347)-1)</f>
        <v>IB31101</v>
      </c>
      <c r="G348" s="243" t="s">
        <v>262</v>
      </c>
      <c r="H348" s="244"/>
      <c r="I348" s="244"/>
      <c r="J348" s="245"/>
      <c r="K348" s="584" t="s">
        <v>1513</v>
      </c>
      <c r="L348" s="188"/>
      <c r="M348" s="190" t="s">
        <v>11</v>
      </c>
      <c r="N348" s="195" t="str">
        <f>LEFT(N347,1)&amp;DEC2HEX(HEX2DEC(MID(N347,2,LENB(N347)-1))+1,LENB(N347)-1)</f>
        <v>OB31101</v>
      </c>
      <c r="O348" s="262"/>
      <c r="P348" s="263"/>
      <c r="Q348" s="263"/>
      <c r="R348" s="264"/>
      <c r="S348" s="190"/>
      <c r="T348" s="191"/>
      <c r="U348" s="909"/>
      <c r="V348" s="909"/>
      <c r="W348" s="187"/>
      <c r="X348" s="182"/>
      <c r="Y348" s="182"/>
      <c r="Z348" s="182"/>
      <c r="AA348" s="182"/>
      <c r="AB348" s="210"/>
      <c r="AC348" s="182"/>
      <c r="AD348" s="182"/>
      <c r="AE348" s="211"/>
    </row>
    <row r="349" spans="2:31" ht="17.25" customHeight="1">
      <c r="B349" s="180">
        <v>2</v>
      </c>
      <c r="C349" s="811"/>
      <c r="D349" s="765"/>
      <c r="E349" s="186" t="s">
        <v>10</v>
      </c>
      <c r="F349" s="187" t="str">
        <f t="shared" si="13"/>
        <v>IB31102</v>
      </c>
      <c r="G349" s="537" t="s">
        <v>263</v>
      </c>
      <c r="H349" s="244"/>
      <c r="I349" s="244"/>
      <c r="J349" s="245"/>
      <c r="K349" s="584" t="s">
        <v>1513</v>
      </c>
      <c r="L349" s="188"/>
      <c r="M349" s="190" t="s">
        <v>11</v>
      </c>
      <c r="N349" s="195" t="str">
        <f t="shared" ref="N349:N395" si="14">LEFT(N348,1)&amp;DEC2HEX(HEX2DEC(MID(N348,2,LENB(N348)-1))+1,LENB(N348)-1)</f>
        <v>OB31102</v>
      </c>
      <c r="O349" s="262"/>
      <c r="P349" s="263"/>
      <c r="Q349" s="263"/>
      <c r="R349" s="264"/>
      <c r="S349" s="190"/>
      <c r="T349" s="191"/>
      <c r="U349" s="909"/>
      <c r="V349" s="909"/>
      <c r="W349" s="187"/>
      <c r="X349" s="182"/>
      <c r="Y349" s="182"/>
      <c r="Z349" s="182"/>
      <c r="AA349" s="182"/>
      <c r="AB349" s="210"/>
      <c r="AC349" s="182"/>
      <c r="AD349" s="182"/>
      <c r="AE349" s="211"/>
    </row>
    <row r="350" spans="2:31" ht="17.25" customHeight="1">
      <c r="B350" s="180">
        <v>3</v>
      </c>
      <c r="C350" s="811"/>
      <c r="D350" s="765"/>
      <c r="E350" s="186" t="s">
        <v>10</v>
      </c>
      <c r="F350" s="187" t="str">
        <f t="shared" si="13"/>
        <v>IB31103</v>
      </c>
      <c r="G350" s="397" t="s">
        <v>1473</v>
      </c>
      <c r="H350" s="244"/>
      <c r="I350" s="244"/>
      <c r="J350" s="245"/>
      <c r="K350" s="584" t="s">
        <v>1513</v>
      </c>
      <c r="L350" s="188"/>
      <c r="M350" s="190" t="s">
        <v>11</v>
      </c>
      <c r="N350" s="195" t="str">
        <f t="shared" si="14"/>
        <v>OB31103</v>
      </c>
      <c r="O350" s="262"/>
      <c r="P350" s="263"/>
      <c r="Q350" s="263"/>
      <c r="R350" s="264"/>
      <c r="S350" s="190"/>
      <c r="T350" s="191"/>
      <c r="U350" s="909"/>
      <c r="V350" s="909"/>
      <c r="W350" s="187"/>
      <c r="X350" s="182"/>
      <c r="Y350" s="182"/>
      <c r="Z350" s="182"/>
      <c r="AA350" s="182"/>
      <c r="AB350" s="210"/>
      <c r="AC350" s="182"/>
      <c r="AD350" s="182"/>
      <c r="AE350" s="211"/>
    </row>
    <row r="351" spans="2:31" ht="17.25" customHeight="1">
      <c r="B351" s="180">
        <v>4</v>
      </c>
      <c r="C351" s="811"/>
      <c r="D351" s="765"/>
      <c r="E351" s="186" t="s">
        <v>10</v>
      </c>
      <c r="F351" s="187" t="str">
        <f t="shared" si="13"/>
        <v>IB31104</v>
      </c>
      <c r="G351" s="243" t="s">
        <v>1474</v>
      </c>
      <c r="H351" s="244"/>
      <c r="I351" s="244"/>
      <c r="J351" s="245"/>
      <c r="K351" s="584" t="s">
        <v>1513</v>
      </c>
      <c r="L351" s="188"/>
      <c r="M351" s="190" t="s">
        <v>11</v>
      </c>
      <c r="N351" s="195" t="str">
        <f t="shared" si="14"/>
        <v>OB31104</v>
      </c>
      <c r="O351" s="262"/>
      <c r="P351" s="263"/>
      <c r="Q351" s="263"/>
      <c r="R351" s="264"/>
      <c r="S351" s="190"/>
      <c r="T351" s="191"/>
      <c r="U351" s="909"/>
      <c r="V351" s="909"/>
      <c r="W351" s="187"/>
      <c r="X351" s="182"/>
      <c r="Y351" s="182"/>
      <c r="Z351" s="182"/>
      <c r="AA351" s="182"/>
      <c r="AB351" s="210"/>
      <c r="AC351" s="182"/>
      <c r="AD351" s="182"/>
      <c r="AE351" s="211"/>
    </row>
    <row r="352" spans="2:31" ht="17.25" customHeight="1">
      <c r="B352" s="180">
        <v>5</v>
      </c>
      <c r="C352" s="811"/>
      <c r="D352" s="765"/>
      <c r="E352" s="186" t="s">
        <v>10</v>
      </c>
      <c r="F352" s="187" t="str">
        <f t="shared" si="13"/>
        <v>IB31105</v>
      </c>
      <c r="G352" s="243" t="s">
        <v>1475</v>
      </c>
      <c r="H352" s="244"/>
      <c r="I352" s="244"/>
      <c r="J352" s="245"/>
      <c r="K352" s="584" t="s">
        <v>1513</v>
      </c>
      <c r="L352" s="188"/>
      <c r="M352" s="190" t="s">
        <v>11</v>
      </c>
      <c r="N352" s="195" t="str">
        <f t="shared" si="14"/>
        <v>OB31105</v>
      </c>
      <c r="O352" s="262"/>
      <c r="P352" s="263"/>
      <c r="Q352" s="263"/>
      <c r="R352" s="264"/>
      <c r="S352" s="190"/>
      <c r="T352" s="191"/>
      <c r="U352" s="909"/>
      <c r="V352" s="909"/>
      <c r="W352" s="187"/>
      <c r="X352" s="182"/>
      <c r="Y352" s="182"/>
      <c r="Z352" s="182"/>
      <c r="AA352" s="182"/>
      <c r="AB352" s="210"/>
      <c r="AC352" s="182"/>
      <c r="AD352" s="182"/>
      <c r="AE352" s="211"/>
    </row>
    <row r="353" spans="2:31" ht="17.25" customHeight="1">
      <c r="B353" s="180">
        <v>6</v>
      </c>
      <c r="C353" s="811"/>
      <c r="D353" s="765"/>
      <c r="E353" s="186" t="s">
        <v>10</v>
      </c>
      <c r="F353" s="187" t="str">
        <f t="shared" si="13"/>
        <v>IB31106</v>
      </c>
      <c r="G353" s="243" t="s">
        <v>1476</v>
      </c>
      <c r="H353" s="244"/>
      <c r="I353" s="244"/>
      <c r="J353" s="245"/>
      <c r="K353" s="584" t="s">
        <v>1513</v>
      </c>
      <c r="L353" s="183"/>
      <c r="M353" s="190" t="s">
        <v>11</v>
      </c>
      <c r="N353" s="195" t="str">
        <f t="shared" si="14"/>
        <v>OB31106</v>
      </c>
      <c r="O353" s="262"/>
      <c r="P353" s="263"/>
      <c r="Q353" s="263"/>
      <c r="R353" s="264"/>
      <c r="S353" s="190"/>
      <c r="T353" s="191"/>
      <c r="U353" s="909"/>
      <c r="V353" s="909"/>
      <c r="W353" s="187"/>
      <c r="X353" s="182"/>
      <c r="Y353" s="182"/>
      <c r="Z353" s="182"/>
      <c r="AA353" s="182"/>
      <c r="AB353" s="210"/>
      <c r="AC353" s="182"/>
      <c r="AD353" s="182"/>
      <c r="AE353" s="211"/>
    </row>
    <row r="354" spans="2:31" ht="17.25" customHeight="1">
      <c r="B354" s="180">
        <v>7</v>
      </c>
      <c r="C354" s="811"/>
      <c r="D354" s="765"/>
      <c r="E354" s="186" t="s">
        <v>10</v>
      </c>
      <c r="F354" s="187" t="str">
        <f t="shared" si="13"/>
        <v>IB31107</v>
      </c>
      <c r="G354" s="243" t="s">
        <v>1477</v>
      </c>
      <c r="H354" s="244"/>
      <c r="I354" s="244"/>
      <c r="J354" s="245"/>
      <c r="K354" s="584" t="s">
        <v>1513</v>
      </c>
      <c r="L354" s="183"/>
      <c r="M354" s="190" t="s">
        <v>11</v>
      </c>
      <c r="N354" s="195" t="str">
        <f t="shared" si="14"/>
        <v>OB31107</v>
      </c>
      <c r="O354" s="262"/>
      <c r="P354" s="263"/>
      <c r="Q354" s="263"/>
      <c r="R354" s="264"/>
      <c r="S354" s="190"/>
      <c r="T354" s="191"/>
      <c r="U354" s="909"/>
      <c r="V354" s="909"/>
      <c r="W354" s="187"/>
      <c r="X354" s="182"/>
      <c r="Y354" s="182"/>
      <c r="Z354" s="182"/>
      <c r="AA354" s="182"/>
      <c r="AB354" s="210"/>
      <c r="AC354" s="182"/>
      <c r="AD354" s="182"/>
      <c r="AE354" s="211"/>
    </row>
    <row r="355" spans="2:31" ht="17.25" customHeight="1">
      <c r="B355" s="180">
        <v>8</v>
      </c>
      <c r="C355" s="811"/>
      <c r="D355" s="765"/>
      <c r="E355" s="186" t="s">
        <v>10</v>
      </c>
      <c r="F355" s="187" t="str">
        <f t="shared" si="13"/>
        <v>IB31108</v>
      </c>
      <c r="G355" s="243" t="s">
        <v>1478</v>
      </c>
      <c r="H355" s="244"/>
      <c r="I355" s="244"/>
      <c r="J355" s="245"/>
      <c r="K355" s="584" t="s">
        <v>1513</v>
      </c>
      <c r="L355" s="183"/>
      <c r="M355" s="190" t="s">
        <v>11</v>
      </c>
      <c r="N355" s="195" t="str">
        <f t="shared" si="14"/>
        <v>OB31108</v>
      </c>
      <c r="O355" s="262"/>
      <c r="P355" s="263"/>
      <c r="Q355" s="263"/>
      <c r="R355" s="264"/>
      <c r="S355" s="190"/>
      <c r="T355" s="191"/>
      <c r="U355" s="909"/>
      <c r="V355" s="909"/>
      <c r="W355" s="187"/>
      <c r="X355" s="182"/>
      <c r="Y355" s="182"/>
      <c r="Z355" s="182"/>
      <c r="AA355" s="182"/>
      <c r="AB355" s="210"/>
      <c r="AC355" s="182"/>
      <c r="AD355" s="182"/>
      <c r="AE355" s="211"/>
    </row>
    <row r="356" spans="2:31" ht="17.25" customHeight="1">
      <c r="B356" s="180">
        <v>9</v>
      </c>
      <c r="C356" s="811"/>
      <c r="D356" s="765"/>
      <c r="E356" s="186" t="s">
        <v>10</v>
      </c>
      <c r="F356" s="187" t="str">
        <f t="shared" si="13"/>
        <v>IB31109</v>
      </c>
      <c r="G356" s="243" t="s">
        <v>1479</v>
      </c>
      <c r="H356" s="244"/>
      <c r="I356" s="244"/>
      <c r="J356" s="245"/>
      <c r="K356" s="584" t="s">
        <v>1513</v>
      </c>
      <c r="L356" s="188"/>
      <c r="M356" s="190" t="s">
        <v>11</v>
      </c>
      <c r="N356" s="195" t="str">
        <f t="shared" si="14"/>
        <v>OB31109</v>
      </c>
      <c r="O356" s="262"/>
      <c r="P356" s="263"/>
      <c r="Q356" s="263"/>
      <c r="R356" s="264"/>
      <c r="S356" s="190"/>
      <c r="T356" s="191"/>
      <c r="U356" s="909"/>
      <c r="V356" s="909"/>
      <c r="W356" s="187"/>
      <c r="X356" s="182"/>
      <c r="Y356" s="182"/>
      <c r="Z356" s="182"/>
      <c r="AA356" s="182"/>
      <c r="AB356" s="210"/>
      <c r="AC356" s="182"/>
      <c r="AD356" s="182"/>
      <c r="AE356" s="211"/>
    </row>
    <row r="357" spans="2:31" ht="17.25" customHeight="1">
      <c r="B357" s="180">
        <v>10</v>
      </c>
      <c r="C357" s="811"/>
      <c r="D357" s="765"/>
      <c r="E357" s="186" t="s">
        <v>10</v>
      </c>
      <c r="F357" s="187" t="str">
        <f t="shared" si="13"/>
        <v>IB3110A</v>
      </c>
      <c r="G357" s="258"/>
      <c r="H357" s="244"/>
      <c r="I357" s="244"/>
      <c r="J357" s="245"/>
      <c r="K357" s="584"/>
      <c r="L357" s="188"/>
      <c r="M357" s="190" t="s">
        <v>11</v>
      </c>
      <c r="N357" s="195" t="str">
        <f t="shared" si="14"/>
        <v>OB3110A</v>
      </c>
      <c r="O357" s="262"/>
      <c r="P357" s="263"/>
      <c r="Q357" s="263"/>
      <c r="R357" s="264"/>
      <c r="S357" s="190"/>
      <c r="T357" s="191"/>
      <c r="U357" s="909"/>
      <c r="V357" s="909"/>
      <c r="W357" s="187"/>
      <c r="X357" s="182"/>
      <c r="Y357" s="182"/>
      <c r="Z357" s="182"/>
      <c r="AA357" s="182"/>
      <c r="AB357" s="210"/>
      <c r="AC357" s="182"/>
      <c r="AD357" s="182"/>
      <c r="AE357" s="211"/>
    </row>
    <row r="358" spans="2:31" ht="17.25" customHeight="1">
      <c r="B358" s="180">
        <v>11</v>
      </c>
      <c r="C358" s="811"/>
      <c r="D358" s="765"/>
      <c r="E358" s="186" t="s">
        <v>10</v>
      </c>
      <c r="F358" s="187" t="str">
        <f t="shared" si="13"/>
        <v>IB3110B</v>
      </c>
      <c r="G358" s="243" t="s">
        <v>1480</v>
      </c>
      <c r="H358" s="244"/>
      <c r="I358" s="244"/>
      <c r="J358" s="245"/>
      <c r="K358" s="584" t="s">
        <v>1513</v>
      </c>
      <c r="L358" s="188"/>
      <c r="M358" s="190" t="s">
        <v>11</v>
      </c>
      <c r="N358" s="195" t="str">
        <f t="shared" si="14"/>
        <v>OB3110B</v>
      </c>
      <c r="O358" s="262"/>
      <c r="P358" s="263"/>
      <c r="Q358" s="263"/>
      <c r="R358" s="264"/>
      <c r="S358" s="190"/>
      <c r="T358" s="191"/>
      <c r="U358" s="909"/>
      <c r="V358" s="909"/>
      <c r="W358" s="187"/>
      <c r="X358" s="182"/>
      <c r="Y358" s="182"/>
      <c r="Z358" s="182"/>
      <c r="AA358" s="182"/>
      <c r="AB358" s="210"/>
      <c r="AC358" s="182"/>
      <c r="AD358" s="182"/>
      <c r="AE358" s="211"/>
    </row>
    <row r="359" spans="2:31" ht="17.25" customHeight="1">
      <c r="B359" s="180">
        <v>12</v>
      </c>
      <c r="C359" s="811"/>
      <c r="D359" s="765"/>
      <c r="E359" s="186" t="s">
        <v>10</v>
      </c>
      <c r="F359" s="187" t="str">
        <f t="shared" si="13"/>
        <v>IB3110C</v>
      </c>
      <c r="G359" s="243" t="s">
        <v>183</v>
      </c>
      <c r="H359" s="244"/>
      <c r="I359" s="244"/>
      <c r="J359" s="245"/>
      <c r="K359" s="584" t="s">
        <v>1513</v>
      </c>
      <c r="L359" s="188"/>
      <c r="M359" s="190" t="s">
        <v>11</v>
      </c>
      <c r="N359" s="195" t="str">
        <f t="shared" si="14"/>
        <v>OB3110C</v>
      </c>
      <c r="O359" s="262"/>
      <c r="P359" s="263"/>
      <c r="Q359" s="263"/>
      <c r="R359" s="264"/>
      <c r="S359" s="190"/>
      <c r="T359" s="191"/>
      <c r="U359" s="909"/>
      <c r="V359" s="909"/>
      <c r="W359" s="187"/>
      <c r="X359" s="182"/>
      <c r="Y359" s="182"/>
      <c r="Z359" s="182"/>
      <c r="AA359" s="182"/>
      <c r="AB359" s="210"/>
      <c r="AC359" s="182"/>
      <c r="AD359" s="182"/>
      <c r="AE359" s="211"/>
    </row>
    <row r="360" spans="2:31" ht="17.25" customHeight="1">
      <c r="B360" s="180">
        <v>13</v>
      </c>
      <c r="C360" s="811"/>
      <c r="D360" s="765"/>
      <c r="E360" s="186" t="s">
        <v>10</v>
      </c>
      <c r="F360" s="187" t="str">
        <f t="shared" si="13"/>
        <v>IB3110D</v>
      </c>
      <c r="G360" s="243" t="s">
        <v>184</v>
      </c>
      <c r="H360" s="244"/>
      <c r="I360" s="244"/>
      <c r="J360" s="245"/>
      <c r="K360" s="584" t="s">
        <v>1513</v>
      </c>
      <c r="L360" s="188"/>
      <c r="M360" s="190" t="s">
        <v>11</v>
      </c>
      <c r="N360" s="195" t="str">
        <f t="shared" si="14"/>
        <v>OB3110D</v>
      </c>
      <c r="O360" s="262"/>
      <c r="P360" s="263"/>
      <c r="Q360" s="263"/>
      <c r="R360" s="264"/>
      <c r="S360" s="190"/>
      <c r="T360" s="191"/>
      <c r="U360" s="909"/>
      <c r="V360" s="909"/>
      <c r="W360" s="187"/>
      <c r="X360" s="182"/>
      <c r="Y360" s="182"/>
      <c r="Z360" s="182"/>
      <c r="AA360" s="182"/>
      <c r="AB360" s="210"/>
      <c r="AC360" s="182"/>
      <c r="AD360" s="182"/>
      <c r="AE360" s="211"/>
    </row>
    <row r="361" spans="2:31" ht="17.25" customHeight="1">
      <c r="B361" s="180">
        <v>14</v>
      </c>
      <c r="C361" s="811"/>
      <c r="D361" s="765"/>
      <c r="E361" s="186" t="s">
        <v>10</v>
      </c>
      <c r="F361" s="187" t="str">
        <f t="shared" si="13"/>
        <v>IB3110E</v>
      </c>
      <c r="G361" s="243" t="s">
        <v>1487</v>
      </c>
      <c r="H361" s="244"/>
      <c r="I361" s="244"/>
      <c r="J361" s="245"/>
      <c r="K361" s="584" t="s">
        <v>1516</v>
      </c>
      <c r="L361" s="188" t="s">
        <v>1513</v>
      </c>
      <c r="M361" s="190" t="s">
        <v>11</v>
      </c>
      <c r="N361" s="195" t="str">
        <f t="shared" si="14"/>
        <v>OB3110E</v>
      </c>
      <c r="O361" s="262"/>
      <c r="P361" s="263"/>
      <c r="Q361" s="263"/>
      <c r="R361" s="264"/>
      <c r="S361" s="190"/>
      <c r="T361" s="191"/>
      <c r="U361" s="909"/>
      <c r="V361" s="909"/>
      <c r="W361" s="187"/>
      <c r="X361" s="182"/>
      <c r="Y361" s="182"/>
      <c r="Z361" s="182"/>
      <c r="AA361" s="182"/>
      <c r="AB361" s="210"/>
      <c r="AC361" s="182"/>
      <c r="AD361" s="182"/>
      <c r="AE361" s="211"/>
    </row>
    <row r="362" spans="2:31" ht="17.25" customHeight="1">
      <c r="B362" s="180">
        <v>15</v>
      </c>
      <c r="C362" s="928"/>
      <c r="D362" s="765"/>
      <c r="E362" s="186" t="s">
        <v>10</v>
      </c>
      <c r="F362" s="187" t="str">
        <f t="shared" si="13"/>
        <v>IB3110F</v>
      </c>
      <c r="G362" s="243" t="s">
        <v>1488</v>
      </c>
      <c r="H362" s="244"/>
      <c r="I362" s="244"/>
      <c r="J362" s="245"/>
      <c r="K362" s="584" t="s">
        <v>1516</v>
      </c>
      <c r="L362" s="188" t="s">
        <v>1513</v>
      </c>
      <c r="M362" s="190" t="s">
        <v>11</v>
      </c>
      <c r="N362" s="195" t="str">
        <f t="shared" si="14"/>
        <v>OB3110F</v>
      </c>
      <c r="O362" s="262"/>
      <c r="P362" s="263"/>
      <c r="Q362" s="263"/>
      <c r="R362" s="264"/>
      <c r="S362" s="190"/>
      <c r="T362" s="191"/>
      <c r="U362" s="909"/>
      <c r="V362" s="909"/>
      <c r="W362" s="187"/>
      <c r="X362" s="182"/>
      <c r="Y362" s="182"/>
      <c r="Z362" s="182"/>
      <c r="AA362" s="182"/>
      <c r="AB362" s="210"/>
      <c r="AC362" s="182"/>
      <c r="AD362" s="182"/>
      <c r="AE362" s="211"/>
    </row>
    <row r="363" spans="2:31" ht="17.25" customHeight="1">
      <c r="B363" s="180">
        <v>16</v>
      </c>
      <c r="C363" s="927" t="s">
        <v>42</v>
      </c>
      <c r="D363" s="901" t="s">
        <v>264</v>
      </c>
      <c r="E363" s="186" t="s">
        <v>10</v>
      </c>
      <c r="F363" s="187" t="str">
        <f t="shared" si="13"/>
        <v>IB31110</v>
      </c>
      <c r="G363" s="243" t="s">
        <v>1534</v>
      </c>
      <c r="H363" s="244"/>
      <c r="I363" s="244"/>
      <c r="J363" s="245"/>
      <c r="K363" s="584" t="s">
        <v>1513</v>
      </c>
      <c r="L363" s="188"/>
      <c r="M363" s="190" t="s">
        <v>11</v>
      </c>
      <c r="N363" s="195" t="str">
        <f t="shared" si="14"/>
        <v>OB31110</v>
      </c>
      <c r="O363" s="262"/>
      <c r="P363" s="263"/>
      <c r="Q363" s="263"/>
      <c r="R363" s="264"/>
      <c r="S363" s="190"/>
      <c r="T363" s="191"/>
      <c r="U363" s="909"/>
      <c r="V363" s="909"/>
      <c r="W363" s="187"/>
      <c r="X363" s="182"/>
      <c r="Y363" s="182"/>
      <c r="Z363" s="182"/>
      <c r="AA363" s="182"/>
      <c r="AB363" s="210"/>
      <c r="AC363" s="182"/>
      <c r="AD363" s="182"/>
      <c r="AE363" s="211"/>
    </row>
    <row r="364" spans="2:31" ht="17.25" customHeight="1">
      <c r="B364" s="180">
        <v>17</v>
      </c>
      <c r="C364" s="811"/>
      <c r="D364" s="765"/>
      <c r="E364" s="186" t="s">
        <v>10</v>
      </c>
      <c r="F364" s="187" t="str">
        <f t="shared" si="13"/>
        <v>IB31111</v>
      </c>
      <c r="G364" s="243" t="s">
        <v>1481</v>
      </c>
      <c r="H364" s="244"/>
      <c r="I364" s="244"/>
      <c r="J364" s="245"/>
      <c r="K364" s="584" t="s">
        <v>1513</v>
      </c>
      <c r="L364" s="188"/>
      <c r="M364" s="190" t="s">
        <v>11</v>
      </c>
      <c r="N364" s="195" t="str">
        <f t="shared" si="14"/>
        <v>OB31111</v>
      </c>
      <c r="O364" s="262"/>
      <c r="P364" s="263"/>
      <c r="Q364" s="263"/>
      <c r="R364" s="264"/>
      <c r="S364" s="190"/>
      <c r="T364" s="191"/>
      <c r="U364" s="909"/>
      <c r="V364" s="909"/>
      <c r="W364" s="187"/>
      <c r="X364" s="182"/>
      <c r="Y364" s="182"/>
      <c r="Z364" s="182"/>
      <c r="AA364" s="182"/>
      <c r="AB364" s="210"/>
      <c r="AC364" s="182"/>
      <c r="AD364" s="182"/>
      <c r="AE364" s="211"/>
    </row>
    <row r="365" spans="2:31" ht="17.25" customHeight="1">
      <c r="B365" s="180">
        <v>18</v>
      </c>
      <c r="C365" s="811"/>
      <c r="D365" s="765"/>
      <c r="E365" s="186" t="s">
        <v>10</v>
      </c>
      <c r="F365" s="187" t="str">
        <f t="shared" si="13"/>
        <v>IB31112</v>
      </c>
      <c r="G365" s="243" t="s">
        <v>1482</v>
      </c>
      <c r="H365" s="244"/>
      <c r="I365" s="244"/>
      <c r="J365" s="245"/>
      <c r="K365" s="584" t="s">
        <v>1513</v>
      </c>
      <c r="L365" s="188"/>
      <c r="M365" s="190" t="s">
        <v>11</v>
      </c>
      <c r="N365" s="195" t="str">
        <f t="shared" si="14"/>
        <v>OB31112</v>
      </c>
      <c r="O365" s="262"/>
      <c r="P365" s="263"/>
      <c r="Q365" s="263"/>
      <c r="R365" s="264"/>
      <c r="S365" s="190"/>
      <c r="T365" s="191"/>
      <c r="U365" s="909"/>
      <c r="V365" s="909"/>
      <c r="W365" s="187"/>
      <c r="X365" s="182"/>
      <c r="Y365" s="182"/>
      <c r="Z365" s="182"/>
      <c r="AA365" s="182"/>
      <c r="AB365" s="210"/>
      <c r="AC365" s="182"/>
      <c r="AD365" s="182"/>
      <c r="AE365" s="211"/>
    </row>
    <row r="366" spans="2:31" ht="17.25" customHeight="1">
      <c r="B366" s="180">
        <v>19</v>
      </c>
      <c r="C366" s="811"/>
      <c r="D366" s="765"/>
      <c r="E366" s="186" t="s">
        <v>10</v>
      </c>
      <c r="F366" s="187" t="str">
        <f t="shared" si="13"/>
        <v>IB31113</v>
      </c>
      <c r="G366" s="243"/>
      <c r="H366" s="244"/>
      <c r="I366" s="244"/>
      <c r="J366" s="245"/>
      <c r="K366" s="182"/>
      <c r="L366" s="188"/>
      <c r="M366" s="190" t="s">
        <v>11</v>
      </c>
      <c r="N366" s="195" t="str">
        <f t="shared" si="14"/>
        <v>OB31113</v>
      </c>
      <c r="O366" s="262"/>
      <c r="P366" s="263"/>
      <c r="Q366" s="263"/>
      <c r="R366" s="264"/>
      <c r="S366" s="190"/>
      <c r="T366" s="191"/>
      <c r="U366" s="909"/>
      <c r="V366" s="909"/>
      <c r="W366" s="187"/>
      <c r="X366" s="182"/>
      <c r="Y366" s="182"/>
      <c r="Z366" s="182"/>
      <c r="AA366" s="182"/>
      <c r="AB366" s="210"/>
      <c r="AC366" s="182"/>
      <c r="AD366" s="182"/>
      <c r="AE366" s="211"/>
    </row>
    <row r="367" spans="2:31" ht="17.25" customHeight="1">
      <c r="B367" s="180">
        <v>20</v>
      </c>
      <c r="C367" s="811"/>
      <c r="D367" s="765"/>
      <c r="E367" s="186" t="s">
        <v>10</v>
      </c>
      <c r="F367" s="187" t="str">
        <f t="shared" si="13"/>
        <v>IB31114</v>
      </c>
      <c r="G367" s="243"/>
      <c r="H367" s="244"/>
      <c r="I367" s="244"/>
      <c r="J367" s="245"/>
      <c r="K367" s="182"/>
      <c r="L367" s="188"/>
      <c r="M367" s="190" t="s">
        <v>11</v>
      </c>
      <c r="N367" s="195" t="str">
        <f t="shared" si="14"/>
        <v>OB31114</v>
      </c>
      <c r="O367" s="262"/>
      <c r="P367" s="263"/>
      <c r="Q367" s="263"/>
      <c r="R367" s="264"/>
      <c r="S367" s="190"/>
      <c r="T367" s="191"/>
      <c r="U367" s="909"/>
      <c r="V367" s="909"/>
      <c r="W367" s="187"/>
      <c r="X367" s="182"/>
      <c r="Y367" s="182"/>
      <c r="Z367" s="182"/>
      <c r="AA367" s="182"/>
      <c r="AB367" s="210"/>
      <c r="AC367" s="182"/>
      <c r="AD367" s="182"/>
      <c r="AE367" s="211"/>
    </row>
    <row r="368" spans="2:31" ht="17.25" customHeight="1">
      <c r="B368" s="180">
        <v>21</v>
      </c>
      <c r="C368" s="811"/>
      <c r="D368" s="765"/>
      <c r="E368" s="186" t="s">
        <v>10</v>
      </c>
      <c r="F368" s="187" t="str">
        <f t="shared" si="13"/>
        <v>IB31115</v>
      </c>
      <c r="G368" s="243"/>
      <c r="H368" s="244"/>
      <c r="I368" s="244"/>
      <c r="J368" s="245" t="s">
        <v>1514</v>
      </c>
      <c r="K368" s="182"/>
      <c r="L368" s="188"/>
      <c r="M368" s="190" t="s">
        <v>11</v>
      </c>
      <c r="N368" s="195" t="str">
        <f t="shared" si="14"/>
        <v>OB31115</v>
      </c>
      <c r="O368" s="262"/>
      <c r="P368" s="263"/>
      <c r="Q368" s="263"/>
      <c r="R368" s="264"/>
      <c r="S368" s="190"/>
      <c r="T368" s="191"/>
      <c r="U368" s="909"/>
      <c r="V368" s="909"/>
      <c r="W368" s="187"/>
      <c r="X368" s="182"/>
      <c r="Y368" s="182"/>
      <c r="Z368" s="182"/>
      <c r="AA368" s="182"/>
      <c r="AB368" s="210"/>
      <c r="AC368" s="182"/>
      <c r="AD368" s="182"/>
      <c r="AE368" s="211"/>
    </row>
    <row r="369" spans="2:31" ht="17.25" customHeight="1">
      <c r="B369" s="180">
        <v>22</v>
      </c>
      <c r="C369" s="811"/>
      <c r="D369" s="765"/>
      <c r="E369" s="186" t="s">
        <v>10</v>
      </c>
      <c r="F369" s="187" t="str">
        <f t="shared" si="13"/>
        <v>IB31116</v>
      </c>
      <c r="G369" s="243"/>
      <c r="H369" s="244"/>
      <c r="I369" s="244"/>
      <c r="J369" s="245"/>
      <c r="K369" s="182"/>
      <c r="L369" s="183"/>
      <c r="M369" s="190" t="s">
        <v>11</v>
      </c>
      <c r="N369" s="195" t="str">
        <f t="shared" si="14"/>
        <v>OB31116</v>
      </c>
      <c r="O369" s="262"/>
      <c r="P369" s="263"/>
      <c r="Q369" s="263"/>
      <c r="R369" s="264"/>
      <c r="S369" s="190"/>
      <c r="T369" s="191"/>
      <c r="U369" s="909"/>
      <c r="V369" s="909"/>
      <c r="W369" s="187"/>
      <c r="X369" s="182"/>
      <c r="Y369" s="182"/>
      <c r="Z369" s="182"/>
      <c r="AA369" s="182"/>
      <c r="AB369" s="210"/>
      <c r="AC369" s="182"/>
      <c r="AD369" s="182"/>
      <c r="AE369" s="211"/>
    </row>
    <row r="370" spans="2:31" ht="17.25" customHeight="1">
      <c r="B370" s="180">
        <v>23</v>
      </c>
      <c r="C370" s="811"/>
      <c r="D370" s="765"/>
      <c r="E370" s="186" t="s">
        <v>10</v>
      </c>
      <c r="F370" s="187" t="str">
        <f t="shared" si="13"/>
        <v>IB31117</v>
      </c>
      <c r="G370" s="243"/>
      <c r="H370" s="247"/>
      <c r="I370" s="247"/>
      <c r="J370" s="248"/>
      <c r="K370" s="182"/>
      <c r="L370" s="183"/>
      <c r="M370" s="190" t="s">
        <v>11</v>
      </c>
      <c r="N370" s="195" t="str">
        <f t="shared" si="14"/>
        <v>OB31117</v>
      </c>
      <c r="O370" s="262"/>
      <c r="P370" s="263"/>
      <c r="Q370" s="263"/>
      <c r="R370" s="264"/>
      <c r="S370" s="190"/>
      <c r="T370" s="191"/>
      <c r="U370" s="909"/>
      <c r="V370" s="909"/>
      <c r="W370" s="187"/>
      <c r="X370" s="182"/>
      <c r="Y370" s="182"/>
      <c r="Z370" s="182"/>
      <c r="AA370" s="182"/>
      <c r="AB370" s="210"/>
      <c r="AC370" s="182"/>
      <c r="AD370" s="182"/>
      <c r="AE370" s="211"/>
    </row>
    <row r="371" spans="2:31" ht="17.25" customHeight="1">
      <c r="B371" s="180">
        <v>24</v>
      </c>
      <c r="C371" s="811"/>
      <c r="D371" s="765"/>
      <c r="E371" s="186" t="s">
        <v>10</v>
      </c>
      <c r="F371" s="187" t="str">
        <f t="shared" si="13"/>
        <v>IB31118</v>
      </c>
      <c r="G371" s="243"/>
      <c r="H371" s="244"/>
      <c r="I371" s="244"/>
      <c r="J371" s="245"/>
      <c r="K371" s="182"/>
      <c r="L371" s="183"/>
      <c r="M371" s="190" t="s">
        <v>11</v>
      </c>
      <c r="N371" s="195" t="str">
        <f t="shared" si="14"/>
        <v>OB31118</v>
      </c>
      <c r="O371" s="262"/>
      <c r="P371" s="263"/>
      <c r="Q371" s="263"/>
      <c r="R371" s="264"/>
      <c r="S371" s="190"/>
      <c r="T371" s="191"/>
      <c r="U371" s="909"/>
      <c r="V371" s="909"/>
      <c r="W371" s="187"/>
      <c r="X371" s="182"/>
      <c r="Y371" s="182"/>
      <c r="Z371" s="182"/>
      <c r="AA371" s="182"/>
      <c r="AB371" s="210"/>
      <c r="AC371" s="182"/>
      <c r="AD371" s="182"/>
      <c r="AE371" s="211"/>
    </row>
    <row r="372" spans="2:31" ht="17.25" customHeight="1">
      <c r="B372" s="180">
        <v>25</v>
      </c>
      <c r="C372" s="811"/>
      <c r="D372" s="765"/>
      <c r="E372" s="186" t="s">
        <v>10</v>
      </c>
      <c r="F372" s="187" t="str">
        <f t="shared" si="13"/>
        <v>IB31119</v>
      </c>
      <c r="G372" s="243" t="s">
        <v>1483</v>
      </c>
      <c r="H372" s="244"/>
      <c r="I372" s="244"/>
      <c r="J372" s="245"/>
      <c r="K372" s="584" t="s">
        <v>1513</v>
      </c>
      <c r="L372" s="188"/>
      <c r="M372" s="190" t="s">
        <v>11</v>
      </c>
      <c r="N372" s="195" t="str">
        <f t="shared" si="14"/>
        <v>OB31119</v>
      </c>
      <c r="O372" s="262"/>
      <c r="P372" s="263"/>
      <c r="Q372" s="263"/>
      <c r="R372" s="264"/>
      <c r="S372" s="190"/>
      <c r="T372" s="191"/>
      <c r="U372" s="909"/>
      <c r="V372" s="909"/>
      <c r="W372" s="187"/>
      <c r="X372" s="182"/>
      <c r="Y372" s="182"/>
      <c r="Z372" s="182"/>
      <c r="AA372" s="182"/>
      <c r="AB372" s="210"/>
      <c r="AC372" s="182"/>
      <c r="AD372" s="182"/>
      <c r="AE372" s="211"/>
    </row>
    <row r="373" spans="2:31" ht="17.25" customHeight="1">
      <c r="B373" s="180">
        <v>26</v>
      </c>
      <c r="C373" s="811"/>
      <c r="D373" s="765"/>
      <c r="E373" s="186" t="s">
        <v>10</v>
      </c>
      <c r="F373" s="187" t="str">
        <f t="shared" si="13"/>
        <v>IB3111A</v>
      </c>
      <c r="G373" s="258"/>
      <c r="H373" s="244"/>
      <c r="I373" s="244"/>
      <c r="J373" s="245"/>
      <c r="K373" s="584"/>
      <c r="L373" s="188"/>
      <c r="M373" s="190" t="s">
        <v>11</v>
      </c>
      <c r="N373" s="195" t="str">
        <f t="shared" si="14"/>
        <v>OB3111A</v>
      </c>
      <c r="O373" s="262"/>
      <c r="P373" s="263"/>
      <c r="Q373" s="263"/>
      <c r="R373" s="264"/>
      <c r="S373" s="190"/>
      <c r="T373" s="191"/>
      <c r="U373" s="909"/>
      <c r="V373" s="909"/>
      <c r="W373" s="187"/>
      <c r="X373" s="182"/>
      <c r="Y373" s="182"/>
      <c r="Z373" s="182"/>
      <c r="AA373" s="182"/>
      <c r="AB373" s="210"/>
      <c r="AC373" s="182"/>
      <c r="AD373" s="182"/>
      <c r="AE373" s="211"/>
    </row>
    <row r="374" spans="2:31" ht="17.25" customHeight="1">
      <c r="B374" s="180">
        <v>27</v>
      </c>
      <c r="C374" s="811"/>
      <c r="D374" s="765"/>
      <c r="E374" s="186" t="s">
        <v>10</v>
      </c>
      <c r="F374" s="187" t="str">
        <f t="shared" si="13"/>
        <v>IB3111B</v>
      </c>
      <c r="G374" s="243" t="s">
        <v>1484</v>
      </c>
      <c r="H374" s="244"/>
      <c r="I374" s="244"/>
      <c r="J374" s="245"/>
      <c r="K374" s="584" t="s">
        <v>1513</v>
      </c>
      <c r="L374" s="188"/>
      <c r="M374" s="190" t="s">
        <v>11</v>
      </c>
      <c r="N374" s="195" t="str">
        <f t="shared" si="14"/>
        <v>OB3111B</v>
      </c>
      <c r="O374" s="262"/>
      <c r="P374" s="263"/>
      <c r="Q374" s="263"/>
      <c r="R374" s="264"/>
      <c r="S374" s="190"/>
      <c r="T374" s="191"/>
      <c r="U374" s="909"/>
      <c r="V374" s="909"/>
      <c r="W374" s="187"/>
      <c r="X374" s="182"/>
      <c r="Y374" s="182"/>
      <c r="Z374" s="182"/>
      <c r="AA374" s="182"/>
      <c r="AB374" s="210"/>
      <c r="AC374" s="182"/>
      <c r="AD374" s="182"/>
      <c r="AE374" s="211"/>
    </row>
    <row r="375" spans="2:31" ht="17.25" customHeight="1">
      <c r="B375" s="180">
        <v>28</v>
      </c>
      <c r="C375" s="811"/>
      <c r="D375" s="765"/>
      <c r="E375" s="186" t="s">
        <v>10</v>
      </c>
      <c r="F375" s="187" t="str">
        <f t="shared" si="13"/>
        <v>IB3111C</v>
      </c>
      <c r="G375" s="243" t="s">
        <v>185</v>
      </c>
      <c r="H375" s="244"/>
      <c r="I375" s="244"/>
      <c r="J375" s="245"/>
      <c r="K375" s="584" t="s">
        <v>1513</v>
      </c>
      <c r="L375" s="188"/>
      <c r="M375" s="190" t="s">
        <v>11</v>
      </c>
      <c r="N375" s="195" t="str">
        <f t="shared" si="14"/>
        <v>OB3111C</v>
      </c>
      <c r="O375" s="262"/>
      <c r="P375" s="263"/>
      <c r="Q375" s="263"/>
      <c r="R375" s="264"/>
      <c r="S375" s="190"/>
      <c r="T375" s="191"/>
      <c r="U375" s="909"/>
      <c r="V375" s="909"/>
      <c r="W375" s="187"/>
      <c r="X375" s="182"/>
      <c r="Y375" s="182"/>
      <c r="Z375" s="182"/>
      <c r="AA375" s="182"/>
      <c r="AB375" s="210"/>
      <c r="AC375" s="182"/>
      <c r="AD375" s="182"/>
      <c r="AE375" s="211"/>
    </row>
    <row r="376" spans="2:31" ht="17.25" customHeight="1">
      <c r="B376" s="180">
        <v>29</v>
      </c>
      <c r="C376" s="811"/>
      <c r="D376" s="765"/>
      <c r="E376" s="186" t="s">
        <v>10</v>
      </c>
      <c r="F376" s="187" t="str">
        <f t="shared" si="13"/>
        <v>IB3111D</v>
      </c>
      <c r="G376" s="243" t="s">
        <v>186</v>
      </c>
      <c r="H376" s="244"/>
      <c r="I376" s="244"/>
      <c r="J376" s="245"/>
      <c r="K376" s="584" t="s">
        <v>1513</v>
      </c>
      <c r="L376" s="188"/>
      <c r="M376" s="190" t="s">
        <v>11</v>
      </c>
      <c r="N376" s="195" t="str">
        <f t="shared" si="14"/>
        <v>OB3111D</v>
      </c>
      <c r="O376" s="262"/>
      <c r="P376" s="263"/>
      <c r="Q376" s="263"/>
      <c r="R376" s="264"/>
      <c r="S376" s="190"/>
      <c r="T376" s="191"/>
      <c r="U376" s="909"/>
      <c r="V376" s="909"/>
      <c r="W376" s="187"/>
      <c r="X376" s="182"/>
      <c r="Y376" s="182"/>
      <c r="Z376" s="182"/>
      <c r="AA376" s="182"/>
      <c r="AB376" s="210"/>
      <c r="AC376" s="182"/>
      <c r="AD376" s="182"/>
      <c r="AE376" s="211"/>
    </row>
    <row r="377" spans="2:31" ht="17.25" customHeight="1">
      <c r="B377" s="180">
        <v>30</v>
      </c>
      <c r="C377" s="811"/>
      <c r="D377" s="765"/>
      <c r="E377" s="186" t="s">
        <v>10</v>
      </c>
      <c r="F377" s="187" t="str">
        <f t="shared" si="13"/>
        <v>IB3111E</v>
      </c>
      <c r="G377" s="246"/>
      <c r="H377" s="247"/>
      <c r="I377" s="247"/>
      <c r="J377" s="248"/>
      <c r="K377" s="182"/>
      <c r="L377" s="188"/>
      <c r="M377" s="190" t="s">
        <v>11</v>
      </c>
      <c r="N377" s="195" t="str">
        <f t="shared" si="14"/>
        <v>OB3111E</v>
      </c>
      <c r="O377" s="262"/>
      <c r="P377" s="263"/>
      <c r="Q377" s="263"/>
      <c r="R377" s="264"/>
      <c r="S377" s="190"/>
      <c r="T377" s="191"/>
      <c r="U377" s="909"/>
      <c r="V377" s="909"/>
      <c r="W377" s="187"/>
      <c r="X377" s="182"/>
      <c r="Y377" s="182"/>
      <c r="Z377" s="182"/>
      <c r="AA377" s="182"/>
      <c r="AB377" s="210"/>
      <c r="AC377" s="182"/>
      <c r="AD377" s="182"/>
      <c r="AE377" s="211"/>
    </row>
    <row r="378" spans="2:31" ht="17.25" customHeight="1">
      <c r="B378" s="180">
        <v>31</v>
      </c>
      <c r="C378" s="928"/>
      <c r="D378" s="765"/>
      <c r="E378" s="186" t="s">
        <v>10</v>
      </c>
      <c r="F378" s="187" t="str">
        <f t="shared" si="13"/>
        <v>IB3111F</v>
      </c>
      <c r="G378" s="246"/>
      <c r="H378" s="244"/>
      <c r="I378" s="244"/>
      <c r="J378" s="245"/>
      <c r="K378" s="182"/>
      <c r="L378" s="188"/>
      <c r="M378" s="190" t="s">
        <v>11</v>
      </c>
      <c r="N378" s="195" t="str">
        <f t="shared" si="14"/>
        <v>OB3111F</v>
      </c>
      <c r="O378" s="262"/>
      <c r="P378" s="263"/>
      <c r="Q378" s="263"/>
      <c r="R378" s="264"/>
      <c r="S378" s="190"/>
      <c r="T378" s="191"/>
      <c r="U378" s="909"/>
      <c r="V378" s="909"/>
      <c r="W378" s="187"/>
      <c r="X378" s="182"/>
      <c r="Y378" s="182"/>
      <c r="Z378" s="182"/>
      <c r="AA378" s="182"/>
      <c r="AB378" s="210"/>
      <c r="AC378" s="182"/>
      <c r="AD378" s="182"/>
      <c r="AE378" s="211"/>
    </row>
    <row r="379" spans="2:31" ht="17.25" customHeight="1">
      <c r="B379" s="180">
        <v>32</v>
      </c>
      <c r="C379" s="927" t="s">
        <v>1565</v>
      </c>
      <c r="D379" s="901" t="s">
        <v>264</v>
      </c>
      <c r="E379" s="186" t="s">
        <v>10</v>
      </c>
      <c r="F379" s="187" t="str">
        <f t="shared" si="13"/>
        <v>IB31120</v>
      </c>
      <c r="G379" s="588" t="s">
        <v>187</v>
      </c>
      <c r="H379" s="554"/>
      <c r="I379" s="554"/>
      <c r="J379" s="555"/>
      <c r="K379" s="190" t="s">
        <v>1513</v>
      </c>
      <c r="L379" s="188"/>
      <c r="M379" s="190" t="s">
        <v>11</v>
      </c>
      <c r="N379" s="195" t="str">
        <f t="shared" si="14"/>
        <v>OB31120</v>
      </c>
      <c r="O379" s="259"/>
      <c r="P379" s="260"/>
      <c r="Q379" s="260"/>
      <c r="R379" s="261"/>
      <c r="S379" s="190"/>
      <c r="T379" s="191"/>
      <c r="U379" s="909"/>
      <c r="V379" s="909"/>
      <c r="W379" s="187"/>
      <c r="X379" s="182"/>
      <c r="Y379" s="182"/>
      <c r="Z379" s="182"/>
      <c r="AA379" s="182"/>
      <c r="AB379" s="210"/>
      <c r="AC379" s="182"/>
      <c r="AD379" s="182"/>
      <c r="AE379" s="211"/>
    </row>
    <row r="380" spans="2:31" ht="17.25" customHeight="1">
      <c r="B380" s="180">
        <v>33</v>
      </c>
      <c r="C380" s="811"/>
      <c r="D380" s="765"/>
      <c r="E380" s="186" t="s">
        <v>10</v>
      </c>
      <c r="F380" s="187" t="str">
        <f t="shared" si="13"/>
        <v>IB31121</v>
      </c>
      <c r="G380" s="588" t="s">
        <v>188</v>
      </c>
      <c r="H380" s="554"/>
      <c r="I380" s="554"/>
      <c r="J380" s="555"/>
      <c r="K380" s="190" t="s">
        <v>1513</v>
      </c>
      <c r="L380" s="188"/>
      <c r="M380" s="190" t="s">
        <v>11</v>
      </c>
      <c r="N380" s="195" t="str">
        <f t="shared" si="14"/>
        <v>OB31121</v>
      </c>
      <c r="O380" s="259"/>
      <c r="P380" s="260"/>
      <c r="Q380" s="260"/>
      <c r="R380" s="261"/>
      <c r="S380" s="190"/>
      <c r="T380" s="191"/>
      <c r="U380" s="909"/>
      <c r="V380" s="909"/>
      <c r="W380" s="187"/>
      <c r="X380" s="182"/>
      <c r="Y380" s="182"/>
      <c r="Z380" s="182"/>
      <c r="AA380" s="182"/>
      <c r="AB380" s="210"/>
      <c r="AC380" s="182"/>
      <c r="AD380" s="182"/>
      <c r="AE380" s="211"/>
    </row>
    <row r="381" spans="2:31" ht="17.25" customHeight="1">
      <c r="B381" s="180">
        <v>34</v>
      </c>
      <c r="C381" s="811"/>
      <c r="D381" s="765"/>
      <c r="E381" s="186" t="s">
        <v>10</v>
      </c>
      <c r="F381" s="187" t="str">
        <f t="shared" si="13"/>
        <v>IB31122</v>
      </c>
      <c r="G381" s="588" t="s">
        <v>189</v>
      </c>
      <c r="H381" s="554"/>
      <c r="I381" s="554"/>
      <c r="J381" s="555"/>
      <c r="K381" s="190" t="s">
        <v>1513</v>
      </c>
      <c r="L381" s="188"/>
      <c r="M381" s="190" t="s">
        <v>11</v>
      </c>
      <c r="N381" s="195" t="str">
        <f t="shared" si="14"/>
        <v>OB31122</v>
      </c>
      <c r="O381" s="259"/>
      <c r="P381" s="260"/>
      <c r="Q381" s="260"/>
      <c r="R381" s="261"/>
      <c r="S381" s="190"/>
      <c r="T381" s="191"/>
      <c r="U381" s="909"/>
      <c r="V381" s="909"/>
      <c r="W381" s="187"/>
      <c r="X381" s="182"/>
      <c r="Y381" s="182"/>
      <c r="Z381" s="182"/>
      <c r="AA381" s="182"/>
      <c r="AB381" s="210"/>
      <c r="AC381" s="182"/>
      <c r="AD381" s="182"/>
      <c r="AE381" s="211"/>
    </row>
    <row r="382" spans="2:31" ht="17.25" customHeight="1">
      <c r="B382" s="180">
        <v>35</v>
      </c>
      <c r="C382" s="811"/>
      <c r="D382" s="765"/>
      <c r="E382" s="186" t="s">
        <v>10</v>
      </c>
      <c r="F382" s="187" t="str">
        <f t="shared" si="13"/>
        <v>IB31123</v>
      </c>
      <c r="G382" s="588" t="s">
        <v>190</v>
      </c>
      <c r="H382" s="554"/>
      <c r="I382" s="554"/>
      <c r="J382" s="555"/>
      <c r="K382" s="190" t="s">
        <v>1513</v>
      </c>
      <c r="L382" s="188"/>
      <c r="M382" s="190" t="s">
        <v>11</v>
      </c>
      <c r="N382" s="195" t="str">
        <f t="shared" si="14"/>
        <v>OB31123</v>
      </c>
      <c r="O382" s="259"/>
      <c r="P382" s="260"/>
      <c r="Q382" s="260"/>
      <c r="R382" s="261"/>
      <c r="S382" s="190"/>
      <c r="T382" s="191"/>
      <c r="U382" s="909"/>
      <c r="V382" s="909"/>
      <c r="W382" s="187"/>
      <c r="X382" s="182"/>
      <c r="Y382" s="182"/>
      <c r="Z382" s="182"/>
      <c r="AA382" s="182"/>
      <c r="AB382" s="210"/>
      <c r="AC382" s="182"/>
      <c r="AD382" s="182"/>
      <c r="AE382" s="211"/>
    </row>
    <row r="383" spans="2:31" ht="17.25" customHeight="1">
      <c r="B383" s="180">
        <v>36</v>
      </c>
      <c r="C383" s="811"/>
      <c r="D383" s="765"/>
      <c r="E383" s="186" t="s">
        <v>10</v>
      </c>
      <c r="F383" s="187" t="str">
        <f t="shared" si="13"/>
        <v>IB31124</v>
      </c>
      <c r="G383" s="588" t="s">
        <v>191</v>
      </c>
      <c r="H383" s="554"/>
      <c r="I383" s="554"/>
      <c r="J383" s="555"/>
      <c r="K383" s="190" t="s">
        <v>1513</v>
      </c>
      <c r="L383" s="188"/>
      <c r="M383" s="190" t="s">
        <v>11</v>
      </c>
      <c r="N383" s="195" t="str">
        <f t="shared" si="14"/>
        <v>OB31124</v>
      </c>
      <c r="O383" s="259"/>
      <c r="P383" s="260"/>
      <c r="Q383" s="260"/>
      <c r="R383" s="261"/>
      <c r="S383" s="190"/>
      <c r="T383" s="191"/>
      <c r="U383" s="909"/>
      <c r="V383" s="909"/>
      <c r="W383" s="187"/>
      <c r="X383" s="182"/>
      <c r="Y383" s="182"/>
      <c r="Z383" s="182"/>
      <c r="AA383" s="182"/>
      <c r="AB383" s="210"/>
      <c r="AC383" s="182"/>
      <c r="AD383" s="182"/>
      <c r="AE383" s="211"/>
    </row>
    <row r="384" spans="2:31" ht="17.25" customHeight="1">
      <c r="B384" s="180">
        <v>37</v>
      </c>
      <c r="C384" s="811"/>
      <c r="D384" s="765"/>
      <c r="E384" s="186" t="s">
        <v>10</v>
      </c>
      <c r="F384" s="187" t="str">
        <f t="shared" si="13"/>
        <v>IB31125</v>
      </c>
      <c r="G384" s="588" t="s">
        <v>192</v>
      </c>
      <c r="H384" s="554"/>
      <c r="I384" s="554"/>
      <c r="J384" s="555"/>
      <c r="K384" s="190" t="s">
        <v>1513</v>
      </c>
      <c r="L384" s="188"/>
      <c r="M384" s="190" t="s">
        <v>11</v>
      </c>
      <c r="N384" s="195" t="str">
        <f t="shared" si="14"/>
        <v>OB31125</v>
      </c>
      <c r="O384" s="259"/>
      <c r="P384" s="260"/>
      <c r="Q384" s="260"/>
      <c r="R384" s="261"/>
      <c r="S384" s="190"/>
      <c r="T384" s="191"/>
      <c r="U384" s="909"/>
      <c r="V384" s="909"/>
      <c r="W384" s="187"/>
      <c r="X384" s="182"/>
      <c r="Y384" s="182"/>
      <c r="Z384" s="182"/>
      <c r="AA384" s="182"/>
      <c r="AB384" s="210"/>
      <c r="AC384" s="182"/>
      <c r="AD384" s="182"/>
      <c r="AE384" s="211"/>
    </row>
    <row r="385" spans="2:31" ht="17.25" customHeight="1">
      <c r="B385" s="180">
        <v>38</v>
      </c>
      <c r="C385" s="811"/>
      <c r="D385" s="765"/>
      <c r="E385" s="186" t="s">
        <v>10</v>
      </c>
      <c r="F385" s="187" t="str">
        <f t="shared" si="13"/>
        <v>IB31126</v>
      </c>
      <c r="G385" s="588" t="s">
        <v>193</v>
      </c>
      <c r="H385" s="554"/>
      <c r="I385" s="554"/>
      <c r="J385" s="555"/>
      <c r="K385" s="190" t="s">
        <v>1513</v>
      </c>
      <c r="L385" s="188"/>
      <c r="M385" s="190" t="s">
        <v>11</v>
      </c>
      <c r="N385" s="195" t="str">
        <f t="shared" si="14"/>
        <v>OB31126</v>
      </c>
      <c r="O385" s="259"/>
      <c r="P385" s="260"/>
      <c r="Q385" s="260"/>
      <c r="R385" s="261"/>
      <c r="S385" s="190"/>
      <c r="T385" s="191"/>
      <c r="U385" s="909"/>
      <c r="V385" s="909"/>
      <c r="W385" s="187"/>
      <c r="X385" s="182"/>
      <c r="Y385" s="182"/>
      <c r="Z385" s="182"/>
      <c r="AA385" s="182"/>
      <c r="AB385" s="210"/>
      <c r="AC385" s="182"/>
      <c r="AD385" s="182"/>
      <c r="AE385" s="211"/>
    </row>
    <row r="386" spans="2:31" ht="17.25" customHeight="1">
      <c r="B386" s="180">
        <v>39</v>
      </c>
      <c r="C386" s="811"/>
      <c r="D386" s="765"/>
      <c r="E386" s="186" t="s">
        <v>10</v>
      </c>
      <c r="F386" s="187" t="str">
        <f t="shared" si="13"/>
        <v>IB31127</v>
      </c>
      <c r="G386" s="243"/>
      <c r="H386" s="244"/>
      <c r="I386" s="244"/>
      <c r="J386" s="245"/>
      <c r="K386" s="182"/>
      <c r="L386" s="188"/>
      <c r="M386" s="190" t="s">
        <v>11</v>
      </c>
      <c r="N386" s="195" t="str">
        <f t="shared" si="14"/>
        <v>OB31127</v>
      </c>
      <c r="O386" s="259"/>
      <c r="P386" s="260"/>
      <c r="Q386" s="260"/>
      <c r="R386" s="261"/>
      <c r="S386" s="190"/>
      <c r="T386" s="191"/>
      <c r="U386" s="909"/>
      <c r="V386" s="909"/>
      <c r="W386" s="187"/>
      <c r="X386" s="182"/>
      <c r="Y386" s="182"/>
      <c r="Z386" s="182"/>
      <c r="AA386" s="182"/>
      <c r="AB386" s="210"/>
      <c r="AC386" s="182"/>
      <c r="AD386" s="182"/>
      <c r="AE386" s="211"/>
    </row>
    <row r="387" spans="2:31" ht="17.25" customHeight="1">
      <c r="B387" s="180">
        <v>40</v>
      </c>
      <c r="C387" s="811"/>
      <c r="D387" s="765"/>
      <c r="E387" s="186" t="s">
        <v>10</v>
      </c>
      <c r="F387" s="187" t="str">
        <f t="shared" si="13"/>
        <v>IB31128</v>
      </c>
      <c r="G387" s="243"/>
      <c r="H387" s="244"/>
      <c r="I387" s="244"/>
      <c r="J387" s="245"/>
      <c r="K387" s="182"/>
      <c r="L387" s="188"/>
      <c r="M387" s="190" t="s">
        <v>11</v>
      </c>
      <c r="N387" s="195" t="str">
        <f t="shared" si="14"/>
        <v>OB31128</v>
      </c>
      <c r="O387" s="259"/>
      <c r="P387" s="260"/>
      <c r="Q387" s="260"/>
      <c r="R387" s="261"/>
      <c r="S387" s="190"/>
      <c r="T387" s="191"/>
      <c r="U387" s="909"/>
      <c r="V387" s="909"/>
      <c r="W387" s="187"/>
      <c r="X387" s="182"/>
      <c r="Y387" s="182"/>
      <c r="Z387" s="182"/>
      <c r="AA387" s="182"/>
      <c r="AB387" s="210"/>
      <c r="AC387" s="182"/>
      <c r="AD387" s="182"/>
      <c r="AE387" s="211"/>
    </row>
    <row r="388" spans="2:31" ht="17.25" customHeight="1">
      <c r="B388" s="180">
        <v>41</v>
      </c>
      <c r="C388" s="811"/>
      <c r="D388" s="765"/>
      <c r="E388" s="186" t="s">
        <v>10</v>
      </c>
      <c r="F388" s="187" t="str">
        <f t="shared" si="13"/>
        <v>IB31129</v>
      </c>
      <c r="G388" s="243"/>
      <c r="H388" s="244"/>
      <c r="I388" s="244"/>
      <c r="J388" s="245"/>
      <c r="K388" s="182"/>
      <c r="L388" s="188"/>
      <c r="M388" s="190" t="s">
        <v>11</v>
      </c>
      <c r="N388" s="195" t="str">
        <f t="shared" si="14"/>
        <v>OB31129</v>
      </c>
      <c r="O388" s="259"/>
      <c r="P388" s="260"/>
      <c r="Q388" s="260"/>
      <c r="R388" s="261"/>
      <c r="S388" s="190"/>
      <c r="T388" s="191"/>
      <c r="U388" s="909"/>
      <c r="V388" s="909"/>
      <c r="W388" s="187"/>
      <c r="X388" s="182"/>
      <c r="Y388" s="182"/>
      <c r="Z388" s="182"/>
      <c r="AA388" s="182"/>
      <c r="AB388" s="210"/>
      <c r="AC388" s="182"/>
      <c r="AD388" s="182"/>
      <c r="AE388" s="211"/>
    </row>
    <row r="389" spans="2:31" ht="17.25" customHeight="1">
      <c r="B389" s="180">
        <v>42</v>
      </c>
      <c r="C389" s="811"/>
      <c r="D389" s="765"/>
      <c r="E389" s="186" t="s">
        <v>10</v>
      </c>
      <c r="F389" s="187" t="str">
        <f t="shared" si="13"/>
        <v>IB3112A</v>
      </c>
      <c r="G389" s="243"/>
      <c r="H389" s="244"/>
      <c r="I389" s="244"/>
      <c r="J389" s="245"/>
      <c r="K389" s="182"/>
      <c r="L389" s="188"/>
      <c r="M389" s="190" t="s">
        <v>11</v>
      </c>
      <c r="N389" s="195" t="str">
        <f t="shared" si="14"/>
        <v>OB3112A</v>
      </c>
      <c r="O389" s="259"/>
      <c r="P389" s="260"/>
      <c r="Q389" s="260"/>
      <c r="R389" s="261"/>
      <c r="S389" s="190"/>
      <c r="T389" s="191"/>
      <c r="U389" s="909"/>
      <c r="V389" s="909"/>
      <c r="W389" s="187"/>
      <c r="X389" s="182"/>
      <c r="Y389" s="182"/>
      <c r="Z389" s="182"/>
      <c r="AA389" s="182"/>
      <c r="AB389" s="210"/>
      <c r="AC389" s="182"/>
      <c r="AD389" s="182"/>
      <c r="AE389" s="211"/>
    </row>
    <row r="390" spans="2:31" ht="17.25" customHeight="1">
      <c r="B390" s="180">
        <v>43</v>
      </c>
      <c r="C390" s="811"/>
      <c r="D390" s="765"/>
      <c r="E390" s="186" t="s">
        <v>10</v>
      </c>
      <c r="F390" s="187" t="str">
        <f t="shared" si="13"/>
        <v>IB3112B</v>
      </c>
      <c r="G390" s="246"/>
      <c r="H390" s="247"/>
      <c r="I390" s="247"/>
      <c r="J390" s="248"/>
      <c r="K390" s="182"/>
      <c r="L390" s="188"/>
      <c r="M390" s="190" t="s">
        <v>11</v>
      </c>
      <c r="N390" s="195" t="str">
        <f t="shared" si="14"/>
        <v>OB3112B</v>
      </c>
      <c r="O390" s="259"/>
      <c r="P390" s="260"/>
      <c r="Q390" s="260"/>
      <c r="R390" s="261"/>
      <c r="S390" s="190"/>
      <c r="T390" s="191"/>
      <c r="U390" s="909"/>
      <c r="V390" s="909"/>
      <c r="W390" s="187"/>
      <c r="X390" s="182"/>
      <c r="Y390" s="182"/>
      <c r="Z390" s="182"/>
      <c r="AA390" s="182"/>
      <c r="AB390" s="210"/>
      <c r="AC390" s="182"/>
      <c r="AD390" s="182"/>
      <c r="AE390" s="211"/>
    </row>
    <row r="391" spans="2:31" ht="17.25" customHeight="1">
      <c r="B391" s="180">
        <v>44</v>
      </c>
      <c r="C391" s="811"/>
      <c r="D391" s="765"/>
      <c r="E391" s="186" t="s">
        <v>10</v>
      </c>
      <c r="F391" s="187" t="str">
        <f t="shared" si="13"/>
        <v>IB3112C</v>
      </c>
      <c r="G391" s="246"/>
      <c r="H391" s="247"/>
      <c r="I391" s="247"/>
      <c r="J391" s="248"/>
      <c r="K391" s="182"/>
      <c r="L391" s="188"/>
      <c r="M391" s="190" t="s">
        <v>11</v>
      </c>
      <c r="N391" s="195" t="str">
        <f t="shared" si="14"/>
        <v>OB3112C</v>
      </c>
      <c r="O391" s="259"/>
      <c r="P391" s="260"/>
      <c r="Q391" s="260"/>
      <c r="R391" s="261"/>
      <c r="S391" s="190"/>
      <c r="T391" s="191"/>
      <c r="U391" s="909"/>
      <c r="V391" s="909"/>
      <c r="W391" s="187"/>
      <c r="X391" s="182"/>
      <c r="Y391" s="182"/>
      <c r="Z391" s="182"/>
      <c r="AA391" s="182"/>
      <c r="AB391" s="210"/>
      <c r="AC391" s="182"/>
      <c r="AD391" s="182"/>
      <c r="AE391" s="211"/>
    </row>
    <row r="392" spans="2:31" ht="17.25" customHeight="1">
      <c r="B392" s="180">
        <v>45</v>
      </c>
      <c r="C392" s="811"/>
      <c r="D392" s="765"/>
      <c r="E392" s="186" t="s">
        <v>10</v>
      </c>
      <c r="F392" s="187" t="str">
        <f t="shared" si="13"/>
        <v>IB3112D</v>
      </c>
      <c r="G392" s="243"/>
      <c r="H392" s="244"/>
      <c r="I392" s="244"/>
      <c r="J392" s="245"/>
      <c r="K392" s="182"/>
      <c r="L392" s="188"/>
      <c r="M392" s="190" t="s">
        <v>11</v>
      </c>
      <c r="N392" s="195" t="str">
        <f t="shared" si="14"/>
        <v>OB3112D</v>
      </c>
      <c r="O392" s="259"/>
      <c r="P392" s="260"/>
      <c r="Q392" s="260"/>
      <c r="R392" s="261"/>
      <c r="S392" s="190"/>
      <c r="T392" s="191"/>
      <c r="U392" s="909"/>
      <c r="V392" s="909"/>
      <c r="W392" s="187"/>
      <c r="X392" s="182"/>
      <c r="Y392" s="182"/>
      <c r="Z392" s="182"/>
      <c r="AA392" s="182"/>
      <c r="AB392" s="210"/>
      <c r="AC392" s="182"/>
      <c r="AD392" s="182"/>
      <c r="AE392" s="211"/>
    </row>
    <row r="393" spans="2:31" ht="17.25" customHeight="1">
      <c r="B393" s="180">
        <v>46</v>
      </c>
      <c r="C393" s="811"/>
      <c r="D393" s="765"/>
      <c r="E393" s="186" t="s">
        <v>10</v>
      </c>
      <c r="F393" s="187" t="str">
        <f t="shared" si="13"/>
        <v>IB3112E</v>
      </c>
      <c r="G393" s="246"/>
      <c r="H393" s="247"/>
      <c r="I393" s="247"/>
      <c r="J393" s="248"/>
      <c r="K393" s="182"/>
      <c r="L393" s="188"/>
      <c r="M393" s="190" t="s">
        <v>11</v>
      </c>
      <c r="N393" s="195" t="str">
        <f t="shared" si="14"/>
        <v>OB3112E</v>
      </c>
      <c r="O393" s="259"/>
      <c r="P393" s="260"/>
      <c r="Q393" s="260"/>
      <c r="R393" s="261"/>
      <c r="S393" s="190"/>
      <c r="T393" s="191"/>
      <c r="U393" s="909"/>
      <c r="V393" s="909"/>
      <c r="W393" s="187"/>
      <c r="X393" s="182"/>
      <c r="Y393" s="182"/>
      <c r="Z393" s="182"/>
      <c r="AA393" s="182"/>
      <c r="AB393" s="210"/>
      <c r="AC393" s="182"/>
      <c r="AD393" s="182"/>
      <c r="AE393" s="211"/>
    </row>
    <row r="394" spans="2:31" ht="17.25" customHeight="1">
      <c r="B394" s="180">
        <v>47</v>
      </c>
      <c r="C394" s="928"/>
      <c r="D394" s="765"/>
      <c r="E394" s="186" t="s">
        <v>10</v>
      </c>
      <c r="F394" s="187" t="str">
        <f t="shared" si="13"/>
        <v>IB3112F</v>
      </c>
      <c r="G394" s="246"/>
      <c r="H394" s="247"/>
      <c r="I394" s="247"/>
      <c r="J394" s="248"/>
      <c r="K394" s="182"/>
      <c r="L394" s="188"/>
      <c r="M394" s="190" t="s">
        <v>11</v>
      </c>
      <c r="N394" s="195" t="str">
        <f t="shared" si="14"/>
        <v>OB3112F</v>
      </c>
      <c r="O394" s="259"/>
      <c r="P394" s="260"/>
      <c r="Q394" s="260"/>
      <c r="R394" s="261"/>
      <c r="S394" s="190"/>
      <c r="T394" s="191"/>
      <c r="U394" s="909"/>
      <c r="V394" s="909"/>
      <c r="W394" s="187"/>
      <c r="X394" s="182"/>
      <c r="Y394" s="182"/>
      <c r="Z394" s="182"/>
      <c r="AA394" s="182"/>
      <c r="AB394" s="210"/>
      <c r="AC394" s="182"/>
      <c r="AD394" s="182"/>
      <c r="AE394" s="211"/>
    </row>
    <row r="395" spans="2:31" ht="17.25" customHeight="1">
      <c r="B395" s="180">
        <v>48</v>
      </c>
      <c r="C395" s="927" t="s">
        <v>1590</v>
      </c>
      <c r="D395" s="765"/>
      <c r="E395" s="186" t="s">
        <v>10</v>
      </c>
      <c r="F395" s="187" t="str">
        <f t="shared" si="13"/>
        <v>IB31130</v>
      </c>
      <c r="G395" s="659" t="s">
        <v>1652</v>
      </c>
      <c r="H395" s="660"/>
      <c r="I395" s="660"/>
      <c r="J395" s="961"/>
      <c r="K395" s="182"/>
      <c r="L395" s="188"/>
      <c r="M395" s="190" t="s">
        <v>11</v>
      </c>
      <c r="N395" s="195" t="str">
        <f t="shared" si="14"/>
        <v>OB31130</v>
      </c>
      <c r="O395" s="262"/>
      <c r="P395" s="263"/>
      <c r="Q395" s="263"/>
      <c r="R395" s="264"/>
      <c r="S395" s="190"/>
      <c r="T395" s="191"/>
      <c r="U395" s="909"/>
      <c r="V395" s="909"/>
      <c r="W395" s="187"/>
      <c r="X395" s="182"/>
      <c r="Y395" s="182"/>
      <c r="Z395" s="182"/>
      <c r="AA395" s="182"/>
      <c r="AB395" s="210"/>
      <c r="AC395" s="182"/>
      <c r="AD395" s="182"/>
      <c r="AE395" s="211"/>
    </row>
    <row r="396" spans="2:31" ht="17.25" customHeight="1">
      <c r="B396" s="180">
        <v>49</v>
      </c>
      <c r="C396" s="811"/>
      <c r="D396" s="765"/>
      <c r="E396" s="186" t="s">
        <v>10</v>
      </c>
      <c r="F396" s="187" t="str">
        <f t="shared" si="13"/>
        <v>IB31131</v>
      </c>
      <c r="G396" s="659" t="s">
        <v>1653</v>
      </c>
      <c r="H396" s="660"/>
      <c r="I396" s="660"/>
      <c r="J396" s="961"/>
      <c r="K396" s="182"/>
      <c r="L396" s="188"/>
      <c r="M396" s="190" t="s">
        <v>11</v>
      </c>
      <c r="N396" s="195" t="str">
        <f>LEFT(N395,1)&amp;DEC2HEX(HEX2DEC(MID(N395,2,LENB(N395)-1))+1,LENB(N395)-1)</f>
        <v>OB31131</v>
      </c>
      <c r="O396" s="262"/>
      <c r="P396" s="263"/>
      <c r="Q396" s="263"/>
      <c r="R396" s="264"/>
      <c r="S396" s="190"/>
      <c r="T396" s="191"/>
      <c r="U396" s="909"/>
      <c r="V396" s="909"/>
      <c r="W396" s="187"/>
      <c r="X396" s="182"/>
      <c r="Y396" s="182"/>
      <c r="Z396" s="182"/>
      <c r="AA396" s="182"/>
      <c r="AB396" s="210"/>
      <c r="AC396" s="182"/>
      <c r="AD396" s="182"/>
      <c r="AE396" s="211"/>
    </row>
    <row r="397" spans="2:31" ht="17.25" customHeight="1">
      <c r="B397" s="180">
        <v>50</v>
      </c>
      <c r="C397" s="811"/>
      <c r="D397" s="765"/>
      <c r="E397" s="186" t="s">
        <v>10</v>
      </c>
      <c r="F397" s="187" t="str">
        <f t="shared" si="13"/>
        <v>IB31132</v>
      </c>
      <c r="G397" s="659" t="s">
        <v>1654</v>
      </c>
      <c r="H397" s="660"/>
      <c r="I397" s="660"/>
      <c r="J397" s="961"/>
      <c r="K397" s="182"/>
      <c r="L397" s="188"/>
      <c r="M397" s="190" t="s">
        <v>11</v>
      </c>
      <c r="N397" s="195" t="str">
        <f t="shared" ref="N397:N460" si="15">LEFT(N396,1)&amp;DEC2HEX(HEX2DEC(MID(N396,2,LENB(N396)-1))+1,LENB(N396)-1)</f>
        <v>OB31132</v>
      </c>
      <c r="O397" s="262"/>
      <c r="P397" s="263"/>
      <c r="Q397" s="263"/>
      <c r="R397" s="264"/>
      <c r="S397" s="190"/>
      <c r="T397" s="191"/>
      <c r="U397" s="909"/>
      <c r="V397" s="909"/>
      <c r="W397" s="187"/>
      <c r="X397" s="182"/>
      <c r="Y397" s="182"/>
      <c r="Z397" s="182"/>
      <c r="AA397" s="182"/>
      <c r="AB397" s="210"/>
      <c r="AC397" s="182"/>
      <c r="AD397" s="182"/>
      <c r="AE397" s="211"/>
    </row>
    <row r="398" spans="2:31" ht="17.25" customHeight="1">
      <c r="B398" s="180">
        <v>51</v>
      </c>
      <c r="C398" s="811"/>
      <c r="D398" s="765"/>
      <c r="E398" s="186" t="s">
        <v>10</v>
      </c>
      <c r="F398" s="187" t="str">
        <f t="shared" si="13"/>
        <v>IB31133</v>
      </c>
      <c r="G398" s="659" t="s">
        <v>1655</v>
      </c>
      <c r="H398" s="660"/>
      <c r="I398" s="660"/>
      <c r="J398" s="961"/>
      <c r="K398" s="182"/>
      <c r="L398" s="188"/>
      <c r="M398" s="190" t="s">
        <v>11</v>
      </c>
      <c r="N398" s="195" t="str">
        <f t="shared" si="15"/>
        <v>OB31133</v>
      </c>
      <c r="O398" s="262"/>
      <c r="P398" s="263"/>
      <c r="Q398" s="263"/>
      <c r="R398" s="264"/>
      <c r="S398" s="190"/>
      <c r="T398" s="191"/>
      <c r="U398" s="909"/>
      <c r="V398" s="909"/>
      <c r="W398" s="187"/>
      <c r="X398" s="182"/>
      <c r="Y398" s="182"/>
      <c r="Z398" s="182"/>
      <c r="AA398" s="182"/>
      <c r="AB398" s="210"/>
      <c r="AC398" s="182"/>
      <c r="AD398" s="182"/>
      <c r="AE398" s="211"/>
    </row>
    <row r="399" spans="2:31" ht="17.25" customHeight="1">
      <c r="B399" s="180">
        <v>52</v>
      </c>
      <c r="C399" s="811"/>
      <c r="D399" s="765"/>
      <c r="E399" s="186" t="s">
        <v>10</v>
      </c>
      <c r="F399" s="187" t="str">
        <f t="shared" si="13"/>
        <v>IB31134</v>
      </c>
      <c r="G399" s="659" t="s">
        <v>1656</v>
      </c>
      <c r="H399" s="660"/>
      <c r="I399" s="660"/>
      <c r="J399" s="961"/>
      <c r="K399" s="182"/>
      <c r="L399" s="188"/>
      <c r="M399" s="190" t="s">
        <v>11</v>
      </c>
      <c r="N399" s="195" t="str">
        <f t="shared" si="15"/>
        <v>OB31134</v>
      </c>
      <c r="O399" s="262"/>
      <c r="P399" s="263"/>
      <c r="Q399" s="263"/>
      <c r="R399" s="264"/>
      <c r="S399" s="190"/>
      <c r="T399" s="191"/>
      <c r="U399" s="909"/>
      <c r="V399" s="909"/>
      <c r="W399" s="187"/>
      <c r="X399" s="182"/>
      <c r="Y399" s="182"/>
      <c r="Z399" s="182"/>
      <c r="AA399" s="182"/>
      <c r="AB399" s="210"/>
      <c r="AC399" s="182"/>
      <c r="AD399" s="182"/>
      <c r="AE399" s="211"/>
    </row>
    <row r="400" spans="2:31" ht="17.25" customHeight="1">
      <c r="B400" s="180">
        <v>53</v>
      </c>
      <c r="C400" s="811"/>
      <c r="D400" s="765"/>
      <c r="E400" s="186" t="s">
        <v>10</v>
      </c>
      <c r="F400" s="187" t="str">
        <f t="shared" si="13"/>
        <v>IB31135</v>
      </c>
      <c r="G400" s="659" t="s">
        <v>1657</v>
      </c>
      <c r="H400" s="660"/>
      <c r="I400" s="660"/>
      <c r="J400" s="961"/>
      <c r="K400" s="182"/>
      <c r="L400" s="188"/>
      <c r="M400" s="190" t="s">
        <v>11</v>
      </c>
      <c r="N400" s="195" t="str">
        <f t="shared" si="15"/>
        <v>OB31135</v>
      </c>
      <c r="O400" s="262"/>
      <c r="P400" s="263"/>
      <c r="Q400" s="263"/>
      <c r="R400" s="264"/>
      <c r="S400" s="190"/>
      <c r="T400" s="191"/>
      <c r="U400" s="909"/>
      <c r="V400" s="909"/>
      <c r="W400" s="187"/>
      <c r="X400" s="182"/>
      <c r="Y400" s="182"/>
      <c r="Z400" s="182"/>
      <c r="AA400" s="182"/>
      <c r="AB400" s="210"/>
      <c r="AC400" s="182"/>
      <c r="AD400" s="182"/>
      <c r="AE400" s="211"/>
    </row>
    <row r="401" spans="2:31" ht="17.25" customHeight="1">
      <c r="B401" s="180">
        <v>54</v>
      </c>
      <c r="C401" s="811"/>
      <c r="D401" s="765"/>
      <c r="E401" s="186" t="s">
        <v>10</v>
      </c>
      <c r="F401" s="187" t="str">
        <f t="shared" si="13"/>
        <v>IB31136</v>
      </c>
      <c r="G401" s="659" t="s">
        <v>1658</v>
      </c>
      <c r="H401" s="660"/>
      <c r="I401" s="660"/>
      <c r="J401" s="961"/>
      <c r="K401" s="182"/>
      <c r="L401" s="188"/>
      <c r="M401" s="190" t="s">
        <v>11</v>
      </c>
      <c r="N401" s="195" t="str">
        <f t="shared" si="15"/>
        <v>OB31136</v>
      </c>
      <c r="O401" s="262"/>
      <c r="P401" s="263"/>
      <c r="Q401" s="263"/>
      <c r="R401" s="264"/>
      <c r="S401" s="190"/>
      <c r="T401" s="191"/>
      <c r="U401" s="909"/>
      <c r="V401" s="909"/>
      <c r="W401" s="187"/>
      <c r="X401" s="182"/>
      <c r="Y401" s="182"/>
      <c r="Z401" s="182"/>
      <c r="AA401" s="182"/>
      <c r="AB401" s="210"/>
      <c r="AC401" s="182"/>
      <c r="AD401" s="182"/>
      <c r="AE401" s="211"/>
    </row>
    <row r="402" spans="2:31" ht="17.25" customHeight="1">
      <c r="B402" s="180">
        <v>55</v>
      </c>
      <c r="C402" s="811"/>
      <c r="D402" s="765"/>
      <c r="E402" s="186" t="s">
        <v>10</v>
      </c>
      <c r="F402" s="187" t="str">
        <f t="shared" si="13"/>
        <v>IB31137</v>
      </c>
      <c r="G402" s="659" t="s">
        <v>1659</v>
      </c>
      <c r="H402" s="660"/>
      <c r="I402" s="660"/>
      <c r="J402" s="961"/>
      <c r="K402" s="182"/>
      <c r="L402" s="188"/>
      <c r="M402" s="190" t="s">
        <v>11</v>
      </c>
      <c r="N402" s="195" t="str">
        <f t="shared" si="15"/>
        <v>OB31137</v>
      </c>
      <c r="O402" s="262"/>
      <c r="P402" s="263"/>
      <c r="Q402" s="263"/>
      <c r="R402" s="264"/>
      <c r="S402" s="190"/>
      <c r="T402" s="191"/>
      <c r="U402" s="909"/>
      <c r="V402" s="909"/>
      <c r="W402" s="187"/>
      <c r="X402" s="182"/>
      <c r="Y402" s="182"/>
      <c r="Z402" s="182"/>
      <c r="AA402" s="182"/>
      <c r="AB402" s="210"/>
      <c r="AC402" s="182"/>
      <c r="AD402" s="182"/>
      <c r="AE402" s="211"/>
    </row>
    <row r="403" spans="2:31" ht="17.25" customHeight="1">
      <c r="B403" s="180">
        <v>56</v>
      </c>
      <c r="C403" s="811"/>
      <c r="D403" s="765"/>
      <c r="E403" s="186" t="s">
        <v>10</v>
      </c>
      <c r="F403" s="187" t="str">
        <f t="shared" si="13"/>
        <v>IB31138</v>
      </c>
      <c r="G403" s="259"/>
      <c r="H403" s="260"/>
      <c r="I403" s="260"/>
      <c r="J403" s="261"/>
      <c r="K403" s="182"/>
      <c r="L403" s="188"/>
      <c r="M403" s="190" t="s">
        <v>11</v>
      </c>
      <c r="N403" s="195" t="str">
        <f t="shared" si="15"/>
        <v>OB31138</v>
      </c>
      <c r="O403" s="962" t="s">
        <v>1660</v>
      </c>
      <c r="P403" s="963"/>
      <c r="Q403" s="963"/>
      <c r="R403" s="964"/>
      <c r="S403" s="190"/>
      <c r="T403" s="191"/>
      <c r="U403" s="909"/>
      <c r="V403" s="909"/>
      <c r="W403" s="187"/>
      <c r="X403" s="182"/>
      <c r="Y403" s="182"/>
      <c r="Z403" s="182"/>
      <c r="AA403" s="182"/>
      <c r="AB403" s="210"/>
      <c r="AC403" s="182"/>
      <c r="AD403" s="182"/>
      <c r="AE403" s="211"/>
    </row>
    <row r="404" spans="2:31" ht="17.25" customHeight="1">
      <c r="B404" s="180">
        <v>57</v>
      </c>
      <c r="C404" s="811"/>
      <c r="D404" s="765"/>
      <c r="E404" s="186" t="s">
        <v>10</v>
      </c>
      <c r="F404" s="187" t="str">
        <f t="shared" si="13"/>
        <v>IB31139</v>
      </c>
      <c r="G404" s="259"/>
      <c r="H404" s="260"/>
      <c r="I404" s="260"/>
      <c r="J404" s="261"/>
      <c r="K404" s="182"/>
      <c r="L404" s="188"/>
      <c r="M404" s="190" t="s">
        <v>11</v>
      </c>
      <c r="N404" s="195" t="str">
        <f t="shared" si="15"/>
        <v>OB31139</v>
      </c>
      <c r="O404" s="962" t="s">
        <v>1661</v>
      </c>
      <c r="P404" s="963"/>
      <c r="Q404" s="963"/>
      <c r="R404" s="964"/>
      <c r="S404" s="190"/>
      <c r="T404" s="191"/>
      <c r="U404" s="909"/>
      <c r="V404" s="909"/>
      <c r="W404" s="187"/>
      <c r="X404" s="182"/>
      <c r="Y404" s="182"/>
      <c r="Z404" s="182"/>
      <c r="AA404" s="182"/>
      <c r="AB404" s="210"/>
      <c r="AC404" s="182"/>
      <c r="AD404" s="182"/>
      <c r="AE404" s="211"/>
    </row>
    <row r="405" spans="2:31" ht="17.25" customHeight="1">
      <c r="B405" s="180">
        <v>58</v>
      </c>
      <c r="C405" s="811"/>
      <c r="D405" s="765"/>
      <c r="E405" s="186" t="s">
        <v>10</v>
      </c>
      <c r="F405" s="187" t="str">
        <f t="shared" si="13"/>
        <v>IB3113A</v>
      </c>
      <c r="G405" s="259"/>
      <c r="H405" s="260"/>
      <c r="I405" s="260"/>
      <c r="J405" s="261"/>
      <c r="K405" s="182"/>
      <c r="L405" s="188"/>
      <c r="M405" s="190" t="s">
        <v>11</v>
      </c>
      <c r="N405" s="195" t="str">
        <f t="shared" si="15"/>
        <v>OB3113A</v>
      </c>
      <c r="O405" s="962" t="s">
        <v>1662</v>
      </c>
      <c r="P405" s="963"/>
      <c r="Q405" s="963"/>
      <c r="R405" s="964"/>
      <c r="S405" s="190"/>
      <c r="T405" s="191"/>
      <c r="U405" s="909"/>
      <c r="V405" s="909"/>
      <c r="W405" s="187"/>
      <c r="X405" s="182"/>
      <c r="Y405" s="182"/>
      <c r="Z405" s="182"/>
      <c r="AA405" s="182"/>
      <c r="AB405" s="210"/>
      <c r="AC405" s="182"/>
      <c r="AD405" s="182"/>
      <c r="AE405" s="211"/>
    </row>
    <row r="406" spans="2:31" ht="17.25" customHeight="1">
      <c r="B406" s="180">
        <v>59</v>
      </c>
      <c r="C406" s="811"/>
      <c r="D406" s="765"/>
      <c r="E406" s="186" t="s">
        <v>10</v>
      </c>
      <c r="F406" s="187" t="str">
        <f t="shared" si="13"/>
        <v>IB3113B</v>
      </c>
      <c r="G406" s="259"/>
      <c r="H406" s="260"/>
      <c r="I406" s="260"/>
      <c r="J406" s="261"/>
      <c r="K406" s="182"/>
      <c r="L406" s="188"/>
      <c r="M406" s="190" t="s">
        <v>11</v>
      </c>
      <c r="N406" s="195" t="str">
        <f t="shared" si="15"/>
        <v>OB3113B</v>
      </c>
      <c r="O406" s="962" t="s">
        <v>1653</v>
      </c>
      <c r="P406" s="963"/>
      <c r="Q406" s="963"/>
      <c r="R406" s="964"/>
      <c r="S406" s="190"/>
      <c r="T406" s="191"/>
      <c r="U406" s="909"/>
      <c r="V406" s="909"/>
      <c r="W406" s="187"/>
      <c r="X406" s="182"/>
      <c r="Y406" s="182"/>
      <c r="Z406" s="182"/>
      <c r="AA406" s="182"/>
      <c r="AB406" s="210"/>
      <c r="AC406" s="182"/>
      <c r="AD406" s="182"/>
      <c r="AE406" s="211"/>
    </row>
    <row r="407" spans="2:31" ht="17.25" customHeight="1">
      <c r="B407" s="180">
        <v>60</v>
      </c>
      <c r="C407" s="811"/>
      <c r="D407" s="765"/>
      <c r="E407" s="186" t="s">
        <v>10</v>
      </c>
      <c r="F407" s="187" t="str">
        <f t="shared" si="13"/>
        <v>IB3113C</v>
      </c>
      <c r="G407" s="259"/>
      <c r="H407" s="260"/>
      <c r="I407" s="260"/>
      <c r="J407" s="261"/>
      <c r="K407" s="182"/>
      <c r="L407" s="188"/>
      <c r="M407" s="190" t="s">
        <v>11</v>
      </c>
      <c r="N407" s="195" t="str">
        <f t="shared" si="15"/>
        <v>OB3113C</v>
      </c>
      <c r="O407" s="962" t="s">
        <v>1663</v>
      </c>
      <c r="P407" s="965"/>
      <c r="Q407" s="965"/>
      <c r="R407" s="966"/>
      <c r="S407" s="190"/>
      <c r="T407" s="191"/>
      <c r="U407" s="909"/>
      <c r="V407" s="909"/>
      <c r="W407" s="187"/>
      <c r="X407" s="182"/>
      <c r="Y407" s="182"/>
      <c r="Z407" s="182"/>
      <c r="AA407" s="182"/>
      <c r="AB407" s="210"/>
      <c r="AC407" s="182"/>
      <c r="AD407" s="182"/>
      <c r="AE407" s="211"/>
    </row>
    <row r="408" spans="2:31" ht="17.25" customHeight="1">
      <c r="B408" s="180">
        <v>61</v>
      </c>
      <c r="C408" s="811"/>
      <c r="D408" s="765"/>
      <c r="E408" s="186" t="s">
        <v>10</v>
      </c>
      <c r="F408" s="187" t="str">
        <f t="shared" si="13"/>
        <v>IB3113D</v>
      </c>
      <c r="G408" s="259"/>
      <c r="H408" s="260"/>
      <c r="I408" s="260"/>
      <c r="J408" s="261"/>
      <c r="K408" s="182"/>
      <c r="L408" s="188"/>
      <c r="M408" s="190" t="s">
        <v>11</v>
      </c>
      <c r="N408" s="195" t="str">
        <f t="shared" si="15"/>
        <v>OB3113D</v>
      </c>
      <c r="O408" s="962" t="s">
        <v>1664</v>
      </c>
      <c r="P408" s="965"/>
      <c r="Q408" s="965"/>
      <c r="R408" s="966"/>
      <c r="S408" s="190"/>
      <c r="T408" s="191"/>
      <c r="U408" s="909"/>
      <c r="V408" s="909"/>
      <c r="W408" s="187"/>
      <c r="X408" s="182"/>
      <c r="Y408" s="182"/>
      <c r="Z408" s="182"/>
      <c r="AA408" s="182"/>
      <c r="AB408" s="210"/>
      <c r="AC408" s="182"/>
      <c r="AD408" s="182"/>
      <c r="AE408" s="211"/>
    </row>
    <row r="409" spans="2:31" ht="17.25" customHeight="1">
      <c r="B409" s="180">
        <v>62</v>
      </c>
      <c r="C409" s="811"/>
      <c r="D409" s="765"/>
      <c r="E409" s="186" t="s">
        <v>10</v>
      </c>
      <c r="F409" s="187" t="str">
        <f t="shared" si="13"/>
        <v>IB3113E</v>
      </c>
      <c r="G409" s="262"/>
      <c r="H409" s="263"/>
      <c r="I409" s="263"/>
      <c r="J409" s="264"/>
      <c r="K409" s="182"/>
      <c r="L409" s="188"/>
      <c r="M409" s="190" t="s">
        <v>11</v>
      </c>
      <c r="N409" s="195" t="str">
        <f t="shared" si="15"/>
        <v>OB3113E</v>
      </c>
      <c r="O409" s="962" t="s">
        <v>1665</v>
      </c>
      <c r="P409" s="965"/>
      <c r="Q409" s="965"/>
      <c r="R409" s="966"/>
      <c r="S409" s="190"/>
      <c r="T409" s="191"/>
      <c r="U409" s="909"/>
      <c r="V409" s="909"/>
      <c r="W409" s="187"/>
      <c r="X409" s="182"/>
      <c r="Y409" s="182"/>
      <c r="Z409" s="182"/>
      <c r="AA409" s="182"/>
      <c r="AB409" s="210"/>
      <c r="AC409" s="182"/>
      <c r="AD409" s="182"/>
      <c r="AE409" s="211"/>
    </row>
    <row r="410" spans="2:31" ht="17.25" customHeight="1">
      <c r="B410" s="180">
        <v>63</v>
      </c>
      <c r="C410" s="928"/>
      <c r="D410" s="765"/>
      <c r="E410" s="186" t="s">
        <v>10</v>
      </c>
      <c r="F410" s="187" t="str">
        <f t="shared" si="13"/>
        <v>IB3113F</v>
      </c>
      <c r="G410" s="259"/>
      <c r="H410" s="260"/>
      <c r="I410" s="260"/>
      <c r="J410" s="261"/>
      <c r="K410" s="182"/>
      <c r="L410" s="188"/>
      <c r="M410" s="190" t="s">
        <v>11</v>
      </c>
      <c r="N410" s="195" t="str">
        <f t="shared" si="15"/>
        <v>OB3113F</v>
      </c>
      <c r="O410" s="962" t="s">
        <v>1657</v>
      </c>
      <c r="P410" s="965"/>
      <c r="Q410" s="965"/>
      <c r="R410" s="966"/>
      <c r="S410" s="190"/>
      <c r="T410" s="191"/>
      <c r="U410" s="909"/>
      <c r="V410" s="909"/>
      <c r="W410" s="187"/>
      <c r="X410" s="182"/>
      <c r="Y410" s="182"/>
      <c r="Z410" s="182"/>
      <c r="AA410" s="182"/>
      <c r="AB410" s="210"/>
      <c r="AC410" s="182"/>
      <c r="AD410" s="182"/>
      <c r="AE410" s="211"/>
    </row>
    <row r="411" spans="2:31" ht="17.25" customHeight="1">
      <c r="B411" s="180">
        <v>64</v>
      </c>
      <c r="C411" s="925" t="s">
        <v>53</v>
      </c>
      <c r="D411" s="901" t="s">
        <v>264</v>
      </c>
      <c r="E411" s="186" t="s">
        <v>10</v>
      </c>
      <c r="F411" s="187" t="str">
        <f t="shared" si="13"/>
        <v>IB31140</v>
      </c>
      <c r="G411" s="259"/>
      <c r="H411" s="260"/>
      <c r="I411" s="260"/>
      <c r="J411" s="261"/>
      <c r="K411" s="182"/>
      <c r="L411" s="188"/>
      <c r="M411" s="190" t="s">
        <v>11</v>
      </c>
      <c r="N411" s="195" t="str">
        <f t="shared" si="15"/>
        <v>OB31140</v>
      </c>
      <c r="O411" s="246"/>
      <c r="P411" s="247"/>
      <c r="Q411" s="247"/>
      <c r="R411" s="248"/>
      <c r="S411" s="190"/>
      <c r="T411" s="191"/>
      <c r="U411" s="909"/>
      <c r="V411" s="909"/>
      <c r="W411" s="187"/>
      <c r="X411" s="182"/>
      <c r="Y411" s="182"/>
      <c r="Z411" s="182"/>
      <c r="AA411" s="182"/>
      <c r="AB411" s="210"/>
      <c r="AC411" s="182"/>
      <c r="AD411" s="182"/>
      <c r="AE411" s="211"/>
    </row>
    <row r="412" spans="2:31" ht="17.25" customHeight="1">
      <c r="B412" s="180">
        <v>65</v>
      </c>
      <c r="C412" s="816"/>
      <c r="D412" s="765"/>
      <c r="E412" s="186" t="s">
        <v>10</v>
      </c>
      <c r="F412" s="187" t="str">
        <f t="shared" ref="F412:F475" si="16">LEFT(F411,1)&amp;DEC2HEX(HEX2DEC(MID(F411,2,LENB(F411)-1))+1,LENB(F411)-1)</f>
        <v>IB31141</v>
      </c>
      <c r="G412" s="259"/>
      <c r="H412" s="260"/>
      <c r="I412" s="260"/>
      <c r="J412" s="261"/>
      <c r="K412" s="182"/>
      <c r="L412" s="188"/>
      <c r="M412" s="190" t="s">
        <v>11</v>
      </c>
      <c r="N412" s="195" t="str">
        <f t="shared" si="15"/>
        <v>OB31141</v>
      </c>
      <c r="O412" s="246"/>
      <c r="P412" s="247"/>
      <c r="Q412" s="247"/>
      <c r="R412" s="248"/>
      <c r="S412" s="190"/>
      <c r="T412" s="191"/>
      <c r="U412" s="909"/>
      <c r="V412" s="909"/>
      <c r="W412" s="187"/>
      <c r="X412" s="182"/>
      <c r="Y412" s="182"/>
      <c r="Z412" s="182"/>
      <c r="AA412" s="182"/>
      <c r="AB412" s="210"/>
      <c r="AC412" s="182"/>
      <c r="AD412" s="182"/>
      <c r="AE412" s="211"/>
    </row>
    <row r="413" spans="2:31" ht="17.25" customHeight="1">
      <c r="B413" s="180">
        <v>66</v>
      </c>
      <c r="C413" s="816"/>
      <c r="D413" s="765"/>
      <c r="E413" s="186" t="s">
        <v>10</v>
      </c>
      <c r="F413" s="187" t="str">
        <f t="shared" si="16"/>
        <v>IB31142</v>
      </c>
      <c r="G413" s="259"/>
      <c r="H413" s="260"/>
      <c r="I413" s="260"/>
      <c r="J413" s="261"/>
      <c r="K413" s="182"/>
      <c r="L413" s="188"/>
      <c r="M413" s="190" t="s">
        <v>11</v>
      </c>
      <c r="N413" s="195" t="str">
        <f t="shared" si="15"/>
        <v>OB31142</v>
      </c>
      <c r="O413" s="246"/>
      <c r="P413" s="247"/>
      <c r="Q413" s="247"/>
      <c r="R413" s="248"/>
      <c r="S413" s="190"/>
      <c r="T413" s="191"/>
      <c r="U413" s="909"/>
      <c r="V413" s="909"/>
      <c r="W413" s="187"/>
      <c r="X413" s="182"/>
      <c r="Y413" s="182"/>
      <c r="Z413" s="182"/>
      <c r="AA413" s="182"/>
      <c r="AB413" s="210"/>
      <c r="AC413" s="182"/>
      <c r="AD413" s="182"/>
      <c r="AE413" s="211"/>
    </row>
    <row r="414" spans="2:31" ht="17.25" customHeight="1">
      <c r="B414" s="180">
        <v>67</v>
      </c>
      <c r="C414" s="816"/>
      <c r="D414" s="765"/>
      <c r="E414" s="186" t="s">
        <v>10</v>
      </c>
      <c r="F414" s="187" t="str">
        <f t="shared" si="16"/>
        <v>IB31143</v>
      </c>
      <c r="G414" s="259"/>
      <c r="H414" s="260"/>
      <c r="I414" s="260"/>
      <c r="J414" s="261"/>
      <c r="K414" s="182"/>
      <c r="L414" s="188"/>
      <c r="M414" s="190" t="s">
        <v>11</v>
      </c>
      <c r="N414" s="195" t="str">
        <f t="shared" si="15"/>
        <v>OB31143</v>
      </c>
      <c r="O414" s="246"/>
      <c r="P414" s="247"/>
      <c r="Q414" s="247"/>
      <c r="R414" s="248"/>
      <c r="S414" s="190"/>
      <c r="T414" s="191"/>
      <c r="U414" s="909"/>
      <c r="V414" s="909"/>
      <c r="W414" s="187"/>
      <c r="X414" s="182"/>
      <c r="Y414" s="182"/>
      <c r="Z414" s="182"/>
      <c r="AA414" s="182"/>
      <c r="AB414" s="210"/>
      <c r="AC414" s="182"/>
      <c r="AD414" s="182"/>
      <c r="AE414" s="211"/>
    </row>
    <row r="415" spans="2:31" ht="17.25" customHeight="1">
      <c r="B415" s="180">
        <v>68</v>
      </c>
      <c r="C415" s="816"/>
      <c r="D415" s="765"/>
      <c r="E415" s="186" t="s">
        <v>10</v>
      </c>
      <c r="F415" s="187" t="str">
        <f t="shared" si="16"/>
        <v>IB31144</v>
      </c>
      <c r="G415" s="259"/>
      <c r="H415" s="260"/>
      <c r="I415" s="260"/>
      <c r="J415" s="261"/>
      <c r="K415" s="182"/>
      <c r="L415" s="188"/>
      <c r="M415" s="190" t="s">
        <v>11</v>
      </c>
      <c r="N415" s="195" t="str">
        <f t="shared" si="15"/>
        <v>OB31144</v>
      </c>
      <c r="O415" s="246"/>
      <c r="P415" s="247"/>
      <c r="Q415" s="247"/>
      <c r="R415" s="248"/>
      <c r="S415" s="190"/>
      <c r="T415" s="191"/>
      <c r="U415" s="909"/>
      <c r="V415" s="909"/>
      <c r="W415" s="187"/>
      <c r="X415" s="182"/>
      <c r="Y415" s="182"/>
      <c r="Z415" s="182"/>
      <c r="AA415" s="182"/>
      <c r="AB415" s="210"/>
      <c r="AC415" s="182"/>
      <c r="AD415" s="182"/>
      <c r="AE415" s="211"/>
    </row>
    <row r="416" spans="2:31" ht="17.25" customHeight="1">
      <c r="B416" s="180">
        <v>69</v>
      </c>
      <c r="C416" s="816"/>
      <c r="D416" s="765"/>
      <c r="E416" s="186" t="s">
        <v>10</v>
      </c>
      <c r="F416" s="187" t="str">
        <f t="shared" si="16"/>
        <v>IB31145</v>
      </c>
      <c r="G416" s="259"/>
      <c r="H416" s="260"/>
      <c r="I416" s="260"/>
      <c r="J416" s="261"/>
      <c r="K416" s="182"/>
      <c r="L416" s="188"/>
      <c r="M416" s="190" t="s">
        <v>11</v>
      </c>
      <c r="N416" s="195" t="str">
        <f t="shared" si="15"/>
        <v>OB31145</v>
      </c>
      <c r="O416" s="246"/>
      <c r="P416" s="247"/>
      <c r="Q416" s="247"/>
      <c r="R416" s="248"/>
      <c r="S416" s="190"/>
      <c r="T416" s="191"/>
      <c r="U416" s="909"/>
      <c r="V416" s="909"/>
      <c r="W416" s="187"/>
      <c r="X416" s="182"/>
      <c r="Y416" s="182"/>
      <c r="Z416" s="182"/>
      <c r="AA416" s="182"/>
      <c r="AB416" s="210"/>
      <c r="AC416" s="182"/>
      <c r="AD416" s="182"/>
      <c r="AE416" s="211"/>
    </row>
    <row r="417" spans="2:31" ht="17.25" customHeight="1">
      <c r="B417" s="180">
        <v>70</v>
      </c>
      <c r="C417" s="816"/>
      <c r="D417" s="765"/>
      <c r="E417" s="186" t="s">
        <v>10</v>
      </c>
      <c r="F417" s="187" t="str">
        <f t="shared" si="16"/>
        <v>IB31146</v>
      </c>
      <c r="G417" s="259"/>
      <c r="H417" s="260"/>
      <c r="I417" s="260"/>
      <c r="J417" s="261"/>
      <c r="K417" s="182"/>
      <c r="L417" s="188"/>
      <c r="M417" s="190" t="s">
        <v>11</v>
      </c>
      <c r="N417" s="195" t="str">
        <f t="shared" si="15"/>
        <v>OB31146</v>
      </c>
      <c r="O417" s="246"/>
      <c r="P417" s="247"/>
      <c r="Q417" s="247"/>
      <c r="R417" s="248"/>
      <c r="S417" s="190"/>
      <c r="T417" s="191"/>
      <c r="U417" s="909"/>
      <c r="V417" s="909"/>
      <c r="W417" s="187"/>
      <c r="X417" s="182"/>
      <c r="Y417" s="182"/>
      <c r="Z417" s="182"/>
      <c r="AA417" s="182"/>
      <c r="AB417" s="210"/>
      <c r="AC417" s="182"/>
      <c r="AD417" s="182"/>
      <c r="AE417" s="211"/>
    </row>
    <row r="418" spans="2:31" ht="17.25" customHeight="1">
      <c r="B418" s="180">
        <v>71</v>
      </c>
      <c r="C418" s="816"/>
      <c r="D418" s="765"/>
      <c r="E418" s="186" t="s">
        <v>10</v>
      </c>
      <c r="F418" s="187" t="str">
        <f t="shared" si="16"/>
        <v>IB31147</v>
      </c>
      <c r="G418" s="259"/>
      <c r="H418" s="260"/>
      <c r="I418" s="260"/>
      <c r="J418" s="261"/>
      <c r="K418" s="182"/>
      <c r="L418" s="188"/>
      <c r="M418" s="190" t="s">
        <v>11</v>
      </c>
      <c r="N418" s="195" t="str">
        <f t="shared" si="15"/>
        <v>OB31147</v>
      </c>
      <c r="O418" s="246"/>
      <c r="P418" s="247"/>
      <c r="Q418" s="247"/>
      <c r="R418" s="248"/>
      <c r="S418" s="190"/>
      <c r="T418" s="191"/>
      <c r="U418" s="909"/>
      <c r="V418" s="909"/>
      <c r="W418" s="187"/>
      <c r="X418" s="182"/>
      <c r="Y418" s="182"/>
      <c r="Z418" s="182"/>
      <c r="AA418" s="182"/>
      <c r="AB418" s="210"/>
      <c r="AC418" s="182"/>
      <c r="AD418" s="182"/>
      <c r="AE418" s="211"/>
    </row>
    <row r="419" spans="2:31" ht="17.25" customHeight="1">
      <c r="B419" s="180">
        <v>72</v>
      </c>
      <c r="C419" s="816"/>
      <c r="D419" s="765"/>
      <c r="E419" s="186" t="s">
        <v>10</v>
      </c>
      <c r="F419" s="187" t="str">
        <f t="shared" si="16"/>
        <v>IB31148</v>
      </c>
      <c r="G419" s="259"/>
      <c r="H419" s="260" t="s">
        <v>1407</v>
      </c>
      <c r="I419" s="260"/>
      <c r="J419" s="261"/>
      <c r="K419" s="182"/>
      <c r="L419" s="188"/>
      <c r="M419" s="190" t="s">
        <v>11</v>
      </c>
      <c r="N419" s="195" t="str">
        <f t="shared" si="15"/>
        <v>OB31148</v>
      </c>
      <c r="O419" s="246"/>
      <c r="P419" s="247"/>
      <c r="Q419" s="247"/>
      <c r="R419" s="248"/>
      <c r="S419" s="190"/>
      <c r="T419" s="191"/>
      <c r="U419" s="909"/>
      <c r="V419" s="909"/>
      <c r="W419" s="187"/>
      <c r="X419" s="182"/>
      <c r="Y419" s="182"/>
      <c r="Z419" s="182"/>
      <c r="AA419" s="182"/>
      <c r="AB419" s="210"/>
      <c r="AC419" s="182"/>
      <c r="AD419" s="182"/>
      <c r="AE419" s="211"/>
    </row>
    <row r="420" spans="2:31" ht="17.25" customHeight="1">
      <c r="B420" s="180">
        <v>73</v>
      </c>
      <c r="C420" s="816"/>
      <c r="D420" s="765"/>
      <c r="E420" s="186" t="s">
        <v>10</v>
      </c>
      <c r="F420" s="187" t="str">
        <f t="shared" si="16"/>
        <v>IB31149</v>
      </c>
      <c r="G420" s="259"/>
      <c r="H420" s="260"/>
      <c r="I420" s="260"/>
      <c r="J420" s="261"/>
      <c r="K420" s="182"/>
      <c r="L420" s="188"/>
      <c r="M420" s="190" t="s">
        <v>11</v>
      </c>
      <c r="N420" s="195" t="str">
        <f t="shared" si="15"/>
        <v>OB31149</v>
      </c>
      <c r="O420" s="246"/>
      <c r="P420" s="247"/>
      <c r="Q420" s="247"/>
      <c r="R420" s="248"/>
      <c r="S420" s="190"/>
      <c r="T420" s="191"/>
      <c r="U420" s="909"/>
      <c r="V420" s="909"/>
      <c r="W420" s="187"/>
      <c r="X420" s="182"/>
      <c r="Y420" s="182"/>
      <c r="Z420" s="182"/>
      <c r="AA420" s="182"/>
      <c r="AB420" s="210"/>
      <c r="AC420" s="182"/>
      <c r="AD420" s="182"/>
      <c r="AE420" s="211"/>
    </row>
    <row r="421" spans="2:31" ht="17.25" customHeight="1">
      <c r="B421" s="180">
        <v>74</v>
      </c>
      <c r="C421" s="816"/>
      <c r="D421" s="765"/>
      <c r="E421" s="186" t="s">
        <v>10</v>
      </c>
      <c r="F421" s="187" t="str">
        <f t="shared" si="16"/>
        <v>IB3114A</v>
      </c>
      <c r="G421" s="259"/>
      <c r="H421" s="260"/>
      <c r="I421" s="260"/>
      <c r="J421" s="261"/>
      <c r="K421" s="182"/>
      <c r="L421" s="188"/>
      <c r="M421" s="190" t="s">
        <v>11</v>
      </c>
      <c r="N421" s="195" t="str">
        <f t="shared" si="15"/>
        <v>OB3114A</v>
      </c>
      <c r="O421" s="246"/>
      <c r="P421" s="247"/>
      <c r="Q421" s="247"/>
      <c r="R421" s="248"/>
      <c r="S421" s="190"/>
      <c r="T421" s="191"/>
      <c r="U421" s="909"/>
      <c r="V421" s="909"/>
      <c r="W421" s="187"/>
      <c r="X421" s="182"/>
      <c r="Y421" s="182"/>
      <c r="Z421" s="182"/>
      <c r="AA421" s="182"/>
      <c r="AB421" s="210"/>
      <c r="AC421" s="182"/>
      <c r="AD421" s="182"/>
      <c r="AE421" s="211"/>
    </row>
    <row r="422" spans="2:31" ht="17.25" customHeight="1">
      <c r="B422" s="180">
        <v>75</v>
      </c>
      <c r="C422" s="816"/>
      <c r="D422" s="765"/>
      <c r="E422" s="186" t="s">
        <v>10</v>
      </c>
      <c r="F422" s="187" t="str">
        <f t="shared" si="16"/>
        <v>IB3114B</v>
      </c>
      <c r="G422" s="259"/>
      <c r="H422" s="260"/>
      <c r="I422" s="260"/>
      <c r="J422" s="261"/>
      <c r="K422" s="182"/>
      <c r="L422" s="188"/>
      <c r="M422" s="190" t="s">
        <v>11</v>
      </c>
      <c r="N422" s="195" t="str">
        <f t="shared" si="15"/>
        <v>OB3114B</v>
      </c>
      <c r="O422" s="246"/>
      <c r="P422" s="247"/>
      <c r="Q422" s="247"/>
      <c r="R422" s="248"/>
      <c r="S422" s="190"/>
      <c r="T422" s="191"/>
      <c r="U422" s="909"/>
      <c r="V422" s="909"/>
      <c r="W422" s="187"/>
      <c r="X422" s="182"/>
      <c r="Y422" s="182"/>
      <c r="Z422" s="182"/>
      <c r="AA422" s="182"/>
      <c r="AB422" s="210"/>
      <c r="AC422" s="182"/>
      <c r="AD422" s="182"/>
      <c r="AE422" s="211"/>
    </row>
    <row r="423" spans="2:31" ht="17.25" customHeight="1">
      <c r="B423" s="180">
        <v>76</v>
      </c>
      <c r="C423" s="816"/>
      <c r="D423" s="765"/>
      <c r="E423" s="186" t="s">
        <v>10</v>
      </c>
      <c r="F423" s="187" t="str">
        <f t="shared" si="16"/>
        <v>IB3114C</v>
      </c>
      <c r="G423" s="259"/>
      <c r="H423" s="260"/>
      <c r="I423" s="260"/>
      <c r="J423" s="261"/>
      <c r="K423" s="182"/>
      <c r="L423" s="188"/>
      <c r="M423" s="190" t="s">
        <v>11</v>
      </c>
      <c r="N423" s="195" t="str">
        <f t="shared" si="15"/>
        <v>OB3114C</v>
      </c>
      <c r="O423" s="243" t="s">
        <v>1074</v>
      </c>
      <c r="P423" s="244"/>
      <c r="Q423" s="244"/>
      <c r="R423" s="245"/>
      <c r="S423" s="190" t="s">
        <v>1531</v>
      </c>
      <c r="T423" s="209" t="s">
        <v>1513</v>
      </c>
      <c r="U423" s="909"/>
      <c r="V423" s="909"/>
      <c r="W423" s="187"/>
      <c r="X423" s="182"/>
      <c r="Y423" s="182"/>
      <c r="Z423" s="182"/>
      <c r="AA423" s="182"/>
      <c r="AB423" s="210"/>
      <c r="AC423" s="182"/>
      <c r="AD423" s="182"/>
      <c r="AE423" s="211"/>
    </row>
    <row r="424" spans="2:31" ht="17.25" customHeight="1">
      <c r="B424" s="180">
        <v>77</v>
      </c>
      <c r="C424" s="816"/>
      <c r="D424" s="765"/>
      <c r="E424" s="186" t="s">
        <v>10</v>
      </c>
      <c r="F424" s="187" t="str">
        <f t="shared" si="16"/>
        <v>IB3114D</v>
      </c>
      <c r="G424" s="259"/>
      <c r="H424" s="260"/>
      <c r="I424" s="260"/>
      <c r="J424" s="261"/>
      <c r="K424" s="182"/>
      <c r="L424" s="188"/>
      <c r="M424" s="190" t="s">
        <v>11</v>
      </c>
      <c r="N424" s="195" t="str">
        <f t="shared" si="15"/>
        <v>OB3114D</v>
      </c>
      <c r="O424" s="243" t="s">
        <v>1075</v>
      </c>
      <c r="P424" s="244"/>
      <c r="Q424" s="244"/>
      <c r="R424" s="245"/>
      <c r="S424" s="190" t="s">
        <v>1531</v>
      </c>
      <c r="T424" s="209" t="s">
        <v>1513</v>
      </c>
      <c r="U424" s="909"/>
      <c r="V424" s="909"/>
      <c r="W424" s="187"/>
      <c r="X424" s="182"/>
      <c r="Y424" s="182"/>
      <c r="Z424" s="182"/>
      <c r="AA424" s="182"/>
      <c r="AB424" s="210"/>
      <c r="AC424" s="182"/>
      <c r="AD424" s="182"/>
      <c r="AE424" s="211"/>
    </row>
    <row r="425" spans="2:31" ht="17.25" customHeight="1">
      <c r="B425" s="180">
        <v>78</v>
      </c>
      <c r="C425" s="816"/>
      <c r="D425" s="765"/>
      <c r="E425" s="186" t="s">
        <v>10</v>
      </c>
      <c r="F425" s="187" t="str">
        <f t="shared" si="16"/>
        <v>IB3114E</v>
      </c>
      <c r="G425" s="262"/>
      <c r="H425" s="263"/>
      <c r="I425" s="263"/>
      <c r="J425" s="264"/>
      <c r="K425" s="182"/>
      <c r="L425" s="188"/>
      <c r="M425" s="190" t="s">
        <v>11</v>
      </c>
      <c r="N425" s="195" t="str">
        <f t="shared" si="15"/>
        <v>OB3114E</v>
      </c>
      <c r="O425" s="243" t="s">
        <v>1076</v>
      </c>
      <c r="P425" s="244"/>
      <c r="Q425" s="244"/>
      <c r="R425" s="245"/>
      <c r="S425" s="190" t="s">
        <v>1531</v>
      </c>
      <c r="T425" s="209" t="s">
        <v>1513</v>
      </c>
      <c r="U425" s="909"/>
      <c r="V425" s="909"/>
      <c r="W425" s="187"/>
      <c r="X425" s="182"/>
      <c r="Y425" s="182"/>
      <c r="Z425" s="182"/>
      <c r="AA425" s="182"/>
      <c r="AB425" s="210"/>
      <c r="AC425" s="182"/>
      <c r="AD425" s="182"/>
      <c r="AE425" s="211"/>
    </row>
    <row r="426" spans="2:31" ht="17.25" customHeight="1">
      <c r="B426" s="180">
        <v>79</v>
      </c>
      <c r="C426" s="926"/>
      <c r="D426" s="765"/>
      <c r="E426" s="186" t="s">
        <v>10</v>
      </c>
      <c r="F426" s="187" t="str">
        <f t="shared" si="16"/>
        <v>IB3114F</v>
      </c>
      <c r="G426" s="259"/>
      <c r="H426" s="260"/>
      <c r="I426" s="260"/>
      <c r="J426" s="261"/>
      <c r="K426" s="182"/>
      <c r="L426" s="188"/>
      <c r="M426" s="190" t="s">
        <v>11</v>
      </c>
      <c r="N426" s="195" t="str">
        <f t="shared" si="15"/>
        <v>OB3114F</v>
      </c>
      <c r="O426" s="246"/>
      <c r="P426" s="247"/>
      <c r="Q426" s="247"/>
      <c r="R426" s="248"/>
      <c r="S426" s="190"/>
      <c r="T426" s="191"/>
      <c r="U426" s="909"/>
      <c r="V426" s="909"/>
      <c r="W426" s="187"/>
      <c r="X426" s="182"/>
      <c r="Y426" s="182"/>
      <c r="Z426" s="182"/>
      <c r="AA426" s="182"/>
      <c r="AB426" s="210"/>
      <c r="AC426" s="182"/>
      <c r="AD426" s="182"/>
      <c r="AE426" s="211"/>
    </row>
    <row r="427" spans="2:31" ht="17.25" customHeight="1">
      <c r="B427" s="180">
        <v>80</v>
      </c>
      <c r="C427" s="927" t="s">
        <v>54</v>
      </c>
      <c r="D427" s="940" t="s">
        <v>271</v>
      </c>
      <c r="E427" s="186" t="s">
        <v>10</v>
      </c>
      <c r="F427" s="187" t="str">
        <f t="shared" si="16"/>
        <v>IB31150</v>
      </c>
      <c r="G427" s="108" t="s">
        <v>1146</v>
      </c>
      <c r="H427" s="244"/>
      <c r="I427" s="244"/>
      <c r="J427" s="245"/>
      <c r="K427" s="190" t="s">
        <v>1513</v>
      </c>
      <c r="L427" s="188"/>
      <c r="M427" s="186" t="s">
        <v>11</v>
      </c>
      <c r="N427" s="195" t="str">
        <f t="shared" si="15"/>
        <v>OB31150</v>
      </c>
      <c r="O427" s="268"/>
      <c r="P427" s="269"/>
      <c r="Q427" s="269"/>
      <c r="R427" s="270"/>
      <c r="S427" s="190"/>
      <c r="T427" s="191"/>
      <c r="U427" s="909"/>
      <c r="V427" s="909"/>
      <c r="W427" s="187"/>
      <c r="X427" s="182"/>
      <c r="Y427" s="182"/>
      <c r="Z427" s="182"/>
      <c r="AA427" s="182"/>
      <c r="AB427" s="210"/>
      <c r="AC427" s="182"/>
      <c r="AD427" s="182"/>
      <c r="AE427" s="211"/>
    </row>
    <row r="428" spans="2:31" ht="17.25" customHeight="1">
      <c r="B428" s="180">
        <v>81</v>
      </c>
      <c r="C428" s="811"/>
      <c r="D428" s="765"/>
      <c r="E428" s="186" t="s">
        <v>10</v>
      </c>
      <c r="F428" s="187" t="str">
        <f t="shared" si="16"/>
        <v>IB31151</v>
      </c>
      <c r="G428" s="108" t="s">
        <v>1147</v>
      </c>
      <c r="H428" s="244"/>
      <c r="I428" s="244"/>
      <c r="J428" s="245"/>
      <c r="K428" s="190" t="s">
        <v>1513</v>
      </c>
      <c r="L428" s="188"/>
      <c r="M428" s="186" t="s">
        <v>11</v>
      </c>
      <c r="N428" s="195" t="str">
        <f t="shared" si="15"/>
        <v>OB31151</v>
      </c>
      <c r="O428" s="268"/>
      <c r="P428" s="269"/>
      <c r="Q428" s="269"/>
      <c r="R428" s="270"/>
      <c r="S428" s="190"/>
      <c r="T428" s="191"/>
      <c r="U428" s="909"/>
      <c r="V428" s="909"/>
      <c r="W428" s="187"/>
      <c r="X428" s="182"/>
      <c r="Y428" s="182"/>
      <c r="Z428" s="182"/>
      <c r="AA428" s="182"/>
      <c r="AB428" s="210"/>
      <c r="AC428" s="182"/>
      <c r="AD428" s="182"/>
      <c r="AE428" s="211"/>
    </row>
    <row r="429" spans="2:31" ht="17.25" customHeight="1">
      <c r="B429" s="180">
        <v>82</v>
      </c>
      <c r="C429" s="811"/>
      <c r="D429" s="765"/>
      <c r="E429" s="186" t="s">
        <v>10</v>
      </c>
      <c r="F429" s="187" t="str">
        <f t="shared" si="16"/>
        <v>IB31152</v>
      </c>
      <c r="G429" s="108" t="s">
        <v>1148</v>
      </c>
      <c r="H429" s="244"/>
      <c r="I429" s="244"/>
      <c r="J429" s="245"/>
      <c r="K429" s="190" t="s">
        <v>1513</v>
      </c>
      <c r="L429" s="188"/>
      <c r="M429" s="186" t="s">
        <v>11</v>
      </c>
      <c r="N429" s="195" t="str">
        <f t="shared" si="15"/>
        <v>OB31152</v>
      </c>
      <c r="O429" s="268"/>
      <c r="P429" s="269"/>
      <c r="Q429" s="269"/>
      <c r="R429" s="270"/>
      <c r="S429" s="190"/>
      <c r="T429" s="191"/>
      <c r="U429" s="909"/>
      <c r="V429" s="909"/>
      <c r="W429" s="187"/>
      <c r="X429" s="182"/>
      <c r="Y429" s="182"/>
      <c r="Z429" s="182"/>
      <c r="AA429" s="182"/>
      <c r="AB429" s="210"/>
      <c r="AC429" s="182"/>
      <c r="AD429" s="182"/>
      <c r="AE429" s="211"/>
    </row>
    <row r="430" spans="2:31" ht="17.25" customHeight="1">
      <c r="B430" s="180">
        <v>83</v>
      </c>
      <c r="C430" s="811"/>
      <c r="D430" s="765"/>
      <c r="E430" s="186" t="s">
        <v>10</v>
      </c>
      <c r="F430" s="187" t="str">
        <f t="shared" si="16"/>
        <v>IB31153</v>
      </c>
      <c r="G430" s="108" t="s">
        <v>1149</v>
      </c>
      <c r="H430" s="244"/>
      <c r="I430" s="244"/>
      <c r="J430" s="245"/>
      <c r="K430" s="190" t="s">
        <v>1519</v>
      </c>
      <c r="L430" s="188"/>
      <c r="M430" s="186" t="s">
        <v>11</v>
      </c>
      <c r="N430" s="195" t="str">
        <f t="shared" si="15"/>
        <v>OB31153</v>
      </c>
      <c r="O430" s="268"/>
      <c r="P430" s="269"/>
      <c r="Q430" s="269"/>
      <c r="R430" s="270"/>
      <c r="S430" s="190"/>
      <c r="T430" s="191"/>
      <c r="U430" s="909"/>
      <c r="V430" s="909"/>
      <c r="W430" s="187"/>
      <c r="X430" s="182"/>
      <c r="Y430" s="182"/>
      <c r="Z430" s="182"/>
      <c r="AA430" s="182"/>
      <c r="AB430" s="210"/>
      <c r="AC430" s="182"/>
      <c r="AD430" s="182"/>
      <c r="AE430" s="211"/>
    </row>
    <row r="431" spans="2:31" ht="17.25" customHeight="1">
      <c r="B431" s="180">
        <v>84</v>
      </c>
      <c r="C431" s="811"/>
      <c r="D431" s="765"/>
      <c r="E431" s="186" t="s">
        <v>10</v>
      </c>
      <c r="F431" s="187" t="str">
        <f t="shared" si="16"/>
        <v>IB31154</v>
      </c>
      <c r="G431" s="108" t="s">
        <v>1150</v>
      </c>
      <c r="H431" s="244"/>
      <c r="I431" s="244"/>
      <c r="J431" s="245"/>
      <c r="K431" s="190" t="s">
        <v>1513</v>
      </c>
      <c r="L431" s="188"/>
      <c r="M431" s="186" t="s">
        <v>11</v>
      </c>
      <c r="N431" s="195" t="str">
        <f t="shared" si="15"/>
        <v>OB31154</v>
      </c>
      <c r="O431" s="268"/>
      <c r="P431" s="269"/>
      <c r="Q431" s="269"/>
      <c r="R431" s="270"/>
      <c r="S431" s="190"/>
      <c r="T431" s="191"/>
      <c r="U431" s="909"/>
      <c r="V431" s="909"/>
      <c r="W431" s="187"/>
      <c r="X431" s="182"/>
      <c r="Y431" s="182"/>
      <c r="Z431" s="182"/>
      <c r="AA431" s="182"/>
      <c r="AB431" s="210"/>
      <c r="AC431" s="182"/>
      <c r="AD431" s="182"/>
      <c r="AE431" s="211"/>
    </row>
    <row r="432" spans="2:31" ht="17.25" customHeight="1">
      <c r="B432" s="180">
        <v>85</v>
      </c>
      <c r="C432" s="811"/>
      <c r="D432" s="765"/>
      <c r="E432" s="186" t="s">
        <v>10</v>
      </c>
      <c r="F432" s="187" t="str">
        <f t="shared" si="16"/>
        <v>IB31155</v>
      </c>
      <c r="G432" s="108" t="s">
        <v>1151</v>
      </c>
      <c r="H432" s="244"/>
      <c r="I432" s="244"/>
      <c r="J432" s="245" t="s">
        <v>284</v>
      </c>
      <c r="K432" s="190" t="s">
        <v>1513</v>
      </c>
      <c r="L432" s="188"/>
      <c r="M432" s="186" t="s">
        <v>11</v>
      </c>
      <c r="N432" s="195" t="str">
        <f t="shared" si="15"/>
        <v>OB31155</v>
      </c>
      <c r="O432" s="268"/>
      <c r="P432" s="269"/>
      <c r="Q432" s="269"/>
      <c r="R432" s="270"/>
      <c r="S432" s="190"/>
      <c r="T432" s="191"/>
      <c r="U432" s="909"/>
      <c r="V432" s="909"/>
      <c r="W432" s="187"/>
      <c r="X432" s="182"/>
      <c r="Y432" s="182"/>
      <c r="Z432" s="182"/>
      <c r="AA432" s="182"/>
      <c r="AB432" s="210"/>
      <c r="AC432" s="182"/>
      <c r="AD432" s="182"/>
      <c r="AE432" s="211"/>
    </row>
    <row r="433" spans="2:31" ht="17.25" customHeight="1">
      <c r="B433" s="180">
        <v>86</v>
      </c>
      <c r="C433" s="811"/>
      <c r="D433" s="765"/>
      <c r="E433" s="186" t="s">
        <v>10</v>
      </c>
      <c r="F433" s="187" t="str">
        <f t="shared" si="16"/>
        <v>IB31156</v>
      </c>
      <c r="G433" s="108" t="s">
        <v>1152</v>
      </c>
      <c r="H433" s="244"/>
      <c r="I433" s="244"/>
      <c r="J433" s="245"/>
      <c r="K433" s="190" t="s">
        <v>1513</v>
      </c>
      <c r="L433" s="188"/>
      <c r="M433" s="186" t="s">
        <v>11</v>
      </c>
      <c r="N433" s="195" t="str">
        <f t="shared" si="15"/>
        <v>OB31156</v>
      </c>
      <c r="O433" s="268"/>
      <c r="P433" s="269"/>
      <c r="Q433" s="269"/>
      <c r="R433" s="270"/>
      <c r="S433" s="190"/>
      <c r="T433" s="191"/>
      <c r="U433" s="909"/>
      <c r="V433" s="909"/>
      <c r="W433" s="187"/>
      <c r="X433" s="182"/>
      <c r="Y433" s="182"/>
      <c r="Z433" s="182"/>
      <c r="AA433" s="182"/>
      <c r="AB433" s="210"/>
      <c r="AC433" s="182"/>
      <c r="AD433" s="182"/>
      <c r="AE433" s="211"/>
    </row>
    <row r="434" spans="2:31" ht="17.25" customHeight="1">
      <c r="B434" s="180">
        <v>87</v>
      </c>
      <c r="C434" s="811"/>
      <c r="D434" s="765"/>
      <c r="E434" s="186" t="s">
        <v>10</v>
      </c>
      <c r="F434" s="187" t="str">
        <f t="shared" si="16"/>
        <v>IB31157</v>
      </c>
      <c r="G434" s="108" t="s">
        <v>1153</v>
      </c>
      <c r="H434" s="244"/>
      <c r="I434" s="244"/>
      <c r="J434" s="245"/>
      <c r="K434" s="190" t="s">
        <v>1513</v>
      </c>
      <c r="L434" s="188"/>
      <c r="M434" s="186" t="s">
        <v>11</v>
      </c>
      <c r="N434" s="195" t="str">
        <f t="shared" si="15"/>
        <v>OB31157</v>
      </c>
      <c r="O434" s="268"/>
      <c r="P434" s="269"/>
      <c r="Q434" s="269"/>
      <c r="R434" s="270"/>
      <c r="S434" s="190"/>
      <c r="T434" s="191"/>
      <c r="U434" s="909"/>
      <c r="V434" s="909"/>
      <c r="W434" s="187"/>
      <c r="X434" s="182"/>
      <c r="Y434" s="182"/>
      <c r="Z434" s="182"/>
      <c r="AA434" s="182"/>
      <c r="AB434" s="210"/>
      <c r="AC434" s="182"/>
      <c r="AD434" s="182"/>
      <c r="AE434" s="211"/>
    </row>
    <row r="435" spans="2:31" ht="17.25" customHeight="1">
      <c r="B435" s="180">
        <v>88</v>
      </c>
      <c r="C435" s="811"/>
      <c r="D435" s="765"/>
      <c r="E435" s="186" t="s">
        <v>10</v>
      </c>
      <c r="F435" s="187" t="str">
        <f t="shared" si="16"/>
        <v>IB31158</v>
      </c>
      <c r="G435" s="257"/>
      <c r="H435" s="380"/>
      <c r="I435" s="380"/>
      <c r="J435" s="267"/>
      <c r="K435" s="190"/>
      <c r="L435" s="191"/>
      <c r="M435" s="186" t="s">
        <v>11</v>
      </c>
      <c r="N435" s="195" t="str">
        <f t="shared" si="15"/>
        <v>OB31158</v>
      </c>
      <c r="O435" s="268"/>
      <c r="P435" s="269"/>
      <c r="Q435" s="269"/>
      <c r="R435" s="270"/>
      <c r="S435" s="190"/>
      <c r="T435" s="191"/>
      <c r="U435" s="909"/>
      <c r="V435" s="909"/>
      <c r="W435" s="187"/>
      <c r="X435" s="182"/>
      <c r="Y435" s="182"/>
      <c r="Z435" s="182"/>
      <c r="AA435" s="182"/>
      <c r="AB435" s="210"/>
      <c r="AC435" s="182"/>
      <c r="AD435" s="182"/>
      <c r="AE435" s="211"/>
    </row>
    <row r="436" spans="2:31" ht="17.25" customHeight="1">
      <c r="B436" s="180">
        <v>89</v>
      </c>
      <c r="C436" s="811"/>
      <c r="D436" s="765"/>
      <c r="E436" s="186" t="s">
        <v>10</v>
      </c>
      <c r="F436" s="187" t="str">
        <f t="shared" si="16"/>
        <v>IB31159</v>
      </c>
      <c r="G436" s="257"/>
      <c r="H436" s="380"/>
      <c r="I436" s="380"/>
      <c r="J436" s="267"/>
      <c r="K436" s="190"/>
      <c r="L436" s="191"/>
      <c r="M436" s="186" t="s">
        <v>11</v>
      </c>
      <c r="N436" s="195" t="str">
        <f t="shared" si="15"/>
        <v>OB31159</v>
      </c>
      <c r="O436" s="268"/>
      <c r="P436" s="269"/>
      <c r="Q436" s="269"/>
      <c r="R436" s="270"/>
      <c r="S436" s="190"/>
      <c r="T436" s="191"/>
      <c r="U436" s="909"/>
      <c r="V436" s="909"/>
      <c r="W436" s="187"/>
      <c r="X436" s="182"/>
      <c r="Y436" s="182"/>
      <c r="Z436" s="182"/>
      <c r="AA436" s="182"/>
      <c r="AB436" s="210"/>
      <c r="AC436" s="182"/>
      <c r="AD436" s="182"/>
      <c r="AE436" s="211"/>
    </row>
    <row r="437" spans="2:31" ht="17.25" customHeight="1">
      <c r="B437" s="180">
        <v>90</v>
      </c>
      <c r="C437" s="811"/>
      <c r="D437" s="765"/>
      <c r="E437" s="186" t="s">
        <v>10</v>
      </c>
      <c r="F437" s="187" t="str">
        <f t="shared" si="16"/>
        <v>IB3115A</v>
      </c>
      <c r="G437" s="257"/>
      <c r="H437" s="380"/>
      <c r="I437" s="380"/>
      <c r="J437" s="267"/>
      <c r="K437" s="190"/>
      <c r="L437" s="191"/>
      <c r="M437" s="186" t="s">
        <v>11</v>
      </c>
      <c r="N437" s="195" t="str">
        <f t="shared" si="15"/>
        <v>OB3115A</v>
      </c>
      <c r="O437" s="268"/>
      <c r="P437" s="269"/>
      <c r="Q437" s="269"/>
      <c r="R437" s="270"/>
      <c r="S437" s="190"/>
      <c r="T437" s="191"/>
      <c r="U437" s="909"/>
      <c r="V437" s="909"/>
      <c r="W437" s="187"/>
      <c r="X437" s="182"/>
      <c r="Y437" s="182"/>
      <c r="Z437" s="182"/>
      <c r="AA437" s="182"/>
      <c r="AB437" s="210"/>
      <c r="AC437" s="182"/>
      <c r="AD437" s="182"/>
      <c r="AE437" s="211"/>
    </row>
    <row r="438" spans="2:31" ht="17.25" customHeight="1">
      <c r="B438" s="180">
        <v>91</v>
      </c>
      <c r="C438" s="811"/>
      <c r="D438" s="765"/>
      <c r="E438" s="186" t="s">
        <v>10</v>
      </c>
      <c r="F438" s="187" t="str">
        <f t="shared" si="16"/>
        <v>IB3115B</v>
      </c>
      <c r="G438" s="257"/>
      <c r="H438" s="380"/>
      <c r="I438" s="380"/>
      <c r="J438" s="267"/>
      <c r="K438" s="190"/>
      <c r="L438" s="191"/>
      <c r="M438" s="186" t="s">
        <v>11</v>
      </c>
      <c r="N438" s="195" t="str">
        <f t="shared" si="15"/>
        <v>OB3115B</v>
      </c>
      <c r="O438" s="268"/>
      <c r="P438" s="269"/>
      <c r="Q438" s="269"/>
      <c r="R438" s="270"/>
      <c r="S438" s="190"/>
      <c r="T438" s="191"/>
      <c r="U438" s="909"/>
      <c r="V438" s="909"/>
      <c r="W438" s="187"/>
      <c r="X438" s="182"/>
      <c r="Y438" s="182"/>
      <c r="Z438" s="182"/>
      <c r="AA438" s="182"/>
      <c r="AB438" s="210"/>
      <c r="AC438" s="182"/>
      <c r="AD438" s="182"/>
      <c r="AE438" s="211"/>
    </row>
    <row r="439" spans="2:31" ht="17.25" customHeight="1">
      <c r="B439" s="180">
        <v>92</v>
      </c>
      <c r="C439" s="811"/>
      <c r="D439" s="765"/>
      <c r="E439" s="186" t="s">
        <v>10</v>
      </c>
      <c r="F439" s="187" t="str">
        <f t="shared" si="16"/>
        <v>IB3115C</v>
      </c>
      <c r="G439" s="243"/>
      <c r="H439" s="244"/>
      <c r="I439" s="244"/>
      <c r="J439" s="245"/>
      <c r="K439" s="213"/>
      <c r="L439" s="214"/>
      <c r="M439" s="186" t="s">
        <v>11</v>
      </c>
      <c r="N439" s="195" t="str">
        <f t="shared" si="15"/>
        <v>OB3115C</v>
      </c>
      <c r="O439" s="268"/>
      <c r="P439" s="269"/>
      <c r="Q439" s="269"/>
      <c r="R439" s="270"/>
      <c r="S439" s="190"/>
      <c r="T439" s="191"/>
      <c r="U439" s="909"/>
      <c r="V439" s="909"/>
      <c r="W439" s="187"/>
      <c r="X439" s="182"/>
      <c r="Y439" s="182"/>
      <c r="Z439" s="182"/>
      <c r="AA439" s="182"/>
      <c r="AB439" s="210"/>
      <c r="AC439" s="182"/>
      <c r="AD439" s="182"/>
      <c r="AE439" s="211"/>
    </row>
    <row r="440" spans="2:31" ht="17.25" customHeight="1">
      <c r="B440" s="180">
        <v>93</v>
      </c>
      <c r="C440" s="811"/>
      <c r="D440" s="765"/>
      <c r="E440" s="186" t="s">
        <v>10</v>
      </c>
      <c r="F440" s="187" t="str">
        <f t="shared" si="16"/>
        <v>IB3115D</v>
      </c>
      <c r="G440" s="243"/>
      <c r="H440" s="244"/>
      <c r="I440" s="244"/>
      <c r="J440" s="245"/>
      <c r="K440" s="213"/>
      <c r="L440" s="214"/>
      <c r="M440" s="186" t="s">
        <v>11</v>
      </c>
      <c r="N440" s="195" t="str">
        <f t="shared" si="15"/>
        <v>OB3115D</v>
      </c>
      <c r="O440" s="268"/>
      <c r="P440" s="269"/>
      <c r="Q440" s="269"/>
      <c r="R440" s="270"/>
      <c r="S440" s="190"/>
      <c r="T440" s="191"/>
      <c r="U440" s="909"/>
      <c r="V440" s="909"/>
      <c r="W440" s="187"/>
      <c r="X440" s="182"/>
      <c r="Y440" s="182"/>
      <c r="Z440" s="182"/>
      <c r="AA440" s="182"/>
      <c r="AB440" s="210"/>
      <c r="AC440" s="182"/>
      <c r="AD440" s="182"/>
      <c r="AE440" s="211"/>
    </row>
    <row r="441" spans="2:31" ht="17.25" customHeight="1">
      <c r="B441" s="180">
        <v>94</v>
      </c>
      <c r="C441" s="811"/>
      <c r="D441" s="765"/>
      <c r="E441" s="186" t="s">
        <v>10</v>
      </c>
      <c r="F441" s="187" t="str">
        <f t="shared" si="16"/>
        <v>IB3115E</v>
      </c>
      <c r="G441" s="108" t="s">
        <v>1144</v>
      </c>
      <c r="H441" s="244"/>
      <c r="I441" s="244"/>
      <c r="J441" s="245"/>
      <c r="K441" s="182" t="s">
        <v>1513</v>
      </c>
      <c r="L441" s="214"/>
      <c r="M441" s="186" t="s">
        <v>11</v>
      </c>
      <c r="N441" s="195" t="str">
        <f t="shared" si="15"/>
        <v>OB3115E</v>
      </c>
      <c r="O441" s="268"/>
      <c r="P441" s="269"/>
      <c r="Q441" s="269"/>
      <c r="R441" s="270"/>
      <c r="S441" s="190"/>
      <c r="T441" s="191"/>
      <c r="U441" s="909"/>
      <c r="V441" s="909"/>
      <c r="W441" s="187"/>
      <c r="X441" s="182"/>
      <c r="Y441" s="182"/>
      <c r="Z441" s="182"/>
      <c r="AA441" s="182"/>
      <c r="AB441" s="210"/>
      <c r="AC441" s="182"/>
      <c r="AD441" s="182"/>
      <c r="AE441" s="211"/>
    </row>
    <row r="442" spans="2:31" ht="17.25" customHeight="1">
      <c r="B442" s="180">
        <v>95</v>
      </c>
      <c r="C442" s="928"/>
      <c r="D442" s="765"/>
      <c r="E442" s="186" t="s">
        <v>10</v>
      </c>
      <c r="F442" s="187" t="str">
        <f t="shared" si="16"/>
        <v>IB3115F</v>
      </c>
      <c r="G442" s="108" t="s">
        <v>1145</v>
      </c>
      <c r="H442" s="244"/>
      <c r="I442" s="244"/>
      <c r="J442" s="245"/>
      <c r="K442" s="182" t="s">
        <v>1513</v>
      </c>
      <c r="L442" s="214"/>
      <c r="M442" s="186" t="s">
        <v>11</v>
      </c>
      <c r="N442" s="195" t="str">
        <f t="shared" si="15"/>
        <v>OB3115F</v>
      </c>
      <c r="O442" s="268"/>
      <c r="P442" s="269"/>
      <c r="Q442" s="269"/>
      <c r="R442" s="270"/>
      <c r="S442" s="190"/>
      <c r="T442" s="191"/>
      <c r="U442" s="909"/>
      <c r="V442" s="909"/>
      <c r="W442" s="187"/>
      <c r="X442" s="182"/>
      <c r="Y442" s="182"/>
      <c r="Z442" s="182"/>
      <c r="AA442" s="182"/>
      <c r="AB442" s="210"/>
      <c r="AC442" s="182"/>
      <c r="AD442" s="182"/>
      <c r="AE442" s="211"/>
    </row>
    <row r="443" spans="2:31" ht="17.25" customHeight="1">
      <c r="B443" s="180">
        <v>96</v>
      </c>
      <c r="C443" s="925" t="s">
        <v>55</v>
      </c>
      <c r="D443" s="940" t="s">
        <v>271</v>
      </c>
      <c r="E443" s="186" t="s">
        <v>10</v>
      </c>
      <c r="F443" s="187" t="str">
        <f t="shared" si="16"/>
        <v>IB31160</v>
      </c>
      <c r="G443" s="271"/>
      <c r="H443" s="272"/>
      <c r="I443" s="272"/>
      <c r="J443" s="273"/>
      <c r="K443" s="190"/>
      <c r="L443" s="209"/>
      <c r="M443" s="186" t="s">
        <v>11</v>
      </c>
      <c r="N443" s="195" t="str">
        <f t="shared" si="15"/>
        <v>OB31160</v>
      </c>
      <c r="O443" s="463" t="s">
        <v>1063</v>
      </c>
      <c r="P443" s="250"/>
      <c r="Q443" s="250"/>
      <c r="R443" s="251"/>
      <c r="S443" s="190" t="s">
        <v>1513</v>
      </c>
      <c r="T443" s="191"/>
      <c r="U443" s="909"/>
      <c r="V443" s="909"/>
      <c r="W443" s="187"/>
      <c r="X443" s="182"/>
      <c r="Y443" s="182"/>
      <c r="Z443" s="182"/>
      <c r="AA443" s="182"/>
      <c r="AB443" s="210"/>
      <c r="AC443" s="182"/>
      <c r="AD443" s="182"/>
      <c r="AE443" s="211"/>
    </row>
    <row r="444" spans="2:31" ht="17.25" customHeight="1">
      <c r="B444" s="180">
        <v>97</v>
      </c>
      <c r="C444" s="816"/>
      <c r="D444" s="765"/>
      <c r="E444" s="186" t="s">
        <v>10</v>
      </c>
      <c r="F444" s="187" t="str">
        <f t="shared" si="16"/>
        <v>IB31161</v>
      </c>
      <c r="G444" s="271"/>
      <c r="H444" s="272"/>
      <c r="I444" s="272"/>
      <c r="J444" s="273"/>
      <c r="K444" s="190"/>
      <c r="L444" s="209"/>
      <c r="M444" s="186" t="s">
        <v>11</v>
      </c>
      <c r="N444" s="195" t="str">
        <f t="shared" si="15"/>
        <v>OB31161</v>
      </c>
      <c r="O444" s="463" t="s">
        <v>1064</v>
      </c>
      <c r="P444" s="250"/>
      <c r="Q444" s="250"/>
      <c r="R444" s="251"/>
      <c r="S444" s="190" t="s">
        <v>1513</v>
      </c>
      <c r="T444" s="191"/>
      <c r="U444" s="909"/>
      <c r="V444" s="909"/>
      <c r="W444" s="187"/>
      <c r="X444" s="182"/>
      <c r="Y444" s="182"/>
      <c r="Z444" s="182"/>
      <c r="AA444" s="182"/>
      <c r="AB444" s="210"/>
      <c r="AC444" s="182"/>
      <c r="AD444" s="182"/>
      <c r="AE444" s="211"/>
    </row>
    <row r="445" spans="2:31" ht="17.25" customHeight="1">
      <c r="B445" s="180">
        <v>98</v>
      </c>
      <c r="C445" s="816"/>
      <c r="D445" s="765"/>
      <c r="E445" s="186" t="s">
        <v>10</v>
      </c>
      <c r="F445" s="187" t="str">
        <f t="shared" si="16"/>
        <v>IB31162</v>
      </c>
      <c r="G445" s="271"/>
      <c r="H445" s="272"/>
      <c r="I445" s="272"/>
      <c r="J445" s="273"/>
      <c r="K445" s="190"/>
      <c r="L445" s="209"/>
      <c r="M445" s="186" t="s">
        <v>11</v>
      </c>
      <c r="N445" s="195" t="str">
        <f t="shared" si="15"/>
        <v>OB31162</v>
      </c>
      <c r="O445" s="463" t="s">
        <v>1065</v>
      </c>
      <c r="P445" s="250"/>
      <c r="Q445" s="250"/>
      <c r="R445" s="251"/>
      <c r="S445" s="190" t="s">
        <v>1513</v>
      </c>
      <c r="T445" s="191"/>
      <c r="U445" s="909"/>
      <c r="V445" s="909"/>
      <c r="W445" s="187"/>
      <c r="X445" s="182"/>
      <c r="Y445" s="182"/>
      <c r="Z445" s="182"/>
      <c r="AA445" s="182"/>
      <c r="AB445" s="210"/>
      <c r="AC445" s="182"/>
      <c r="AD445" s="182"/>
      <c r="AE445" s="211"/>
    </row>
    <row r="446" spans="2:31" ht="17.25" customHeight="1">
      <c r="B446" s="180">
        <v>99</v>
      </c>
      <c r="C446" s="816"/>
      <c r="D446" s="765"/>
      <c r="E446" s="186" t="s">
        <v>10</v>
      </c>
      <c r="F446" s="187" t="str">
        <f t="shared" si="16"/>
        <v>IB31163</v>
      </c>
      <c r="G446" s="271"/>
      <c r="H446" s="272"/>
      <c r="I446" s="272"/>
      <c r="J446" s="273"/>
      <c r="K446" s="190"/>
      <c r="L446" s="209"/>
      <c r="M446" s="186" t="s">
        <v>11</v>
      </c>
      <c r="N446" s="195" t="str">
        <f t="shared" si="15"/>
        <v>OB31163</v>
      </c>
      <c r="O446" s="463" t="s">
        <v>1066</v>
      </c>
      <c r="P446" s="250"/>
      <c r="Q446" s="250"/>
      <c r="R446" s="251"/>
      <c r="S446" s="190" t="s">
        <v>1513</v>
      </c>
      <c r="T446" s="191"/>
      <c r="U446" s="909"/>
      <c r="V446" s="909"/>
      <c r="W446" s="187"/>
      <c r="X446" s="182"/>
      <c r="Y446" s="182"/>
      <c r="Z446" s="182"/>
      <c r="AA446" s="182"/>
      <c r="AB446" s="210"/>
      <c r="AC446" s="182"/>
      <c r="AD446" s="182"/>
      <c r="AE446" s="211"/>
    </row>
    <row r="447" spans="2:31" ht="17.25" customHeight="1">
      <c r="B447" s="180">
        <v>100</v>
      </c>
      <c r="C447" s="816"/>
      <c r="D447" s="765"/>
      <c r="E447" s="186" t="s">
        <v>10</v>
      </c>
      <c r="F447" s="187" t="str">
        <f t="shared" si="16"/>
        <v>IB31164</v>
      </c>
      <c r="G447" s="271"/>
      <c r="H447" s="272"/>
      <c r="I447" s="272"/>
      <c r="J447" s="273"/>
      <c r="K447" s="190"/>
      <c r="L447" s="209"/>
      <c r="M447" s="186" t="s">
        <v>11</v>
      </c>
      <c r="N447" s="195" t="str">
        <f t="shared" si="15"/>
        <v>OB31164</v>
      </c>
      <c r="O447" s="463" t="s">
        <v>1067</v>
      </c>
      <c r="P447" s="250"/>
      <c r="Q447" s="250"/>
      <c r="R447" s="251"/>
      <c r="S447" s="190" t="s">
        <v>1513</v>
      </c>
      <c r="T447" s="191"/>
      <c r="U447" s="909"/>
      <c r="V447" s="909"/>
      <c r="W447" s="187"/>
      <c r="X447" s="182"/>
      <c r="Y447" s="182"/>
      <c r="Z447" s="182"/>
      <c r="AA447" s="182"/>
      <c r="AB447" s="210"/>
      <c r="AC447" s="182"/>
      <c r="AD447" s="182"/>
      <c r="AE447" s="211"/>
    </row>
    <row r="448" spans="2:31" ht="17.25" customHeight="1">
      <c r="B448" s="180">
        <v>101</v>
      </c>
      <c r="C448" s="816"/>
      <c r="D448" s="765"/>
      <c r="E448" s="186" t="s">
        <v>10</v>
      </c>
      <c r="F448" s="187" t="str">
        <f t="shared" si="16"/>
        <v>IB31165</v>
      </c>
      <c r="G448" s="271"/>
      <c r="H448" s="272"/>
      <c r="I448" s="272"/>
      <c r="J448" s="273"/>
      <c r="K448" s="190"/>
      <c r="L448" s="209"/>
      <c r="M448" s="186" t="s">
        <v>11</v>
      </c>
      <c r="N448" s="195" t="str">
        <f t="shared" si="15"/>
        <v>OB31165</v>
      </c>
      <c r="O448" s="463" t="s">
        <v>1068</v>
      </c>
      <c r="P448" s="250"/>
      <c r="Q448" s="250"/>
      <c r="R448" s="251"/>
      <c r="S448" s="190" t="s">
        <v>1513</v>
      </c>
      <c r="T448" s="191"/>
      <c r="U448" s="909"/>
      <c r="V448" s="909"/>
      <c r="W448" s="187"/>
      <c r="X448" s="182"/>
      <c r="Y448" s="182"/>
      <c r="Z448" s="182"/>
      <c r="AA448" s="182"/>
      <c r="AB448" s="210"/>
      <c r="AC448" s="182"/>
      <c r="AD448" s="182"/>
      <c r="AE448" s="211"/>
    </row>
    <row r="449" spans="2:31" ht="17.25" customHeight="1">
      <c r="B449" s="180">
        <v>102</v>
      </c>
      <c r="C449" s="816"/>
      <c r="D449" s="765"/>
      <c r="E449" s="186" t="s">
        <v>10</v>
      </c>
      <c r="F449" s="187" t="str">
        <f t="shared" si="16"/>
        <v>IB31166</v>
      </c>
      <c r="G449" s="271"/>
      <c r="H449" s="272"/>
      <c r="I449" s="272"/>
      <c r="J449" s="273"/>
      <c r="K449" s="190"/>
      <c r="L449" s="209"/>
      <c r="M449" s="186" t="s">
        <v>11</v>
      </c>
      <c r="N449" s="195" t="str">
        <f t="shared" si="15"/>
        <v>OB31166</v>
      </c>
      <c r="O449" s="463" t="s">
        <v>1069</v>
      </c>
      <c r="P449" s="250"/>
      <c r="Q449" s="250"/>
      <c r="R449" s="251"/>
      <c r="S449" s="190" t="s">
        <v>1513</v>
      </c>
      <c r="T449" s="191"/>
      <c r="U449" s="909"/>
      <c r="V449" s="909"/>
      <c r="W449" s="187"/>
      <c r="X449" s="182"/>
      <c r="Y449" s="182"/>
      <c r="Z449" s="182"/>
      <c r="AA449" s="182"/>
      <c r="AB449" s="210"/>
      <c r="AC449" s="182"/>
      <c r="AD449" s="182"/>
      <c r="AE449" s="211"/>
    </row>
    <row r="450" spans="2:31" ht="17.25" customHeight="1">
      <c r="B450" s="180">
        <v>103</v>
      </c>
      <c r="C450" s="816"/>
      <c r="D450" s="765"/>
      <c r="E450" s="186" t="s">
        <v>10</v>
      </c>
      <c r="F450" s="187" t="str">
        <f t="shared" si="16"/>
        <v>IB31167</v>
      </c>
      <c r="G450" s="271"/>
      <c r="H450" s="272"/>
      <c r="I450" s="272"/>
      <c r="J450" s="273"/>
      <c r="K450" s="190"/>
      <c r="L450" s="209"/>
      <c r="M450" s="186" t="s">
        <v>11</v>
      </c>
      <c r="N450" s="195" t="str">
        <f t="shared" si="15"/>
        <v>OB31167</v>
      </c>
      <c r="O450" s="463" t="s">
        <v>1070</v>
      </c>
      <c r="P450" s="250"/>
      <c r="Q450" s="250"/>
      <c r="R450" s="251"/>
      <c r="S450" s="190" t="s">
        <v>1513</v>
      </c>
      <c r="T450" s="191"/>
      <c r="U450" s="909"/>
      <c r="V450" s="909"/>
      <c r="W450" s="187"/>
      <c r="X450" s="182"/>
      <c r="Y450" s="182"/>
      <c r="Z450" s="182"/>
      <c r="AA450" s="182"/>
      <c r="AB450" s="210"/>
      <c r="AC450" s="182"/>
      <c r="AD450" s="182"/>
      <c r="AE450" s="211"/>
    </row>
    <row r="451" spans="2:31" ht="17.25" customHeight="1">
      <c r="B451" s="180">
        <v>104</v>
      </c>
      <c r="C451" s="816"/>
      <c r="D451" s="765"/>
      <c r="E451" s="186" t="s">
        <v>10</v>
      </c>
      <c r="F451" s="187" t="str">
        <f t="shared" si="16"/>
        <v>IB31168</v>
      </c>
      <c r="G451" s="271"/>
      <c r="H451" s="272"/>
      <c r="I451" s="272"/>
      <c r="J451" s="273"/>
      <c r="K451" s="190"/>
      <c r="L451" s="209"/>
      <c r="M451" s="186" t="s">
        <v>11</v>
      </c>
      <c r="N451" s="195" t="str">
        <f t="shared" si="15"/>
        <v>OB31168</v>
      </c>
      <c r="O451" s="463" t="s">
        <v>1071</v>
      </c>
      <c r="P451" s="250"/>
      <c r="Q451" s="250"/>
      <c r="R451" s="251"/>
      <c r="S451" s="190" t="s">
        <v>1513</v>
      </c>
      <c r="T451" s="191"/>
      <c r="U451" s="909"/>
      <c r="V451" s="909"/>
      <c r="W451" s="187"/>
      <c r="X451" s="182"/>
      <c r="Y451" s="182"/>
      <c r="Z451" s="182"/>
      <c r="AA451" s="182"/>
      <c r="AB451" s="210"/>
      <c r="AC451" s="182"/>
      <c r="AD451" s="182"/>
      <c r="AE451" s="211"/>
    </row>
    <row r="452" spans="2:31" ht="17.25" customHeight="1">
      <c r="B452" s="180">
        <v>105</v>
      </c>
      <c r="C452" s="816"/>
      <c r="D452" s="765"/>
      <c r="E452" s="186" t="s">
        <v>10</v>
      </c>
      <c r="F452" s="187" t="str">
        <f t="shared" si="16"/>
        <v>IB31169</v>
      </c>
      <c r="G452" s="271"/>
      <c r="H452" s="272"/>
      <c r="I452" s="272"/>
      <c r="J452" s="273"/>
      <c r="K452" s="190"/>
      <c r="L452" s="209"/>
      <c r="M452" s="186" t="s">
        <v>11</v>
      </c>
      <c r="N452" s="195" t="str">
        <f t="shared" si="15"/>
        <v>OB31169</v>
      </c>
      <c r="O452" s="463" t="s">
        <v>1072</v>
      </c>
      <c r="P452" s="250"/>
      <c r="Q452" s="250"/>
      <c r="R452" s="251"/>
      <c r="S452" s="190" t="s">
        <v>1513</v>
      </c>
      <c r="T452" s="191"/>
      <c r="U452" s="909"/>
      <c r="V452" s="909"/>
      <c r="W452" s="187"/>
      <c r="X452" s="182"/>
      <c r="Y452" s="182"/>
      <c r="Z452" s="182"/>
      <c r="AA452" s="182"/>
      <c r="AB452" s="210"/>
      <c r="AC452" s="182"/>
      <c r="AD452" s="182"/>
      <c r="AE452" s="211"/>
    </row>
    <row r="453" spans="2:31" ht="17.25" customHeight="1">
      <c r="B453" s="180">
        <v>106</v>
      </c>
      <c r="C453" s="816"/>
      <c r="D453" s="765"/>
      <c r="E453" s="186" t="s">
        <v>10</v>
      </c>
      <c r="F453" s="187" t="str">
        <f t="shared" si="16"/>
        <v>IB3116A</v>
      </c>
      <c r="G453" s="271"/>
      <c r="H453" s="272"/>
      <c r="I453" s="272"/>
      <c r="J453" s="273"/>
      <c r="K453" s="190"/>
      <c r="L453" s="209"/>
      <c r="M453" s="186" t="s">
        <v>11</v>
      </c>
      <c r="N453" s="195" t="str">
        <f t="shared" si="15"/>
        <v>OB3116A</v>
      </c>
      <c r="O453" s="463" t="s">
        <v>1073</v>
      </c>
      <c r="P453" s="250"/>
      <c r="Q453" s="250"/>
      <c r="R453" s="251"/>
      <c r="S453" s="190" t="s">
        <v>1513</v>
      </c>
      <c r="T453" s="191"/>
      <c r="U453" s="909"/>
      <c r="V453" s="909"/>
      <c r="W453" s="187"/>
      <c r="X453" s="182"/>
      <c r="Y453" s="182"/>
      <c r="Z453" s="182"/>
      <c r="AA453" s="182"/>
      <c r="AB453" s="210"/>
      <c r="AC453" s="182"/>
      <c r="AD453" s="182"/>
      <c r="AE453" s="211"/>
    </row>
    <row r="454" spans="2:31" ht="17.25" customHeight="1">
      <c r="B454" s="180">
        <v>107</v>
      </c>
      <c r="C454" s="816"/>
      <c r="D454" s="765"/>
      <c r="E454" s="186" t="s">
        <v>10</v>
      </c>
      <c r="F454" s="187" t="str">
        <f t="shared" si="16"/>
        <v>IB3116B</v>
      </c>
      <c r="G454" s="271"/>
      <c r="H454" s="272">
        <v>0</v>
      </c>
      <c r="I454" s="272"/>
      <c r="J454" s="273"/>
      <c r="K454" s="190"/>
      <c r="L454" s="209"/>
      <c r="M454" s="186" t="s">
        <v>11</v>
      </c>
      <c r="N454" s="195" t="str">
        <f t="shared" si="15"/>
        <v>OB3116B</v>
      </c>
      <c r="O454" s="249"/>
      <c r="P454" s="250"/>
      <c r="Q454" s="250"/>
      <c r="R454" s="251"/>
      <c r="S454" s="190"/>
      <c r="T454" s="191"/>
      <c r="U454" s="909"/>
      <c r="V454" s="909"/>
      <c r="W454" s="187"/>
      <c r="X454" s="182"/>
      <c r="Y454" s="182"/>
      <c r="Z454" s="182"/>
      <c r="AA454" s="182"/>
      <c r="AB454" s="210"/>
      <c r="AC454" s="182"/>
      <c r="AD454" s="182"/>
      <c r="AE454" s="211"/>
    </row>
    <row r="455" spans="2:31" ht="17.25" customHeight="1">
      <c r="B455" s="180">
        <v>108</v>
      </c>
      <c r="C455" s="816"/>
      <c r="D455" s="765"/>
      <c r="E455" s="186" t="s">
        <v>10</v>
      </c>
      <c r="F455" s="187" t="str">
        <f t="shared" si="16"/>
        <v>IB3116C</v>
      </c>
      <c r="G455" s="271"/>
      <c r="H455" s="272"/>
      <c r="I455" s="272"/>
      <c r="J455" s="273"/>
      <c r="K455" s="190"/>
      <c r="L455" s="209"/>
      <c r="M455" s="186" t="s">
        <v>11</v>
      </c>
      <c r="N455" s="195" t="str">
        <f t="shared" si="15"/>
        <v>OB3116C</v>
      </c>
      <c r="O455" s="463" t="s">
        <v>1061</v>
      </c>
      <c r="P455" s="250"/>
      <c r="Q455" s="250"/>
      <c r="R455" s="251"/>
      <c r="S455" s="190" t="s">
        <v>1513</v>
      </c>
      <c r="T455" s="191"/>
      <c r="U455" s="909"/>
      <c r="V455" s="909"/>
      <c r="W455" s="187"/>
      <c r="X455" s="182"/>
      <c r="Y455" s="182"/>
      <c r="Z455" s="182"/>
      <c r="AA455" s="182"/>
      <c r="AB455" s="210"/>
      <c r="AC455" s="182"/>
      <c r="AD455" s="182"/>
      <c r="AE455" s="211"/>
    </row>
    <row r="456" spans="2:31" ht="17.25" customHeight="1">
      <c r="B456" s="180">
        <v>109</v>
      </c>
      <c r="C456" s="816"/>
      <c r="D456" s="765"/>
      <c r="E456" s="186" t="s">
        <v>10</v>
      </c>
      <c r="F456" s="187" t="str">
        <f t="shared" si="16"/>
        <v>IB3116D</v>
      </c>
      <c r="G456" s="271"/>
      <c r="H456" s="272"/>
      <c r="I456" s="272"/>
      <c r="J456" s="273"/>
      <c r="K456" s="190"/>
      <c r="L456" s="209"/>
      <c r="M456" s="186" t="s">
        <v>11</v>
      </c>
      <c r="N456" s="195" t="str">
        <f t="shared" si="15"/>
        <v>OB3116D</v>
      </c>
      <c r="O456" s="463" t="s">
        <v>1062</v>
      </c>
      <c r="P456" s="250"/>
      <c r="Q456" s="250"/>
      <c r="R456" s="251"/>
      <c r="S456" s="190" t="s">
        <v>1513</v>
      </c>
      <c r="T456" s="191"/>
      <c r="U456" s="909"/>
      <c r="V456" s="909"/>
      <c r="W456" s="187"/>
      <c r="X456" s="182"/>
      <c r="Y456" s="182"/>
      <c r="Z456" s="182"/>
      <c r="AA456" s="182"/>
      <c r="AB456" s="210"/>
      <c r="AC456" s="182"/>
      <c r="AD456" s="182"/>
      <c r="AE456" s="211"/>
    </row>
    <row r="457" spans="2:31" ht="17.25" customHeight="1">
      <c r="B457" s="180">
        <v>110</v>
      </c>
      <c r="C457" s="816"/>
      <c r="D457" s="765"/>
      <c r="E457" s="186" t="s">
        <v>10</v>
      </c>
      <c r="F457" s="187" t="str">
        <f t="shared" si="16"/>
        <v>IB3116E</v>
      </c>
      <c r="G457" s="271"/>
      <c r="H457" s="272"/>
      <c r="I457" s="272"/>
      <c r="J457" s="273"/>
      <c r="K457" s="182"/>
      <c r="L457" s="188"/>
      <c r="M457" s="186" t="s">
        <v>11</v>
      </c>
      <c r="N457" s="195" t="str">
        <f t="shared" si="15"/>
        <v>OB3116E</v>
      </c>
      <c r="O457" s="463" t="s">
        <v>1060</v>
      </c>
      <c r="P457" s="250"/>
      <c r="Q457" s="250"/>
      <c r="R457" s="251"/>
      <c r="S457" s="190" t="s">
        <v>1513</v>
      </c>
      <c r="T457" s="191"/>
      <c r="U457" s="909"/>
      <c r="V457" s="909"/>
      <c r="W457" s="187"/>
      <c r="X457" s="182"/>
      <c r="Y457" s="182"/>
      <c r="Z457" s="182"/>
      <c r="AA457" s="182"/>
      <c r="AB457" s="210"/>
      <c r="AC457" s="182"/>
      <c r="AD457" s="182"/>
      <c r="AE457" s="211"/>
    </row>
    <row r="458" spans="2:31" ht="17.25" customHeight="1">
      <c r="B458" s="180">
        <v>111</v>
      </c>
      <c r="C458" s="926"/>
      <c r="D458" s="765"/>
      <c r="E458" s="186" t="s">
        <v>10</v>
      </c>
      <c r="F458" s="187" t="str">
        <f t="shared" si="16"/>
        <v>IB3116F</v>
      </c>
      <c r="G458" s="271"/>
      <c r="H458" s="272"/>
      <c r="I458" s="272"/>
      <c r="J458" s="273"/>
      <c r="K458" s="190"/>
      <c r="L458" s="209"/>
      <c r="M458" s="186" t="s">
        <v>11</v>
      </c>
      <c r="N458" s="195" t="str">
        <f t="shared" si="15"/>
        <v>OB3116F</v>
      </c>
      <c r="O458" s="249"/>
      <c r="P458" s="250"/>
      <c r="Q458" s="250"/>
      <c r="R458" s="251"/>
      <c r="S458" s="190"/>
      <c r="T458" s="191"/>
      <c r="U458" s="909"/>
      <c r="V458" s="909"/>
      <c r="W458" s="187"/>
      <c r="X458" s="182"/>
      <c r="Y458" s="182"/>
      <c r="Z458" s="182"/>
      <c r="AA458" s="182"/>
      <c r="AB458" s="210"/>
      <c r="AC458" s="182"/>
      <c r="AD458" s="182"/>
      <c r="AE458" s="211"/>
    </row>
    <row r="459" spans="2:31" ht="17.25" customHeight="1">
      <c r="B459" s="180">
        <v>112</v>
      </c>
      <c r="C459" s="927" t="s">
        <v>56</v>
      </c>
      <c r="D459" s="940" t="s">
        <v>271</v>
      </c>
      <c r="E459" s="186" t="s">
        <v>10</v>
      </c>
      <c r="F459" s="187" t="str">
        <f t="shared" si="16"/>
        <v>IB31170</v>
      </c>
      <c r="G459" s="108" t="s">
        <v>1136</v>
      </c>
      <c r="H459" s="244"/>
      <c r="I459" s="244"/>
      <c r="J459" s="245"/>
      <c r="K459" s="190" t="s">
        <v>1513</v>
      </c>
      <c r="L459" s="209"/>
      <c r="M459" s="186" t="s">
        <v>11</v>
      </c>
      <c r="N459" s="195" t="str">
        <f t="shared" si="15"/>
        <v>OB31170</v>
      </c>
      <c r="O459" s="254"/>
      <c r="P459" s="255"/>
      <c r="Q459" s="255"/>
      <c r="R459" s="256"/>
      <c r="S459" s="190"/>
      <c r="T459" s="191"/>
      <c r="U459" s="909"/>
      <c r="V459" s="909"/>
      <c r="W459" s="187"/>
      <c r="X459" s="182"/>
      <c r="Y459" s="182"/>
      <c r="Z459" s="182"/>
      <c r="AA459" s="182"/>
      <c r="AB459" s="210"/>
      <c r="AC459" s="182"/>
      <c r="AD459" s="182"/>
      <c r="AE459" s="211"/>
    </row>
    <row r="460" spans="2:31" ht="17.25" customHeight="1">
      <c r="B460" s="180">
        <v>113</v>
      </c>
      <c r="C460" s="811"/>
      <c r="D460" s="765"/>
      <c r="E460" s="186" t="s">
        <v>10</v>
      </c>
      <c r="F460" s="187" t="str">
        <f t="shared" si="16"/>
        <v>IB31171</v>
      </c>
      <c r="G460" s="108" t="s">
        <v>1137</v>
      </c>
      <c r="H460" s="244"/>
      <c r="I460" s="244"/>
      <c r="J460" s="245"/>
      <c r="K460" s="190" t="s">
        <v>1513</v>
      </c>
      <c r="L460" s="209"/>
      <c r="M460" s="186" t="s">
        <v>11</v>
      </c>
      <c r="N460" s="195" t="str">
        <f t="shared" si="15"/>
        <v>OB31171</v>
      </c>
      <c r="O460" s="254"/>
      <c r="P460" s="255"/>
      <c r="Q460" s="255"/>
      <c r="R460" s="256"/>
      <c r="S460" s="190"/>
      <c r="T460" s="191"/>
      <c r="U460" s="909"/>
      <c r="V460" s="909"/>
      <c r="W460" s="187"/>
      <c r="X460" s="182"/>
      <c r="Y460" s="182"/>
      <c r="Z460" s="182"/>
      <c r="AA460" s="182"/>
      <c r="AB460" s="210"/>
      <c r="AC460" s="182"/>
      <c r="AD460" s="182"/>
      <c r="AE460" s="211"/>
    </row>
    <row r="461" spans="2:31" ht="17.25" customHeight="1">
      <c r="B461" s="180">
        <v>114</v>
      </c>
      <c r="C461" s="811"/>
      <c r="D461" s="765"/>
      <c r="E461" s="186" t="s">
        <v>10</v>
      </c>
      <c r="F461" s="187" t="str">
        <f t="shared" si="16"/>
        <v>IB31172</v>
      </c>
      <c r="G461" s="108" t="s">
        <v>1138</v>
      </c>
      <c r="H461" s="244"/>
      <c r="I461" s="244"/>
      <c r="J461" s="245"/>
      <c r="K461" s="190" t="s">
        <v>1513</v>
      </c>
      <c r="L461" s="209"/>
      <c r="M461" s="186" t="s">
        <v>11</v>
      </c>
      <c r="N461" s="195" t="str">
        <f t="shared" ref="N461:N524" si="17">LEFT(N460,1)&amp;DEC2HEX(HEX2DEC(MID(N460,2,LENB(N460)-1))+1,LENB(N460)-1)</f>
        <v>OB31172</v>
      </c>
      <c r="O461" s="254"/>
      <c r="P461" s="255"/>
      <c r="Q461" s="255"/>
      <c r="R461" s="256"/>
      <c r="S461" s="190"/>
      <c r="T461" s="191"/>
      <c r="U461" s="909"/>
      <c r="V461" s="909"/>
      <c r="W461" s="187"/>
      <c r="X461" s="182"/>
      <c r="Y461" s="182"/>
      <c r="Z461" s="182"/>
      <c r="AA461" s="182"/>
      <c r="AB461" s="210"/>
      <c r="AC461" s="182"/>
      <c r="AD461" s="182"/>
      <c r="AE461" s="211"/>
    </row>
    <row r="462" spans="2:31" ht="17.25" customHeight="1">
      <c r="B462" s="180">
        <v>115</v>
      </c>
      <c r="C462" s="811"/>
      <c r="D462" s="765"/>
      <c r="E462" s="186" t="s">
        <v>10</v>
      </c>
      <c r="F462" s="187" t="str">
        <f t="shared" si="16"/>
        <v>IB31173</v>
      </c>
      <c r="G462" s="108" t="s">
        <v>1139</v>
      </c>
      <c r="H462" s="244"/>
      <c r="I462" s="244"/>
      <c r="J462" s="245"/>
      <c r="K462" s="190" t="s">
        <v>1513</v>
      </c>
      <c r="L462" s="209"/>
      <c r="M462" s="186" t="s">
        <v>11</v>
      </c>
      <c r="N462" s="195" t="str">
        <f t="shared" si="17"/>
        <v>OB31173</v>
      </c>
      <c r="O462" s="254"/>
      <c r="P462" s="255"/>
      <c r="Q462" s="255"/>
      <c r="R462" s="256"/>
      <c r="S462" s="190"/>
      <c r="T462" s="191"/>
      <c r="U462" s="909"/>
      <c r="V462" s="909"/>
      <c r="W462" s="187"/>
      <c r="X462" s="182"/>
      <c r="Y462" s="182"/>
      <c r="Z462" s="182"/>
      <c r="AA462" s="182"/>
      <c r="AB462" s="210"/>
      <c r="AC462" s="182"/>
      <c r="AD462" s="182"/>
      <c r="AE462" s="211"/>
    </row>
    <row r="463" spans="2:31" ht="17.25" customHeight="1">
      <c r="B463" s="180">
        <v>116</v>
      </c>
      <c r="C463" s="811"/>
      <c r="D463" s="765"/>
      <c r="E463" s="186" t="s">
        <v>10</v>
      </c>
      <c r="F463" s="187" t="str">
        <f t="shared" si="16"/>
        <v>IB31174</v>
      </c>
      <c r="G463" s="108" t="s">
        <v>1140</v>
      </c>
      <c r="H463" s="244"/>
      <c r="I463" s="244"/>
      <c r="J463" s="245"/>
      <c r="K463" s="190" t="s">
        <v>1513</v>
      </c>
      <c r="L463" s="209"/>
      <c r="M463" s="186" t="s">
        <v>11</v>
      </c>
      <c r="N463" s="195" t="str">
        <f t="shared" si="17"/>
        <v>OB31174</v>
      </c>
      <c r="O463" s="254"/>
      <c r="P463" s="255"/>
      <c r="Q463" s="255"/>
      <c r="R463" s="256"/>
      <c r="S463" s="190"/>
      <c r="T463" s="191"/>
      <c r="U463" s="909"/>
      <c r="V463" s="909"/>
      <c r="W463" s="187"/>
      <c r="X463" s="182"/>
      <c r="Y463" s="182"/>
      <c r="Z463" s="182"/>
      <c r="AA463" s="182"/>
      <c r="AB463" s="210"/>
      <c r="AC463" s="182"/>
      <c r="AD463" s="182"/>
      <c r="AE463" s="211"/>
    </row>
    <row r="464" spans="2:31" ht="17.25" customHeight="1">
      <c r="B464" s="180">
        <v>117</v>
      </c>
      <c r="C464" s="811"/>
      <c r="D464" s="765"/>
      <c r="E464" s="186" t="s">
        <v>10</v>
      </c>
      <c r="F464" s="187" t="str">
        <f t="shared" si="16"/>
        <v>IB31175</v>
      </c>
      <c r="G464" s="108" t="s">
        <v>1141</v>
      </c>
      <c r="H464" s="244"/>
      <c r="I464" s="244"/>
      <c r="J464" s="245"/>
      <c r="K464" s="190" t="s">
        <v>1513</v>
      </c>
      <c r="L464" s="209"/>
      <c r="M464" s="186" t="s">
        <v>11</v>
      </c>
      <c r="N464" s="195" t="str">
        <f t="shared" si="17"/>
        <v>OB31175</v>
      </c>
      <c r="O464" s="254"/>
      <c r="P464" s="255"/>
      <c r="Q464" s="255"/>
      <c r="R464" s="256"/>
      <c r="S464" s="190"/>
      <c r="T464" s="191"/>
      <c r="U464" s="909"/>
      <c r="V464" s="909"/>
      <c r="W464" s="187"/>
      <c r="X464" s="182"/>
      <c r="Y464" s="182"/>
      <c r="Z464" s="182"/>
      <c r="AA464" s="182"/>
      <c r="AB464" s="210"/>
      <c r="AC464" s="182"/>
      <c r="AD464" s="182"/>
      <c r="AE464" s="211"/>
    </row>
    <row r="465" spans="2:31" ht="17.25" customHeight="1">
      <c r="B465" s="180">
        <v>118</v>
      </c>
      <c r="C465" s="811"/>
      <c r="D465" s="765"/>
      <c r="E465" s="186" t="s">
        <v>10</v>
      </c>
      <c r="F465" s="187" t="str">
        <f t="shared" si="16"/>
        <v>IB31176</v>
      </c>
      <c r="G465" s="108" t="s">
        <v>1142</v>
      </c>
      <c r="H465" s="244"/>
      <c r="I465" s="244"/>
      <c r="J465" s="245"/>
      <c r="K465" s="190" t="s">
        <v>1513</v>
      </c>
      <c r="L465" s="209"/>
      <c r="M465" s="186" t="s">
        <v>11</v>
      </c>
      <c r="N465" s="195" t="str">
        <f t="shared" si="17"/>
        <v>OB31176</v>
      </c>
      <c r="O465" s="254"/>
      <c r="P465" s="255"/>
      <c r="Q465" s="255"/>
      <c r="R465" s="256"/>
      <c r="S465" s="190"/>
      <c r="T465" s="191"/>
      <c r="U465" s="909"/>
      <c r="V465" s="909"/>
      <c r="W465" s="187"/>
      <c r="X465" s="182"/>
      <c r="Y465" s="182"/>
      <c r="Z465" s="182"/>
      <c r="AA465" s="182"/>
      <c r="AB465" s="210"/>
      <c r="AC465" s="182"/>
      <c r="AD465" s="182"/>
      <c r="AE465" s="211"/>
    </row>
    <row r="466" spans="2:31" ht="17.25" customHeight="1">
      <c r="B466" s="180">
        <v>119</v>
      </c>
      <c r="C466" s="811"/>
      <c r="D466" s="765"/>
      <c r="E466" s="186" t="s">
        <v>10</v>
      </c>
      <c r="F466" s="187" t="str">
        <f t="shared" si="16"/>
        <v>IB31177</v>
      </c>
      <c r="G466" s="108" t="s">
        <v>1143</v>
      </c>
      <c r="H466" s="244"/>
      <c r="I466" s="244"/>
      <c r="J466" s="245"/>
      <c r="K466" s="190" t="s">
        <v>1513</v>
      </c>
      <c r="L466" s="209"/>
      <c r="M466" s="186" t="s">
        <v>11</v>
      </c>
      <c r="N466" s="195" t="str">
        <f t="shared" si="17"/>
        <v>OB31177</v>
      </c>
      <c r="O466" s="254"/>
      <c r="P466" s="255"/>
      <c r="Q466" s="255"/>
      <c r="R466" s="256"/>
      <c r="S466" s="190"/>
      <c r="T466" s="191"/>
      <c r="U466" s="909"/>
      <c r="V466" s="909"/>
      <c r="W466" s="187"/>
      <c r="X466" s="182"/>
      <c r="Y466" s="182"/>
      <c r="Z466" s="182"/>
      <c r="AA466" s="182"/>
      <c r="AB466" s="210"/>
      <c r="AC466" s="182"/>
      <c r="AD466" s="182"/>
      <c r="AE466" s="211"/>
    </row>
    <row r="467" spans="2:31" ht="17.25" customHeight="1">
      <c r="B467" s="180">
        <v>120</v>
      </c>
      <c r="C467" s="811"/>
      <c r="D467" s="765"/>
      <c r="E467" s="186" t="s">
        <v>10</v>
      </c>
      <c r="F467" s="187" t="str">
        <f t="shared" si="16"/>
        <v>IB31178</v>
      </c>
      <c r="G467" s="249" t="s">
        <v>1308</v>
      </c>
      <c r="H467" s="250"/>
      <c r="I467" s="250"/>
      <c r="J467" s="251"/>
      <c r="K467" s="190" t="s">
        <v>1513</v>
      </c>
      <c r="L467" s="209"/>
      <c r="M467" s="186" t="s">
        <v>11</v>
      </c>
      <c r="N467" s="195" t="str">
        <f t="shared" si="17"/>
        <v>OB31178</v>
      </c>
      <c r="O467" s="254"/>
      <c r="P467" s="255"/>
      <c r="Q467" s="255"/>
      <c r="R467" s="256"/>
      <c r="S467" s="190"/>
      <c r="T467" s="191"/>
      <c r="U467" s="909"/>
      <c r="V467" s="909"/>
      <c r="W467" s="187"/>
      <c r="X467" s="182"/>
      <c r="Y467" s="182"/>
      <c r="Z467" s="182"/>
      <c r="AA467" s="182"/>
      <c r="AB467" s="210"/>
      <c r="AC467" s="182"/>
      <c r="AD467" s="182"/>
      <c r="AE467" s="211"/>
    </row>
    <row r="468" spans="2:31" ht="17.25" customHeight="1">
      <c r="B468" s="180">
        <v>121</v>
      </c>
      <c r="C468" s="811"/>
      <c r="D468" s="765"/>
      <c r="E468" s="186" t="s">
        <v>10</v>
      </c>
      <c r="F468" s="187" t="str">
        <f t="shared" si="16"/>
        <v>IB31179</v>
      </c>
      <c r="G468" s="249" t="s">
        <v>1309</v>
      </c>
      <c r="H468" s="250"/>
      <c r="I468" s="250"/>
      <c r="J468" s="251"/>
      <c r="K468" s="190" t="s">
        <v>1513</v>
      </c>
      <c r="L468" s="209"/>
      <c r="M468" s="186" t="s">
        <v>11</v>
      </c>
      <c r="N468" s="195" t="str">
        <f t="shared" si="17"/>
        <v>OB31179</v>
      </c>
      <c r="O468" s="254"/>
      <c r="P468" s="255"/>
      <c r="Q468" s="255"/>
      <c r="R468" s="256"/>
      <c r="S468" s="190"/>
      <c r="T468" s="191"/>
      <c r="U468" s="909"/>
      <c r="V468" s="909"/>
      <c r="W468" s="187"/>
      <c r="X468" s="182"/>
      <c r="Y468" s="182"/>
      <c r="Z468" s="182"/>
      <c r="AA468" s="182"/>
      <c r="AB468" s="210"/>
      <c r="AC468" s="182"/>
      <c r="AD468" s="182"/>
      <c r="AE468" s="211"/>
    </row>
    <row r="469" spans="2:31" ht="17.25" customHeight="1">
      <c r="B469" s="180">
        <v>122</v>
      </c>
      <c r="C469" s="811"/>
      <c r="D469" s="765"/>
      <c r="E469" s="186" t="s">
        <v>10</v>
      </c>
      <c r="F469" s="187" t="str">
        <f t="shared" si="16"/>
        <v>IB3117A</v>
      </c>
      <c r="G469" s="249" t="s">
        <v>1310</v>
      </c>
      <c r="H469" s="250"/>
      <c r="I469" s="250"/>
      <c r="J469" s="251"/>
      <c r="K469" s="213" t="s">
        <v>1513</v>
      </c>
      <c r="L469" s="209"/>
      <c r="M469" s="186" t="s">
        <v>11</v>
      </c>
      <c r="N469" s="195" t="str">
        <f t="shared" si="17"/>
        <v>OB3117A</v>
      </c>
      <c r="O469" s="254"/>
      <c r="P469" s="255"/>
      <c r="Q469" s="255"/>
      <c r="R469" s="256"/>
      <c r="S469" s="190"/>
      <c r="T469" s="191"/>
      <c r="U469" s="909"/>
      <c r="V469" s="909"/>
      <c r="W469" s="187"/>
      <c r="X469" s="182"/>
      <c r="Y469" s="182"/>
      <c r="Z469" s="182"/>
      <c r="AA469" s="182"/>
      <c r="AB469" s="210"/>
      <c r="AC469" s="182"/>
      <c r="AD469" s="182"/>
      <c r="AE469" s="211"/>
    </row>
    <row r="470" spans="2:31" ht="17.25" customHeight="1">
      <c r="B470" s="180">
        <v>123</v>
      </c>
      <c r="C470" s="811"/>
      <c r="D470" s="765"/>
      <c r="E470" s="186" t="s">
        <v>10</v>
      </c>
      <c r="F470" s="187" t="str">
        <f t="shared" si="16"/>
        <v>IB3117B</v>
      </c>
      <c r="G470" s="249" t="s">
        <v>1311</v>
      </c>
      <c r="H470" s="250"/>
      <c r="I470" s="250"/>
      <c r="J470" s="251"/>
      <c r="K470" s="213" t="s">
        <v>1513</v>
      </c>
      <c r="L470" s="209"/>
      <c r="M470" s="186" t="s">
        <v>11</v>
      </c>
      <c r="N470" s="195" t="str">
        <f t="shared" si="17"/>
        <v>OB3117B</v>
      </c>
      <c r="O470" s="254"/>
      <c r="P470" s="255"/>
      <c r="Q470" s="255"/>
      <c r="R470" s="256"/>
      <c r="S470" s="190"/>
      <c r="T470" s="191"/>
      <c r="U470" s="909"/>
      <c r="V470" s="909"/>
      <c r="W470" s="187"/>
      <c r="X470" s="182"/>
      <c r="Y470" s="182"/>
      <c r="Z470" s="182"/>
      <c r="AA470" s="182"/>
      <c r="AB470" s="210"/>
      <c r="AC470" s="182"/>
      <c r="AD470" s="182"/>
      <c r="AE470" s="211"/>
    </row>
    <row r="471" spans="2:31" ht="17.25" customHeight="1">
      <c r="B471" s="180">
        <v>124</v>
      </c>
      <c r="C471" s="811"/>
      <c r="D471" s="765"/>
      <c r="E471" s="186" t="s">
        <v>10</v>
      </c>
      <c r="F471" s="187" t="str">
        <f t="shared" si="16"/>
        <v>IB3117C</v>
      </c>
      <c r="G471" s="108" t="s">
        <v>1132</v>
      </c>
      <c r="H471" s="250"/>
      <c r="I471" s="250"/>
      <c r="J471" s="251"/>
      <c r="K471" s="190" t="s">
        <v>1513</v>
      </c>
      <c r="L471" s="209"/>
      <c r="M471" s="186" t="s">
        <v>11</v>
      </c>
      <c r="N471" s="195" t="str">
        <f t="shared" si="17"/>
        <v>OB3117C</v>
      </c>
      <c r="O471" s="254"/>
      <c r="P471" s="255"/>
      <c r="Q471" s="255"/>
      <c r="R471" s="256"/>
      <c r="S471" s="190"/>
      <c r="T471" s="191"/>
      <c r="U471" s="909"/>
      <c r="V471" s="909"/>
      <c r="W471" s="187"/>
      <c r="X471" s="182"/>
      <c r="Y471" s="182"/>
      <c r="Z471" s="182"/>
      <c r="AA471" s="182"/>
      <c r="AB471" s="210"/>
      <c r="AC471" s="182"/>
      <c r="AD471" s="182"/>
      <c r="AE471" s="211"/>
    </row>
    <row r="472" spans="2:31" ht="17.25" customHeight="1">
      <c r="B472" s="180">
        <v>125</v>
      </c>
      <c r="C472" s="811"/>
      <c r="D472" s="765"/>
      <c r="E472" s="186" t="s">
        <v>10</v>
      </c>
      <c r="F472" s="187" t="str">
        <f t="shared" si="16"/>
        <v>IB3117D</v>
      </c>
      <c r="G472" s="108" t="s">
        <v>1133</v>
      </c>
      <c r="H472" s="250"/>
      <c r="I472" s="250"/>
      <c r="J472" s="251" t="s">
        <v>1514</v>
      </c>
      <c r="K472" s="190" t="s">
        <v>1513</v>
      </c>
      <c r="L472" s="209"/>
      <c r="M472" s="186" t="s">
        <v>11</v>
      </c>
      <c r="N472" s="195" t="str">
        <f t="shared" si="17"/>
        <v>OB3117D</v>
      </c>
      <c r="O472" s="254"/>
      <c r="P472" s="255"/>
      <c r="Q472" s="255"/>
      <c r="R472" s="256"/>
      <c r="S472" s="190"/>
      <c r="T472" s="191"/>
      <c r="U472" s="909"/>
      <c r="V472" s="909"/>
      <c r="W472" s="187"/>
      <c r="X472" s="182"/>
      <c r="Y472" s="182"/>
      <c r="Z472" s="182"/>
      <c r="AA472" s="182"/>
      <c r="AB472" s="210"/>
      <c r="AC472" s="182"/>
      <c r="AD472" s="182"/>
      <c r="AE472" s="211"/>
    </row>
    <row r="473" spans="2:31" ht="17.25" customHeight="1">
      <c r="B473" s="180">
        <v>126</v>
      </c>
      <c r="C473" s="811"/>
      <c r="D473" s="765"/>
      <c r="E473" s="186" t="s">
        <v>10</v>
      </c>
      <c r="F473" s="187" t="str">
        <f t="shared" si="16"/>
        <v>IB3117E</v>
      </c>
      <c r="G473" s="108" t="s">
        <v>1134</v>
      </c>
      <c r="H473" s="244"/>
      <c r="I473" s="244"/>
      <c r="J473" s="245"/>
      <c r="K473" s="190" t="s">
        <v>1513</v>
      </c>
      <c r="L473" s="209"/>
      <c r="M473" s="186" t="s">
        <v>11</v>
      </c>
      <c r="N473" s="195" t="str">
        <f t="shared" si="17"/>
        <v>OB3117E</v>
      </c>
      <c r="O473" s="254"/>
      <c r="P473" s="255"/>
      <c r="Q473" s="255"/>
      <c r="R473" s="256"/>
      <c r="S473" s="190"/>
      <c r="T473" s="191"/>
      <c r="U473" s="909"/>
      <c r="V473" s="909"/>
      <c r="W473" s="187"/>
      <c r="X473" s="182"/>
      <c r="Y473" s="182"/>
      <c r="Z473" s="182"/>
      <c r="AA473" s="182"/>
      <c r="AB473" s="210"/>
      <c r="AC473" s="182"/>
      <c r="AD473" s="182"/>
      <c r="AE473" s="211"/>
    </row>
    <row r="474" spans="2:31" ht="17.25" customHeight="1">
      <c r="B474" s="180">
        <v>127</v>
      </c>
      <c r="C474" s="928"/>
      <c r="D474" s="765"/>
      <c r="E474" s="186" t="s">
        <v>10</v>
      </c>
      <c r="F474" s="187" t="str">
        <f t="shared" si="16"/>
        <v>IB3117F</v>
      </c>
      <c r="G474" s="108" t="s">
        <v>1135</v>
      </c>
      <c r="H474" s="244"/>
      <c r="I474" s="244"/>
      <c r="J474" s="245"/>
      <c r="K474" s="190" t="s">
        <v>1513</v>
      </c>
      <c r="L474" s="209"/>
      <c r="M474" s="186" t="s">
        <v>11</v>
      </c>
      <c r="N474" s="195" t="str">
        <f t="shared" si="17"/>
        <v>OB3117F</v>
      </c>
      <c r="O474" s="254"/>
      <c r="P474" s="255"/>
      <c r="Q474" s="255"/>
      <c r="R474" s="256"/>
      <c r="S474" s="190"/>
      <c r="T474" s="191"/>
      <c r="U474" s="909"/>
      <c r="V474" s="909"/>
      <c r="W474" s="187"/>
      <c r="X474" s="182"/>
      <c r="Y474" s="182"/>
      <c r="Z474" s="182"/>
      <c r="AA474" s="182"/>
      <c r="AB474" s="210"/>
      <c r="AC474" s="182"/>
      <c r="AD474" s="182"/>
      <c r="AE474" s="211"/>
    </row>
    <row r="475" spans="2:31" ht="17.25" customHeight="1">
      <c r="B475" s="180">
        <v>128</v>
      </c>
      <c r="C475" s="927" t="s">
        <v>1567</v>
      </c>
      <c r="D475" s="940" t="s">
        <v>271</v>
      </c>
      <c r="E475" s="186" t="s">
        <v>10</v>
      </c>
      <c r="F475" s="187" t="str">
        <f t="shared" si="16"/>
        <v>IB31180</v>
      </c>
      <c r="G475" s="108" t="s">
        <v>1110</v>
      </c>
      <c r="H475" s="244"/>
      <c r="I475" s="244"/>
      <c r="J475" s="245"/>
      <c r="K475" s="190" t="s">
        <v>1513</v>
      </c>
      <c r="L475" s="209"/>
      <c r="M475" s="186" t="s">
        <v>11</v>
      </c>
      <c r="N475" s="195" t="str">
        <f t="shared" si="17"/>
        <v>OB31180</v>
      </c>
      <c r="O475" s="254"/>
      <c r="P475" s="255"/>
      <c r="Q475" s="255"/>
      <c r="R475" s="256"/>
      <c r="S475" s="190"/>
      <c r="T475" s="191"/>
      <c r="U475" s="909"/>
      <c r="V475" s="909"/>
      <c r="W475" s="187"/>
      <c r="X475" s="182"/>
      <c r="Y475" s="182"/>
      <c r="Z475" s="182"/>
      <c r="AA475" s="182"/>
      <c r="AB475" s="210"/>
      <c r="AC475" s="182"/>
      <c r="AD475" s="182"/>
      <c r="AE475" s="211"/>
    </row>
    <row r="476" spans="2:31" ht="17.25" customHeight="1">
      <c r="B476" s="180">
        <v>129</v>
      </c>
      <c r="C476" s="811"/>
      <c r="D476" s="765"/>
      <c r="E476" s="186" t="s">
        <v>10</v>
      </c>
      <c r="F476" s="187" t="str">
        <f t="shared" ref="F476:F539" si="18">LEFT(F475,1)&amp;DEC2HEX(HEX2DEC(MID(F475,2,LENB(F475)-1))+1,LENB(F475)-1)</f>
        <v>IB31181</v>
      </c>
      <c r="G476" s="108" t="s">
        <v>1111</v>
      </c>
      <c r="H476" s="244"/>
      <c r="I476" s="244"/>
      <c r="J476" s="245"/>
      <c r="K476" s="190" t="s">
        <v>1513</v>
      </c>
      <c r="L476" s="209"/>
      <c r="M476" s="186" t="s">
        <v>11</v>
      </c>
      <c r="N476" s="195" t="str">
        <f t="shared" si="17"/>
        <v>OB31181</v>
      </c>
      <c r="O476" s="254"/>
      <c r="P476" s="255"/>
      <c r="Q476" s="255"/>
      <c r="R476" s="256"/>
      <c r="S476" s="190"/>
      <c r="T476" s="191"/>
      <c r="U476" s="909"/>
      <c r="V476" s="909"/>
      <c r="W476" s="187"/>
      <c r="X476" s="182"/>
      <c r="Y476" s="182"/>
      <c r="Z476" s="182"/>
      <c r="AA476" s="182"/>
      <c r="AB476" s="210"/>
      <c r="AC476" s="182"/>
      <c r="AD476" s="182"/>
      <c r="AE476" s="211"/>
    </row>
    <row r="477" spans="2:31" ht="17.25" customHeight="1">
      <c r="B477" s="180">
        <v>130</v>
      </c>
      <c r="C477" s="811"/>
      <c r="D477" s="765"/>
      <c r="E477" s="186" t="s">
        <v>10</v>
      </c>
      <c r="F477" s="187" t="str">
        <f t="shared" si="18"/>
        <v>IB31182</v>
      </c>
      <c r="G477" s="108" t="s">
        <v>1112</v>
      </c>
      <c r="H477" s="244"/>
      <c r="I477" s="244"/>
      <c r="J477" s="245"/>
      <c r="K477" s="190" t="s">
        <v>1513</v>
      </c>
      <c r="L477" s="209"/>
      <c r="M477" s="186" t="s">
        <v>11</v>
      </c>
      <c r="N477" s="195" t="str">
        <f t="shared" si="17"/>
        <v>OB31182</v>
      </c>
      <c r="O477" s="254"/>
      <c r="P477" s="255"/>
      <c r="Q477" s="255"/>
      <c r="R477" s="256"/>
      <c r="S477" s="190"/>
      <c r="T477" s="191"/>
      <c r="U477" s="909"/>
      <c r="V477" s="909"/>
      <c r="W477" s="187"/>
      <c r="X477" s="182"/>
      <c r="Y477" s="182"/>
      <c r="Z477" s="182"/>
      <c r="AA477" s="182"/>
      <c r="AB477" s="210"/>
      <c r="AC477" s="182"/>
      <c r="AD477" s="182"/>
      <c r="AE477" s="211"/>
    </row>
    <row r="478" spans="2:31" ht="17.25" customHeight="1">
      <c r="B478" s="180">
        <v>131</v>
      </c>
      <c r="C478" s="811"/>
      <c r="D478" s="765"/>
      <c r="E478" s="186" t="s">
        <v>10</v>
      </c>
      <c r="F478" s="187" t="str">
        <f t="shared" si="18"/>
        <v>IB31183</v>
      </c>
      <c r="G478" s="108" t="s">
        <v>1113</v>
      </c>
      <c r="H478" s="244"/>
      <c r="I478" s="244"/>
      <c r="J478" s="245"/>
      <c r="K478" s="213" t="s">
        <v>1513</v>
      </c>
      <c r="L478" s="209"/>
      <c r="M478" s="186" t="s">
        <v>11</v>
      </c>
      <c r="N478" s="195" t="str">
        <f t="shared" si="17"/>
        <v>OB31183</v>
      </c>
      <c r="O478" s="254"/>
      <c r="P478" s="255"/>
      <c r="Q478" s="255"/>
      <c r="R478" s="256"/>
      <c r="S478" s="190"/>
      <c r="T478" s="191"/>
      <c r="U478" s="909"/>
      <c r="V478" s="909"/>
      <c r="W478" s="187"/>
      <c r="X478" s="182"/>
      <c r="Y478" s="182"/>
      <c r="Z478" s="182"/>
      <c r="AA478" s="182"/>
      <c r="AB478" s="210"/>
      <c r="AC478" s="182"/>
      <c r="AD478" s="182"/>
      <c r="AE478" s="211"/>
    </row>
    <row r="479" spans="2:31" ht="17.25" customHeight="1">
      <c r="B479" s="180">
        <v>132</v>
      </c>
      <c r="C479" s="811"/>
      <c r="D479" s="765"/>
      <c r="E479" s="186" t="s">
        <v>10</v>
      </c>
      <c r="F479" s="187" t="str">
        <f t="shared" si="18"/>
        <v>IB31184</v>
      </c>
      <c r="G479" s="108" t="s">
        <v>1114</v>
      </c>
      <c r="H479" s="244"/>
      <c r="I479" s="244"/>
      <c r="J479" s="245"/>
      <c r="K479" s="213" t="s">
        <v>1513</v>
      </c>
      <c r="L479" s="209"/>
      <c r="M479" s="186" t="s">
        <v>11</v>
      </c>
      <c r="N479" s="195" t="str">
        <f t="shared" si="17"/>
        <v>OB31184</v>
      </c>
      <c r="O479" s="254"/>
      <c r="P479" s="255"/>
      <c r="Q479" s="255"/>
      <c r="R479" s="256"/>
      <c r="S479" s="190"/>
      <c r="T479" s="191"/>
      <c r="U479" s="909"/>
      <c r="V479" s="909"/>
      <c r="W479" s="187"/>
      <c r="X479" s="182"/>
      <c r="Y479" s="182"/>
      <c r="Z479" s="182"/>
      <c r="AA479" s="182"/>
      <c r="AB479" s="210"/>
      <c r="AC479" s="182"/>
      <c r="AD479" s="182"/>
      <c r="AE479" s="211"/>
    </row>
    <row r="480" spans="2:31" ht="17.25" customHeight="1">
      <c r="B480" s="180">
        <v>133</v>
      </c>
      <c r="C480" s="811"/>
      <c r="D480" s="765"/>
      <c r="E480" s="186" t="s">
        <v>10</v>
      </c>
      <c r="F480" s="187" t="str">
        <f t="shared" si="18"/>
        <v>IB31185</v>
      </c>
      <c r="G480" s="108" t="s">
        <v>1115</v>
      </c>
      <c r="H480" s="244"/>
      <c r="I480" s="244"/>
      <c r="J480" s="245"/>
      <c r="K480" s="213" t="s">
        <v>1513</v>
      </c>
      <c r="L480" s="209"/>
      <c r="M480" s="186" t="s">
        <v>11</v>
      </c>
      <c r="N480" s="195" t="str">
        <f t="shared" si="17"/>
        <v>OB31185</v>
      </c>
      <c r="O480" s="254"/>
      <c r="P480" s="255"/>
      <c r="Q480" s="255"/>
      <c r="R480" s="256"/>
      <c r="S480" s="190"/>
      <c r="T480" s="191"/>
      <c r="U480" s="909"/>
      <c r="V480" s="909"/>
      <c r="W480" s="187"/>
      <c r="X480" s="182"/>
      <c r="Y480" s="182"/>
      <c r="Z480" s="182"/>
      <c r="AA480" s="182"/>
      <c r="AB480" s="210"/>
      <c r="AC480" s="182"/>
      <c r="AD480" s="182"/>
      <c r="AE480" s="211"/>
    </row>
    <row r="481" spans="2:31" ht="17.25" customHeight="1">
      <c r="B481" s="180">
        <v>134</v>
      </c>
      <c r="C481" s="811"/>
      <c r="D481" s="765"/>
      <c r="E481" s="186" t="s">
        <v>10</v>
      </c>
      <c r="F481" s="187" t="str">
        <f t="shared" si="18"/>
        <v>IB31186</v>
      </c>
      <c r="G481" s="108" t="s">
        <v>1116</v>
      </c>
      <c r="H481" s="244"/>
      <c r="I481" s="244"/>
      <c r="J481" s="245"/>
      <c r="K481" s="213" t="s">
        <v>1513</v>
      </c>
      <c r="L481" s="209"/>
      <c r="M481" s="186" t="s">
        <v>11</v>
      </c>
      <c r="N481" s="195" t="str">
        <f t="shared" si="17"/>
        <v>OB31186</v>
      </c>
      <c r="O481" s="254"/>
      <c r="P481" s="255"/>
      <c r="Q481" s="255"/>
      <c r="R481" s="256"/>
      <c r="S481" s="190"/>
      <c r="T481" s="191"/>
      <c r="U481" s="909"/>
      <c r="V481" s="909"/>
      <c r="W481" s="187"/>
      <c r="X481" s="182"/>
      <c r="Y481" s="182"/>
      <c r="Z481" s="182"/>
      <c r="AA481" s="182"/>
      <c r="AB481" s="210"/>
      <c r="AC481" s="182"/>
      <c r="AD481" s="182"/>
      <c r="AE481" s="211"/>
    </row>
    <row r="482" spans="2:31" ht="17.25" customHeight="1">
      <c r="B482" s="180">
        <v>135</v>
      </c>
      <c r="C482" s="811"/>
      <c r="D482" s="765"/>
      <c r="E482" s="186" t="s">
        <v>10</v>
      </c>
      <c r="F482" s="187" t="str">
        <f t="shared" si="18"/>
        <v>IB31187</v>
      </c>
      <c r="G482" s="108" t="s">
        <v>1117</v>
      </c>
      <c r="H482" s="244"/>
      <c r="I482" s="244"/>
      <c r="J482" s="245"/>
      <c r="K482" s="213" t="s">
        <v>1513</v>
      </c>
      <c r="L482" s="209"/>
      <c r="M482" s="186" t="s">
        <v>11</v>
      </c>
      <c r="N482" s="195" t="str">
        <f t="shared" si="17"/>
        <v>OB31187</v>
      </c>
      <c r="O482" s="254"/>
      <c r="P482" s="255"/>
      <c r="Q482" s="255"/>
      <c r="R482" s="256"/>
      <c r="S482" s="190"/>
      <c r="T482" s="191"/>
      <c r="U482" s="909"/>
      <c r="V482" s="909"/>
      <c r="W482" s="187"/>
      <c r="X482" s="182"/>
      <c r="Y482" s="182"/>
      <c r="Z482" s="182"/>
      <c r="AA482" s="182"/>
      <c r="AB482" s="210"/>
      <c r="AC482" s="182"/>
      <c r="AD482" s="182"/>
      <c r="AE482" s="211"/>
    </row>
    <row r="483" spans="2:31" ht="17.25" customHeight="1">
      <c r="B483" s="180">
        <v>136</v>
      </c>
      <c r="C483" s="811"/>
      <c r="D483" s="765"/>
      <c r="E483" s="186" t="s">
        <v>10</v>
      </c>
      <c r="F483" s="187" t="str">
        <f t="shared" si="18"/>
        <v>IB31188</v>
      </c>
      <c r="G483" s="108" t="s">
        <v>1118</v>
      </c>
      <c r="H483" s="244"/>
      <c r="I483" s="244"/>
      <c r="J483" s="245"/>
      <c r="K483" s="213" t="s">
        <v>1513</v>
      </c>
      <c r="L483" s="209"/>
      <c r="M483" s="186" t="s">
        <v>11</v>
      </c>
      <c r="N483" s="195" t="str">
        <f t="shared" si="17"/>
        <v>OB31188</v>
      </c>
      <c r="O483" s="254"/>
      <c r="P483" s="255"/>
      <c r="Q483" s="255"/>
      <c r="R483" s="256"/>
      <c r="S483" s="190"/>
      <c r="T483" s="191"/>
      <c r="U483" s="909"/>
      <c r="V483" s="909"/>
      <c r="W483" s="187"/>
      <c r="X483" s="182"/>
      <c r="Y483" s="182"/>
      <c r="Z483" s="182"/>
      <c r="AA483" s="182"/>
      <c r="AB483" s="210"/>
      <c r="AC483" s="182"/>
      <c r="AD483" s="182"/>
      <c r="AE483" s="211"/>
    </row>
    <row r="484" spans="2:31" ht="17.25" customHeight="1">
      <c r="B484" s="180">
        <v>137</v>
      </c>
      <c r="C484" s="811"/>
      <c r="D484" s="765"/>
      <c r="E484" s="186" t="s">
        <v>10</v>
      </c>
      <c r="F484" s="187" t="str">
        <f t="shared" si="18"/>
        <v>IB31189</v>
      </c>
      <c r="G484" s="108" t="s">
        <v>1119</v>
      </c>
      <c r="H484" s="244"/>
      <c r="I484" s="244"/>
      <c r="J484" s="245"/>
      <c r="K484" s="213" t="s">
        <v>1513</v>
      </c>
      <c r="L484" s="209"/>
      <c r="M484" s="186" t="s">
        <v>11</v>
      </c>
      <c r="N484" s="195" t="str">
        <f t="shared" si="17"/>
        <v>OB31189</v>
      </c>
      <c r="O484" s="254"/>
      <c r="P484" s="255"/>
      <c r="Q484" s="255"/>
      <c r="R484" s="256"/>
      <c r="S484" s="190"/>
      <c r="T484" s="191"/>
      <c r="U484" s="909"/>
      <c r="V484" s="909"/>
      <c r="W484" s="187"/>
      <c r="X484" s="182"/>
      <c r="Y484" s="182"/>
      <c r="Z484" s="182"/>
      <c r="AA484" s="182"/>
      <c r="AB484" s="210"/>
      <c r="AC484" s="182"/>
      <c r="AD484" s="182"/>
      <c r="AE484" s="211"/>
    </row>
    <row r="485" spans="2:31" ht="17.25" customHeight="1">
      <c r="B485" s="180">
        <v>138</v>
      </c>
      <c r="C485" s="811"/>
      <c r="D485" s="765"/>
      <c r="E485" s="186" t="s">
        <v>10</v>
      </c>
      <c r="F485" s="187" t="str">
        <f t="shared" si="18"/>
        <v>IB3118A</v>
      </c>
      <c r="G485" s="108" t="s">
        <v>1120</v>
      </c>
      <c r="H485" s="244"/>
      <c r="I485" s="244"/>
      <c r="J485" s="245"/>
      <c r="K485" s="213" t="s">
        <v>1513</v>
      </c>
      <c r="L485" s="209"/>
      <c r="M485" s="186" t="s">
        <v>11</v>
      </c>
      <c r="N485" s="195" t="str">
        <f t="shared" si="17"/>
        <v>OB3118A</v>
      </c>
      <c r="O485" s="254"/>
      <c r="P485" s="255"/>
      <c r="Q485" s="255"/>
      <c r="R485" s="256"/>
      <c r="S485" s="190"/>
      <c r="T485" s="191"/>
      <c r="U485" s="909"/>
      <c r="V485" s="909"/>
      <c r="W485" s="187"/>
      <c r="X485" s="182"/>
      <c r="Y485" s="182"/>
      <c r="Z485" s="182"/>
      <c r="AA485" s="182"/>
      <c r="AB485" s="210"/>
      <c r="AC485" s="182"/>
      <c r="AD485" s="182"/>
      <c r="AE485" s="211"/>
    </row>
    <row r="486" spans="2:31" ht="17.25" customHeight="1">
      <c r="B486" s="180">
        <v>139</v>
      </c>
      <c r="C486" s="811"/>
      <c r="D486" s="765"/>
      <c r="E486" s="186" t="s">
        <v>10</v>
      </c>
      <c r="F486" s="187" t="str">
        <f t="shared" si="18"/>
        <v>IB3118B</v>
      </c>
      <c r="G486" s="108" t="s">
        <v>1121</v>
      </c>
      <c r="H486" s="244"/>
      <c r="I486" s="244"/>
      <c r="J486" s="245"/>
      <c r="K486" s="213" t="s">
        <v>1513</v>
      </c>
      <c r="L486" s="209"/>
      <c r="M486" s="186" t="s">
        <v>11</v>
      </c>
      <c r="N486" s="195" t="str">
        <f t="shared" si="17"/>
        <v>OB3118B</v>
      </c>
      <c r="O486" s="254"/>
      <c r="P486" s="255"/>
      <c r="Q486" s="255"/>
      <c r="R486" s="256"/>
      <c r="S486" s="190"/>
      <c r="T486" s="191"/>
      <c r="U486" s="909"/>
      <c r="V486" s="909"/>
      <c r="W486" s="187"/>
      <c r="X486" s="182"/>
      <c r="Y486" s="182"/>
      <c r="Z486" s="182"/>
      <c r="AA486" s="182"/>
      <c r="AB486" s="210"/>
      <c r="AC486" s="182"/>
      <c r="AD486" s="182"/>
      <c r="AE486" s="211"/>
    </row>
    <row r="487" spans="2:31" ht="17.25" customHeight="1">
      <c r="B487" s="180">
        <v>140</v>
      </c>
      <c r="C487" s="811"/>
      <c r="D487" s="765"/>
      <c r="E487" s="186" t="s">
        <v>10</v>
      </c>
      <c r="F487" s="187" t="str">
        <f t="shared" si="18"/>
        <v>IB3118C</v>
      </c>
      <c r="G487" s="108" t="s">
        <v>1122</v>
      </c>
      <c r="H487" s="244"/>
      <c r="I487" s="244"/>
      <c r="J487" s="245"/>
      <c r="K487" s="213" t="s">
        <v>1513</v>
      </c>
      <c r="L487" s="209"/>
      <c r="M487" s="186" t="s">
        <v>11</v>
      </c>
      <c r="N487" s="195" t="str">
        <f t="shared" si="17"/>
        <v>OB3118C</v>
      </c>
      <c r="O487" s="254"/>
      <c r="P487" s="255"/>
      <c r="Q487" s="255"/>
      <c r="R487" s="256"/>
      <c r="S487" s="190"/>
      <c r="T487" s="191"/>
      <c r="U487" s="909"/>
      <c r="V487" s="909"/>
      <c r="W487" s="187"/>
      <c r="X487" s="182"/>
      <c r="Y487" s="182"/>
      <c r="Z487" s="182"/>
      <c r="AA487" s="182"/>
      <c r="AB487" s="210"/>
      <c r="AC487" s="182"/>
      <c r="AD487" s="182"/>
      <c r="AE487" s="211"/>
    </row>
    <row r="488" spans="2:31" ht="17.25" customHeight="1">
      <c r="B488" s="180">
        <v>141</v>
      </c>
      <c r="C488" s="811"/>
      <c r="D488" s="765"/>
      <c r="E488" s="186" t="s">
        <v>10</v>
      </c>
      <c r="F488" s="187" t="str">
        <f t="shared" si="18"/>
        <v>IB3118D</v>
      </c>
      <c r="G488" s="108" t="s">
        <v>1123</v>
      </c>
      <c r="H488" s="244"/>
      <c r="I488" s="244"/>
      <c r="J488" s="245"/>
      <c r="K488" s="213" t="s">
        <v>1513</v>
      </c>
      <c r="L488" s="209"/>
      <c r="M488" s="186" t="s">
        <v>11</v>
      </c>
      <c r="N488" s="195" t="str">
        <f t="shared" si="17"/>
        <v>OB3118D</v>
      </c>
      <c r="O488" s="254"/>
      <c r="P488" s="255"/>
      <c r="Q488" s="255"/>
      <c r="R488" s="256"/>
      <c r="S488" s="190"/>
      <c r="T488" s="191"/>
      <c r="U488" s="909"/>
      <c r="V488" s="909"/>
      <c r="W488" s="187"/>
      <c r="X488" s="182"/>
      <c r="Y488" s="182"/>
      <c r="Z488" s="182"/>
      <c r="AA488" s="182"/>
      <c r="AB488" s="210"/>
      <c r="AC488" s="182"/>
      <c r="AD488" s="182"/>
      <c r="AE488" s="211"/>
    </row>
    <row r="489" spans="2:31" ht="17.25" customHeight="1">
      <c r="B489" s="180">
        <v>142</v>
      </c>
      <c r="C489" s="811"/>
      <c r="D489" s="765"/>
      <c r="E489" s="186" t="s">
        <v>10</v>
      </c>
      <c r="F489" s="187" t="str">
        <f t="shared" si="18"/>
        <v>IB3118E</v>
      </c>
      <c r="G489" s="249"/>
      <c r="H489" s="250"/>
      <c r="I489" s="250"/>
      <c r="J489" s="251"/>
      <c r="K489" s="190"/>
      <c r="L489" s="209"/>
      <c r="M489" s="186" t="s">
        <v>11</v>
      </c>
      <c r="N489" s="195" t="str">
        <f t="shared" si="17"/>
        <v>OB3118E</v>
      </c>
      <c r="O489" s="254"/>
      <c r="P489" s="255"/>
      <c r="Q489" s="255"/>
      <c r="R489" s="256"/>
      <c r="S489" s="190"/>
      <c r="T489" s="191"/>
      <c r="U489" s="909"/>
      <c r="V489" s="909"/>
      <c r="W489" s="187"/>
      <c r="X489" s="182"/>
      <c r="Y489" s="182"/>
      <c r="Z489" s="182"/>
      <c r="AA489" s="182"/>
      <c r="AB489" s="210"/>
      <c r="AC489" s="182"/>
      <c r="AD489" s="182"/>
      <c r="AE489" s="211"/>
    </row>
    <row r="490" spans="2:31" ht="17.25" customHeight="1">
      <c r="B490" s="180">
        <v>143</v>
      </c>
      <c r="C490" s="928"/>
      <c r="D490" s="765"/>
      <c r="E490" s="186" t="s">
        <v>10</v>
      </c>
      <c r="F490" s="187" t="str">
        <f t="shared" si="18"/>
        <v>IB3118F</v>
      </c>
      <c r="G490" s="243"/>
      <c r="H490" s="244"/>
      <c r="I490" s="244"/>
      <c r="J490" s="245"/>
      <c r="K490" s="216"/>
      <c r="L490" s="209"/>
      <c r="M490" s="186" t="s">
        <v>11</v>
      </c>
      <c r="N490" s="195" t="str">
        <f t="shared" si="17"/>
        <v>OB3118F</v>
      </c>
      <c r="O490" s="254"/>
      <c r="P490" s="255"/>
      <c r="Q490" s="255"/>
      <c r="R490" s="256"/>
      <c r="S490" s="190"/>
      <c r="T490" s="191"/>
      <c r="U490" s="909"/>
      <c r="V490" s="909"/>
      <c r="W490" s="187"/>
      <c r="X490" s="182"/>
      <c r="Y490" s="182"/>
      <c r="Z490" s="182"/>
      <c r="AA490" s="182"/>
      <c r="AB490" s="210"/>
      <c r="AC490" s="182"/>
      <c r="AD490" s="182"/>
      <c r="AE490" s="211"/>
    </row>
    <row r="491" spans="2:31" ht="17.25" customHeight="1">
      <c r="B491" s="180">
        <v>144</v>
      </c>
      <c r="C491" s="925" t="s">
        <v>1568</v>
      </c>
      <c r="D491" s="940" t="s">
        <v>271</v>
      </c>
      <c r="E491" s="186" t="s">
        <v>10</v>
      </c>
      <c r="F491" s="187" t="str">
        <f t="shared" si="18"/>
        <v>IB31190</v>
      </c>
      <c r="G491" s="271"/>
      <c r="H491" s="272"/>
      <c r="I491" s="272"/>
      <c r="J491" s="273"/>
      <c r="K491" s="190"/>
      <c r="L491" s="209"/>
      <c r="M491" s="186" t="s">
        <v>11</v>
      </c>
      <c r="N491" s="195" t="str">
        <f t="shared" si="17"/>
        <v>OB31190</v>
      </c>
      <c r="O491" s="463" t="s">
        <v>1046</v>
      </c>
      <c r="P491" s="250"/>
      <c r="Q491" s="250"/>
      <c r="R491" s="251"/>
      <c r="S491" s="190" t="s">
        <v>1513</v>
      </c>
      <c r="T491" s="191"/>
      <c r="U491" s="909"/>
      <c r="V491" s="909"/>
      <c r="W491" s="187"/>
      <c r="X491" s="182"/>
      <c r="Y491" s="182"/>
      <c r="Z491" s="182"/>
      <c r="AA491" s="182"/>
      <c r="AB491" s="210"/>
      <c r="AC491" s="182"/>
      <c r="AD491" s="182"/>
      <c r="AE491" s="211"/>
    </row>
    <row r="492" spans="2:31" ht="17.25" customHeight="1">
      <c r="B492" s="180">
        <v>145</v>
      </c>
      <c r="C492" s="816"/>
      <c r="D492" s="765"/>
      <c r="E492" s="186" t="s">
        <v>10</v>
      </c>
      <c r="F492" s="187" t="str">
        <f t="shared" si="18"/>
        <v>IB31191</v>
      </c>
      <c r="G492" s="271"/>
      <c r="H492" s="272"/>
      <c r="I492" s="272"/>
      <c r="J492" s="273"/>
      <c r="K492" s="190"/>
      <c r="L492" s="209"/>
      <c r="M492" s="186" t="s">
        <v>11</v>
      </c>
      <c r="N492" s="195" t="str">
        <f t="shared" si="17"/>
        <v>OB31191</v>
      </c>
      <c r="O492" s="463" t="s">
        <v>1047</v>
      </c>
      <c r="P492" s="250"/>
      <c r="Q492" s="250"/>
      <c r="R492" s="251"/>
      <c r="S492" s="190" t="s">
        <v>1513</v>
      </c>
      <c r="T492" s="191"/>
      <c r="U492" s="909"/>
      <c r="V492" s="909"/>
      <c r="W492" s="187"/>
      <c r="X492" s="182"/>
      <c r="Y492" s="182"/>
      <c r="Z492" s="182"/>
      <c r="AA492" s="182"/>
      <c r="AB492" s="210"/>
      <c r="AC492" s="182"/>
      <c r="AD492" s="182"/>
      <c r="AE492" s="211"/>
    </row>
    <row r="493" spans="2:31" ht="17.25" customHeight="1">
      <c r="B493" s="180">
        <v>146</v>
      </c>
      <c r="C493" s="816"/>
      <c r="D493" s="765"/>
      <c r="E493" s="186" t="s">
        <v>10</v>
      </c>
      <c r="F493" s="187" t="str">
        <f t="shared" si="18"/>
        <v>IB31192</v>
      </c>
      <c r="G493" s="271"/>
      <c r="H493" s="272"/>
      <c r="I493" s="272"/>
      <c r="J493" s="273"/>
      <c r="K493" s="190"/>
      <c r="L493" s="209"/>
      <c r="M493" s="186" t="s">
        <v>11</v>
      </c>
      <c r="N493" s="195" t="str">
        <f t="shared" si="17"/>
        <v>OB31192</v>
      </c>
      <c r="O493" s="463" t="s">
        <v>1048</v>
      </c>
      <c r="P493" s="250"/>
      <c r="Q493" s="250"/>
      <c r="R493" s="251"/>
      <c r="S493" s="190" t="s">
        <v>1513</v>
      </c>
      <c r="T493" s="191"/>
      <c r="U493" s="909"/>
      <c r="V493" s="909"/>
      <c r="W493" s="187"/>
      <c r="X493" s="182"/>
      <c r="Y493" s="182"/>
      <c r="Z493" s="182"/>
      <c r="AA493" s="182"/>
      <c r="AB493" s="210"/>
      <c r="AC493" s="182"/>
      <c r="AD493" s="182"/>
      <c r="AE493" s="211"/>
    </row>
    <row r="494" spans="2:31" ht="17.25" customHeight="1">
      <c r="B494" s="180">
        <v>147</v>
      </c>
      <c r="C494" s="816"/>
      <c r="D494" s="765"/>
      <c r="E494" s="186" t="s">
        <v>10</v>
      </c>
      <c r="F494" s="187" t="str">
        <f t="shared" si="18"/>
        <v>IB31193</v>
      </c>
      <c r="G494" s="271"/>
      <c r="H494" s="272"/>
      <c r="I494" s="272"/>
      <c r="J494" s="273"/>
      <c r="K494" s="190"/>
      <c r="L494" s="209"/>
      <c r="M494" s="186" t="s">
        <v>11</v>
      </c>
      <c r="N494" s="195" t="str">
        <f t="shared" si="17"/>
        <v>OB31193</v>
      </c>
      <c r="O494" s="463" t="s">
        <v>1049</v>
      </c>
      <c r="P494" s="250"/>
      <c r="Q494" s="250"/>
      <c r="R494" s="251"/>
      <c r="S494" s="190" t="s">
        <v>1513</v>
      </c>
      <c r="T494" s="191"/>
      <c r="U494" s="909"/>
      <c r="V494" s="909"/>
      <c r="W494" s="187"/>
      <c r="X494" s="182"/>
      <c r="Y494" s="182"/>
      <c r="Z494" s="182"/>
      <c r="AA494" s="182"/>
      <c r="AB494" s="210"/>
      <c r="AC494" s="182"/>
      <c r="AD494" s="182"/>
      <c r="AE494" s="211"/>
    </row>
    <row r="495" spans="2:31" ht="17.25" customHeight="1">
      <c r="B495" s="180">
        <v>148</v>
      </c>
      <c r="C495" s="816"/>
      <c r="D495" s="765"/>
      <c r="E495" s="186" t="s">
        <v>10</v>
      </c>
      <c r="F495" s="187" t="str">
        <f t="shared" si="18"/>
        <v>IB31194</v>
      </c>
      <c r="G495" s="271"/>
      <c r="H495" s="272"/>
      <c r="I495" s="272"/>
      <c r="J495" s="273"/>
      <c r="K495" s="190"/>
      <c r="L495" s="209"/>
      <c r="M495" s="186" t="s">
        <v>11</v>
      </c>
      <c r="N495" s="195" t="str">
        <f t="shared" si="17"/>
        <v>OB31194</v>
      </c>
      <c r="O495" s="463" t="s">
        <v>1050</v>
      </c>
      <c r="P495" s="250"/>
      <c r="Q495" s="250"/>
      <c r="R495" s="251"/>
      <c r="S495" s="190" t="s">
        <v>1513</v>
      </c>
      <c r="T495" s="191"/>
      <c r="U495" s="909"/>
      <c r="V495" s="909"/>
      <c r="W495" s="187"/>
      <c r="X495" s="182"/>
      <c r="Y495" s="182"/>
      <c r="Z495" s="182"/>
      <c r="AA495" s="182"/>
      <c r="AB495" s="210"/>
      <c r="AC495" s="182"/>
      <c r="AD495" s="182"/>
      <c r="AE495" s="211"/>
    </row>
    <row r="496" spans="2:31" ht="17.25" customHeight="1">
      <c r="B496" s="180">
        <v>149</v>
      </c>
      <c r="C496" s="816"/>
      <c r="D496" s="765"/>
      <c r="E496" s="186" t="s">
        <v>10</v>
      </c>
      <c r="F496" s="187" t="str">
        <f t="shared" si="18"/>
        <v>IB31195</v>
      </c>
      <c r="G496" s="271"/>
      <c r="H496" s="272"/>
      <c r="I496" s="272"/>
      <c r="J496" s="273"/>
      <c r="K496" s="190"/>
      <c r="L496" s="209"/>
      <c r="M496" s="186" t="s">
        <v>11</v>
      </c>
      <c r="N496" s="195" t="str">
        <f t="shared" si="17"/>
        <v>OB31195</v>
      </c>
      <c r="O496" s="463" t="s">
        <v>1051</v>
      </c>
      <c r="P496" s="250"/>
      <c r="Q496" s="250"/>
      <c r="R496" s="251"/>
      <c r="S496" s="190" t="s">
        <v>1513</v>
      </c>
      <c r="T496" s="191"/>
      <c r="U496" s="909"/>
      <c r="V496" s="909"/>
      <c r="W496" s="187"/>
      <c r="X496" s="182"/>
      <c r="Y496" s="182"/>
      <c r="Z496" s="182"/>
      <c r="AA496" s="182"/>
      <c r="AB496" s="210"/>
      <c r="AC496" s="182"/>
      <c r="AD496" s="182"/>
      <c r="AE496" s="211"/>
    </row>
    <row r="497" spans="2:31" ht="17.25" customHeight="1">
      <c r="B497" s="180">
        <v>150</v>
      </c>
      <c r="C497" s="816"/>
      <c r="D497" s="765"/>
      <c r="E497" s="186" t="s">
        <v>10</v>
      </c>
      <c r="F497" s="187" t="str">
        <f t="shared" si="18"/>
        <v>IB31196</v>
      </c>
      <c r="G497" s="271"/>
      <c r="H497" s="272"/>
      <c r="I497" s="272"/>
      <c r="J497" s="273"/>
      <c r="K497" s="190"/>
      <c r="L497" s="209"/>
      <c r="M497" s="186" t="s">
        <v>11</v>
      </c>
      <c r="N497" s="195" t="str">
        <f t="shared" si="17"/>
        <v>OB31196</v>
      </c>
      <c r="O497" s="463" t="s">
        <v>1052</v>
      </c>
      <c r="P497" s="250"/>
      <c r="Q497" s="250"/>
      <c r="R497" s="251"/>
      <c r="S497" s="190" t="s">
        <v>1513</v>
      </c>
      <c r="T497" s="191"/>
      <c r="U497" s="909"/>
      <c r="V497" s="909"/>
      <c r="W497" s="187"/>
      <c r="X497" s="182"/>
      <c r="Y497" s="182"/>
      <c r="Z497" s="182"/>
      <c r="AA497" s="182"/>
      <c r="AB497" s="210"/>
      <c r="AC497" s="182"/>
      <c r="AD497" s="182"/>
      <c r="AE497" s="211"/>
    </row>
    <row r="498" spans="2:31" ht="17.25" customHeight="1">
      <c r="B498" s="180">
        <v>151</v>
      </c>
      <c r="C498" s="816"/>
      <c r="D498" s="765"/>
      <c r="E498" s="186" t="s">
        <v>10</v>
      </c>
      <c r="F498" s="187" t="str">
        <f t="shared" si="18"/>
        <v>IB31197</v>
      </c>
      <c r="G498" s="271"/>
      <c r="H498" s="272"/>
      <c r="I498" s="272"/>
      <c r="J498" s="273"/>
      <c r="K498" s="190"/>
      <c r="L498" s="209"/>
      <c r="M498" s="186" t="s">
        <v>11</v>
      </c>
      <c r="N498" s="195" t="str">
        <f t="shared" si="17"/>
        <v>OB31197</v>
      </c>
      <c r="O498" s="463" t="s">
        <v>1053</v>
      </c>
      <c r="P498" s="250"/>
      <c r="Q498" s="250"/>
      <c r="R498" s="251"/>
      <c r="S498" s="190" t="s">
        <v>1513</v>
      </c>
      <c r="T498" s="191"/>
      <c r="U498" s="909"/>
      <c r="V498" s="909"/>
      <c r="W498" s="187"/>
      <c r="X498" s="182"/>
      <c r="Y498" s="182"/>
      <c r="Z498" s="182"/>
      <c r="AA498" s="182"/>
      <c r="AB498" s="210"/>
      <c r="AC498" s="182"/>
      <c r="AD498" s="182"/>
      <c r="AE498" s="211"/>
    </row>
    <row r="499" spans="2:31" ht="17.25" customHeight="1">
      <c r="B499" s="180">
        <v>152</v>
      </c>
      <c r="C499" s="816"/>
      <c r="D499" s="765"/>
      <c r="E499" s="186" t="s">
        <v>10</v>
      </c>
      <c r="F499" s="187" t="str">
        <f t="shared" si="18"/>
        <v>IB31198</v>
      </c>
      <c r="G499" s="271"/>
      <c r="H499" s="272"/>
      <c r="I499" s="272"/>
      <c r="J499" s="273"/>
      <c r="K499" s="213"/>
      <c r="L499" s="209"/>
      <c r="M499" s="186" t="s">
        <v>11</v>
      </c>
      <c r="N499" s="195" t="str">
        <f t="shared" si="17"/>
        <v>OB31198</v>
      </c>
      <c r="O499" s="463" t="s">
        <v>1054</v>
      </c>
      <c r="P499" s="250"/>
      <c r="Q499" s="250"/>
      <c r="R499" s="251"/>
      <c r="S499" s="190" t="s">
        <v>1513</v>
      </c>
      <c r="T499" s="191"/>
      <c r="U499" s="909"/>
      <c r="V499" s="909"/>
      <c r="W499" s="187"/>
      <c r="X499" s="182"/>
      <c r="Y499" s="182"/>
      <c r="Z499" s="182"/>
      <c r="AA499" s="182"/>
      <c r="AB499" s="210"/>
      <c r="AC499" s="182"/>
      <c r="AD499" s="182"/>
      <c r="AE499" s="211"/>
    </row>
    <row r="500" spans="2:31" ht="17.25" customHeight="1">
      <c r="B500" s="180">
        <v>153</v>
      </c>
      <c r="C500" s="816"/>
      <c r="D500" s="765"/>
      <c r="E500" s="186" t="s">
        <v>10</v>
      </c>
      <c r="F500" s="187" t="str">
        <f t="shared" si="18"/>
        <v>IB31199</v>
      </c>
      <c r="G500" s="271"/>
      <c r="H500" s="272"/>
      <c r="I500" s="272"/>
      <c r="J500" s="273"/>
      <c r="K500" s="213"/>
      <c r="L500" s="209"/>
      <c r="M500" s="186" t="s">
        <v>11</v>
      </c>
      <c r="N500" s="195" t="str">
        <f t="shared" si="17"/>
        <v>OB31199</v>
      </c>
      <c r="O500" s="463" t="s">
        <v>1055</v>
      </c>
      <c r="P500" s="250"/>
      <c r="Q500" s="250"/>
      <c r="R500" s="251"/>
      <c r="S500" s="190" t="s">
        <v>1513</v>
      </c>
      <c r="T500" s="191"/>
      <c r="U500" s="909"/>
      <c r="V500" s="909"/>
      <c r="W500" s="187"/>
      <c r="X500" s="182"/>
      <c r="Y500" s="182"/>
      <c r="Z500" s="182"/>
      <c r="AA500" s="182"/>
      <c r="AB500" s="210"/>
      <c r="AC500" s="182"/>
      <c r="AD500" s="182"/>
      <c r="AE500" s="211"/>
    </row>
    <row r="501" spans="2:31" ht="17.25" customHeight="1">
      <c r="B501" s="180">
        <v>154</v>
      </c>
      <c r="C501" s="816"/>
      <c r="D501" s="765"/>
      <c r="E501" s="186" t="s">
        <v>10</v>
      </c>
      <c r="F501" s="187" t="str">
        <f t="shared" si="18"/>
        <v>IB3119A</v>
      </c>
      <c r="G501" s="271"/>
      <c r="H501" s="272"/>
      <c r="I501" s="272"/>
      <c r="J501" s="273"/>
      <c r="K501" s="213"/>
      <c r="L501" s="209"/>
      <c r="M501" s="186" t="s">
        <v>11</v>
      </c>
      <c r="N501" s="195" t="str">
        <f t="shared" si="17"/>
        <v>OB3119A</v>
      </c>
      <c r="O501" s="463" t="s">
        <v>1532</v>
      </c>
      <c r="P501" s="250"/>
      <c r="Q501" s="250"/>
      <c r="R501" s="251"/>
      <c r="S501" s="190" t="s">
        <v>1513</v>
      </c>
      <c r="T501" s="191"/>
      <c r="U501" s="909"/>
      <c r="V501" s="909"/>
      <c r="W501" s="187"/>
      <c r="X501" s="182"/>
      <c r="Y501" s="182"/>
      <c r="Z501" s="182"/>
      <c r="AA501" s="182"/>
      <c r="AB501" s="210"/>
      <c r="AC501" s="182"/>
      <c r="AD501" s="182"/>
      <c r="AE501" s="211"/>
    </row>
    <row r="502" spans="2:31" ht="17.25" customHeight="1">
      <c r="B502" s="180">
        <v>155</v>
      </c>
      <c r="C502" s="816"/>
      <c r="D502" s="765"/>
      <c r="E502" s="186" t="s">
        <v>10</v>
      </c>
      <c r="F502" s="187" t="str">
        <f t="shared" si="18"/>
        <v>IB3119B</v>
      </c>
      <c r="G502" s="271"/>
      <c r="H502" s="272"/>
      <c r="I502" s="272"/>
      <c r="J502" s="273"/>
      <c r="K502" s="213"/>
      <c r="L502" s="214"/>
      <c r="M502" s="186" t="s">
        <v>11</v>
      </c>
      <c r="N502" s="195" t="str">
        <f t="shared" si="17"/>
        <v>OB3119B</v>
      </c>
      <c r="O502" s="463" t="s">
        <v>1056</v>
      </c>
      <c r="P502" s="250"/>
      <c r="Q502" s="250"/>
      <c r="R502" s="251"/>
      <c r="S502" s="190" t="s">
        <v>1513</v>
      </c>
      <c r="T502" s="191"/>
      <c r="U502" s="909"/>
      <c r="V502" s="909"/>
      <c r="W502" s="187"/>
      <c r="X502" s="182"/>
      <c r="Y502" s="182"/>
      <c r="Z502" s="182"/>
      <c r="AA502" s="182"/>
      <c r="AB502" s="210"/>
      <c r="AC502" s="182"/>
      <c r="AD502" s="182"/>
      <c r="AE502" s="211"/>
    </row>
    <row r="503" spans="2:31" ht="17.25" customHeight="1">
      <c r="B503" s="180">
        <v>156</v>
      </c>
      <c r="C503" s="816"/>
      <c r="D503" s="765"/>
      <c r="E503" s="186" t="s">
        <v>10</v>
      </c>
      <c r="F503" s="187" t="str">
        <f t="shared" si="18"/>
        <v>IB3119C</v>
      </c>
      <c r="G503" s="271"/>
      <c r="H503" s="272"/>
      <c r="I503" s="272"/>
      <c r="J503" s="273"/>
      <c r="K503" s="216"/>
      <c r="L503" s="217"/>
      <c r="M503" s="186" t="s">
        <v>11</v>
      </c>
      <c r="N503" s="195" t="str">
        <f t="shared" si="17"/>
        <v>OB3119C</v>
      </c>
      <c r="O503" s="463" t="s">
        <v>1057</v>
      </c>
      <c r="P503" s="250"/>
      <c r="Q503" s="250"/>
      <c r="R503" s="251"/>
      <c r="S503" s="190" t="s">
        <v>1513</v>
      </c>
      <c r="T503" s="191"/>
      <c r="U503" s="909"/>
      <c r="V503" s="909"/>
      <c r="W503" s="187"/>
      <c r="X503" s="182"/>
      <c r="Y503" s="182"/>
      <c r="Z503" s="182"/>
      <c r="AA503" s="182"/>
      <c r="AB503" s="210"/>
      <c r="AC503" s="182"/>
      <c r="AD503" s="182"/>
      <c r="AE503" s="211"/>
    </row>
    <row r="504" spans="2:31" ht="17.25" customHeight="1">
      <c r="B504" s="180">
        <v>157</v>
      </c>
      <c r="C504" s="816"/>
      <c r="D504" s="765"/>
      <c r="E504" s="186" t="s">
        <v>10</v>
      </c>
      <c r="F504" s="187" t="str">
        <f t="shared" si="18"/>
        <v>IB3119D</v>
      </c>
      <c r="G504" s="271"/>
      <c r="H504" s="272"/>
      <c r="I504" s="272"/>
      <c r="J504" s="273"/>
      <c r="K504" s="182"/>
      <c r="L504" s="188"/>
      <c r="M504" s="186" t="s">
        <v>11</v>
      </c>
      <c r="N504" s="195" t="str">
        <f t="shared" si="17"/>
        <v>OB3119D</v>
      </c>
      <c r="O504" s="463" t="s">
        <v>1058</v>
      </c>
      <c r="P504" s="250"/>
      <c r="Q504" s="250"/>
      <c r="R504" s="251"/>
      <c r="S504" s="190" t="s">
        <v>1513</v>
      </c>
      <c r="T504" s="191"/>
      <c r="U504" s="909"/>
      <c r="V504" s="909"/>
      <c r="W504" s="187"/>
      <c r="X504" s="182"/>
      <c r="Y504" s="182"/>
      <c r="Z504" s="182"/>
      <c r="AA504" s="182"/>
      <c r="AB504" s="210"/>
      <c r="AC504" s="182"/>
      <c r="AD504" s="182"/>
      <c r="AE504" s="211"/>
    </row>
    <row r="505" spans="2:31" ht="17.25" customHeight="1">
      <c r="B505" s="180">
        <v>158</v>
      </c>
      <c r="C505" s="816"/>
      <c r="D505" s="765"/>
      <c r="E505" s="186" t="s">
        <v>10</v>
      </c>
      <c r="F505" s="187" t="str">
        <f t="shared" si="18"/>
        <v>IB3119E</v>
      </c>
      <c r="G505" s="271"/>
      <c r="H505" s="272"/>
      <c r="I505" s="272"/>
      <c r="J505" s="273"/>
      <c r="K505" s="182"/>
      <c r="L505" s="188"/>
      <c r="M505" s="186" t="s">
        <v>11</v>
      </c>
      <c r="N505" s="195" t="str">
        <f t="shared" si="17"/>
        <v>OB3119E</v>
      </c>
      <c r="O505" s="463" t="s">
        <v>1059</v>
      </c>
      <c r="P505" s="250"/>
      <c r="Q505" s="250"/>
      <c r="R505" s="251"/>
      <c r="S505" s="190" t="s">
        <v>1513</v>
      </c>
      <c r="T505" s="191"/>
      <c r="U505" s="909"/>
      <c r="V505" s="909"/>
      <c r="W505" s="187"/>
      <c r="X505" s="182"/>
      <c r="Y505" s="182"/>
      <c r="Z505" s="182"/>
      <c r="AA505" s="182"/>
      <c r="AB505" s="210"/>
      <c r="AC505" s="182"/>
      <c r="AD505" s="182"/>
      <c r="AE505" s="211"/>
    </row>
    <row r="506" spans="2:31" ht="17.25" customHeight="1">
      <c r="B506" s="180">
        <v>159</v>
      </c>
      <c r="C506" s="926"/>
      <c r="D506" s="765"/>
      <c r="E506" s="186" t="s">
        <v>10</v>
      </c>
      <c r="F506" s="187" t="str">
        <f t="shared" si="18"/>
        <v>IB3119F</v>
      </c>
      <c r="G506" s="271"/>
      <c r="H506" s="272"/>
      <c r="I506" s="272"/>
      <c r="J506" s="273"/>
      <c r="K506" s="182"/>
      <c r="L506" s="188"/>
      <c r="M506" s="186" t="s">
        <v>11</v>
      </c>
      <c r="N506" s="195" t="str">
        <f t="shared" si="17"/>
        <v>OB3119F</v>
      </c>
      <c r="O506" s="249"/>
      <c r="P506" s="250"/>
      <c r="Q506" s="250"/>
      <c r="R506" s="251"/>
      <c r="S506" s="190"/>
      <c r="T506" s="191"/>
      <c r="U506" s="909"/>
      <c r="V506" s="909"/>
      <c r="W506" s="187"/>
      <c r="X506" s="182"/>
      <c r="Y506" s="182"/>
      <c r="Z506" s="182"/>
      <c r="AA506" s="182"/>
      <c r="AB506" s="210"/>
      <c r="AC506" s="182"/>
      <c r="AD506" s="182"/>
      <c r="AE506" s="211"/>
    </row>
    <row r="507" spans="2:31" ht="17.25" customHeight="1">
      <c r="B507" s="180">
        <v>160</v>
      </c>
      <c r="C507" s="927" t="s">
        <v>64</v>
      </c>
      <c r="D507" s="940" t="s">
        <v>271</v>
      </c>
      <c r="E507" s="186" t="s">
        <v>10</v>
      </c>
      <c r="F507" s="187" t="str">
        <f t="shared" si="18"/>
        <v>IB311A0</v>
      </c>
      <c r="G507" s="243" t="s">
        <v>1124</v>
      </c>
      <c r="H507" s="244"/>
      <c r="I507" s="244"/>
      <c r="J507" s="245"/>
      <c r="K507" s="190" t="s">
        <v>1519</v>
      </c>
      <c r="L507" s="191"/>
      <c r="M507" s="186" t="s">
        <v>11</v>
      </c>
      <c r="N507" s="195" t="str">
        <f t="shared" si="17"/>
        <v>OB311A0</v>
      </c>
      <c r="O507" s="254"/>
      <c r="P507" s="255"/>
      <c r="Q507" s="255"/>
      <c r="R507" s="256"/>
      <c r="S507" s="190"/>
      <c r="T507" s="191"/>
      <c r="U507" s="909"/>
      <c r="V507" s="909"/>
      <c r="W507" s="187"/>
      <c r="X507" s="182"/>
      <c r="Y507" s="182"/>
      <c r="Z507" s="182"/>
      <c r="AA507" s="182"/>
      <c r="AB507" s="210"/>
      <c r="AC507" s="182"/>
      <c r="AD507" s="182"/>
      <c r="AE507" s="211"/>
    </row>
    <row r="508" spans="2:31" ht="17.25" customHeight="1">
      <c r="B508" s="180">
        <v>161</v>
      </c>
      <c r="C508" s="811"/>
      <c r="D508" s="765"/>
      <c r="E508" s="186" t="s">
        <v>10</v>
      </c>
      <c r="F508" s="187" t="str">
        <f t="shared" si="18"/>
        <v>IB311A1</v>
      </c>
      <c r="G508" s="243" t="s">
        <v>1125</v>
      </c>
      <c r="H508" s="244"/>
      <c r="I508" s="244"/>
      <c r="J508" s="245"/>
      <c r="K508" s="190" t="s">
        <v>1519</v>
      </c>
      <c r="L508" s="191"/>
      <c r="M508" s="186" t="s">
        <v>11</v>
      </c>
      <c r="N508" s="195" t="str">
        <f t="shared" si="17"/>
        <v>OB311A1</v>
      </c>
      <c r="O508" s="254"/>
      <c r="P508" s="255"/>
      <c r="Q508" s="255"/>
      <c r="R508" s="256"/>
      <c r="S508" s="190"/>
      <c r="T508" s="191"/>
      <c r="U508" s="909"/>
      <c r="V508" s="909"/>
      <c r="W508" s="187"/>
      <c r="X508" s="182"/>
      <c r="Y508" s="182"/>
      <c r="Z508" s="182"/>
      <c r="AA508" s="182"/>
      <c r="AB508" s="210"/>
      <c r="AC508" s="182"/>
      <c r="AD508" s="182"/>
      <c r="AE508" s="211"/>
    </row>
    <row r="509" spans="2:31" ht="17.25" customHeight="1">
      <c r="B509" s="180">
        <v>162</v>
      </c>
      <c r="C509" s="811"/>
      <c r="D509" s="765"/>
      <c r="E509" s="186" t="s">
        <v>10</v>
      </c>
      <c r="F509" s="187" t="str">
        <f t="shared" si="18"/>
        <v>IB311A2</v>
      </c>
      <c r="G509" s="243" t="s">
        <v>1126</v>
      </c>
      <c r="H509" s="244"/>
      <c r="I509" s="244"/>
      <c r="J509" s="245"/>
      <c r="K509" s="213" t="s">
        <v>1519</v>
      </c>
      <c r="L509" s="191"/>
      <c r="M509" s="186" t="s">
        <v>11</v>
      </c>
      <c r="N509" s="195" t="str">
        <f t="shared" si="17"/>
        <v>OB311A2</v>
      </c>
      <c r="O509" s="254"/>
      <c r="P509" s="255"/>
      <c r="Q509" s="255"/>
      <c r="R509" s="256"/>
      <c r="S509" s="190"/>
      <c r="T509" s="191"/>
      <c r="U509" s="909"/>
      <c r="V509" s="909"/>
      <c r="W509" s="187"/>
      <c r="X509" s="182"/>
      <c r="Y509" s="182"/>
      <c r="Z509" s="182"/>
      <c r="AA509" s="182"/>
      <c r="AB509" s="210"/>
      <c r="AC509" s="182"/>
      <c r="AD509" s="182"/>
      <c r="AE509" s="211"/>
    </row>
    <row r="510" spans="2:31" ht="17.25" customHeight="1">
      <c r="B510" s="180">
        <v>163</v>
      </c>
      <c r="C510" s="811"/>
      <c r="D510" s="765"/>
      <c r="E510" s="186" t="s">
        <v>10</v>
      </c>
      <c r="F510" s="187" t="str">
        <f t="shared" si="18"/>
        <v>IB311A3</v>
      </c>
      <c r="G510" s="243" t="s">
        <v>1127</v>
      </c>
      <c r="H510" s="244"/>
      <c r="I510" s="244"/>
      <c r="J510" s="245"/>
      <c r="K510" s="213" t="s">
        <v>1519</v>
      </c>
      <c r="L510" s="191"/>
      <c r="M510" s="186" t="s">
        <v>11</v>
      </c>
      <c r="N510" s="195" t="str">
        <f t="shared" si="17"/>
        <v>OB311A3</v>
      </c>
      <c r="O510" s="254"/>
      <c r="P510" s="255"/>
      <c r="Q510" s="255"/>
      <c r="R510" s="256"/>
      <c r="S510" s="190"/>
      <c r="T510" s="191"/>
      <c r="U510" s="909"/>
      <c r="V510" s="909"/>
      <c r="W510" s="187"/>
      <c r="X510" s="182"/>
      <c r="Y510" s="182"/>
      <c r="Z510" s="182"/>
      <c r="AA510" s="182"/>
      <c r="AB510" s="210"/>
      <c r="AC510" s="182"/>
      <c r="AD510" s="182"/>
      <c r="AE510" s="211"/>
    </row>
    <row r="511" spans="2:31" ht="17.25" customHeight="1">
      <c r="B511" s="180">
        <v>164</v>
      </c>
      <c r="C511" s="811"/>
      <c r="D511" s="765"/>
      <c r="E511" s="186" t="s">
        <v>10</v>
      </c>
      <c r="F511" s="187" t="str">
        <f t="shared" si="18"/>
        <v>IB311A4</v>
      </c>
      <c r="G511" s="243" t="s">
        <v>1128</v>
      </c>
      <c r="H511" s="244"/>
      <c r="I511" s="244"/>
      <c r="J511" s="245"/>
      <c r="K511" s="190" t="s">
        <v>1519</v>
      </c>
      <c r="L511" s="191"/>
      <c r="M511" s="186" t="s">
        <v>11</v>
      </c>
      <c r="N511" s="195" t="str">
        <f t="shared" si="17"/>
        <v>OB311A4</v>
      </c>
      <c r="O511" s="254"/>
      <c r="P511" s="255"/>
      <c r="Q511" s="255"/>
      <c r="R511" s="256"/>
      <c r="S511" s="190"/>
      <c r="T511" s="191"/>
      <c r="U511" s="909"/>
      <c r="V511" s="909"/>
      <c r="W511" s="187"/>
      <c r="X511" s="182"/>
      <c r="Y511" s="182"/>
      <c r="Z511" s="182"/>
      <c r="AA511" s="182"/>
      <c r="AB511" s="210"/>
      <c r="AC511" s="182"/>
      <c r="AD511" s="182"/>
      <c r="AE511" s="211"/>
    </row>
    <row r="512" spans="2:31" ht="17.25" customHeight="1">
      <c r="B512" s="180">
        <v>165</v>
      </c>
      <c r="C512" s="811"/>
      <c r="D512" s="765"/>
      <c r="E512" s="186" t="s">
        <v>10</v>
      </c>
      <c r="F512" s="187" t="str">
        <f t="shared" si="18"/>
        <v>IB311A5</v>
      </c>
      <c r="G512" s="243" t="s">
        <v>1129</v>
      </c>
      <c r="H512" s="244"/>
      <c r="I512" s="244"/>
      <c r="J512" s="245"/>
      <c r="K512" s="190" t="s">
        <v>1519</v>
      </c>
      <c r="L512" s="191"/>
      <c r="M512" s="186" t="s">
        <v>11</v>
      </c>
      <c r="N512" s="195" t="str">
        <f t="shared" si="17"/>
        <v>OB311A5</v>
      </c>
      <c r="O512" s="254"/>
      <c r="P512" s="255"/>
      <c r="Q512" s="255"/>
      <c r="R512" s="256"/>
      <c r="S512" s="190"/>
      <c r="T512" s="191"/>
      <c r="U512" s="909"/>
      <c r="V512" s="909"/>
      <c r="W512" s="187"/>
      <c r="X512" s="182"/>
      <c r="Y512" s="182"/>
      <c r="Z512" s="182"/>
      <c r="AA512" s="182"/>
      <c r="AB512" s="210"/>
      <c r="AC512" s="182"/>
      <c r="AD512" s="182"/>
      <c r="AE512" s="211"/>
    </row>
    <row r="513" spans="2:31" ht="17.25" customHeight="1">
      <c r="B513" s="180">
        <v>166</v>
      </c>
      <c r="C513" s="811"/>
      <c r="D513" s="765"/>
      <c r="E513" s="186" t="s">
        <v>10</v>
      </c>
      <c r="F513" s="187" t="str">
        <f t="shared" si="18"/>
        <v>IB311A6</v>
      </c>
      <c r="G513" s="243" t="s">
        <v>1130</v>
      </c>
      <c r="H513" s="244"/>
      <c r="I513" s="244"/>
      <c r="J513" s="245"/>
      <c r="K513" s="213" t="s">
        <v>1519</v>
      </c>
      <c r="L513" s="191"/>
      <c r="M513" s="186" t="s">
        <v>11</v>
      </c>
      <c r="N513" s="195" t="str">
        <f t="shared" si="17"/>
        <v>OB311A6</v>
      </c>
      <c r="O513" s="254"/>
      <c r="P513" s="255"/>
      <c r="Q513" s="255"/>
      <c r="R513" s="256"/>
      <c r="S513" s="190"/>
      <c r="T513" s="191"/>
      <c r="U513" s="909"/>
      <c r="V513" s="909"/>
      <c r="W513" s="187"/>
      <c r="X513" s="182"/>
      <c r="Y513" s="182"/>
      <c r="Z513" s="182"/>
      <c r="AA513" s="182"/>
      <c r="AB513" s="210"/>
      <c r="AC513" s="182"/>
      <c r="AD513" s="182"/>
      <c r="AE513" s="211"/>
    </row>
    <row r="514" spans="2:31" ht="17.25" customHeight="1">
      <c r="B514" s="180">
        <v>167</v>
      </c>
      <c r="C514" s="811"/>
      <c r="D514" s="765"/>
      <c r="E514" s="186" t="s">
        <v>10</v>
      </c>
      <c r="F514" s="187" t="str">
        <f t="shared" si="18"/>
        <v>IB311A7</v>
      </c>
      <c r="G514" s="243" t="s">
        <v>1131</v>
      </c>
      <c r="H514" s="244"/>
      <c r="I514" s="244"/>
      <c r="J514" s="245"/>
      <c r="K514" s="213" t="s">
        <v>1519</v>
      </c>
      <c r="L514" s="191"/>
      <c r="M514" s="186" t="s">
        <v>11</v>
      </c>
      <c r="N514" s="195" t="str">
        <f t="shared" si="17"/>
        <v>OB311A7</v>
      </c>
      <c r="O514" s="254"/>
      <c r="P514" s="255"/>
      <c r="Q514" s="255"/>
      <c r="R514" s="256"/>
      <c r="S514" s="190"/>
      <c r="T514" s="191"/>
      <c r="U514" s="909"/>
      <c r="V514" s="909"/>
      <c r="W514" s="187"/>
      <c r="X514" s="182"/>
      <c r="Y514" s="182"/>
      <c r="Z514" s="182"/>
      <c r="AA514" s="182"/>
      <c r="AB514" s="210"/>
      <c r="AC514" s="182"/>
      <c r="AD514" s="182"/>
      <c r="AE514" s="211"/>
    </row>
    <row r="515" spans="2:31" ht="17.25" customHeight="1">
      <c r="B515" s="180">
        <v>168</v>
      </c>
      <c r="C515" s="811"/>
      <c r="D515" s="765"/>
      <c r="E515" s="186" t="s">
        <v>10</v>
      </c>
      <c r="F515" s="187" t="str">
        <f t="shared" si="18"/>
        <v>IB311A8</v>
      </c>
      <c r="G515" s="381"/>
      <c r="H515" s="382"/>
      <c r="I515" s="382"/>
      <c r="J515" s="383"/>
      <c r="K515" s="213"/>
      <c r="L515" s="214"/>
      <c r="M515" s="186" t="s">
        <v>11</v>
      </c>
      <c r="N515" s="195" t="str">
        <f t="shared" si="17"/>
        <v>OB311A8</v>
      </c>
      <c r="O515" s="254"/>
      <c r="P515" s="255"/>
      <c r="Q515" s="255"/>
      <c r="R515" s="256"/>
      <c r="S515" s="190"/>
      <c r="T515" s="191"/>
      <c r="U515" s="909"/>
      <c r="V515" s="909"/>
      <c r="W515" s="187"/>
      <c r="X515" s="182"/>
      <c r="Y515" s="182"/>
      <c r="Z515" s="182"/>
      <c r="AA515" s="182"/>
      <c r="AB515" s="210"/>
      <c r="AC515" s="182"/>
      <c r="AD515" s="182"/>
      <c r="AE515" s="211"/>
    </row>
    <row r="516" spans="2:31" ht="17.25" customHeight="1">
      <c r="B516" s="180">
        <v>169</v>
      </c>
      <c r="C516" s="811"/>
      <c r="D516" s="765"/>
      <c r="E516" s="186" t="s">
        <v>10</v>
      </c>
      <c r="F516" s="187" t="str">
        <f t="shared" si="18"/>
        <v>IB311A9</v>
      </c>
      <c r="G516" s="381"/>
      <c r="H516" s="382"/>
      <c r="I516" s="382"/>
      <c r="J516" s="383"/>
      <c r="K516" s="213"/>
      <c r="L516" s="214"/>
      <c r="M516" s="186" t="s">
        <v>11</v>
      </c>
      <c r="N516" s="195" t="str">
        <f t="shared" si="17"/>
        <v>OB311A9</v>
      </c>
      <c r="O516" s="254"/>
      <c r="P516" s="255"/>
      <c r="Q516" s="255"/>
      <c r="R516" s="256"/>
      <c r="S516" s="190"/>
      <c r="T516" s="191"/>
      <c r="U516" s="909"/>
      <c r="V516" s="909"/>
      <c r="W516" s="187"/>
      <c r="X516" s="182"/>
      <c r="Y516" s="182"/>
      <c r="Z516" s="182"/>
      <c r="AA516" s="182"/>
      <c r="AB516" s="210"/>
      <c r="AC516" s="182"/>
      <c r="AD516" s="182"/>
      <c r="AE516" s="211"/>
    </row>
    <row r="517" spans="2:31" ht="17.25" customHeight="1">
      <c r="B517" s="180">
        <v>170</v>
      </c>
      <c r="C517" s="811"/>
      <c r="D517" s="765"/>
      <c r="E517" s="186" t="s">
        <v>10</v>
      </c>
      <c r="F517" s="187" t="str">
        <f t="shared" si="18"/>
        <v>IB311AA</v>
      </c>
      <c r="G517" s="381"/>
      <c r="H517" s="382"/>
      <c r="I517" s="382"/>
      <c r="J517" s="383"/>
      <c r="K517" s="213"/>
      <c r="L517" s="214"/>
      <c r="M517" s="186" t="s">
        <v>11</v>
      </c>
      <c r="N517" s="195" t="str">
        <f t="shared" si="17"/>
        <v>OB311AA</v>
      </c>
      <c r="O517" s="254"/>
      <c r="P517" s="255"/>
      <c r="Q517" s="255"/>
      <c r="R517" s="256"/>
      <c r="S517" s="190"/>
      <c r="T517" s="191"/>
      <c r="U517" s="909"/>
      <c r="V517" s="909"/>
      <c r="W517" s="187"/>
      <c r="X517" s="182"/>
      <c r="Y517" s="182"/>
      <c r="Z517" s="182"/>
      <c r="AA517" s="182"/>
      <c r="AB517" s="210"/>
      <c r="AC517" s="182"/>
      <c r="AD517" s="182"/>
      <c r="AE517" s="211"/>
    </row>
    <row r="518" spans="2:31" ht="17.25" customHeight="1">
      <c r="B518" s="180">
        <v>171</v>
      </c>
      <c r="C518" s="811"/>
      <c r="D518" s="765"/>
      <c r="E518" s="186" t="s">
        <v>10</v>
      </c>
      <c r="F518" s="187" t="str">
        <f t="shared" si="18"/>
        <v>IB311AB</v>
      </c>
      <c r="G518" s="381"/>
      <c r="H518" s="382"/>
      <c r="I518" s="382"/>
      <c r="J518" s="383"/>
      <c r="K518" s="213"/>
      <c r="L518" s="214"/>
      <c r="M518" s="186" t="s">
        <v>11</v>
      </c>
      <c r="N518" s="195" t="str">
        <f t="shared" si="17"/>
        <v>OB311AB</v>
      </c>
      <c r="O518" s="254"/>
      <c r="P518" s="255"/>
      <c r="Q518" s="255"/>
      <c r="R518" s="256"/>
      <c r="S518" s="190"/>
      <c r="T518" s="191"/>
      <c r="U518" s="909"/>
      <c r="V518" s="909"/>
      <c r="W518" s="187"/>
      <c r="X518" s="182"/>
      <c r="Y518" s="182"/>
      <c r="Z518" s="182"/>
      <c r="AA518" s="182"/>
      <c r="AB518" s="210"/>
      <c r="AC518" s="182"/>
      <c r="AD518" s="182"/>
      <c r="AE518" s="211"/>
    </row>
    <row r="519" spans="2:31" ht="17.25" customHeight="1">
      <c r="B519" s="180">
        <v>172</v>
      </c>
      <c r="C519" s="811"/>
      <c r="D519" s="765"/>
      <c r="E519" s="186" t="s">
        <v>10</v>
      </c>
      <c r="F519" s="187" t="str">
        <f t="shared" si="18"/>
        <v>IB311AC</v>
      </c>
      <c r="G519" s="381"/>
      <c r="H519" s="382"/>
      <c r="I519" s="382"/>
      <c r="J519" s="383"/>
      <c r="K519" s="216"/>
      <c r="L519" s="217"/>
      <c r="M519" s="186" t="s">
        <v>11</v>
      </c>
      <c r="N519" s="195" t="str">
        <f t="shared" si="17"/>
        <v>OB311AC</v>
      </c>
      <c r="O519" s="254"/>
      <c r="P519" s="255"/>
      <c r="Q519" s="255"/>
      <c r="R519" s="256"/>
      <c r="S519" s="190"/>
      <c r="T519" s="191"/>
      <c r="U519" s="909"/>
      <c r="V519" s="909"/>
      <c r="W519" s="187"/>
      <c r="X519" s="182"/>
      <c r="Y519" s="182"/>
      <c r="Z519" s="182"/>
      <c r="AA519" s="182"/>
      <c r="AB519" s="210"/>
      <c r="AC519" s="182"/>
      <c r="AD519" s="182"/>
      <c r="AE519" s="211"/>
    </row>
    <row r="520" spans="2:31" ht="17.25" customHeight="1">
      <c r="B520" s="180">
        <v>173</v>
      </c>
      <c r="C520" s="811"/>
      <c r="D520" s="765"/>
      <c r="E520" s="186" t="s">
        <v>10</v>
      </c>
      <c r="F520" s="187" t="str">
        <f t="shared" si="18"/>
        <v>IB311AD</v>
      </c>
      <c r="G520" s="381"/>
      <c r="H520" s="382"/>
      <c r="I520" s="382"/>
      <c r="J520" s="383"/>
      <c r="K520" s="182"/>
      <c r="L520" s="217"/>
      <c r="M520" s="186" t="s">
        <v>11</v>
      </c>
      <c r="N520" s="195" t="str">
        <f t="shared" si="17"/>
        <v>OB311AD</v>
      </c>
      <c r="O520" s="254"/>
      <c r="P520" s="255"/>
      <c r="Q520" s="255"/>
      <c r="R520" s="256"/>
      <c r="S520" s="190"/>
      <c r="T520" s="191"/>
      <c r="U520" s="909"/>
      <c r="V520" s="909"/>
      <c r="W520" s="187"/>
      <c r="X520" s="182"/>
      <c r="Y520" s="182"/>
      <c r="Z520" s="182"/>
      <c r="AA520" s="182"/>
      <c r="AB520" s="210"/>
      <c r="AC520" s="182"/>
      <c r="AD520" s="182"/>
      <c r="AE520" s="211"/>
    </row>
    <row r="521" spans="2:31" ht="17.25" customHeight="1">
      <c r="B521" s="180">
        <v>174</v>
      </c>
      <c r="C521" s="811"/>
      <c r="D521" s="765"/>
      <c r="E521" s="186" t="s">
        <v>10</v>
      </c>
      <c r="F521" s="187" t="str">
        <f t="shared" si="18"/>
        <v>IB311AE</v>
      </c>
      <c r="G521" s="381"/>
      <c r="H521" s="382"/>
      <c r="I521" s="382"/>
      <c r="J521" s="383"/>
      <c r="K521" s="182"/>
      <c r="L521" s="217"/>
      <c r="M521" s="186" t="s">
        <v>11</v>
      </c>
      <c r="N521" s="195" t="str">
        <f t="shared" si="17"/>
        <v>OB311AE</v>
      </c>
      <c r="O521" s="254"/>
      <c r="P521" s="255"/>
      <c r="Q521" s="255"/>
      <c r="R521" s="256"/>
      <c r="S521" s="190"/>
      <c r="T521" s="191"/>
      <c r="U521" s="909"/>
      <c r="V521" s="909"/>
      <c r="W521" s="187"/>
      <c r="X521" s="182"/>
      <c r="Y521" s="182"/>
      <c r="Z521" s="182"/>
      <c r="AA521" s="182"/>
      <c r="AB521" s="210"/>
      <c r="AC521" s="182"/>
      <c r="AD521" s="182"/>
      <c r="AE521" s="211"/>
    </row>
    <row r="522" spans="2:31" ht="17.25" customHeight="1">
      <c r="B522" s="180">
        <v>175</v>
      </c>
      <c r="C522" s="928"/>
      <c r="D522" s="765"/>
      <c r="E522" s="186" t="s">
        <v>10</v>
      </c>
      <c r="F522" s="187" t="str">
        <f t="shared" si="18"/>
        <v>IB311AF</v>
      </c>
      <c r="G522" s="381"/>
      <c r="H522" s="382"/>
      <c r="I522" s="382"/>
      <c r="J522" s="383"/>
      <c r="K522" s="182"/>
      <c r="L522" s="217"/>
      <c r="M522" s="186" t="s">
        <v>11</v>
      </c>
      <c r="N522" s="195" t="str">
        <f t="shared" si="17"/>
        <v>OB311AF</v>
      </c>
      <c r="O522" s="254"/>
      <c r="P522" s="255"/>
      <c r="Q522" s="255"/>
      <c r="R522" s="256"/>
      <c r="S522" s="190"/>
      <c r="T522" s="191"/>
      <c r="U522" s="909"/>
      <c r="V522" s="909"/>
      <c r="W522" s="187"/>
      <c r="X522" s="182"/>
      <c r="Y522" s="182"/>
      <c r="Z522" s="182"/>
      <c r="AA522" s="182"/>
      <c r="AB522" s="210"/>
      <c r="AC522" s="182"/>
      <c r="AD522" s="182"/>
      <c r="AE522" s="211"/>
    </row>
    <row r="523" spans="2:31" ht="17.25" customHeight="1">
      <c r="B523" s="180">
        <v>176</v>
      </c>
      <c r="C523" s="927" t="s">
        <v>57</v>
      </c>
      <c r="D523" s="940" t="s">
        <v>271</v>
      </c>
      <c r="E523" s="186" t="s">
        <v>10</v>
      </c>
      <c r="F523" s="187" t="str">
        <f t="shared" si="18"/>
        <v>IB311B0</v>
      </c>
      <c r="G523" s="463" t="s">
        <v>1105</v>
      </c>
      <c r="H523" s="250"/>
      <c r="I523" s="250"/>
      <c r="J523" s="251"/>
      <c r="K523" s="190" t="s">
        <v>1513</v>
      </c>
      <c r="L523" s="217"/>
      <c r="M523" s="186" t="s">
        <v>11</v>
      </c>
      <c r="N523" s="195" t="str">
        <f t="shared" si="17"/>
        <v>OB311B0</v>
      </c>
      <c r="O523" s="254"/>
      <c r="P523" s="255"/>
      <c r="Q523" s="255"/>
      <c r="R523" s="256"/>
      <c r="S523" s="190"/>
      <c r="T523" s="191"/>
      <c r="U523" s="909"/>
      <c r="V523" s="909"/>
      <c r="W523" s="187"/>
      <c r="X523" s="182"/>
      <c r="Y523" s="182"/>
      <c r="Z523" s="182"/>
      <c r="AA523" s="182"/>
      <c r="AB523" s="210"/>
      <c r="AC523" s="182"/>
      <c r="AD523" s="182"/>
      <c r="AE523" s="211"/>
    </row>
    <row r="524" spans="2:31" ht="17.25" customHeight="1">
      <c r="B524" s="180">
        <v>177</v>
      </c>
      <c r="C524" s="811"/>
      <c r="D524" s="765"/>
      <c r="E524" s="186" t="s">
        <v>10</v>
      </c>
      <c r="F524" s="187" t="str">
        <f t="shared" si="18"/>
        <v>IB311B1</v>
      </c>
      <c r="G524" s="463" t="s">
        <v>1106</v>
      </c>
      <c r="H524" s="250"/>
      <c r="I524" s="250"/>
      <c r="J524" s="251"/>
      <c r="K524" s="190" t="s">
        <v>1513</v>
      </c>
      <c r="L524" s="217"/>
      <c r="M524" s="186" t="s">
        <v>11</v>
      </c>
      <c r="N524" s="195" t="str">
        <f t="shared" si="17"/>
        <v>OB311B1</v>
      </c>
      <c r="O524" s="254"/>
      <c r="P524" s="255"/>
      <c r="Q524" s="255"/>
      <c r="R524" s="256"/>
      <c r="S524" s="190"/>
      <c r="T524" s="191"/>
      <c r="U524" s="909"/>
      <c r="V524" s="909"/>
      <c r="W524" s="187"/>
      <c r="X524" s="182"/>
      <c r="Y524" s="182"/>
      <c r="Z524" s="182"/>
      <c r="AA524" s="182"/>
      <c r="AB524" s="210"/>
      <c r="AC524" s="182"/>
      <c r="AD524" s="182"/>
      <c r="AE524" s="211"/>
    </row>
    <row r="525" spans="2:31" ht="17.25" customHeight="1">
      <c r="B525" s="180">
        <v>178</v>
      </c>
      <c r="C525" s="811"/>
      <c r="D525" s="765"/>
      <c r="E525" s="186" t="s">
        <v>10</v>
      </c>
      <c r="F525" s="187" t="str">
        <f t="shared" si="18"/>
        <v>IB311B2</v>
      </c>
      <c r="G525" s="463" t="s">
        <v>1107</v>
      </c>
      <c r="H525" s="384"/>
      <c r="I525" s="384"/>
      <c r="J525" s="385"/>
      <c r="K525" s="190" t="s">
        <v>1513</v>
      </c>
      <c r="L525" s="217"/>
      <c r="M525" s="186" t="s">
        <v>11</v>
      </c>
      <c r="N525" s="195" t="str">
        <f t="shared" ref="N525:N588" si="19">LEFT(N524,1)&amp;DEC2HEX(HEX2DEC(MID(N524,2,LENB(N524)-1))+1,LENB(N524)-1)</f>
        <v>OB311B2</v>
      </c>
      <c r="O525" s="254"/>
      <c r="P525" s="255"/>
      <c r="Q525" s="255"/>
      <c r="R525" s="256"/>
      <c r="S525" s="190"/>
      <c r="T525" s="191"/>
      <c r="U525" s="909"/>
      <c r="V525" s="909"/>
      <c r="W525" s="187"/>
      <c r="X525" s="182"/>
      <c r="Y525" s="182"/>
      <c r="Z525" s="182"/>
      <c r="AA525" s="182"/>
      <c r="AB525" s="210"/>
      <c r="AC525" s="182"/>
      <c r="AD525" s="182"/>
      <c r="AE525" s="211"/>
    </row>
    <row r="526" spans="2:31" ht="17.25" customHeight="1">
      <c r="B526" s="180">
        <v>179</v>
      </c>
      <c r="C526" s="811"/>
      <c r="D526" s="765"/>
      <c r="E526" s="186" t="s">
        <v>10</v>
      </c>
      <c r="F526" s="187" t="str">
        <f t="shared" si="18"/>
        <v>IB311B3</v>
      </c>
      <c r="G526" s="463" t="s">
        <v>1108</v>
      </c>
      <c r="H526" s="384"/>
      <c r="I526" s="384"/>
      <c r="J526" s="385"/>
      <c r="K526" s="190" t="s">
        <v>1513</v>
      </c>
      <c r="L526" s="209"/>
      <c r="M526" s="186" t="s">
        <v>11</v>
      </c>
      <c r="N526" s="195" t="str">
        <f t="shared" si="19"/>
        <v>OB311B3</v>
      </c>
      <c r="O526" s="254"/>
      <c r="P526" s="255"/>
      <c r="Q526" s="255"/>
      <c r="R526" s="256"/>
      <c r="S526" s="190"/>
      <c r="T526" s="191"/>
      <c r="U526" s="909"/>
      <c r="V526" s="909"/>
      <c r="W526" s="187"/>
      <c r="X526" s="182"/>
      <c r="Y526" s="182"/>
      <c r="Z526" s="182"/>
      <c r="AA526" s="182"/>
      <c r="AB526" s="210"/>
      <c r="AC526" s="182"/>
      <c r="AD526" s="182"/>
      <c r="AE526" s="211"/>
    </row>
    <row r="527" spans="2:31" ht="17.25" customHeight="1">
      <c r="B527" s="180">
        <v>180</v>
      </c>
      <c r="C527" s="811"/>
      <c r="D527" s="765"/>
      <c r="E527" s="186" t="s">
        <v>10</v>
      </c>
      <c r="F527" s="187" t="str">
        <f t="shared" si="18"/>
        <v>IB311B4</v>
      </c>
      <c r="G527" s="463" t="s">
        <v>1109</v>
      </c>
      <c r="H527" s="250"/>
      <c r="I527" s="250"/>
      <c r="J527" s="251"/>
      <c r="K527" s="190" t="s">
        <v>1513</v>
      </c>
      <c r="L527" s="209"/>
      <c r="M527" s="186" t="s">
        <v>11</v>
      </c>
      <c r="N527" s="195" t="str">
        <f t="shared" si="19"/>
        <v>OB311B4</v>
      </c>
      <c r="O527" s="254"/>
      <c r="P527" s="255"/>
      <c r="Q527" s="255"/>
      <c r="R527" s="256"/>
      <c r="S527" s="190"/>
      <c r="T527" s="191"/>
      <c r="U527" s="909"/>
      <c r="V527" s="909"/>
      <c r="W527" s="187"/>
      <c r="X527" s="182"/>
      <c r="Y527" s="182"/>
      <c r="Z527" s="182"/>
      <c r="AA527" s="182"/>
      <c r="AB527" s="210"/>
      <c r="AC527" s="182"/>
      <c r="AD527" s="182"/>
      <c r="AE527" s="211"/>
    </row>
    <row r="528" spans="2:31" ht="17.25" customHeight="1">
      <c r="B528" s="180">
        <v>181</v>
      </c>
      <c r="C528" s="811"/>
      <c r="D528" s="765"/>
      <c r="E528" s="186" t="s">
        <v>10</v>
      </c>
      <c r="F528" s="187" t="str">
        <f t="shared" si="18"/>
        <v>IB311B5</v>
      </c>
      <c r="G528" s="249"/>
      <c r="H528" s="250"/>
      <c r="I528" s="250"/>
      <c r="J528" s="251"/>
      <c r="K528" s="190"/>
      <c r="L528" s="209"/>
      <c r="M528" s="186" t="s">
        <v>11</v>
      </c>
      <c r="N528" s="195" t="str">
        <f t="shared" si="19"/>
        <v>OB311B5</v>
      </c>
      <c r="O528" s="254"/>
      <c r="P528" s="255"/>
      <c r="Q528" s="255"/>
      <c r="R528" s="256"/>
      <c r="S528" s="190"/>
      <c r="T528" s="191"/>
      <c r="U528" s="909"/>
      <c r="V528" s="909"/>
      <c r="W528" s="187"/>
      <c r="X528" s="182"/>
      <c r="Y528" s="182"/>
      <c r="Z528" s="182"/>
      <c r="AA528" s="182"/>
      <c r="AB528" s="210"/>
      <c r="AC528" s="182"/>
      <c r="AD528" s="182"/>
      <c r="AE528" s="211"/>
    </row>
    <row r="529" spans="2:31" ht="17.25" customHeight="1">
      <c r="B529" s="180">
        <v>182</v>
      </c>
      <c r="C529" s="811"/>
      <c r="D529" s="765"/>
      <c r="E529" s="186" t="s">
        <v>10</v>
      </c>
      <c r="F529" s="187" t="str">
        <f t="shared" si="18"/>
        <v>IB311B6</v>
      </c>
      <c r="G529" s="243" t="s">
        <v>1103</v>
      </c>
      <c r="H529" s="244"/>
      <c r="I529" s="244"/>
      <c r="J529" s="245"/>
      <c r="K529" s="190" t="s">
        <v>1516</v>
      </c>
      <c r="L529" s="209"/>
      <c r="M529" s="186" t="s">
        <v>11</v>
      </c>
      <c r="N529" s="195" t="str">
        <f t="shared" si="19"/>
        <v>OB311B6</v>
      </c>
      <c r="O529" s="254"/>
      <c r="P529" s="255"/>
      <c r="Q529" s="255"/>
      <c r="R529" s="256"/>
      <c r="S529" s="190"/>
      <c r="T529" s="191"/>
      <c r="U529" s="909"/>
      <c r="V529" s="909"/>
      <c r="W529" s="187"/>
      <c r="X529" s="182"/>
      <c r="Y529" s="182"/>
      <c r="Z529" s="182"/>
      <c r="AA529" s="182"/>
      <c r="AB529" s="210"/>
      <c r="AC529" s="182"/>
      <c r="AD529" s="182"/>
      <c r="AE529" s="211"/>
    </row>
    <row r="530" spans="2:31" ht="17.25" customHeight="1">
      <c r="B530" s="180">
        <v>183</v>
      </c>
      <c r="C530" s="811"/>
      <c r="D530" s="765"/>
      <c r="E530" s="186" t="s">
        <v>10</v>
      </c>
      <c r="F530" s="187" t="str">
        <f t="shared" si="18"/>
        <v>IB311B7</v>
      </c>
      <c r="G530" s="243" t="s">
        <v>1104</v>
      </c>
      <c r="H530" s="244"/>
      <c r="I530" s="244"/>
      <c r="J530" s="245"/>
      <c r="K530" s="190" t="s">
        <v>1513</v>
      </c>
      <c r="L530" s="209"/>
      <c r="M530" s="186" t="s">
        <v>11</v>
      </c>
      <c r="N530" s="195" t="str">
        <f t="shared" si="19"/>
        <v>OB311B7</v>
      </c>
      <c r="O530" s="254"/>
      <c r="P530" s="255"/>
      <c r="Q530" s="255"/>
      <c r="R530" s="256"/>
      <c r="S530" s="190"/>
      <c r="T530" s="191"/>
      <c r="U530" s="909"/>
      <c r="V530" s="909"/>
      <c r="W530" s="187"/>
      <c r="X530" s="182"/>
      <c r="Y530" s="182"/>
      <c r="Z530" s="182"/>
      <c r="AA530" s="182"/>
      <c r="AB530" s="210"/>
      <c r="AC530" s="182"/>
      <c r="AD530" s="182"/>
      <c r="AE530" s="211"/>
    </row>
    <row r="531" spans="2:31" ht="17.25" customHeight="1">
      <c r="B531" s="180">
        <v>184</v>
      </c>
      <c r="C531" s="811"/>
      <c r="D531" s="765"/>
      <c r="E531" s="186" t="s">
        <v>10</v>
      </c>
      <c r="F531" s="187" t="str">
        <f t="shared" si="18"/>
        <v>IB311B8</v>
      </c>
      <c r="G531" s="463" t="s">
        <v>1095</v>
      </c>
      <c r="H531" s="250"/>
      <c r="I531" s="250"/>
      <c r="J531" s="251"/>
      <c r="K531" s="190" t="s">
        <v>1513</v>
      </c>
      <c r="L531" s="209"/>
      <c r="M531" s="186" t="s">
        <v>11</v>
      </c>
      <c r="N531" s="195" t="str">
        <f t="shared" si="19"/>
        <v>OB311B8</v>
      </c>
      <c r="O531" s="254"/>
      <c r="P531" s="255"/>
      <c r="Q531" s="255"/>
      <c r="R531" s="256"/>
      <c r="S531" s="190"/>
      <c r="T531" s="191"/>
      <c r="U531" s="909"/>
      <c r="V531" s="909"/>
      <c r="W531" s="187"/>
      <c r="X531" s="182"/>
      <c r="Y531" s="182"/>
      <c r="Z531" s="182"/>
      <c r="AA531" s="182"/>
      <c r="AB531" s="210"/>
      <c r="AC531" s="182"/>
      <c r="AD531" s="182"/>
      <c r="AE531" s="211"/>
    </row>
    <row r="532" spans="2:31" ht="17.25" customHeight="1">
      <c r="B532" s="180">
        <v>185</v>
      </c>
      <c r="C532" s="811"/>
      <c r="D532" s="765"/>
      <c r="E532" s="186" t="s">
        <v>10</v>
      </c>
      <c r="F532" s="187" t="str">
        <f t="shared" si="18"/>
        <v>IB311B9</v>
      </c>
      <c r="G532" s="463" t="s">
        <v>1096</v>
      </c>
      <c r="H532" s="250"/>
      <c r="I532" s="250"/>
      <c r="J532" s="251"/>
      <c r="K532" s="190" t="s">
        <v>1513</v>
      </c>
      <c r="L532" s="209" t="s">
        <v>1517</v>
      </c>
      <c r="M532" s="186" t="s">
        <v>11</v>
      </c>
      <c r="N532" s="195" t="str">
        <f t="shared" si="19"/>
        <v>OB311B9</v>
      </c>
      <c r="O532" s="254"/>
      <c r="P532" s="255"/>
      <c r="Q532" s="255"/>
      <c r="R532" s="256"/>
      <c r="S532" s="190"/>
      <c r="T532" s="191"/>
      <c r="U532" s="909"/>
      <c r="V532" s="909"/>
      <c r="W532" s="187"/>
      <c r="X532" s="182"/>
      <c r="Y532" s="182"/>
      <c r="Z532" s="182"/>
      <c r="AA532" s="182"/>
      <c r="AB532" s="210"/>
      <c r="AC532" s="182"/>
      <c r="AD532" s="182"/>
      <c r="AE532" s="211"/>
    </row>
    <row r="533" spans="2:31" ht="17.25" customHeight="1">
      <c r="B533" s="180">
        <v>186</v>
      </c>
      <c r="C533" s="811"/>
      <c r="D533" s="765"/>
      <c r="E533" s="186" t="s">
        <v>10</v>
      </c>
      <c r="F533" s="187" t="str">
        <f t="shared" si="18"/>
        <v>IB311BA</v>
      </c>
      <c r="G533" s="463" t="s">
        <v>1097</v>
      </c>
      <c r="H533" s="250"/>
      <c r="I533" s="250"/>
      <c r="J533" s="251"/>
      <c r="K533" s="190" t="s">
        <v>1513</v>
      </c>
      <c r="L533" s="209"/>
      <c r="M533" s="186" t="s">
        <v>11</v>
      </c>
      <c r="N533" s="195" t="str">
        <f t="shared" si="19"/>
        <v>OB311BA</v>
      </c>
      <c r="O533" s="254"/>
      <c r="P533" s="255"/>
      <c r="Q533" s="255"/>
      <c r="R533" s="256"/>
      <c r="S533" s="190"/>
      <c r="T533" s="191"/>
      <c r="U533" s="909"/>
      <c r="V533" s="909"/>
      <c r="W533" s="187"/>
      <c r="X533" s="182"/>
      <c r="Y533" s="182"/>
      <c r="Z533" s="182"/>
      <c r="AA533" s="182"/>
      <c r="AB533" s="210"/>
      <c r="AC533" s="182"/>
      <c r="AD533" s="182"/>
      <c r="AE533" s="211"/>
    </row>
    <row r="534" spans="2:31" ht="17.25" customHeight="1">
      <c r="B534" s="180">
        <v>187</v>
      </c>
      <c r="C534" s="811"/>
      <c r="D534" s="765"/>
      <c r="E534" s="186" t="s">
        <v>10</v>
      </c>
      <c r="F534" s="187" t="str">
        <f t="shared" si="18"/>
        <v>IB311BB</v>
      </c>
      <c r="G534" s="463" t="s">
        <v>1098</v>
      </c>
      <c r="H534" s="250"/>
      <c r="I534" s="250"/>
      <c r="J534" s="251"/>
      <c r="K534" s="190" t="s">
        <v>1513</v>
      </c>
      <c r="L534" s="209"/>
      <c r="M534" s="186" t="s">
        <v>11</v>
      </c>
      <c r="N534" s="195" t="str">
        <f t="shared" si="19"/>
        <v>OB311BB</v>
      </c>
      <c r="O534" s="254"/>
      <c r="P534" s="255"/>
      <c r="Q534" s="255"/>
      <c r="R534" s="256"/>
      <c r="S534" s="190"/>
      <c r="T534" s="191"/>
      <c r="U534" s="909"/>
      <c r="V534" s="909"/>
      <c r="W534" s="187"/>
      <c r="X534" s="182"/>
      <c r="Y534" s="182"/>
      <c r="Z534" s="182"/>
      <c r="AA534" s="182"/>
      <c r="AB534" s="210"/>
      <c r="AC534" s="182"/>
      <c r="AD534" s="182"/>
      <c r="AE534" s="211"/>
    </row>
    <row r="535" spans="2:31" ht="17.25" customHeight="1">
      <c r="B535" s="180">
        <v>188</v>
      </c>
      <c r="C535" s="811"/>
      <c r="D535" s="765"/>
      <c r="E535" s="186" t="s">
        <v>10</v>
      </c>
      <c r="F535" s="187" t="str">
        <f t="shared" si="18"/>
        <v>IB311BC</v>
      </c>
      <c r="G535" s="463" t="s">
        <v>1099</v>
      </c>
      <c r="H535" s="250"/>
      <c r="I535" s="250"/>
      <c r="J535" s="251"/>
      <c r="K535" s="190" t="s">
        <v>1513</v>
      </c>
      <c r="L535" s="191"/>
      <c r="M535" s="186" t="s">
        <v>11</v>
      </c>
      <c r="N535" s="195" t="str">
        <f t="shared" si="19"/>
        <v>OB311BC</v>
      </c>
      <c r="O535" s="254"/>
      <c r="P535" s="255"/>
      <c r="Q535" s="255"/>
      <c r="R535" s="256"/>
      <c r="S535" s="190"/>
      <c r="T535" s="191"/>
      <c r="U535" s="909"/>
      <c r="V535" s="909"/>
      <c r="W535" s="187"/>
      <c r="X535" s="182"/>
      <c r="Y535" s="182"/>
      <c r="Z535" s="182"/>
      <c r="AA535" s="182"/>
      <c r="AB535" s="210"/>
      <c r="AC535" s="182"/>
      <c r="AD535" s="182"/>
      <c r="AE535" s="211"/>
    </row>
    <row r="536" spans="2:31" ht="17.25" customHeight="1">
      <c r="B536" s="180">
        <v>189</v>
      </c>
      <c r="C536" s="811"/>
      <c r="D536" s="765"/>
      <c r="E536" s="186" t="s">
        <v>10</v>
      </c>
      <c r="F536" s="187" t="str">
        <f t="shared" si="18"/>
        <v>IB311BD</v>
      </c>
      <c r="G536" s="463" t="s">
        <v>1100</v>
      </c>
      <c r="H536" s="250"/>
      <c r="I536" s="250"/>
      <c r="J536" s="251"/>
      <c r="K536" s="190" t="s">
        <v>1513</v>
      </c>
      <c r="L536" s="191"/>
      <c r="M536" s="186" t="s">
        <v>11</v>
      </c>
      <c r="N536" s="195" t="str">
        <f t="shared" si="19"/>
        <v>OB311BD</v>
      </c>
      <c r="O536" s="254"/>
      <c r="P536" s="255"/>
      <c r="Q536" s="255"/>
      <c r="R536" s="256"/>
      <c r="S536" s="190"/>
      <c r="T536" s="191"/>
      <c r="U536" s="909"/>
      <c r="V536" s="909"/>
      <c r="W536" s="187"/>
      <c r="X536" s="182"/>
      <c r="Y536" s="182"/>
      <c r="Z536" s="182"/>
      <c r="AA536" s="182"/>
      <c r="AB536" s="210"/>
      <c r="AC536" s="182"/>
      <c r="AD536" s="182"/>
      <c r="AE536" s="211"/>
    </row>
    <row r="537" spans="2:31" ht="17.25" customHeight="1">
      <c r="B537" s="180">
        <v>190</v>
      </c>
      <c r="C537" s="811"/>
      <c r="D537" s="765"/>
      <c r="E537" s="186" t="s">
        <v>10</v>
      </c>
      <c r="F537" s="187" t="str">
        <f t="shared" si="18"/>
        <v>IB311BE</v>
      </c>
      <c r="G537" s="463" t="s">
        <v>1101</v>
      </c>
      <c r="H537" s="250"/>
      <c r="I537" s="250"/>
      <c r="J537" s="251"/>
      <c r="K537" s="190" t="s">
        <v>1513</v>
      </c>
      <c r="L537" s="191"/>
      <c r="M537" s="186" t="s">
        <v>11</v>
      </c>
      <c r="N537" s="195" t="str">
        <f t="shared" si="19"/>
        <v>OB311BE</v>
      </c>
      <c r="O537" s="254"/>
      <c r="P537" s="255"/>
      <c r="Q537" s="255"/>
      <c r="R537" s="256"/>
      <c r="S537" s="190"/>
      <c r="T537" s="191"/>
      <c r="U537" s="909"/>
      <c r="V537" s="909"/>
      <c r="W537" s="187"/>
      <c r="X537" s="182"/>
      <c r="Y537" s="182"/>
      <c r="Z537" s="182"/>
      <c r="AA537" s="182"/>
      <c r="AB537" s="210"/>
      <c r="AC537" s="182"/>
      <c r="AD537" s="182"/>
      <c r="AE537" s="211"/>
    </row>
    <row r="538" spans="2:31" ht="17.25" customHeight="1">
      <c r="B538" s="180">
        <v>191</v>
      </c>
      <c r="C538" s="928"/>
      <c r="D538" s="765"/>
      <c r="E538" s="186" t="s">
        <v>10</v>
      </c>
      <c r="F538" s="187" t="str">
        <f t="shared" si="18"/>
        <v>IB311BF</v>
      </c>
      <c r="G538" s="463" t="s">
        <v>1102</v>
      </c>
      <c r="H538" s="250"/>
      <c r="I538" s="250"/>
      <c r="J538" s="251"/>
      <c r="K538" s="190" t="s">
        <v>1513</v>
      </c>
      <c r="L538" s="191"/>
      <c r="M538" s="186" t="s">
        <v>11</v>
      </c>
      <c r="N538" s="195" t="str">
        <f t="shared" si="19"/>
        <v>OB311BF</v>
      </c>
      <c r="O538" s="254"/>
      <c r="P538" s="255"/>
      <c r="Q538" s="255"/>
      <c r="R538" s="256"/>
      <c r="S538" s="190"/>
      <c r="T538" s="191"/>
      <c r="U538" s="909"/>
      <c r="V538" s="909"/>
      <c r="W538" s="187"/>
      <c r="X538" s="182"/>
      <c r="Y538" s="182"/>
      <c r="Z538" s="182"/>
      <c r="AA538" s="182"/>
      <c r="AB538" s="210"/>
      <c r="AC538" s="182"/>
      <c r="AD538" s="182"/>
      <c r="AE538" s="211"/>
    </row>
    <row r="539" spans="2:31" ht="17.25" customHeight="1">
      <c r="B539" s="180">
        <v>192</v>
      </c>
      <c r="C539" s="925" t="s">
        <v>1591</v>
      </c>
      <c r="D539" s="940" t="s">
        <v>271</v>
      </c>
      <c r="E539" s="186" t="s">
        <v>10</v>
      </c>
      <c r="F539" s="187" t="str">
        <f t="shared" si="18"/>
        <v>IB311C0</v>
      </c>
      <c r="G539" s="381"/>
      <c r="H539" s="382"/>
      <c r="I539" s="382"/>
      <c r="J539" s="383"/>
      <c r="K539" s="190" t="s">
        <v>1519</v>
      </c>
      <c r="L539" s="191"/>
      <c r="M539" s="186" t="s">
        <v>11</v>
      </c>
      <c r="N539" s="195" t="str">
        <f t="shared" si="19"/>
        <v>OB311C0</v>
      </c>
      <c r="O539" s="463" t="s">
        <v>1032</v>
      </c>
      <c r="P539" s="250"/>
      <c r="Q539" s="250"/>
      <c r="R539" s="251"/>
      <c r="S539" s="190" t="s">
        <v>1513</v>
      </c>
      <c r="T539" s="191"/>
      <c r="U539" s="909"/>
      <c r="V539" s="909"/>
      <c r="W539" s="187"/>
      <c r="X539" s="182"/>
      <c r="Y539" s="182"/>
      <c r="Z539" s="182"/>
      <c r="AA539" s="182"/>
      <c r="AB539" s="210"/>
      <c r="AC539" s="182"/>
      <c r="AD539" s="182"/>
      <c r="AE539" s="211"/>
    </row>
    <row r="540" spans="2:31" ht="17.25" customHeight="1">
      <c r="B540" s="180">
        <v>193</v>
      </c>
      <c r="C540" s="816"/>
      <c r="D540" s="765"/>
      <c r="E540" s="186" t="s">
        <v>10</v>
      </c>
      <c r="F540" s="187" t="str">
        <f t="shared" ref="F540:F602" si="20">LEFT(F539,1)&amp;DEC2HEX(HEX2DEC(MID(F539,2,LENB(F539)-1))+1,LENB(F539)-1)</f>
        <v>IB311C1</v>
      </c>
      <c r="G540" s="381"/>
      <c r="H540" s="382"/>
      <c r="I540" s="382"/>
      <c r="J540" s="383"/>
      <c r="K540" s="190"/>
      <c r="L540" s="209"/>
      <c r="M540" s="186" t="s">
        <v>11</v>
      </c>
      <c r="N540" s="195" t="str">
        <f t="shared" si="19"/>
        <v>OB311C1</v>
      </c>
      <c r="O540" s="463" t="s">
        <v>1033</v>
      </c>
      <c r="P540" s="250"/>
      <c r="Q540" s="250"/>
      <c r="R540" s="251"/>
      <c r="S540" s="190" t="s">
        <v>1513</v>
      </c>
      <c r="T540" s="191"/>
      <c r="U540" s="909"/>
      <c r="V540" s="909"/>
      <c r="W540" s="187"/>
      <c r="X540" s="182"/>
      <c r="Y540" s="182"/>
      <c r="Z540" s="182"/>
      <c r="AA540" s="182"/>
      <c r="AB540" s="210"/>
      <c r="AC540" s="182"/>
      <c r="AD540" s="182"/>
      <c r="AE540" s="211"/>
    </row>
    <row r="541" spans="2:31" ht="17.25" customHeight="1">
      <c r="B541" s="180">
        <v>194</v>
      </c>
      <c r="C541" s="816"/>
      <c r="D541" s="765"/>
      <c r="E541" s="186" t="s">
        <v>10</v>
      </c>
      <c r="F541" s="187" t="str">
        <f t="shared" si="20"/>
        <v>IB311C2</v>
      </c>
      <c r="G541" s="381"/>
      <c r="H541" s="382"/>
      <c r="I541" s="382"/>
      <c r="J541" s="383"/>
      <c r="K541" s="190"/>
      <c r="L541" s="209"/>
      <c r="M541" s="186" t="s">
        <v>11</v>
      </c>
      <c r="N541" s="195" t="str">
        <f t="shared" si="19"/>
        <v>OB311C2</v>
      </c>
      <c r="O541" s="463" t="s">
        <v>1034</v>
      </c>
      <c r="P541" s="250"/>
      <c r="Q541" s="250"/>
      <c r="R541" s="251"/>
      <c r="S541" s="190" t="s">
        <v>1513</v>
      </c>
      <c r="T541" s="191"/>
      <c r="U541" s="909"/>
      <c r="V541" s="909"/>
      <c r="W541" s="187"/>
      <c r="X541" s="182"/>
      <c r="Y541" s="182"/>
      <c r="Z541" s="182"/>
      <c r="AA541" s="182"/>
      <c r="AB541" s="210"/>
      <c r="AC541" s="182"/>
      <c r="AD541" s="182"/>
      <c r="AE541" s="211"/>
    </row>
    <row r="542" spans="2:31" ht="17.25" customHeight="1">
      <c r="B542" s="180">
        <v>195</v>
      </c>
      <c r="C542" s="816"/>
      <c r="D542" s="765"/>
      <c r="E542" s="186" t="s">
        <v>10</v>
      </c>
      <c r="F542" s="187" t="str">
        <f t="shared" si="20"/>
        <v>IB311C3</v>
      </c>
      <c r="G542" s="381"/>
      <c r="H542" s="382"/>
      <c r="I542" s="382"/>
      <c r="J542" s="383"/>
      <c r="K542" s="190"/>
      <c r="L542" s="209"/>
      <c r="M542" s="186" t="s">
        <v>11</v>
      </c>
      <c r="N542" s="195" t="str">
        <f t="shared" si="19"/>
        <v>OB311C3</v>
      </c>
      <c r="O542" s="463" t="s">
        <v>1035</v>
      </c>
      <c r="P542" s="250"/>
      <c r="Q542" s="250"/>
      <c r="R542" s="251"/>
      <c r="S542" s="190" t="s">
        <v>1513</v>
      </c>
      <c r="T542" s="191"/>
      <c r="U542" s="909"/>
      <c r="V542" s="909"/>
      <c r="W542" s="187"/>
      <c r="X542" s="182"/>
      <c r="Y542" s="182"/>
      <c r="Z542" s="182"/>
      <c r="AA542" s="182"/>
      <c r="AB542" s="210"/>
      <c r="AC542" s="182"/>
      <c r="AD542" s="182"/>
      <c r="AE542" s="211"/>
    </row>
    <row r="543" spans="2:31" ht="17.25" customHeight="1">
      <c r="B543" s="180">
        <v>196</v>
      </c>
      <c r="C543" s="816"/>
      <c r="D543" s="765"/>
      <c r="E543" s="186" t="s">
        <v>10</v>
      </c>
      <c r="F543" s="187" t="str">
        <f t="shared" si="20"/>
        <v>IB311C4</v>
      </c>
      <c r="G543" s="381"/>
      <c r="H543" s="382"/>
      <c r="I543" s="382"/>
      <c r="J543" s="383"/>
      <c r="K543" s="190"/>
      <c r="L543" s="209"/>
      <c r="M543" s="186" t="s">
        <v>11</v>
      </c>
      <c r="N543" s="195" t="str">
        <f t="shared" si="19"/>
        <v>OB311C4</v>
      </c>
      <c r="O543" s="463" t="s">
        <v>1042</v>
      </c>
      <c r="P543" s="250"/>
      <c r="Q543" s="250"/>
      <c r="R543" s="251"/>
      <c r="S543" s="190" t="s">
        <v>1513</v>
      </c>
      <c r="T543" s="191"/>
      <c r="U543" s="909"/>
      <c r="V543" s="909"/>
      <c r="W543" s="187"/>
      <c r="X543" s="182"/>
      <c r="Y543" s="182"/>
      <c r="Z543" s="182"/>
      <c r="AA543" s="182"/>
      <c r="AB543" s="210"/>
      <c r="AC543" s="182"/>
      <c r="AD543" s="182"/>
      <c r="AE543" s="211"/>
    </row>
    <row r="544" spans="2:31" ht="17.25" customHeight="1">
      <c r="B544" s="180">
        <v>197</v>
      </c>
      <c r="C544" s="816"/>
      <c r="D544" s="765"/>
      <c r="E544" s="186" t="s">
        <v>10</v>
      </c>
      <c r="F544" s="187" t="str">
        <f t="shared" si="20"/>
        <v>IB311C5</v>
      </c>
      <c r="G544" s="381"/>
      <c r="H544" s="382"/>
      <c r="I544" s="382"/>
      <c r="J544" s="383"/>
      <c r="K544" s="190"/>
      <c r="L544" s="209"/>
      <c r="M544" s="186" t="s">
        <v>11</v>
      </c>
      <c r="N544" s="195" t="str">
        <f t="shared" si="19"/>
        <v>OB311C5</v>
      </c>
      <c r="O544" s="463" t="s">
        <v>1043</v>
      </c>
      <c r="P544" s="250"/>
      <c r="Q544" s="250"/>
      <c r="R544" s="251"/>
      <c r="S544" s="190" t="s">
        <v>1513</v>
      </c>
      <c r="T544" s="191"/>
      <c r="U544" s="909"/>
      <c r="V544" s="909"/>
      <c r="W544" s="187"/>
      <c r="X544" s="182"/>
      <c r="Y544" s="182"/>
      <c r="Z544" s="182"/>
      <c r="AA544" s="182"/>
      <c r="AB544" s="210"/>
      <c r="AC544" s="182"/>
      <c r="AD544" s="182"/>
      <c r="AE544" s="211"/>
    </row>
    <row r="545" spans="2:31" ht="17.25" customHeight="1">
      <c r="B545" s="180">
        <v>198</v>
      </c>
      <c r="C545" s="816"/>
      <c r="D545" s="765"/>
      <c r="E545" s="186" t="s">
        <v>10</v>
      </c>
      <c r="F545" s="187" t="str">
        <f t="shared" si="20"/>
        <v>IB311C6</v>
      </c>
      <c r="G545" s="381"/>
      <c r="H545" s="382"/>
      <c r="I545" s="382"/>
      <c r="J545" s="383"/>
      <c r="K545" s="190"/>
      <c r="L545" s="209"/>
      <c r="M545" s="186" t="s">
        <v>11</v>
      </c>
      <c r="N545" s="195" t="str">
        <f t="shared" si="19"/>
        <v>OB311C6</v>
      </c>
      <c r="O545" s="463" t="s">
        <v>1044</v>
      </c>
      <c r="P545" s="250"/>
      <c r="Q545" s="250"/>
      <c r="R545" s="251"/>
      <c r="S545" s="190" t="s">
        <v>1513</v>
      </c>
      <c r="T545" s="191"/>
      <c r="U545" s="909"/>
      <c r="V545" s="909"/>
      <c r="W545" s="187"/>
      <c r="X545" s="182"/>
      <c r="Y545" s="182"/>
      <c r="Z545" s="182"/>
      <c r="AA545" s="182"/>
      <c r="AB545" s="210"/>
      <c r="AC545" s="182"/>
      <c r="AD545" s="182"/>
      <c r="AE545" s="211"/>
    </row>
    <row r="546" spans="2:31" ht="17.25" customHeight="1">
      <c r="B546" s="180">
        <v>199</v>
      </c>
      <c r="C546" s="816"/>
      <c r="D546" s="765"/>
      <c r="E546" s="186" t="s">
        <v>10</v>
      </c>
      <c r="F546" s="187" t="str">
        <f t="shared" si="20"/>
        <v>IB311C7</v>
      </c>
      <c r="G546" s="381"/>
      <c r="H546" s="382"/>
      <c r="I546" s="382"/>
      <c r="J546" s="383"/>
      <c r="K546" s="190"/>
      <c r="L546" s="209"/>
      <c r="M546" s="186" t="s">
        <v>11</v>
      </c>
      <c r="N546" s="195" t="str">
        <f t="shared" si="19"/>
        <v>OB311C7</v>
      </c>
      <c r="O546" s="463" t="s">
        <v>1045</v>
      </c>
      <c r="P546" s="250"/>
      <c r="Q546" s="250"/>
      <c r="R546" s="251"/>
      <c r="S546" s="190" t="s">
        <v>1513</v>
      </c>
      <c r="T546" s="191"/>
      <c r="U546" s="909"/>
      <c r="V546" s="909"/>
      <c r="W546" s="187"/>
      <c r="X546" s="182"/>
      <c r="Y546" s="182"/>
      <c r="Z546" s="182"/>
      <c r="AA546" s="182"/>
      <c r="AB546" s="210"/>
      <c r="AC546" s="182"/>
      <c r="AD546" s="182"/>
      <c r="AE546" s="211"/>
    </row>
    <row r="547" spans="2:31" ht="17.25" customHeight="1">
      <c r="B547" s="180">
        <v>200</v>
      </c>
      <c r="C547" s="816"/>
      <c r="D547" s="765"/>
      <c r="E547" s="186" t="s">
        <v>10</v>
      </c>
      <c r="F547" s="187" t="str">
        <f t="shared" si="20"/>
        <v>IB311C8</v>
      </c>
      <c r="G547" s="381"/>
      <c r="H547" s="382"/>
      <c r="I547" s="382"/>
      <c r="J547" s="383"/>
      <c r="K547" s="190"/>
      <c r="L547" s="209"/>
      <c r="M547" s="186" t="s">
        <v>11</v>
      </c>
      <c r="N547" s="195" t="str">
        <f t="shared" si="19"/>
        <v>OB311C8</v>
      </c>
      <c r="O547" s="249"/>
      <c r="P547" s="250"/>
      <c r="Q547" s="250"/>
      <c r="R547" s="251"/>
      <c r="S547" s="196"/>
      <c r="T547" s="191"/>
      <c r="U547" s="909"/>
      <c r="V547" s="909"/>
      <c r="W547" s="187"/>
      <c r="X547" s="182"/>
      <c r="Y547" s="182"/>
      <c r="Z547" s="182"/>
      <c r="AA547" s="182"/>
      <c r="AB547" s="210"/>
      <c r="AC547" s="182"/>
      <c r="AD547" s="182"/>
      <c r="AE547" s="211"/>
    </row>
    <row r="548" spans="2:31" ht="17.25" customHeight="1">
      <c r="B548" s="180">
        <v>201</v>
      </c>
      <c r="C548" s="816"/>
      <c r="D548" s="765"/>
      <c r="E548" s="186" t="s">
        <v>10</v>
      </c>
      <c r="F548" s="187" t="str">
        <f t="shared" si="20"/>
        <v>IB311C9</v>
      </c>
      <c r="G548" s="381"/>
      <c r="H548" s="382"/>
      <c r="I548" s="382"/>
      <c r="J548" s="383"/>
      <c r="K548" s="190"/>
      <c r="L548" s="209"/>
      <c r="M548" s="186" t="s">
        <v>11</v>
      </c>
      <c r="N548" s="195" t="str">
        <f t="shared" si="19"/>
        <v>OB311C9</v>
      </c>
      <c r="O548" s="249"/>
      <c r="P548" s="250"/>
      <c r="Q548" s="250"/>
      <c r="R548" s="251"/>
      <c r="S548" s="196"/>
      <c r="T548" s="191"/>
      <c r="U548" s="909"/>
      <c r="V548" s="909"/>
      <c r="W548" s="187"/>
      <c r="X548" s="182"/>
      <c r="Y548" s="182"/>
      <c r="Z548" s="182"/>
      <c r="AA548" s="182"/>
      <c r="AB548" s="210"/>
      <c r="AC548" s="182"/>
      <c r="AD548" s="182"/>
      <c r="AE548" s="211"/>
    </row>
    <row r="549" spans="2:31" ht="17.25" customHeight="1">
      <c r="B549" s="180">
        <v>202</v>
      </c>
      <c r="C549" s="816"/>
      <c r="D549" s="765"/>
      <c r="E549" s="186" t="s">
        <v>10</v>
      </c>
      <c r="F549" s="187" t="str">
        <f t="shared" si="20"/>
        <v>IB311CA</v>
      </c>
      <c r="G549" s="381"/>
      <c r="H549" s="382"/>
      <c r="I549" s="382"/>
      <c r="J549" s="383"/>
      <c r="K549" s="190"/>
      <c r="L549" s="209"/>
      <c r="M549" s="186" t="s">
        <v>11</v>
      </c>
      <c r="N549" s="195" t="str">
        <f t="shared" si="19"/>
        <v>OB311CA</v>
      </c>
      <c r="O549" s="243" t="s">
        <v>1036</v>
      </c>
      <c r="P549" s="244"/>
      <c r="Q549" s="244"/>
      <c r="R549" s="245"/>
      <c r="S549" s="190" t="s">
        <v>1531</v>
      </c>
      <c r="T549" s="653" t="s">
        <v>1513</v>
      </c>
      <c r="U549" s="909"/>
      <c r="V549" s="909"/>
      <c r="W549" s="187"/>
      <c r="X549" s="182"/>
      <c r="Y549" s="182"/>
      <c r="Z549" s="182"/>
      <c r="AA549" s="182"/>
      <c r="AB549" s="210"/>
      <c r="AC549" s="182"/>
      <c r="AD549" s="182"/>
      <c r="AE549" s="211"/>
    </row>
    <row r="550" spans="2:31" ht="17.25" customHeight="1">
      <c r="B550" s="180">
        <v>203</v>
      </c>
      <c r="C550" s="816"/>
      <c r="D550" s="765"/>
      <c r="E550" s="186" t="s">
        <v>10</v>
      </c>
      <c r="F550" s="187" t="str">
        <f t="shared" si="20"/>
        <v>IB311CB</v>
      </c>
      <c r="G550" s="381"/>
      <c r="H550" s="382"/>
      <c r="I550" s="382"/>
      <c r="J550" s="383"/>
      <c r="K550" s="190"/>
      <c r="L550" s="209"/>
      <c r="M550" s="186" t="s">
        <v>11</v>
      </c>
      <c r="N550" s="195" t="str">
        <f t="shared" si="19"/>
        <v>OB311CB</v>
      </c>
      <c r="O550" s="243" t="s">
        <v>1037</v>
      </c>
      <c r="P550" s="244"/>
      <c r="Q550" s="244"/>
      <c r="R550" s="245"/>
      <c r="S550" s="190" t="s">
        <v>1531</v>
      </c>
      <c r="T550" s="653" t="s">
        <v>1513</v>
      </c>
      <c r="U550" s="909"/>
      <c r="V550" s="909"/>
      <c r="W550" s="187"/>
      <c r="X550" s="182"/>
      <c r="Y550" s="182"/>
      <c r="Z550" s="182"/>
      <c r="AA550" s="182"/>
      <c r="AB550" s="210"/>
      <c r="AC550" s="182"/>
      <c r="AD550" s="182"/>
      <c r="AE550" s="211"/>
    </row>
    <row r="551" spans="2:31" ht="17.25" customHeight="1">
      <c r="B551" s="180">
        <v>204</v>
      </c>
      <c r="C551" s="816"/>
      <c r="D551" s="765"/>
      <c r="E551" s="186" t="s">
        <v>10</v>
      </c>
      <c r="F551" s="187" t="str">
        <f t="shared" si="20"/>
        <v>IB311CC</v>
      </c>
      <c r="G551" s="381"/>
      <c r="H551" s="382"/>
      <c r="I551" s="382"/>
      <c r="J551" s="383"/>
      <c r="K551" s="190"/>
      <c r="L551" s="209"/>
      <c r="M551" s="186" t="s">
        <v>11</v>
      </c>
      <c r="N551" s="195" t="str">
        <f t="shared" si="19"/>
        <v>OB311CC</v>
      </c>
      <c r="O551" s="243" t="s">
        <v>1038</v>
      </c>
      <c r="P551" s="244"/>
      <c r="Q551" s="244"/>
      <c r="R551" s="245"/>
      <c r="S551" s="190" t="s">
        <v>1531</v>
      </c>
      <c r="T551" s="653" t="s">
        <v>1513</v>
      </c>
      <c r="U551" s="909"/>
      <c r="V551" s="909"/>
      <c r="W551" s="187"/>
      <c r="X551" s="182"/>
      <c r="Y551" s="182"/>
      <c r="Z551" s="182"/>
      <c r="AA551" s="182"/>
      <c r="AB551" s="210"/>
      <c r="AC551" s="182"/>
      <c r="AD551" s="182"/>
      <c r="AE551" s="211"/>
    </row>
    <row r="552" spans="2:31" ht="17.25" customHeight="1">
      <c r="B552" s="180">
        <v>205</v>
      </c>
      <c r="C552" s="816"/>
      <c r="D552" s="765"/>
      <c r="E552" s="186" t="s">
        <v>10</v>
      </c>
      <c r="F552" s="187" t="str">
        <f t="shared" si="20"/>
        <v>IB311CD</v>
      </c>
      <c r="G552" s="381"/>
      <c r="H552" s="382"/>
      <c r="I552" s="382"/>
      <c r="J552" s="383"/>
      <c r="K552" s="190"/>
      <c r="L552" s="209"/>
      <c r="M552" s="186" t="s">
        <v>11</v>
      </c>
      <c r="N552" s="195" t="str">
        <f t="shared" si="19"/>
        <v>OB311CD</v>
      </c>
      <c r="O552" s="243" t="s">
        <v>1039</v>
      </c>
      <c r="P552" s="244"/>
      <c r="Q552" s="244"/>
      <c r="R552" s="245"/>
      <c r="S552" s="190" t="s">
        <v>1531</v>
      </c>
      <c r="T552" s="653" t="s">
        <v>1513</v>
      </c>
      <c r="U552" s="909"/>
      <c r="V552" s="909"/>
      <c r="W552" s="187"/>
      <c r="X552" s="182"/>
      <c r="Y552" s="182"/>
      <c r="Z552" s="182"/>
      <c r="AA552" s="182"/>
      <c r="AB552" s="210"/>
      <c r="AC552" s="182"/>
      <c r="AD552" s="182"/>
      <c r="AE552" s="211"/>
    </row>
    <row r="553" spans="2:31" ht="17.25" customHeight="1">
      <c r="B553" s="180">
        <v>206</v>
      </c>
      <c r="C553" s="816"/>
      <c r="D553" s="765"/>
      <c r="E553" s="186" t="s">
        <v>10</v>
      </c>
      <c r="F553" s="187" t="str">
        <f t="shared" si="20"/>
        <v>IB311CE</v>
      </c>
      <c r="G553" s="381"/>
      <c r="H553" s="382"/>
      <c r="I553" s="382"/>
      <c r="J553" s="383"/>
      <c r="K553" s="190"/>
      <c r="L553" s="209"/>
      <c r="M553" s="186" t="s">
        <v>11</v>
      </c>
      <c r="N553" s="195" t="str">
        <f t="shared" si="19"/>
        <v>OB311CE</v>
      </c>
      <c r="O553" s="243" t="s">
        <v>1040</v>
      </c>
      <c r="P553" s="244"/>
      <c r="Q553" s="244"/>
      <c r="R553" s="245"/>
      <c r="S553" s="190" t="s">
        <v>1531</v>
      </c>
      <c r="T553" s="653" t="s">
        <v>1513</v>
      </c>
      <c r="U553" s="909"/>
      <c r="V553" s="909"/>
      <c r="W553" s="187"/>
      <c r="X553" s="182"/>
      <c r="Y553" s="182"/>
      <c r="Z553" s="182"/>
      <c r="AA553" s="182"/>
      <c r="AB553" s="210"/>
      <c r="AC553" s="182"/>
      <c r="AD553" s="182"/>
      <c r="AE553" s="211"/>
    </row>
    <row r="554" spans="2:31" ht="17.25" customHeight="1">
      <c r="B554" s="180">
        <v>207</v>
      </c>
      <c r="C554" s="926"/>
      <c r="D554" s="765"/>
      <c r="E554" s="186" t="s">
        <v>10</v>
      </c>
      <c r="F554" s="187" t="str">
        <f t="shared" si="20"/>
        <v>IB311CF</v>
      </c>
      <c r="G554" s="381"/>
      <c r="H554" s="382"/>
      <c r="I554" s="382"/>
      <c r="J554" s="383"/>
      <c r="K554" s="190"/>
      <c r="L554" s="209"/>
      <c r="M554" s="186" t="s">
        <v>11</v>
      </c>
      <c r="N554" s="195" t="str">
        <f t="shared" si="19"/>
        <v>OB311CF</v>
      </c>
      <c r="O554" s="243" t="s">
        <v>1041</v>
      </c>
      <c r="P554" s="244"/>
      <c r="Q554" s="244"/>
      <c r="R554" s="245"/>
      <c r="S554" s="190" t="s">
        <v>1531</v>
      </c>
      <c r="T554" s="653" t="s">
        <v>1513</v>
      </c>
      <c r="U554" s="909"/>
      <c r="V554" s="909"/>
      <c r="W554" s="187"/>
      <c r="X554" s="182"/>
      <c r="Y554" s="182"/>
      <c r="Z554" s="182"/>
      <c r="AA554" s="182"/>
      <c r="AB554" s="210"/>
      <c r="AC554" s="182"/>
      <c r="AD554" s="182"/>
      <c r="AE554" s="211"/>
    </row>
    <row r="555" spans="2:31" ht="17.25" customHeight="1">
      <c r="B555" s="180">
        <v>208</v>
      </c>
      <c r="C555" s="927" t="s">
        <v>59</v>
      </c>
      <c r="D555" s="940" t="s">
        <v>271</v>
      </c>
      <c r="E555" s="186" t="s">
        <v>10</v>
      </c>
      <c r="F555" s="187" t="str">
        <f t="shared" si="20"/>
        <v>IB311D0</v>
      </c>
      <c r="G555" s="243" t="s">
        <v>1090</v>
      </c>
      <c r="H555" s="244"/>
      <c r="I555" s="244"/>
      <c r="J555" s="245"/>
      <c r="K555" s="190" t="s">
        <v>1513</v>
      </c>
      <c r="L555" s="209"/>
      <c r="M555" s="186" t="s">
        <v>11</v>
      </c>
      <c r="N555" s="195" t="str">
        <f t="shared" si="19"/>
        <v>OB311D0</v>
      </c>
      <c r="O555" s="254"/>
      <c r="P555" s="255"/>
      <c r="Q555" s="255"/>
      <c r="R555" s="256"/>
      <c r="S555" s="190"/>
      <c r="T555" s="191"/>
      <c r="U555" s="909"/>
      <c r="V555" s="909"/>
      <c r="W555" s="187"/>
      <c r="X555" s="182"/>
      <c r="Y555" s="182"/>
      <c r="Z555" s="182"/>
      <c r="AA555" s="182"/>
      <c r="AB555" s="210"/>
      <c r="AC555" s="182"/>
      <c r="AD555" s="182"/>
      <c r="AE555" s="211"/>
    </row>
    <row r="556" spans="2:31" ht="17.25" customHeight="1">
      <c r="B556" s="180">
        <v>209</v>
      </c>
      <c r="C556" s="811"/>
      <c r="D556" s="765"/>
      <c r="E556" s="186" t="s">
        <v>10</v>
      </c>
      <c r="F556" s="187" t="str">
        <f t="shared" si="20"/>
        <v>IB311D1</v>
      </c>
      <c r="G556" s="243" t="s">
        <v>1091</v>
      </c>
      <c r="H556" s="244"/>
      <c r="I556" s="244"/>
      <c r="J556" s="245"/>
      <c r="K556" s="190" t="s">
        <v>1513</v>
      </c>
      <c r="L556" s="209"/>
      <c r="M556" s="186" t="s">
        <v>11</v>
      </c>
      <c r="N556" s="195" t="str">
        <f t="shared" si="19"/>
        <v>OB311D1</v>
      </c>
      <c r="O556" s="254"/>
      <c r="P556" s="255"/>
      <c r="Q556" s="255"/>
      <c r="R556" s="256"/>
      <c r="S556" s="190"/>
      <c r="T556" s="191"/>
      <c r="U556" s="909"/>
      <c r="V556" s="909"/>
      <c r="W556" s="187"/>
      <c r="X556" s="182"/>
      <c r="Y556" s="182"/>
      <c r="Z556" s="182"/>
      <c r="AA556" s="182"/>
      <c r="AB556" s="210"/>
      <c r="AC556" s="182"/>
      <c r="AD556" s="182"/>
      <c r="AE556" s="211"/>
    </row>
    <row r="557" spans="2:31" ht="17.25" customHeight="1">
      <c r="B557" s="180">
        <v>210</v>
      </c>
      <c r="C557" s="811"/>
      <c r="D557" s="765"/>
      <c r="E557" s="186" t="s">
        <v>10</v>
      </c>
      <c r="F557" s="187" t="str">
        <f t="shared" si="20"/>
        <v>IB311D2</v>
      </c>
      <c r="G557" s="243" t="s">
        <v>1092</v>
      </c>
      <c r="H557" s="244"/>
      <c r="I557" s="244"/>
      <c r="J557" s="245"/>
      <c r="K557" s="190" t="s">
        <v>1513</v>
      </c>
      <c r="L557" s="209"/>
      <c r="M557" s="186" t="s">
        <v>11</v>
      </c>
      <c r="N557" s="195" t="str">
        <f t="shared" si="19"/>
        <v>OB311D2</v>
      </c>
      <c r="O557" s="254"/>
      <c r="P557" s="255"/>
      <c r="Q557" s="255"/>
      <c r="R557" s="256"/>
      <c r="S557" s="190"/>
      <c r="T557" s="191"/>
      <c r="U557" s="909"/>
      <c r="V557" s="909"/>
      <c r="W557" s="187"/>
      <c r="X557" s="182"/>
      <c r="Y557" s="182"/>
      <c r="Z557" s="182"/>
      <c r="AA557" s="182"/>
      <c r="AB557" s="210"/>
      <c r="AC557" s="182"/>
      <c r="AD557" s="182"/>
      <c r="AE557" s="211"/>
    </row>
    <row r="558" spans="2:31" ht="17.25" customHeight="1">
      <c r="B558" s="180">
        <v>211</v>
      </c>
      <c r="C558" s="811"/>
      <c r="D558" s="765"/>
      <c r="E558" s="186" t="s">
        <v>10</v>
      </c>
      <c r="F558" s="187" t="str">
        <f t="shared" si="20"/>
        <v>IB311D3</v>
      </c>
      <c r="G558" s="243" t="s">
        <v>1093</v>
      </c>
      <c r="H558" s="244"/>
      <c r="I558" s="244"/>
      <c r="J558" s="245"/>
      <c r="K558" s="190" t="s">
        <v>1513</v>
      </c>
      <c r="L558" s="209"/>
      <c r="M558" s="186" t="s">
        <v>11</v>
      </c>
      <c r="N558" s="195" t="str">
        <f t="shared" si="19"/>
        <v>OB311D3</v>
      </c>
      <c r="O558" s="254"/>
      <c r="P558" s="255"/>
      <c r="Q558" s="255"/>
      <c r="R558" s="256"/>
      <c r="S558" s="190"/>
      <c r="T558" s="191"/>
      <c r="U558" s="909"/>
      <c r="V558" s="909"/>
      <c r="W558" s="187"/>
      <c r="X558" s="182"/>
      <c r="Y558" s="182"/>
      <c r="Z558" s="182"/>
      <c r="AA558" s="182"/>
      <c r="AB558" s="210"/>
      <c r="AC558" s="182"/>
      <c r="AD558" s="182"/>
      <c r="AE558" s="211"/>
    </row>
    <row r="559" spans="2:31" ht="17.25" customHeight="1">
      <c r="B559" s="180">
        <v>212</v>
      </c>
      <c r="C559" s="811"/>
      <c r="D559" s="765"/>
      <c r="E559" s="186" t="s">
        <v>10</v>
      </c>
      <c r="F559" s="187" t="str">
        <f t="shared" si="20"/>
        <v>IB311D4</v>
      </c>
      <c r="G559" s="243" t="s">
        <v>1094</v>
      </c>
      <c r="H559" s="244"/>
      <c r="I559" s="244"/>
      <c r="J559" s="245"/>
      <c r="K559" s="190" t="s">
        <v>1513</v>
      </c>
      <c r="L559" s="209"/>
      <c r="M559" s="186" t="s">
        <v>11</v>
      </c>
      <c r="N559" s="195" t="str">
        <f t="shared" si="19"/>
        <v>OB311D4</v>
      </c>
      <c r="O559" s="254"/>
      <c r="P559" s="255"/>
      <c r="Q559" s="255"/>
      <c r="R559" s="256"/>
      <c r="S559" s="190"/>
      <c r="T559" s="191"/>
      <c r="U559" s="909"/>
      <c r="V559" s="909"/>
      <c r="W559" s="187"/>
      <c r="X559" s="182"/>
      <c r="Y559" s="182"/>
      <c r="Z559" s="182"/>
      <c r="AA559" s="182"/>
      <c r="AB559" s="210"/>
      <c r="AC559" s="182"/>
      <c r="AD559" s="182"/>
      <c r="AE559" s="211"/>
    </row>
    <row r="560" spans="2:31" ht="17.25" customHeight="1">
      <c r="B560" s="180">
        <v>213</v>
      </c>
      <c r="C560" s="811"/>
      <c r="D560" s="765"/>
      <c r="E560" s="186" t="s">
        <v>10</v>
      </c>
      <c r="F560" s="187" t="str">
        <f t="shared" si="20"/>
        <v>IB311D5</v>
      </c>
      <c r="K560" s="190"/>
      <c r="L560" s="209"/>
      <c r="M560" s="186" t="s">
        <v>11</v>
      </c>
      <c r="N560" s="195" t="str">
        <f t="shared" si="19"/>
        <v>OB311D5</v>
      </c>
      <c r="O560" s="254"/>
      <c r="P560" s="255"/>
      <c r="Q560" s="255"/>
      <c r="R560" s="256"/>
      <c r="S560" s="190"/>
      <c r="T560" s="191"/>
      <c r="U560" s="909"/>
      <c r="V560" s="909"/>
      <c r="W560" s="187"/>
      <c r="X560" s="182"/>
      <c r="Y560" s="182"/>
      <c r="Z560" s="182"/>
      <c r="AA560" s="182"/>
      <c r="AB560" s="210"/>
      <c r="AC560" s="182"/>
      <c r="AD560" s="182"/>
      <c r="AE560" s="211"/>
    </row>
    <row r="561" spans="2:31" ht="17.25" customHeight="1">
      <c r="B561" s="180">
        <v>214</v>
      </c>
      <c r="C561" s="811"/>
      <c r="D561" s="765"/>
      <c r="E561" s="186" t="s">
        <v>10</v>
      </c>
      <c r="F561" s="187" t="str">
        <f t="shared" si="20"/>
        <v>IB311D6</v>
      </c>
      <c r="G561" s="463" t="s">
        <v>1411</v>
      </c>
      <c r="H561" s="250"/>
      <c r="I561" s="250"/>
      <c r="J561" s="251"/>
      <c r="K561" s="182" t="s">
        <v>1513</v>
      </c>
      <c r="L561" s="209"/>
      <c r="M561" s="186" t="s">
        <v>11</v>
      </c>
      <c r="N561" s="195" t="str">
        <f t="shared" si="19"/>
        <v>OB311D6</v>
      </c>
      <c r="O561" s="254"/>
      <c r="P561" s="255"/>
      <c r="Q561" s="255"/>
      <c r="R561" s="256"/>
      <c r="S561" s="190"/>
      <c r="T561" s="191"/>
      <c r="U561" s="909"/>
      <c r="V561" s="909"/>
      <c r="W561" s="187"/>
      <c r="X561" s="182"/>
      <c r="Y561" s="182"/>
      <c r="Z561" s="182"/>
      <c r="AA561" s="182"/>
      <c r="AB561" s="210"/>
      <c r="AC561" s="182"/>
      <c r="AD561" s="182"/>
      <c r="AE561" s="211"/>
    </row>
    <row r="562" spans="2:31" ht="17.25" customHeight="1">
      <c r="B562" s="180">
        <v>215</v>
      </c>
      <c r="C562" s="811"/>
      <c r="D562" s="765"/>
      <c r="E562" s="186" t="s">
        <v>10</v>
      </c>
      <c r="F562" s="187" t="str">
        <f t="shared" si="20"/>
        <v>IB311D7</v>
      </c>
      <c r="G562" s="463" t="s">
        <v>1412</v>
      </c>
      <c r="H562" s="250"/>
      <c r="I562" s="250"/>
      <c r="J562" s="251"/>
      <c r="K562" s="182" t="s">
        <v>1513</v>
      </c>
      <c r="L562" s="209"/>
      <c r="M562" s="186" t="s">
        <v>11</v>
      </c>
      <c r="N562" s="195" t="str">
        <f t="shared" si="19"/>
        <v>OB311D7</v>
      </c>
      <c r="O562" s="254"/>
      <c r="P562" s="255"/>
      <c r="Q562" s="255"/>
      <c r="R562" s="256"/>
      <c r="S562" s="190"/>
      <c r="T562" s="191"/>
      <c r="U562" s="909"/>
      <c r="V562" s="909"/>
      <c r="W562" s="187"/>
      <c r="X562" s="182"/>
      <c r="Y562" s="182"/>
      <c r="Z562" s="182"/>
      <c r="AA562" s="182"/>
      <c r="AB562" s="210"/>
      <c r="AC562" s="182"/>
      <c r="AD562" s="182"/>
      <c r="AE562" s="211"/>
    </row>
    <row r="563" spans="2:31" ht="17.25" customHeight="1">
      <c r="B563" s="180">
        <v>216</v>
      </c>
      <c r="C563" s="811"/>
      <c r="D563" s="765"/>
      <c r="E563" s="186" t="s">
        <v>10</v>
      </c>
      <c r="F563" s="187" t="str">
        <f t="shared" si="20"/>
        <v>IB311D8</v>
      </c>
      <c r="G563" s="249" t="s">
        <v>1082</v>
      </c>
      <c r="H563" s="250"/>
      <c r="I563" s="250"/>
      <c r="J563" s="251"/>
      <c r="K563" s="182" t="s">
        <v>1513</v>
      </c>
      <c r="L563" s="209"/>
      <c r="M563" s="186" t="s">
        <v>11</v>
      </c>
      <c r="N563" s="195" t="str">
        <f t="shared" si="19"/>
        <v>OB311D8</v>
      </c>
      <c r="O563" s="254"/>
      <c r="P563" s="255"/>
      <c r="Q563" s="255"/>
      <c r="R563" s="256"/>
      <c r="S563" s="190"/>
      <c r="T563" s="191"/>
      <c r="U563" s="909"/>
      <c r="V563" s="909"/>
      <c r="W563" s="187"/>
      <c r="X563" s="182"/>
      <c r="Y563" s="182"/>
      <c r="Z563" s="182"/>
      <c r="AA563" s="182"/>
      <c r="AB563" s="210"/>
      <c r="AC563" s="182"/>
      <c r="AD563" s="182"/>
      <c r="AE563" s="211"/>
    </row>
    <row r="564" spans="2:31" ht="17.25" customHeight="1">
      <c r="B564" s="180">
        <v>217</v>
      </c>
      <c r="C564" s="811"/>
      <c r="D564" s="765"/>
      <c r="E564" s="186" t="s">
        <v>10</v>
      </c>
      <c r="F564" s="187" t="str">
        <f t="shared" si="20"/>
        <v>IB311D9</v>
      </c>
      <c r="G564" s="249" t="s">
        <v>1083</v>
      </c>
      <c r="H564" s="250"/>
      <c r="I564" s="250"/>
      <c r="J564" s="251"/>
      <c r="K564" s="182" t="s">
        <v>1513</v>
      </c>
      <c r="L564" s="209"/>
      <c r="M564" s="186" t="s">
        <v>11</v>
      </c>
      <c r="N564" s="195" t="str">
        <f t="shared" si="19"/>
        <v>OB311D9</v>
      </c>
      <c r="O564" s="254"/>
      <c r="P564" s="255"/>
      <c r="Q564" s="255"/>
      <c r="R564" s="256"/>
      <c r="S564" s="190"/>
      <c r="T564" s="191"/>
      <c r="U564" s="909"/>
      <c r="V564" s="909"/>
      <c r="W564" s="187"/>
      <c r="X564" s="182"/>
      <c r="Y564" s="182"/>
      <c r="Z564" s="182"/>
      <c r="AA564" s="182"/>
      <c r="AB564" s="210"/>
      <c r="AC564" s="182"/>
      <c r="AD564" s="182"/>
      <c r="AE564" s="211"/>
    </row>
    <row r="565" spans="2:31" ht="17.25" customHeight="1">
      <c r="B565" s="180">
        <v>218</v>
      </c>
      <c r="C565" s="811"/>
      <c r="D565" s="765"/>
      <c r="E565" s="186" t="s">
        <v>10</v>
      </c>
      <c r="F565" s="187" t="str">
        <f t="shared" si="20"/>
        <v>IB311DA</v>
      </c>
      <c r="G565" s="249" t="s">
        <v>1084</v>
      </c>
      <c r="H565" s="250"/>
      <c r="I565" s="250"/>
      <c r="J565" s="251"/>
      <c r="K565" s="182" t="s">
        <v>1513</v>
      </c>
      <c r="L565" s="209"/>
      <c r="M565" s="186" t="s">
        <v>11</v>
      </c>
      <c r="N565" s="195" t="str">
        <f t="shared" si="19"/>
        <v>OB311DA</v>
      </c>
      <c r="O565" s="254"/>
      <c r="P565" s="255"/>
      <c r="Q565" s="255"/>
      <c r="R565" s="256"/>
      <c r="S565" s="190"/>
      <c r="T565" s="191"/>
      <c r="U565" s="909"/>
      <c r="V565" s="909"/>
      <c r="W565" s="187"/>
      <c r="X565" s="182"/>
      <c r="Y565" s="182"/>
      <c r="Z565" s="182"/>
      <c r="AA565" s="182"/>
      <c r="AB565" s="210"/>
      <c r="AC565" s="182"/>
      <c r="AD565" s="182"/>
      <c r="AE565" s="211"/>
    </row>
    <row r="566" spans="2:31" ht="17.25" customHeight="1">
      <c r="B566" s="180">
        <v>219</v>
      </c>
      <c r="C566" s="811"/>
      <c r="D566" s="765"/>
      <c r="E566" s="186" t="s">
        <v>10</v>
      </c>
      <c r="F566" s="187" t="str">
        <f t="shared" si="20"/>
        <v>IB311DB</v>
      </c>
      <c r="G566" s="249" t="s">
        <v>1085</v>
      </c>
      <c r="H566" s="250"/>
      <c r="I566" s="250"/>
      <c r="J566" s="251"/>
      <c r="K566" s="182" t="s">
        <v>1513</v>
      </c>
      <c r="L566" s="209"/>
      <c r="M566" s="186" t="s">
        <v>11</v>
      </c>
      <c r="N566" s="195" t="str">
        <f t="shared" si="19"/>
        <v>OB311DB</v>
      </c>
      <c r="O566" s="254"/>
      <c r="P566" s="255"/>
      <c r="Q566" s="255"/>
      <c r="R566" s="256"/>
      <c r="S566" s="190"/>
      <c r="T566" s="191"/>
      <c r="U566" s="909"/>
      <c r="V566" s="909"/>
      <c r="W566" s="187"/>
      <c r="X566" s="182"/>
      <c r="Y566" s="182"/>
      <c r="Z566" s="182"/>
      <c r="AA566" s="182"/>
      <c r="AB566" s="210"/>
      <c r="AC566" s="182"/>
      <c r="AD566" s="182"/>
      <c r="AE566" s="211"/>
    </row>
    <row r="567" spans="2:31" ht="17.25" customHeight="1">
      <c r="B567" s="180">
        <v>220</v>
      </c>
      <c r="C567" s="811"/>
      <c r="D567" s="765"/>
      <c r="E567" s="186" t="s">
        <v>10</v>
      </c>
      <c r="F567" s="187" t="str">
        <f t="shared" si="20"/>
        <v>IB311DC</v>
      </c>
      <c r="G567" s="249" t="s">
        <v>1086</v>
      </c>
      <c r="H567" s="250"/>
      <c r="I567" s="250"/>
      <c r="J567" s="251"/>
      <c r="K567" s="190" t="s">
        <v>1513</v>
      </c>
      <c r="L567" s="209"/>
      <c r="M567" s="186" t="s">
        <v>11</v>
      </c>
      <c r="N567" s="195" t="str">
        <f t="shared" si="19"/>
        <v>OB311DC</v>
      </c>
      <c r="O567" s="254"/>
      <c r="P567" s="255"/>
      <c r="Q567" s="255"/>
      <c r="R567" s="256"/>
      <c r="S567" s="190"/>
      <c r="T567" s="191"/>
      <c r="U567" s="909"/>
      <c r="V567" s="909"/>
      <c r="W567" s="187"/>
      <c r="X567" s="182"/>
      <c r="Y567" s="182"/>
      <c r="Z567" s="182"/>
      <c r="AA567" s="182"/>
      <c r="AB567" s="210"/>
      <c r="AC567" s="182"/>
      <c r="AD567" s="182"/>
      <c r="AE567" s="211"/>
    </row>
    <row r="568" spans="2:31" ht="17.25" customHeight="1">
      <c r="B568" s="180">
        <v>221</v>
      </c>
      <c r="C568" s="811"/>
      <c r="D568" s="765"/>
      <c r="E568" s="186" t="s">
        <v>10</v>
      </c>
      <c r="F568" s="187" t="str">
        <f t="shared" si="20"/>
        <v>IB311DD</v>
      </c>
      <c r="G568" s="249" t="s">
        <v>1087</v>
      </c>
      <c r="H568" s="250"/>
      <c r="I568" s="250"/>
      <c r="J568" s="251"/>
      <c r="K568" s="190" t="s">
        <v>1513</v>
      </c>
      <c r="L568" s="209"/>
      <c r="M568" s="186" t="s">
        <v>11</v>
      </c>
      <c r="N568" s="195" t="str">
        <f t="shared" si="19"/>
        <v>OB311DD</v>
      </c>
      <c r="O568" s="254"/>
      <c r="P568" s="255"/>
      <c r="Q568" s="255"/>
      <c r="R568" s="256"/>
      <c r="S568" s="190"/>
      <c r="T568" s="191"/>
      <c r="U568" s="909"/>
      <c r="V568" s="909"/>
      <c r="W568" s="187"/>
      <c r="X568" s="182"/>
      <c r="Y568" s="182"/>
      <c r="Z568" s="182"/>
      <c r="AA568" s="182"/>
      <c r="AB568" s="210"/>
      <c r="AC568" s="182"/>
      <c r="AD568" s="182"/>
      <c r="AE568" s="211"/>
    </row>
    <row r="569" spans="2:31" ht="17.25" customHeight="1">
      <c r="B569" s="180">
        <v>222</v>
      </c>
      <c r="C569" s="811"/>
      <c r="D569" s="765"/>
      <c r="E569" s="186" t="s">
        <v>10</v>
      </c>
      <c r="F569" s="187" t="str">
        <f t="shared" si="20"/>
        <v>IB311DE</v>
      </c>
      <c r="G569" s="249" t="s">
        <v>1088</v>
      </c>
      <c r="H569" s="250"/>
      <c r="I569" s="250"/>
      <c r="J569" s="251"/>
      <c r="K569" s="190" t="s">
        <v>1513</v>
      </c>
      <c r="L569" s="209"/>
      <c r="M569" s="186" t="s">
        <v>11</v>
      </c>
      <c r="N569" s="195" t="str">
        <f t="shared" si="19"/>
        <v>OB311DE</v>
      </c>
      <c r="O569" s="254"/>
      <c r="P569" s="255"/>
      <c r="Q569" s="255"/>
      <c r="R569" s="256"/>
      <c r="S569" s="190"/>
      <c r="T569" s="191"/>
      <c r="U569" s="909"/>
      <c r="V569" s="909"/>
      <c r="W569" s="187"/>
      <c r="X569" s="182"/>
      <c r="Y569" s="182"/>
      <c r="Z569" s="182"/>
      <c r="AA569" s="182"/>
      <c r="AB569" s="210"/>
      <c r="AC569" s="182"/>
      <c r="AD569" s="182"/>
      <c r="AE569" s="211"/>
    </row>
    <row r="570" spans="2:31" ht="17.25" customHeight="1">
      <c r="B570" s="180">
        <v>223</v>
      </c>
      <c r="C570" s="928"/>
      <c r="D570" s="765"/>
      <c r="E570" s="186" t="s">
        <v>10</v>
      </c>
      <c r="F570" s="187" t="str">
        <f t="shared" si="20"/>
        <v>IB311DF</v>
      </c>
      <c r="G570" s="249" t="s">
        <v>1089</v>
      </c>
      <c r="H570" s="250"/>
      <c r="I570" s="250"/>
      <c r="J570" s="251"/>
      <c r="K570" s="190" t="s">
        <v>1513</v>
      </c>
      <c r="L570" s="209"/>
      <c r="M570" s="186" t="s">
        <v>11</v>
      </c>
      <c r="N570" s="195" t="str">
        <f t="shared" si="19"/>
        <v>OB311DF</v>
      </c>
      <c r="O570" s="254"/>
      <c r="P570" s="255"/>
      <c r="Q570" s="255"/>
      <c r="R570" s="256"/>
      <c r="S570" s="190"/>
      <c r="T570" s="191"/>
      <c r="U570" s="909"/>
      <c r="V570" s="909"/>
      <c r="W570" s="187"/>
      <c r="X570" s="182"/>
      <c r="Y570" s="182"/>
      <c r="Z570" s="182"/>
      <c r="AA570" s="182"/>
      <c r="AB570" s="210"/>
      <c r="AC570" s="182"/>
      <c r="AD570" s="182"/>
      <c r="AE570" s="211"/>
    </row>
    <row r="571" spans="2:31" ht="17.25" customHeight="1">
      <c r="B571" s="180">
        <v>224</v>
      </c>
      <c r="C571" s="925" t="s">
        <v>1592</v>
      </c>
      <c r="D571" s="940" t="s">
        <v>271</v>
      </c>
      <c r="E571" s="186" t="s">
        <v>10</v>
      </c>
      <c r="F571" s="187" t="str">
        <f t="shared" si="20"/>
        <v>IB311E0</v>
      </c>
      <c r="G571" s="381"/>
      <c r="H571" s="382"/>
      <c r="I571" s="382"/>
      <c r="J571" s="383"/>
      <c r="K571" s="190"/>
      <c r="L571" s="209"/>
      <c r="M571" s="186" t="s">
        <v>11</v>
      </c>
      <c r="N571" s="195" t="str">
        <f t="shared" si="19"/>
        <v>OB311E0</v>
      </c>
      <c r="O571" s="463" t="s">
        <v>1017</v>
      </c>
      <c r="P571" s="250"/>
      <c r="Q571" s="250"/>
      <c r="R571" s="251"/>
      <c r="S571" s="190" t="s">
        <v>1519</v>
      </c>
      <c r="T571" s="191"/>
      <c r="U571" s="909"/>
      <c r="V571" s="909"/>
      <c r="W571" s="187"/>
      <c r="X571" s="182"/>
      <c r="Y571" s="182"/>
      <c r="Z571" s="182"/>
      <c r="AA571" s="182"/>
      <c r="AB571" s="210"/>
      <c r="AC571" s="182"/>
      <c r="AD571" s="182"/>
      <c r="AE571" s="211"/>
    </row>
    <row r="572" spans="2:31" ht="17.25" customHeight="1">
      <c r="B572" s="180">
        <v>225</v>
      </c>
      <c r="C572" s="816"/>
      <c r="D572" s="765"/>
      <c r="E572" s="186" t="s">
        <v>10</v>
      </c>
      <c r="F572" s="187" t="str">
        <f t="shared" si="20"/>
        <v>IB311E1</v>
      </c>
      <c r="G572" s="271"/>
      <c r="H572" s="272"/>
      <c r="I572" s="272"/>
      <c r="J572" s="273"/>
      <c r="K572" s="190"/>
      <c r="L572" s="209"/>
      <c r="M572" s="186" t="s">
        <v>11</v>
      </c>
      <c r="N572" s="195" t="str">
        <f t="shared" si="19"/>
        <v>OB311E1</v>
      </c>
      <c r="O572" s="463" t="s">
        <v>1018</v>
      </c>
      <c r="P572" s="250"/>
      <c r="Q572" s="250"/>
      <c r="R572" s="251"/>
      <c r="S572" s="190" t="s">
        <v>1519</v>
      </c>
      <c r="T572" s="191"/>
      <c r="U572" s="909"/>
      <c r="V572" s="909"/>
      <c r="W572" s="187"/>
      <c r="X572" s="182"/>
      <c r="Y572" s="182"/>
      <c r="Z572" s="182"/>
      <c r="AA572" s="182"/>
      <c r="AB572" s="210"/>
      <c r="AC572" s="182"/>
      <c r="AD572" s="182"/>
      <c r="AE572" s="211"/>
    </row>
    <row r="573" spans="2:31" ht="17.25" customHeight="1">
      <c r="B573" s="180">
        <v>226</v>
      </c>
      <c r="C573" s="816"/>
      <c r="D573" s="765"/>
      <c r="E573" s="186" t="s">
        <v>10</v>
      </c>
      <c r="F573" s="187" t="str">
        <f t="shared" si="20"/>
        <v>IB311E2</v>
      </c>
      <c r="G573" s="271"/>
      <c r="H573" s="272"/>
      <c r="I573" s="272"/>
      <c r="J573" s="273"/>
      <c r="K573" s="190"/>
      <c r="L573" s="209"/>
      <c r="M573" s="186" t="s">
        <v>11</v>
      </c>
      <c r="N573" s="195" t="str">
        <f t="shared" si="19"/>
        <v>OB311E2</v>
      </c>
      <c r="O573" s="463" t="s">
        <v>1019</v>
      </c>
      <c r="P573" s="250"/>
      <c r="Q573" s="250"/>
      <c r="R573" s="251"/>
      <c r="S573" s="190" t="s">
        <v>1519</v>
      </c>
      <c r="T573" s="191"/>
      <c r="U573" s="909"/>
      <c r="V573" s="909"/>
      <c r="W573" s="187"/>
      <c r="X573" s="182"/>
      <c r="Y573" s="182"/>
      <c r="Z573" s="182"/>
      <c r="AA573" s="182"/>
      <c r="AB573" s="210"/>
      <c r="AC573" s="182"/>
      <c r="AD573" s="182"/>
      <c r="AE573" s="211"/>
    </row>
    <row r="574" spans="2:31" ht="17.25" customHeight="1">
      <c r="B574" s="180">
        <v>227</v>
      </c>
      <c r="C574" s="816"/>
      <c r="D574" s="765"/>
      <c r="E574" s="186" t="s">
        <v>10</v>
      </c>
      <c r="F574" s="187" t="str">
        <f t="shared" si="20"/>
        <v>IB311E3</v>
      </c>
      <c r="G574" s="271"/>
      <c r="H574" s="272"/>
      <c r="I574" s="272"/>
      <c r="J574" s="273"/>
      <c r="K574" s="190"/>
      <c r="L574" s="209"/>
      <c r="M574" s="186" t="s">
        <v>11</v>
      </c>
      <c r="N574" s="195" t="str">
        <f t="shared" si="19"/>
        <v>OB311E3</v>
      </c>
      <c r="O574" s="463" t="s">
        <v>1020</v>
      </c>
      <c r="P574" s="250"/>
      <c r="Q574" s="250"/>
      <c r="R574" s="251"/>
      <c r="S574" s="190" t="s">
        <v>1519</v>
      </c>
      <c r="T574" s="191"/>
      <c r="U574" s="909"/>
      <c r="V574" s="909"/>
      <c r="W574" s="187"/>
      <c r="X574" s="182"/>
      <c r="Y574" s="182"/>
      <c r="Z574" s="182"/>
      <c r="AA574" s="182"/>
      <c r="AB574" s="210"/>
      <c r="AC574" s="182"/>
      <c r="AD574" s="182"/>
      <c r="AE574" s="211"/>
    </row>
    <row r="575" spans="2:31" ht="17.25" customHeight="1">
      <c r="B575" s="180">
        <v>228</v>
      </c>
      <c r="C575" s="816"/>
      <c r="D575" s="765"/>
      <c r="E575" s="186" t="s">
        <v>10</v>
      </c>
      <c r="F575" s="187" t="str">
        <f t="shared" si="20"/>
        <v>IB311E4</v>
      </c>
      <c r="G575" s="271"/>
      <c r="H575" s="272"/>
      <c r="I575" s="272"/>
      <c r="J575" s="273"/>
      <c r="K575" s="190"/>
      <c r="L575" s="209"/>
      <c r="M575" s="186" t="s">
        <v>11</v>
      </c>
      <c r="N575" s="195" t="str">
        <f t="shared" si="19"/>
        <v>OB311E4</v>
      </c>
      <c r="O575" s="463" t="s">
        <v>1021</v>
      </c>
      <c r="P575" s="250"/>
      <c r="Q575" s="250"/>
      <c r="R575" s="251"/>
      <c r="S575" s="190" t="s">
        <v>1519</v>
      </c>
      <c r="T575" s="191"/>
      <c r="U575" s="909"/>
      <c r="V575" s="909"/>
      <c r="W575" s="187"/>
      <c r="X575" s="182"/>
      <c r="Y575" s="182"/>
      <c r="Z575" s="182"/>
      <c r="AA575" s="182"/>
      <c r="AB575" s="210"/>
      <c r="AC575" s="182"/>
      <c r="AD575" s="182"/>
      <c r="AE575" s="211"/>
    </row>
    <row r="576" spans="2:31" ht="17.25" customHeight="1">
      <c r="B576" s="180">
        <v>229</v>
      </c>
      <c r="C576" s="816"/>
      <c r="D576" s="765"/>
      <c r="E576" s="186" t="s">
        <v>10</v>
      </c>
      <c r="F576" s="187" t="str">
        <f t="shared" si="20"/>
        <v>IB311E5</v>
      </c>
      <c r="G576" s="271"/>
      <c r="H576" s="272"/>
      <c r="I576" s="272"/>
      <c r="J576" s="273"/>
      <c r="K576" s="190"/>
      <c r="L576" s="209"/>
      <c r="M576" s="186" t="s">
        <v>11</v>
      </c>
      <c r="N576" s="195" t="str">
        <f t="shared" si="19"/>
        <v>OB311E5</v>
      </c>
      <c r="O576" s="463" t="s">
        <v>1022</v>
      </c>
      <c r="P576" s="250"/>
      <c r="Q576" s="250"/>
      <c r="R576" s="251"/>
      <c r="S576" s="190" t="s">
        <v>1519</v>
      </c>
      <c r="T576" s="191"/>
      <c r="U576" s="909"/>
      <c r="V576" s="909"/>
      <c r="W576" s="187"/>
      <c r="X576" s="182"/>
      <c r="Y576" s="182"/>
      <c r="Z576" s="182"/>
      <c r="AA576" s="182"/>
      <c r="AB576" s="210"/>
      <c r="AC576" s="182"/>
      <c r="AD576" s="182"/>
      <c r="AE576" s="211"/>
    </row>
    <row r="577" spans="2:31" ht="17.25" customHeight="1">
      <c r="B577" s="180">
        <v>230</v>
      </c>
      <c r="C577" s="816"/>
      <c r="D577" s="765"/>
      <c r="E577" s="186" t="s">
        <v>10</v>
      </c>
      <c r="F577" s="187" t="str">
        <f t="shared" si="20"/>
        <v>IB311E6</v>
      </c>
      <c r="G577" s="271"/>
      <c r="H577" s="272"/>
      <c r="I577" s="272"/>
      <c r="J577" s="273"/>
      <c r="K577" s="190"/>
      <c r="L577" s="209"/>
      <c r="M577" s="186" t="s">
        <v>11</v>
      </c>
      <c r="N577" s="195" t="str">
        <f t="shared" si="19"/>
        <v>OB311E6</v>
      </c>
      <c r="O577" s="463" t="s">
        <v>1023</v>
      </c>
      <c r="P577" s="250"/>
      <c r="Q577" s="250"/>
      <c r="R577" s="251"/>
      <c r="S577" s="190" t="s">
        <v>1519</v>
      </c>
      <c r="T577" s="191"/>
      <c r="U577" s="909"/>
      <c r="V577" s="909"/>
      <c r="W577" s="187"/>
      <c r="X577" s="182"/>
      <c r="Y577" s="182"/>
      <c r="Z577" s="182"/>
      <c r="AA577" s="182"/>
      <c r="AB577" s="210"/>
      <c r="AC577" s="182"/>
      <c r="AD577" s="182"/>
      <c r="AE577" s="211"/>
    </row>
    <row r="578" spans="2:31" ht="17.25" customHeight="1">
      <c r="B578" s="180">
        <v>231</v>
      </c>
      <c r="C578" s="816"/>
      <c r="D578" s="765"/>
      <c r="E578" s="186" t="s">
        <v>10</v>
      </c>
      <c r="F578" s="187" t="str">
        <f t="shared" si="20"/>
        <v>IB311E7</v>
      </c>
      <c r="G578" s="271"/>
      <c r="H578" s="272"/>
      <c r="I578" s="272"/>
      <c r="J578" s="273"/>
      <c r="K578" s="190"/>
      <c r="L578" s="209"/>
      <c r="M578" s="186" t="s">
        <v>11</v>
      </c>
      <c r="N578" s="195" t="str">
        <f t="shared" si="19"/>
        <v>OB311E7</v>
      </c>
      <c r="O578" s="463" t="s">
        <v>1024</v>
      </c>
      <c r="P578" s="250"/>
      <c r="Q578" s="250"/>
      <c r="R578" s="251"/>
      <c r="S578" s="190" t="s">
        <v>1519</v>
      </c>
      <c r="T578" s="191"/>
      <c r="U578" s="909"/>
      <c r="V578" s="909"/>
      <c r="W578" s="187"/>
      <c r="X578" s="182"/>
      <c r="Y578" s="182"/>
      <c r="Z578" s="182"/>
      <c r="AA578" s="182"/>
      <c r="AB578" s="210"/>
      <c r="AC578" s="182"/>
      <c r="AD578" s="182"/>
      <c r="AE578" s="211"/>
    </row>
    <row r="579" spans="2:31" ht="17.25" customHeight="1">
      <c r="B579" s="180">
        <v>232</v>
      </c>
      <c r="C579" s="816"/>
      <c r="D579" s="765"/>
      <c r="E579" s="186" t="s">
        <v>10</v>
      </c>
      <c r="F579" s="187" t="str">
        <f t="shared" si="20"/>
        <v>IB311E8</v>
      </c>
      <c r="G579" s="271"/>
      <c r="H579" s="272"/>
      <c r="I579" s="272"/>
      <c r="J579" s="273"/>
      <c r="K579" s="190"/>
      <c r="L579" s="209"/>
      <c r="M579" s="186" t="s">
        <v>11</v>
      </c>
      <c r="N579" s="195" t="str">
        <f t="shared" si="19"/>
        <v>OB311E8</v>
      </c>
      <c r="O579" s="463" t="s">
        <v>1025</v>
      </c>
      <c r="P579" s="250"/>
      <c r="Q579" s="250"/>
      <c r="R579" s="251"/>
      <c r="S579" s="190" t="s">
        <v>1513</v>
      </c>
      <c r="T579" s="191"/>
      <c r="U579" s="909"/>
      <c r="V579" s="909"/>
      <c r="W579" s="187"/>
      <c r="X579" s="182"/>
      <c r="Y579" s="182"/>
      <c r="Z579" s="182"/>
      <c r="AA579" s="182"/>
      <c r="AB579" s="210"/>
      <c r="AC579" s="182"/>
      <c r="AD579" s="182"/>
      <c r="AE579" s="211"/>
    </row>
    <row r="580" spans="2:31" ht="17.25" customHeight="1">
      <c r="B580" s="180">
        <v>233</v>
      </c>
      <c r="C580" s="816"/>
      <c r="D580" s="765"/>
      <c r="E580" s="186" t="s">
        <v>10</v>
      </c>
      <c r="F580" s="187" t="str">
        <f t="shared" si="20"/>
        <v>IB311E9</v>
      </c>
      <c r="G580" s="271"/>
      <c r="H580" s="272"/>
      <c r="I580" s="272"/>
      <c r="J580" s="273"/>
      <c r="K580" s="190"/>
      <c r="L580" s="209"/>
      <c r="M580" s="186" t="s">
        <v>11</v>
      </c>
      <c r="N580" s="195" t="str">
        <f t="shared" si="19"/>
        <v>OB311E9</v>
      </c>
      <c r="O580" s="463" t="s">
        <v>1026</v>
      </c>
      <c r="P580" s="250"/>
      <c r="Q580" s="250"/>
      <c r="R580" s="251"/>
      <c r="S580" s="190" t="s">
        <v>1513</v>
      </c>
      <c r="T580" s="191"/>
      <c r="U580" s="909"/>
      <c r="V580" s="909"/>
      <c r="W580" s="187"/>
      <c r="X580" s="182"/>
      <c r="Y580" s="182"/>
      <c r="Z580" s="182"/>
      <c r="AA580" s="182"/>
      <c r="AB580" s="210"/>
      <c r="AC580" s="182"/>
      <c r="AD580" s="182"/>
      <c r="AE580" s="211"/>
    </row>
    <row r="581" spans="2:31" ht="17.25" customHeight="1">
      <c r="B581" s="180">
        <v>234</v>
      </c>
      <c r="C581" s="816"/>
      <c r="D581" s="765"/>
      <c r="E581" s="186" t="s">
        <v>10</v>
      </c>
      <c r="F581" s="187" t="str">
        <f t="shared" si="20"/>
        <v>IB311EA</v>
      </c>
      <c r="G581" s="271"/>
      <c r="H581" s="272"/>
      <c r="I581" s="272"/>
      <c r="J581" s="273"/>
      <c r="K581" s="190"/>
      <c r="L581" s="209"/>
      <c r="M581" s="186" t="s">
        <v>11</v>
      </c>
      <c r="N581" s="195" t="str">
        <f t="shared" si="19"/>
        <v>OB311EA</v>
      </c>
      <c r="O581" s="463" t="s">
        <v>1027</v>
      </c>
      <c r="P581" s="250"/>
      <c r="Q581" s="250"/>
      <c r="R581" s="251"/>
      <c r="S581" s="190" t="s">
        <v>1513</v>
      </c>
      <c r="T581" s="191"/>
      <c r="U581" s="909"/>
      <c r="V581" s="909"/>
      <c r="W581" s="187"/>
      <c r="X581" s="182"/>
      <c r="Y581" s="182"/>
      <c r="Z581" s="182"/>
      <c r="AA581" s="182"/>
      <c r="AB581" s="210"/>
      <c r="AC581" s="182"/>
      <c r="AD581" s="182"/>
      <c r="AE581" s="211"/>
    </row>
    <row r="582" spans="2:31" ht="17.25" customHeight="1">
      <c r="B582" s="180">
        <v>235</v>
      </c>
      <c r="C582" s="816"/>
      <c r="D582" s="765"/>
      <c r="E582" s="186" t="s">
        <v>10</v>
      </c>
      <c r="F582" s="187" t="str">
        <f t="shared" si="20"/>
        <v>IB311EB</v>
      </c>
      <c r="G582" s="271"/>
      <c r="H582" s="272"/>
      <c r="I582" s="272"/>
      <c r="J582" s="273"/>
      <c r="K582" s="190"/>
      <c r="L582" s="209"/>
      <c r="M582" s="186" t="s">
        <v>11</v>
      </c>
      <c r="N582" s="195" t="str">
        <f t="shared" si="19"/>
        <v>OB311EB</v>
      </c>
      <c r="O582" s="463" t="s">
        <v>1028</v>
      </c>
      <c r="P582" s="250"/>
      <c r="Q582" s="250"/>
      <c r="R582" s="251"/>
      <c r="S582" s="190" t="s">
        <v>1513</v>
      </c>
      <c r="T582" s="191"/>
      <c r="U582" s="909"/>
      <c r="V582" s="909"/>
      <c r="W582" s="187"/>
      <c r="X582" s="182"/>
      <c r="Y582" s="182"/>
      <c r="Z582" s="182"/>
      <c r="AA582" s="182"/>
      <c r="AB582" s="210"/>
      <c r="AC582" s="182"/>
      <c r="AD582" s="182"/>
      <c r="AE582" s="211"/>
    </row>
    <row r="583" spans="2:31" ht="17.25" customHeight="1">
      <c r="B583" s="180">
        <v>236</v>
      </c>
      <c r="C583" s="816"/>
      <c r="D583" s="765"/>
      <c r="E583" s="186" t="s">
        <v>10</v>
      </c>
      <c r="F583" s="187" t="str">
        <f t="shared" si="20"/>
        <v>IB311EC</v>
      </c>
      <c r="G583" s="271"/>
      <c r="H583" s="272"/>
      <c r="I583" s="272"/>
      <c r="J583" s="273"/>
      <c r="K583" s="190"/>
      <c r="L583" s="209"/>
      <c r="M583" s="186" t="s">
        <v>11</v>
      </c>
      <c r="N583" s="195" t="str">
        <f t="shared" si="19"/>
        <v>OB311EC</v>
      </c>
      <c r="O583" s="463" t="s">
        <v>1029</v>
      </c>
      <c r="P583" s="250"/>
      <c r="Q583" s="250"/>
      <c r="R583" s="251"/>
      <c r="S583" s="190" t="s">
        <v>1513</v>
      </c>
      <c r="T583" s="191"/>
      <c r="U583" s="909"/>
      <c r="V583" s="909"/>
      <c r="W583" s="187"/>
      <c r="X583" s="182"/>
      <c r="Y583" s="182"/>
      <c r="Z583" s="182"/>
      <c r="AA583" s="182"/>
      <c r="AB583" s="210"/>
      <c r="AC583" s="182"/>
      <c r="AD583" s="182"/>
      <c r="AE583" s="211"/>
    </row>
    <row r="584" spans="2:31" ht="17.25" customHeight="1">
      <c r="B584" s="180">
        <v>237</v>
      </c>
      <c r="C584" s="816"/>
      <c r="D584" s="765"/>
      <c r="E584" s="186" t="s">
        <v>10</v>
      </c>
      <c r="F584" s="187" t="str">
        <f t="shared" si="20"/>
        <v>IB311ED</v>
      </c>
      <c r="G584" s="271"/>
      <c r="H584" s="272"/>
      <c r="I584" s="272"/>
      <c r="J584" s="273"/>
      <c r="K584" s="182"/>
      <c r="L584" s="188"/>
      <c r="M584" s="186" t="s">
        <v>11</v>
      </c>
      <c r="N584" s="195" t="str">
        <f t="shared" si="19"/>
        <v>OB311ED</v>
      </c>
      <c r="O584" s="463" t="s">
        <v>1030</v>
      </c>
      <c r="P584" s="250"/>
      <c r="Q584" s="250"/>
      <c r="R584" s="251"/>
      <c r="S584" s="190" t="s">
        <v>1513</v>
      </c>
      <c r="T584" s="191"/>
      <c r="U584" s="909"/>
      <c r="V584" s="909"/>
      <c r="W584" s="187"/>
      <c r="X584" s="182"/>
      <c r="Y584" s="182"/>
      <c r="Z584" s="182"/>
      <c r="AA584" s="182"/>
      <c r="AB584" s="210"/>
      <c r="AC584" s="182"/>
      <c r="AD584" s="182"/>
      <c r="AE584" s="211"/>
    </row>
    <row r="585" spans="2:31" ht="17.25" customHeight="1">
      <c r="B585" s="180">
        <v>238</v>
      </c>
      <c r="C585" s="816"/>
      <c r="D585" s="765"/>
      <c r="E585" s="186" t="s">
        <v>10</v>
      </c>
      <c r="F585" s="187" t="str">
        <f t="shared" si="20"/>
        <v>IB311EE</v>
      </c>
      <c r="G585" s="271"/>
      <c r="H585" s="272"/>
      <c r="I585" s="272"/>
      <c r="J585" s="273"/>
      <c r="K585" s="182"/>
      <c r="L585" s="188"/>
      <c r="M585" s="186" t="s">
        <v>11</v>
      </c>
      <c r="N585" s="195" t="str">
        <f t="shared" si="19"/>
        <v>OB311EE</v>
      </c>
      <c r="O585" s="108" t="s">
        <v>1031</v>
      </c>
      <c r="P585" s="250"/>
      <c r="Q585" s="250"/>
      <c r="R585" s="251"/>
      <c r="S585" s="190" t="s">
        <v>1513</v>
      </c>
      <c r="T585" s="191"/>
      <c r="U585" s="909"/>
      <c r="V585" s="909"/>
      <c r="W585" s="187"/>
      <c r="X585" s="182"/>
      <c r="Y585" s="182"/>
      <c r="Z585" s="182"/>
      <c r="AA585" s="182"/>
      <c r="AB585" s="210"/>
      <c r="AC585" s="182"/>
      <c r="AD585" s="182"/>
      <c r="AE585" s="211"/>
    </row>
    <row r="586" spans="2:31" ht="17.25" customHeight="1">
      <c r="B586" s="180">
        <v>239</v>
      </c>
      <c r="C586" s="926"/>
      <c r="D586" s="765"/>
      <c r="E586" s="186" t="s">
        <v>10</v>
      </c>
      <c r="F586" s="187" t="str">
        <f t="shared" si="20"/>
        <v>IB311EF</v>
      </c>
      <c r="G586" s="271"/>
      <c r="H586" s="272"/>
      <c r="I586" s="272"/>
      <c r="J586" s="273"/>
      <c r="K586" s="182"/>
      <c r="L586" s="188"/>
      <c r="M586" s="186" t="s">
        <v>11</v>
      </c>
      <c r="N586" s="195" t="str">
        <f t="shared" si="19"/>
        <v>OB311EF</v>
      </c>
      <c r="O586" s="249"/>
      <c r="P586" s="250"/>
      <c r="Q586" s="250"/>
      <c r="R586" s="251"/>
      <c r="S586" s="190"/>
      <c r="T586" s="191"/>
      <c r="U586" s="909"/>
      <c r="V586" s="909"/>
      <c r="W586" s="187"/>
      <c r="X586" s="182"/>
      <c r="Y586" s="182"/>
      <c r="Z586" s="182"/>
      <c r="AA586" s="182"/>
      <c r="AB586" s="210"/>
      <c r="AC586" s="182"/>
      <c r="AD586" s="182"/>
      <c r="AE586" s="211"/>
    </row>
    <row r="587" spans="2:31" ht="17.25" customHeight="1">
      <c r="B587" s="180">
        <v>240</v>
      </c>
      <c r="C587" s="927" t="s">
        <v>70</v>
      </c>
      <c r="D587" s="940" t="s">
        <v>271</v>
      </c>
      <c r="E587" s="186" t="s">
        <v>10</v>
      </c>
      <c r="F587" s="187" t="str">
        <f t="shared" si="20"/>
        <v>IB311F0</v>
      </c>
      <c r="G587" s="375" t="s">
        <v>1009</v>
      </c>
      <c r="H587" s="376"/>
      <c r="I587" s="376"/>
      <c r="J587" s="377"/>
      <c r="K587" s="182" t="s">
        <v>1513</v>
      </c>
      <c r="L587" s="188"/>
      <c r="M587" s="186" t="s">
        <v>11</v>
      </c>
      <c r="N587" s="195" t="str">
        <f t="shared" si="19"/>
        <v>OB311F0</v>
      </c>
      <c r="O587" s="268"/>
      <c r="P587" s="269"/>
      <c r="Q587" s="269"/>
      <c r="R587" s="270"/>
      <c r="S587" s="190"/>
      <c r="T587" s="191"/>
      <c r="U587" s="909"/>
      <c r="V587" s="909"/>
      <c r="W587" s="187"/>
      <c r="X587" s="182"/>
      <c r="Y587" s="182"/>
      <c r="Z587" s="182"/>
      <c r="AA587" s="182"/>
      <c r="AB587" s="210"/>
      <c r="AC587" s="182"/>
      <c r="AD587" s="182"/>
      <c r="AE587" s="211"/>
    </row>
    <row r="588" spans="2:31" ht="17.25" customHeight="1">
      <c r="B588" s="180">
        <v>241</v>
      </c>
      <c r="C588" s="811"/>
      <c r="D588" s="765"/>
      <c r="E588" s="186" t="s">
        <v>10</v>
      </c>
      <c r="F588" s="187" t="str">
        <f t="shared" si="20"/>
        <v>IB311F1</v>
      </c>
      <c r="G588" s="375" t="s">
        <v>1010</v>
      </c>
      <c r="H588" s="376"/>
      <c r="I588" s="376"/>
      <c r="J588" s="377"/>
      <c r="K588" s="182" t="s">
        <v>1513</v>
      </c>
      <c r="L588" s="188"/>
      <c r="M588" s="186" t="s">
        <v>11</v>
      </c>
      <c r="N588" s="195" t="str">
        <f t="shared" si="19"/>
        <v>OB311F1</v>
      </c>
      <c r="O588" s="268"/>
      <c r="P588" s="269"/>
      <c r="Q588" s="269"/>
      <c r="R588" s="270"/>
      <c r="S588" s="190"/>
      <c r="T588" s="191"/>
      <c r="U588" s="909"/>
      <c r="V588" s="909"/>
      <c r="W588" s="187"/>
      <c r="X588" s="182"/>
      <c r="Y588" s="182"/>
      <c r="Z588" s="182"/>
      <c r="AA588" s="182"/>
      <c r="AB588" s="210"/>
      <c r="AC588" s="182"/>
      <c r="AD588" s="182"/>
      <c r="AE588" s="211"/>
    </row>
    <row r="589" spans="2:31" ht="17.25" customHeight="1">
      <c r="B589" s="180">
        <v>242</v>
      </c>
      <c r="C589" s="811"/>
      <c r="D589" s="765"/>
      <c r="E589" s="186" t="s">
        <v>10</v>
      </c>
      <c r="F589" s="187" t="str">
        <f t="shared" si="20"/>
        <v>IB311F2</v>
      </c>
      <c r="G589" s="375" t="s">
        <v>1011</v>
      </c>
      <c r="H589" s="376"/>
      <c r="I589" s="376"/>
      <c r="J589" s="377"/>
      <c r="K589" s="182" t="s">
        <v>1513</v>
      </c>
      <c r="L589" s="188"/>
      <c r="M589" s="186" t="s">
        <v>11</v>
      </c>
      <c r="N589" s="195" t="str">
        <f t="shared" ref="N589:N652" si="21">LEFT(N588,1)&amp;DEC2HEX(HEX2DEC(MID(N588,2,LENB(N588)-1))+1,LENB(N588)-1)</f>
        <v>OB311F2</v>
      </c>
      <c r="O589" s="268"/>
      <c r="P589" s="269"/>
      <c r="Q589" s="269"/>
      <c r="R589" s="270"/>
      <c r="S589" s="190"/>
      <c r="T589" s="191"/>
      <c r="U589" s="909"/>
      <c r="V589" s="909"/>
      <c r="W589" s="187"/>
      <c r="X589" s="182"/>
      <c r="Y589" s="182"/>
      <c r="Z589" s="182"/>
      <c r="AA589" s="182"/>
      <c r="AB589" s="210"/>
      <c r="AC589" s="182"/>
      <c r="AD589" s="182"/>
      <c r="AE589" s="211"/>
    </row>
    <row r="590" spans="2:31" ht="17.25" customHeight="1">
      <c r="B590" s="180">
        <v>243</v>
      </c>
      <c r="C590" s="811"/>
      <c r="D590" s="765"/>
      <c r="E590" s="186" t="s">
        <v>10</v>
      </c>
      <c r="F590" s="187" t="str">
        <f t="shared" si="20"/>
        <v>IB311F3</v>
      </c>
      <c r="G590" s="375" t="s">
        <v>1012</v>
      </c>
      <c r="H590" s="376"/>
      <c r="I590" s="376"/>
      <c r="J590" s="377"/>
      <c r="K590" s="182" t="s">
        <v>1513</v>
      </c>
      <c r="L590" s="188"/>
      <c r="M590" s="186" t="s">
        <v>11</v>
      </c>
      <c r="N590" s="195" t="str">
        <f t="shared" si="21"/>
        <v>OB311F3</v>
      </c>
      <c r="O590" s="268"/>
      <c r="P590" s="269"/>
      <c r="Q590" s="269"/>
      <c r="R590" s="270"/>
      <c r="S590" s="190"/>
      <c r="T590" s="191"/>
      <c r="U590" s="909"/>
      <c r="V590" s="909"/>
      <c r="W590" s="187"/>
      <c r="X590" s="182"/>
      <c r="Y590" s="182"/>
      <c r="Z590" s="182"/>
      <c r="AA590" s="182"/>
      <c r="AB590" s="210"/>
      <c r="AC590" s="182"/>
      <c r="AD590" s="182"/>
      <c r="AE590" s="211"/>
    </row>
    <row r="591" spans="2:31" ht="17.25" customHeight="1">
      <c r="B591" s="180">
        <v>244</v>
      </c>
      <c r="C591" s="811"/>
      <c r="D591" s="765"/>
      <c r="E591" s="186" t="s">
        <v>10</v>
      </c>
      <c r="F591" s="187" t="str">
        <f t="shared" si="20"/>
        <v>IB311F4</v>
      </c>
      <c r="G591" s="375" t="s">
        <v>1013</v>
      </c>
      <c r="H591" s="376"/>
      <c r="I591" s="376"/>
      <c r="J591" s="377"/>
      <c r="K591" s="182" t="s">
        <v>1513</v>
      </c>
      <c r="L591" s="188"/>
      <c r="M591" s="186" t="s">
        <v>11</v>
      </c>
      <c r="N591" s="195" t="str">
        <f t="shared" si="21"/>
        <v>OB311F4</v>
      </c>
      <c r="O591" s="268"/>
      <c r="P591" s="269"/>
      <c r="Q591" s="269"/>
      <c r="R591" s="270"/>
      <c r="S591" s="190"/>
      <c r="T591" s="191"/>
      <c r="U591" s="909"/>
      <c r="V591" s="909"/>
      <c r="W591" s="187"/>
      <c r="X591" s="182"/>
      <c r="Y591" s="182"/>
      <c r="Z591" s="182"/>
      <c r="AA591" s="182"/>
      <c r="AB591" s="210"/>
      <c r="AC591" s="182"/>
      <c r="AD591" s="182"/>
      <c r="AE591" s="211"/>
    </row>
    <row r="592" spans="2:31" ht="17.25" customHeight="1">
      <c r="B592" s="180">
        <v>245</v>
      </c>
      <c r="C592" s="811"/>
      <c r="D592" s="765"/>
      <c r="E592" s="186" t="s">
        <v>10</v>
      </c>
      <c r="F592" s="187" t="str">
        <f t="shared" si="20"/>
        <v>IB311F5</v>
      </c>
      <c r="G592" s="375" t="s">
        <v>1014</v>
      </c>
      <c r="H592" s="376"/>
      <c r="I592" s="376"/>
      <c r="J592" s="377"/>
      <c r="K592" s="182" t="s">
        <v>1513</v>
      </c>
      <c r="L592" s="183"/>
      <c r="M592" s="186" t="s">
        <v>11</v>
      </c>
      <c r="N592" s="195" t="str">
        <f t="shared" si="21"/>
        <v>OB311F5</v>
      </c>
      <c r="O592" s="268"/>
      <c r="P592" s="269"/>
      <c r="Q592" s="269"/>
      <c r="R592" s="270"/>
      <c r="S592" s="190"/>
      <c r="T592" s="191"/>
      <c r="U592" s="909"/>
      <c r="V592" s="909"/>
      <c r="W592" s="187"/>
      <c r="X592" s="182"/>
      <c r="Y592" s="182"/>
      <c r="Z592" s="182"/>
      <c r="AA592" s="182"/>
      <c r="AB592" s="210"/>
      <c r="AC592" s="182"/>
      <c r="AD592" s="182"/>
      <c r="AE592" s="211"/>
    </row>
    <row r="593" spans="1:31" ht="17.25" customHeight="1">
      <c r="B593" s="180">
        <v>246</v>
      </c>
      <c r="C593" s="811"/>
      <c r="D593" s="765"/>
      <c r="E593" s="186" t="s">
        <v>10</v>
      </c>
      <c r="F593" s="187" t="str">
        <f t="shared" si="20"/>
        <v>IB311F6</v>
      </c>
      <c r="G593" s="375" t="s">
        <v>1015</v>
      </c>
      <c r="H593" s="376"/>
      <c r="I593" s="376"/>
      <c r="J593" s="377"/>
      <c r="K593" s="182" t="s">
        <v>1513</v>
      </c>
      <c r="L593" s="183"/>
      <c r="M593" s="186" t="s">
        <v>11</v>
      </c>
      <c r="N593" s="195" t="str">
        <f t="shared" si="21"/>
        <v>OB311F6</v>
      </c>
      <c r="O593" s="268"/>
      <c r="P593" s="269"/>
      <c r="Q593" s="269"/>
      <c r="R593" s="270"/>
      <c r="S593" s="190"/>
      <c r="T593" s="191"/>
      <c r="U593" s="909"/>
      <c r="V593" s="909"/>
      <c r="W593" s="187"/>
      <c r="X593" s="182"/>
      <c r="Y593" s="182"/>
      <c r="Z593" s="182"/>
      <c r="AA593" s="182"/>
      <c r="AB593" s="210"/>
      <c r="AC593" s="182"/>
      <c r="AD593" s="182"/>
      <c r="AE593" s="211"/>
    </row>
    <row r="594" spans="1:31" ht="17.25" customHeight="1">
      <c r="B594" s="180">
        <v>247</v>
      </c>
      <c r="C594" s="811"/>
      <c r="D594" s="765"/>
      <c r="E594" s="186" t="s">
        <v>10</v>
      </c>
      <c r="F594" s="187" t="str">
        <f t="shared" si="20"/>
        <v>IB311F7</v>
      </c>
      <c r="G594" s="375" t="s">
        <v>1016</v>
      </c>
      <c r="H594" s="376"/>
      <c r="I594" s="376"/>
      <c r="J594" s="377"/>
      <c r="K594" s="182" t="s">
        <v>1513</v>
      </c>
      <c r="L594" s="183"/>
      <c r="M594" s="186" t="s">
        <v>11</v>
      </c>
      <c r="N594" s="195" t="str">
        <f t="shared" si="21"/>
        <v>OB311F7</v>
      </c>
      <c r="O594" s="268"/>
      <c r="P594" s="269"/>
      <c r="Q594" s="269"/>
      <c r="R594" s="270"/>
      <c r="S594" s="190"/>
      <c r="T594" s="191"/>
      <c r="U594" s="909"/>
      <c r="V594" s="909"/>
      <c r="W594" s="187"/>
      <c r="X594" s="182"/>
      <c r="Y594" s="182"/>
      <c r="Z594" s="182"/>
      <c r="AA594" s="182"/>
      <c r="AB594" s="210"/>
      <c r="AC594" s="182"/>
      <c r="AD594" s="182"/>
      <c r="AE594" s="211"/>
    </row>
    <row r="595" spans="1:31" ht="17.25" customHeight="1">
      <c r="B595" s="180">
        <v>248</v>
      </c>
      <c r="C595" s="811"/>
      <c r="D595" s="765"/>
      <c r="E595" s="186" t="s">
        <v>10</v>
      </c>
      <c r="F595" s="187" t="str">
        <f t="shared" si="20"/>
        <v>IB311F8</v>
      </c>
      <c r="G595" s="375" t="s">
        <v>1385</v>
      </c>
      <c r="H595" s="376"/>
      <c r="I595" s="376"/>
      <c r="J595" s="377"/>
      <c r="K595" s="584" t="s">
        <v>1513</v>
      </c>
      <c r="L595" s="183"/>
      <c r="M595" s="186" t="s">
        <v>11</v>
      </c>
      <c r="N595" s="195" t="str">
        <f t="shared" si="21"/>
        <v>OB311F8</v>
      </c>
      <c r="O595" s="268"/>
      <c r="P595" s="269"/>
      <c r="Q595" s="269"/>
      <c r="R595" s="270"/>
      <c r="S595" s="190"/>
      <c r="T595" s="191"/>
      <c r="U595" s="909"/>
      <c r="V595" s="909"/>
      <c r="W595" s="187"/>
      <c r="X595" s="182"/>
      <c r="Y595" s="182"/>
      <c r="Z595" s="182"/>
      <c r="AA595" s="182"/>
      <c r="AB595" s="210"/>
      <c r="AC595" s="182"/>
      <c r="AD595" s="182"/>
      <c r="AE595" s="211"/>
    </row>
    <row r="596" spans="1:31" ht="17.25" customHeight="1">
      <c r="B596" s="180">
        <v>249</v>
      </c>
      <c r="C596" s="811"/>
      <c r="D596" s="765"/>
      <c r="E596" s="186" t="s">
        <v>10</v>
      </c>
      <c r="F596" s="187" t="str">
        <f t="shared" si="20"/>
        <v>IB311F9</v>
      </c>
      <c r="G596" s="375" t="s">
        <v>1386</v>
      </c>
      <c r="H596" s="376"/>
      <c r="I596" s="376"/>
      <c r="J596" s="377"/>
      <c r="K596" s="584" t="s">
        <v>1513</v>
      </c>
      <c r="L596" s="183"/>
      <c r="M596" s="186" t="s">
        <v>11</v>
      </c>
      <c r="N596" s="195" t="str">
        <f t="shared" si="21"/>
        <v>OB311F9</v>
      </c>
      <c r="O596" s="271"/>
      <c r="P596" s="272"/>
      <c r="Q596" s="272"/>
      <c r="R596" s="273"/>
      <c r="S596" s="190"/>
      <c r="T596" s="191"/>
      <c r="U596" s="909"/>
      <c r="V596" s="909"/>
      <c r="W596" s="187"/>
      <c r="X596" s="182"/>
      <c r="Y596" s="182"/>
      <c r="Z596" s="182"/>
      <c r="AA596" s="182"/>
      <c r="AB596" s="210"/>
      <c r="AC596" s="182"/>
      <c r="AD596" s="182"/>
      <c r="AE596" s="211"/>
    </row>
    <row r="597" spans="1:31" ht="17.25" customHeight="1">
      <c r="B597" s="180">
        <v>250</v>
      </c>
      <c r="C597" s="811"/>
      <c r="D597" s="765"/>
      <c r="E597" s="186" t="s">
        <v>10</v>
      </c>
      <c r="F597" s="187" t="str">
        <f t="shared" si="20"/>
        <v>IB311FA</v>
      </c>
      <c r="G597" s="375" t="s">
        <v>1387</v>
      </c>
      <c r="H597" s="376"/>
      <c r="I597" s="376"/>
      <c r="J597" s="377"/>
      <c r="K597" s="584" t="s">
        <v>1513</v>
      </c>
      <c r="L597" s="183"/>
      <c r="M597" s="186" t="s">
        <v>11</v>
      </c>
      <c r="N597" s="195" t="str">
        <f t="shared" si="21"/>
        <v>OB311FA</v>
      </c>
      <c r="O597" s="271"/>
      <c r="P597" s="272"/>
      <c r="Q597" s="272"/>
      <c r="R597" s="273"/>
      <c r="S597" s="190"/>
      <c r="T597" s="191"/>
      <c r="U597" s="909"/>
      <c r="V597" s="909"/>
      <c r="W597" s="187"/>
      <c r="X597" s="182"/>
      <c r="Y597" s="182"/>
      <c r="Z597" s="182"/>
      <c r="AA597" s="182"/>
      <c r="AB597" s="210"/>
      <c r="AC597" s="182"/>
      <c r="AD597" s="182"/>
      <c r="AE597" s="211"/>
    </row>
    <row r="598" spans="1:31" ht="17.25" customHeight="1">
      <c r="B598" s="180">
        <v>251</v>
      </c>
      <c r="C598" s="811"/>
      <c r="D598" s="765"/>
      <c r="E598" s="186" t="s">
        <v>10</v>
      </c>
      <c r="F598" s="187" t="str">
        <f t="shared" si="20"/>
        <v>IB311FB</v>
      </c>
      <c r="G598" s="375" t="s">
        <v>1388</v>
      </c>
      <c r="H598" s="376"/>
      <c r="I598" s="376"/>
      <c r="J598" s="377"/>
      <c r="K598" s="584" t="s">
        <v>1513</v>
      </c>
      <c r="L598" s="183"/>
      <c r="M598" s="186" t="s">
        <v>11</v>
      </c>
      <c r="N598" s="195" t="str">
        <f t="shared" si="21"/>
        <v>OB311FB</v>
      </c>
      <c r="O598" s="271"/>
      <c r="P598" s="272"/>
      <c r="Q598" s="272"/>
      <c r="R598" s="273"/>
      <c r="S598" s="190"/>
      <c r="T598" s="191"/>
      <c r="U598" s="909"/>
      <c r="V598" s="909"/>
      <c r="W598" s="187"/>
      <c r="X598" s="182"/>
      <c r="Y598" s="182"/>
      <c r="Z598" s="182"/>
      <c r="AA598" s="182"/>
      <c r="AB598" s="210"/>
      <c r="AC598" s="182"/>
      <c r="AD598" s="182"/>
      <c r="AE598" s="211"/>
    </row>
    <row r="599" spans="1:31" ht="17.25" customHeight="1">
      <c r="B599" s="180">
        <v>252</v>
      </c>
      <c r="C599" s="811"/>
      <c r="D599" s="765"/>
      <c r="E599" s="186" t="s">
        <v>10</v>
      </c>
      <c r="F599" s="187" t="str">
        <f t="shared" si="20"/>
        <v>IB311FC</v>
      </c>
      <c r="G599" s="375" t="s">
        <v>1389</v>
      </c>
      <c r="H599" s="471"/>
      <c r="I599" s="471"/>
      <c r="J599" s="583"/>
      <c r="K599" s="584" t="s">
        <v>1513</v>
      </c>
      <c r="L599" s="188"/>
      <c r="M599" s="186" t="s">
        <v>11</v>
      </c>
      <c r="N599" s="195" t="str">
        <f t="shared" si="21"/>
        <v>OB311FC</v>
      </c>
      <c r="O599" s="271"/>
      <c r="P599" s="272"/>
      <c r="Q599" s="272"/>
      <c r="R599" s="273"/>
      <c r="S599" s="190"/>
      <c r="T599" s="191"/>
      <c r="U599" s="909"/>
      <c r="V599" s="909"/>
      <c r="W599" s="187"/>
      <c r="X599" s="182"/>
      <c r="Y599" s="182"/>
      <c r="Z599" s="182"/>
      <c r="AA599" s="182"/>
      <c r="AB599" s="210"/>
      <c r="AC599" s="182"/>
      <c r="AD599" s="182"/>
      <c r="AE599" s="211"/>
    </row>
    <row r="600" spans="1:31" ht="17.25" customHeight="1">
      <c r="B600" s="180">
        <v>253</v>
      </c>
      <c r="C600" s="811"/>
      <c r="D600" s="765"/>
      <c r="E600" s="186" t="s">
        <v>10</v>
      </c>
      <c r="F600" s="187" t="str">
        <f t="shared" si="20"/>
        <v>IB311FD</v>
      </c>
      <c r="G600" s="586"/>
      <c r="H600" s="471"/>
      <c r="I600" s="471"/>
      <c r="J600" s="583"/>
      <c r="K600" s="587"/>
      <c r="L600" s="214"/>
      <c r="M600" s="186" t="s">
        <v>11</v>
      </c>
      <c r="N600" s="195" t="str">
        <f t="shared" si="21"/>
        <v>OB311FD</v>
      </c>
      <c r="O600" s="271"/>
      <c r="P600" s="272"/>
      <c r="Q600" s="272"/>
      <c r="R600" s="273"/>
      <c r="S600" s="190"/>
      <c r="T600" s="191"/>
      <c r="U600" s="909"/>
      <c r="V600" s="909"/>
      <c r="W600" s="187"/>
      <c r="X600" s="182"/>
      <c r="Y600" s="182"/>
      <c r="Z600" s="182"/>
      <c r="AA600" s="182"/>
      <c r="AB600" s="210"/>
      <c r="AC600" s="182"/>
      <c r="AD600" s="182"/>
      <c r="AE600" s="211"/>
    </row>
    <row r="601" spans="1:31" ht="17.25" customHeight="1">
      <c r="B601" s="180">
        <v>254</v>
      </c>
      <c r="C601" s="811"/>
      <c r="D601" s="765"/>
      <c r="E601" s="186" t="s">
        <v>10</v>
      </c>
      <c r="F601" s="187" t="str">
        <f t="shared" si="20"/>
        <v>IB311FE</v>
      </c>
      <c r="G601" s="466" t="s">
        <v>1390</v>
      </c>
      <c r="H601" s="471"/>
      <c r="I601" s="471"/>
      <c r="J601" s="583"/>
      <c r="K601" s="584" t="s">
        <v>1513</v>
      </c>
      <c r="L601" s="214"/>
      <c r="M601" s="186" t="s">
        <v>11</v>
      </c>
      <c r="N601" s="195" t="str">
        <f t="shared" si="21"/>
        <v>OB311FE</v>
      </c>
      <c r="O601" s="271"/>
      <c r="P601" s="272"/>
      <c r="Q601" s="272"/>
      <c r="R601" s="273"/>
      <c r="S601" s="190"/>
      <c r="T601" s="191"/>
      <c r="U601" s="909"/>
      <c r="V601" s="909"/>
      <c r="W601" s="187"/>
      <c r="X601" s="182"/>
      <c r="Y601" s="182"/>
      <c r="Z601" s="182"/>
      <c r="AA601" s="182"/>
      <c r="AB601" s="210"/>
      <c r="AC601" s="182"/>
      <c r="AD601" s="182"/>
      <c r="AE601" s="211"/>
    </row>
    <row r="602" spans="1:31" ht="17.25" customHeight="1" thickBot="1">
      <c r="B602" s="291">
        <v>255</v>
      </c>
      <c r="C602" s="939"/>
      <c r="D602" s="923"/>
      <c r="E602" s="292" t="s">
        <v>10</v>
      </c>
      <c r="F602" s="293" t="str">
        <f t="shared" si="20"/>
        <v>IB311FF</v>
      </c>
      <c r="G602" s="389"/>
      <c r="H602" s="295"/>
      <c r="I602" s="295"/>
      <c r="J602" s="296"/>
      <c r="K602" s="557"/>
      <c r="L602" s="577"/>
      <c r="M602" s="292" t="s">
        <v>11</v>
      </c>
      <c r="N602" s="390" t="str">
        <f t="shared" si="21"/>
        <v>OB311FF</v>
      </c>
      <c r="O602" s="391"/>
      <c r="P602" s="392"/>
      <c r="Q602" s="392"/>
      <c r="R602" s="393"/>
      <c r="S602" s="297"/>
      <c r="T602" s="298"/>
      <c r="U602" s="955"/>
      <c r="V602" s="955"/>
      <c r="W602" s="293"/>
      <c r="X602" s="299"/>
      <c r="Y602" s="299"/>
      <c r="Z602" s="299"/>
      <c r="AA602" s="299"/>
      <c r="AB602" s="300"/>
      <c r="AC602" s="299"/>
      <c r="AD602" s="299"/>
      <c r="AE602" s="301"/>
    </row>
    <row r="603" spans="1:31" ht="17.25" customHeight="1">
      <c r="B603" s="28"/>
      <c r="C603" s="409"/>
      <c r="D603" s="120"/>
      <c r="E603" s="121"/>
      <c r="F603" s="122"/>
      <c r="G603" s="410"/>
      <c r="H603" s="410"/>
      <c r="I603" s="410"/>
      <c r="J603" s="410"/>
      <c r="K603" s="165"/>
      <c r="L603" s="166"/>
      <c r="M603" s="121"/>
      <c r="N603" s="411"/>
      <c r="O603" s="412"/>
      <c r="P603" s="412"/>
      <c r="Q603" s="412"/>
      <c r="R603" s="412"/>
      <c r="S603" s="413"/>
      <c r="T603" s="414"/>
      <c r="U603" s="415"/>
      <c r="V603" s="415"/>
      <c r="W603" s="122"/>
      <c r="X603" s="28"/>
      <c r="Y603" s="28"/>
      <c r="Z603" s="28"/>
      <c r="AA603" s="28"/>
      <c r="AB603" s="128"/>
      <c r="AC603" s="28"/>
      <c r="AD603" s="28"/>
      <c r="AE603" s="128"/>
    </row>
    <row r="604" spans="1:31" ht="17.25" customHeight="1" thickBot="1">
      <c r="B604" s="71"/>
      <c r="C604" s="416"/>
      <c r="D604" s="64"/>
      <c r="E604" s="65"/>
      <c r="F604" s="129"/>
      <c r="G604" s="417"/>
      <c r="H604" s="417"/>
      <c r="I604" s="417"/>
      <c r="J604" s="417"/>
      <c r="K604" s="168"/>
      <c r="L604" s="169"/>
      <c r="M604" s="65"/>
      <c r="N604" s="159"/>
      <c r="O604" s="418"/>
      <c r="P604" s="418"/>
      <c r="Q604" s="418"/>
      <c r="R604" s="418"/>
      <c r="S604" s="69"/>
      <c r="T604" s="164"/>
      <c r="U604" s="419"/>
      <c r="V604" s="419"/>
      <c r="W604" s="129"/>
      <c r="X604" s="71"/>
      <c r="Y604" s="71"/>
      <c r="Z604" s="71"/>
      <c r="AA604" s="71"/>
      <c r="AB604" s="135"/>
      <c r="AC604" s="71"/>
      <c r="AD604" s="71"/>
      <c r="AE604" s="135"/>
    </row>
    <row r="605" spans="1:31" ht="17.25" customHeight="1">
      <c r="B605" s="394">
        <v>240</v>
      </c>
      <c r="C605" s="951" t="s">
        <v>73</v>
      </c>
      <c r="D605" s="959" t="s">
        <v>1405</v>
      </c>
      <c r="E605" s="395" t="s">
        <v>10</v>
      </c>
      <c r="F605" s="396" t="str">
        <f>LEFT(F602,1)&amp;DEC2HEX(HEX2DEC(MID(F602,2,LENB(F602)-1))+1,LENB(F602)-1)</f>
        <v>IB31200</v>
      </c>
      <c r="G605" s="397" t="s">
        <v>804</v>
      </c>
      <c r="H605" s="398"/>
      <c r="I605" s="398"/>
      <c r="J605" s="399"/>
      <c r="K605" s="406" t="s">
        <v>1513</v>
      </c>
      <c r="L605" s="578"/>
      <c r="M605" s="395" t="s">
        <v>11</v>
      </c>
      <c r="N605" s="400" t="str">
        <f>LEFT(N602,1)&amp;DEC2HEX(HEX2DEC(MID(N602,2,LENB(N602)-1))+1,LENB(N602)-1)</f>
        <v>OB31200</v>
      </c>
      <c r="O605" s="401"/>
      <c r="P605" s="402"/>
      <c r="Q605" s="402"/>
      <c r="R605" s="403"/>
      <c r="S605" s="404"/>
      <c r="T605" s="405"/>
      <c r="U605" s="960"/>
      <c r="V605" s="960"/>
      <c r="W605" s="396"/>
      <c r="X605" s="406"/>
      <c r="Y605" s="406"/>
      <c r="Z605" s="406"/>
      <c r="AA605" s="406"/>
      <c r="AB605" s="407"/>
      <c r="AC605" s="406"/>
      <c r="AD605" s="406"/>
      <c r="AE605" s="408"/>
    </row>
    <row r="606" spans="1:31" ht="17.25" customHeight="1">
      <c r="A606" s="171"/>
      <c r="B606" s="180">
        <v>241</v>
      </c>
      <c r="C606" s="811"/>
      <c r="D606" s="765"/>
      <c r="E606" s="186" t="s">
        <v>10</v>
      </c>
      <c r="F606" s="187" t="str">
        <f t="shared" ref="F606:F669" si="22">LEFT(F605,1)&amp;DEC2HEX(HEX2DEC(MID(F605,2,LENB(F605)-1))+1,LENB(F605)-1)</f>
        <v>IB31201</v>
      </c>
      <c r="G606" s="243" t="s">
        <v>805</v>
      </c>
      <c r="H606" s="244"/>
      <c r="I606" s="244"/>
      <c r="J606" s="245"/>
      <c r="K606" s="182" t="s">
        <v>1529</v>
      </c>
      <c r="L606" s="235"/>
      <c r="M606" s="186" t="s">
        <v>11</v>
      </c>
      <c r="N606" s="195" t="str">
        <f t="shared" si="21"/>
        <v>OB31201</v>
      </c>
      <c r="O606" s="259"/>
      <c r="P606" s="260"/>
      <c r="Q606" s="260"/>
      <c r="R606" s="261"/>
      <c r="S606" s="190"/>
      <c r="T606" s="191"/>
      <c r="U606" s="909"/>
      <c r="V606" s="909"/>
      <c r="W606" s="187"/>
      <c r="X606" s="182"/>
      <c r="Y606" s="182"/>
      <c r="Z606" s="182"/>
      <c r="AA606" s="182"/>
      <c r="AB606" s="210"/>
      <c r="AC606" s="182"/>
      <c r="AD606" s="182"/>
      <c r="AE606" s="211"/>
    </row>
    <row r="607" spans="1:31" ht="17.25" customHeight="1">
      <c r="B607" s="180">
        <v>242</v>
      </c>
      <c r="C607" s="811"/>
      <c r="D607" s="765"/>
      <c r="E607" s="186" t="s">
        <v>10</v>
      </c>
      <c r="F607" s="187" t="str">
        <f t="shared" si="22"/>
        <v>IB31202</v>
      </c>
      <c r="G607" s="243" t="s">
        <v>806</v>
      </c>
      <c r="H607" s="244"/>
      <c r="I607" s="244"/>
      <c r="J607" s="245"/>
      <c r="K607" s="182" t="s">
        <v>1513</v>
      </c>
      <c r="L607" s="235"/>
      <c r="M607" s="186" t="s">
        <v>11</v>
      </c>
      <c r="N607" s="195" t="str">
        <f t="shared" si="21"/>
        <v>OB31202</v>
      </c>
      <c r="O607" s="259"/>
      <c r="P607" s="260"/>
      <c r="Q607" s="260"/>
      <c r="R607" s="261"/>
      <c r="S607" s="190"/>
      <c r="T607" s="191"/>
      <c r="U607" s="909"/>
      <c r="V607" s="909"/>
      <c r="W607" s="187"/>
      <c r="X607" s="182"/>
      <c r="Y607" s="182"/>
      <c r="Z607" s="182"/>
      <c r="AA607" s="182"/>
      <c r="AB607" s="210"/>
      <c r="AC607" s="182"/>
      <c r="AD607" s="182"/>
      <c r="AE607" s="211"/>
    </row>
    <row r="608" spans="1:31" ht="13.5" customHeight="1">
      <c r="B608" s="180">
        <v>243</v>
      </c>
      <c r="C608" s="811"/>
      <c r="D608" s="765"/>
      <c r="E608" s="186" t="s">
        <v>10</v>
      </c>
      <c r="F608" s="187" t="str">
        <f t="shared" si="22"/>
        <v>IB31203</v>
      </c>
      <c r="G608" s="243" t="s">
        <v>807</v>
      </c>
      <c r="H608" s="244"/>
      <c r="I608" s="244"/>
      <c r="J608" s="245"/>
      <c r="K608" s="182" t="s">
        <v>1513</v>
      </c>
      <c r="L608" s="188" t="s">
        <v>1513</v>
      </c>
      <c r="M608" s="186" t="s">
        <v>11</v>
      </c>
      <c r="N608" s="195" t="str">
        <f t="shared" si="21"/>
        <v>OB31203</v>
      </c>
      <c r="O608" s="259"/>
      <c r="P608" s="260"/>
      <c r="Q608" s="260"/>
      <c r="R608" s="261"/>
      <c r="S608" s="190"/>
      <c r="T608" s="191"/>
      <c r="U608" s="909"/>
      <c r="V608" s="909"/>
      <c r="W608" s="187"/>
      <c r="X608" s="182"/>
      <c r="Y608" s="182"/>
      <c r="Z608" s="182"/>
      <c r="AA608" s="182"/>
      <c r="AB608" s="210"/>
      <c r="AC608" s="182"/>
      <c r="AD608" s="182"/>
      <c r="AE608" s="211"/>
    </row>
    <row r="609" spans="2:31" ht="13.5" customHeight="1">
      <c r="B609" s="180">
        <v>244</v>
      </c>
      <c r="C609" s="811"/>
      <c r="D609" s="765"/>
      <c r="E609" s="186" t="s">
        <v>10</v>
      </c>
      <c r="F609" s="187" t="str">
        <f t="shared" si="22"/>
        <v>IB31204</v>
      </c>
      <c r="G609" s="243" t="s">
        <v>245</v>
      </c>
      <c r="H609" s="244"/>
      <c r="I609" s="244"/>
      <c r="J609" s="245"/>
      <c r="K609" s="182" t="s">
        <v>1513</v>
      </c>
      <c r="L609" s="235"/>
      <c r="M609" s="186" t="s">
        <v>11</v>
      </c>
      <c r="N609" s="195" t="str">
        <f t="shared" si="21"/>
        <v>OB31204</v>
      </c>
      <c r="O609" s="259"/>
      <c r="P609" s="260"/>
      <c r="Q609" s="260"/>
      <c r="R609" s="261"/>
      <c r="S609" s="190"/>
      <c r="T609" s="191"/>
      <c r="U609" s="909"/>
      <c r="V609" s="909"/>
      <c r="W609" s="187"/>
      <c r="X609" s="182"/>
      <c r="Y609" s="182"/>
      <c r="Z609" s="182"/>
      <c r="AA609" s="182"/>
      <c r="AB609" s="210"/>
      <c r="AC609" s="182"/>
      <c r="AD609" s="182"/>
      <c r="AE609" s="211"/>
    </row>
    <row r="610" spans="2:31" ht="13.5" customHeight="1">
      <c r="B610" s="180">
        <v>245</v>
      </c>
      <c r="C610" s="811"/>
      <c r="D610" s="765"/>
      <c r="E610" s="186" t="s">
        <v>10</v>
      </c>
      <c r="F610" s="187" t="str">
        <f t="shared" si="22"/>
        <v>IB31205</v>
      </c>
      <c r="G610" s="243" t="s">
        <v>242</v>
      </c>
      <c r="H610" s="244"/>
      <c r="I610" s="244"/>
      <c r="J610" s="245"/>
      <c r="K610" s="182" t="s">
        <v>1513</v>
      </c>
      <c r="L610" s="235"/>
      <c r="M610" s="186" t="s">
        <v>11</v>
      </c>
      <c r="N610" s="195" t="str">
        <f t="shared" si="21"/>
        <v>OB31205</v>
      </c>
      <c r="O610" s="259"/>
      <c r="P610" s="260"/>
      <c r="Q610" s="260"/>
      <c r="R610" s="261"/>
      <c r="S610" s="190"/>
      <c r="T610" s="191"/>
      <c r="U610" s="909"/>
      <c r="V610" s="909"/>
      <c r="W610" s="187"/>
      <c r="X610" s="182"/>
      <c r="Y610" s="182"/>
      <c r="Z610" s="182"/>
      <c r="AA610" s="182"/>
      <c r="AB610" s="210"/>
      <c r="AC610" s="182"/>
      <c r="AD610" s="182"/>
      <c r="AE610" s="211"/>
    </row>
    <row r="611" spans="2:31" ht="13.5" customHeight="1">
      <c r="B611" s="180">
        <v>246</v>
      </c>
      <c r="C611" s="811"/>
      <c r="D611" s="765"/>
      <c r="E611" s="186" t="s">
        <v>10</v>
      </c>
      <c r="F611" s="187" t="str">
        <f t="shared" si="22"/>
        <v>IB31206</v>
      </c>
      <c r="G611" s="243" t="s">
        <v>243</v>
      </c>
      <c r="H611" s="244"/>
      <c r="I611" s="244"/>
      <c r="J611" s="245"/>
      <c r="K611" s="182" t="s">
        <v>1513</v>
      </c>
      <c r="L611" s="235"/>
      <c r="M611" s="186" t="s">
        <v>11</v>
      </c>
      <c r="N611" s="195" t="str">
        <f t="shared" si="21"/>
        <v>OB31206</v>
      </c>
      <c r="O611" s="259"/>
      <c r="P611" s="260"/>
      <c r="Q611" s="260"/>
      <c r="R611" s="261"/>
      <c r="S611" s="190"/>
      <c r="T611" s="191"/>
      <c r="U611" s="909"/>
      <c r="V611" s="909"/>
      <c r="W611" s="187"/>
      <c r="X611" s="182"/>
      <c r="Y611" s="182"/>
      <c r="Z611" s="182"/>
      <c r="AA611" s="182"/>
      <c r="AB611" s="210"/>
      <c r="AC611" s="182"/>
      <c r="AD611" s="182"/>
      <c r="AE611" s="211"/>
    </row>
    <row r="612" spans="2:31" ht="13.5" customHeight="1">
      <c r="B612" s="180">
        <v>247</v>
      </c>
      <c r="C612" s="811"/>
      <c r="D612" s="765"/>
      <c r="E612" s="186" t="s">
        <v>10</v>
      </c>
      <c r="F612" s="187" t="str">
        <f t="shared" si="22"/>
        <v>IB31207</v>
      </c>
      <c r="G612" s="243" t="s">
        <v>244</v>
      </c>
      <c r="H612" s="244"/>
      <c r="I612" s="244"/>
      <c r="J612" s="245"/>
      <c r="K612" s="182" t="s">
        <v>1513</v>
      </c>
      <c r="L612" s="235"/>
      <c r="M612" s="186" t="s">
        <v>11</v>
      </c>
      <c r="N612" s="195" t="str">
        <f t="shared" si="21"/>
        <v>OB31207</v>
      </c>
      <c r="O612" s="259"/>
      <c r="P612" s="260"/>
      <c r="Q612" s="260"/>
      <c r="R612" s="261"/>
      <c r="S612" s="190"/>
      <c r="T612" s="191"/>
      <c r="U612" s="909"/>
      <c r="V612" s="909"/>
      <c r="W612" s="187"/>
      <c r="X612" s="182"/>
      <c r="Y612" s="182"/>
      <c r="Z612" s="182"/>
      <c r="AA612" s="182"/>
      <c r="AB612" s="210"/>
      <c r="AC612" s="182"/>
      <c r="AD612" s="182"/>
      <c r="AE612" s="211"/>
    </row>
    <row r="613" spans="2:31" ht="13.5" customHeight="1">
      <c r="B613" s="180">
        <v>248</v>
      </c>
      <c r="C613" s="811"/>
      <c r="D613" s="765"/>
      <c r="E613" s="186" t="s">
        <v>10</v>
      </c>
      <c r="F613" s="187" t="str">
        <f t="shared" si="22"/>
        <v>IB31208</v>
      </c>
      <c r="G613" s="243"/>
      <c r="H613" s="244"/>
      <c r="I613" s="244"/>
      <c r="J613" s="245"/>
      <c r="K613" s="182"/>
      <c r="L613" s="235"/>
      <c r="M613" s="186" t="s">
        <v>11</v>
      </c>
      <c r="N613" s="195" t="str">
        <f t="shared" si="21"/>
        <v>OB31208</v>
      </c>
      <c r="O613" s="259"/>
      <c r="P613" s="260"/>
      <c r="Q613" s="260"/>
      <c r="R613" s="261"/>
      <c r="S613" s="190"/>
      <c r="T613" s="191"/>
      <c r="U613" s="909"/>
      <c r="V613" s="909"/>
      <c r="W613" s="187"/>
      <c r="X613" s="182"/>
      <c r="Y613" s="182"/>
      <c r="Z613" s="182"/>
      <c r="AA613" s="182"/>
      <c r="AB613" s="210"/>
      <c r="AC613" s="182"/>
      <c r="AD613" s="182"/>
      <c r="AE613" s="211"/>
    </row>
    <row r="614" spans="2:31" ht="13.5" customHeight="1">
      <c r="B614" s="180">
        <v>249</v>
      </c>
      <c r="C614" s="811"/>
      <c r="D614" s="765"/>
      <c r="E614" s="186" t="s">
        <v>10</v>
      </c>
      <c r="F614" s="187" t="str">
        <f t="shared" si="22"/>
        <v>IB31209</v>
      </c>
      <c r="G614" s="243" t="s">
        <v>1007</v>
      </c>
      <c r="H614" s="244"/>
      <c r="I614" s="244"/>
      <c r="J614" s="245"/>
      <c r="K614" s="182" t="s">
        <v>1513</v>
      </c>
      <c r="L614" s="234"/>
      <c r="M614" s="186" t="s">
        <v>11</v>
      </c>
      <c r="N614" s="195" t="str">
        <f t="shared" si="21"/>
        <v>OB31209</v>
      </c>
      <c r="O614" s="259"/>
      <c r="P614" s="260"/>
      <c r="Q614" s="260"/>
      <c r="R614" s="261"/>
      <c r="S614" s="190"/>
      <c r="T614" s="191"/>
      <c r="U614" s="909"/>
      <c r="V614" s="909"/>
      <c r="W614" s="187"/>
      <c r="X614" s="182"/>
      <c r="Y614" s="182"/>
      <c r="Z614" s="182"/>
      <c r="AA614" s="182"/>
      <c r="AB614" s="210"/>
      <c r="AC614" s="182"/>
      <c r="AD614" s="182"/>
      <c r="AE614" s="211"/>
    </row>
    <row r="615" spans="2:31" ht="13.5" customHeight="1">
      <c r="B615" s="180">
        <v>250</v>
      </c>
      <c r="C615" s="811"/>
      <c r="D615" s="765"/>
      <c r="E615" s="186" t="s">
        <v>10</v>
      </c>
      <c r="F615" s="187" t="str">
        <f t="shared" si="22"/>
        <v>IB3120A</v>
      </c>
      <c r="G615" s="243" t="s">
        <v>1008</v>
      </c>
      <c r="H615" s="244"/>
      <c r="I615" s="244"/>
      <c r="J615" s="245"/>
      <c r="K615" s="182" t="s">
        <v>1513</v>
      </c>
      <c r="L615" s="234"/>
      <c r="M615" s="186" t="s">
        <v>11</v>
      </c>
      <c r="N615" s="195" t="str">
        <f t="shared" si="21"/>
        <v>OB3120A</v>
      </c>
      <c r="O615" s="259"/>
      <c r="P615" s="260"/>
      <c r="Q615" s="260"/>
      <c r="R615" s="261"/>
      <c r="S615" s="190"/>
      <c r="T615" s="191"/>
      <c r="U615" s="909"/>
      <c r="V615" s="909"/>
      <c r="W615" s="187"/>
      <c r="X615" s="182"/>
      <c r="Y615" s="182"/>
      <c r="Z615" s="182"/>
      <c r="AA615" s="182"/>
      <c r="AB615" s="210"/>
      <c r="AC615" s="182"/>
      <c r="AD615" s="182"/>
      <c r="AE615" s="211"/>
    </row>
    <row r="616" spans="2:31" ht="13.5" customHeight="1">
      <c r="B616" s="180">
        <v>251</v>
      </c>
      <c r="C616" s="811"/>
      <c r="D616" s="765"/>
      <c r="E616" s="186" t="s">
        <v>10</v>
      </c>
      <c r="F616" s="187" t="str">
        <f t="shared" si="22"/>
        <v>IB3120B</v>
      </c>
      <c r="G616" s="243"/>
      <c r="H616" s="244"/>
      <c r="I616" s="244"/>
      <c r="J616" s="245"/>
      <c r="K616" s="182"/>
      <c r="L616" s="235"/>
      <c r="M616" s="186" t="s">
        <v>11</v>
      </c>
      <c r="N616" s="195" t="str">
        <f t="shared" si="21"/>
        <v>OB3120B</v>
      </c>
      <c r="O616" s="259"/>
      <c r="P616" s="260"/>
      <c r="Q616" s="260"/>
      <c r="R616" s="261"/>
      <c r="S616" s="190"/>
      <c r="T616" s="191"/>
      <c r="U616" s="909"/>
      <c r="V616" s="909"/>
      <c r="W616" s="187"/>
      <c r="X616" s="182"/>
      <c r="Y616" s="182"/>
      <c r="Z616" s="182"/>
      <c r="AA616" s="182"/>
      <c r="AB616" s="210"/>
      <c r="AC616" s="182"/>
      <c r="AD616" s="182"/>
      <c r="AE616" s="211"/>
    </row>
    <row r="617" spans="2:31" ht="13.5" customHeight="1">
      <c r="B617" s="180">
        <v>252</v>
      </c>
      <c r="C617" s="811"/>
      <c r="D617" s="765"/>
      <c r="E617" s="186" t="s">
        <v>10</v>
      </c>
      <c r="F617" s="187" t="str">
        <f t="shared" si="22"/>
        <v>IB3120C</v>
      </c>
      <c r="G617" s="243"/>
      <c r="H617" s="244"/>
      <c r="I617" s="244"/>
      <c r="J617" s="245"/>
      <c r="K617" s="182"/>
      <c r="L617" s="235"/>
      <c r="M617" s="186" t="s">
        <v>11</v>
      </c>
      <c r="N617" s="195" t="str">
        <f t="shared" si="21"/>
        <v>OB3120C</v>
      </c>
      <c r="O617" s="259"/>
      <c r="P617" s="260"/>
      <c r="Q617" s="260"/>
      <c r="R617" s="261"/>
      <c r="S617" s="190"/>
      <c r="T617" s="191"/>
      <c r="U617" s="909"/>
      <c r="V617" s="909"/>
      <c r="W617" s="187"/>
      <c r="X617" s="182"/>
      <c r="Y617" s="182"/>
      <c r="Z617" s="182"/>
      <c r="AA617" s="182"/>
      <c r="AB617" s="210"/>
      <c r="AC617" s="182"/>
      <c r="AD617" s="182"/>
      <c r="AE617" s="211"/>
    </row>
    <row r="618" spans="2:31" ht="13.5" customHeight="1">
      <c r="B618" s="180">
        <v>253</v>
      </c>
      <c r="C618" s="811"/>
      <c r="D618" s="765"/>
      <c r="E618" s="186" t="s">
        <v>10</v>
      </c>
      <c r="F618" s="187" t="str">
        <f t="shared" si="22"/>
        <v>IB3120D</v>
      </c>
      <c r="G618" s="243"/>
      <c r="H618" s="244"/>
      <c r="I618" s="244"/>
      <c r="J618" s="245"/>
      <c r="K618" s="182"/>
      <c r="L618" s="235"/>
      <c r="M618" s="186" t="s">
        <v>11</v>
      </c>
      <c r="N618" s="195" t="str">
        <f t="shared" si="21"/>
        <v>OB3120D</v>
      </c>
      <c r="O618" s="259"/>
      <c r="P618" s="260"/>
      <c r="Q618" s="260"/>
      <c r="R618" s="261"/>
      <c r="S618" s="190"/>
      <c r="T618" s="191"/>
      <c r="U618" s="909"/>
      <c r="V618" s="909"/>
      <c r="W618" s="187"/>
      <c r="X618" s="182"/>
      <c r="Y618" s="182"/>
      <c r="Z618" s="182"/>
      <c r="AA618" s="182"/>
      <c r="AB618" s="210"/>
      <c r="AC618" s="182"/>
      <c r="AD618" s="182"/>
      <c r="AE618" s="211"/>
    </row>
    <row r="619" spans="2:31" ht="13.5" customHeight="1">
      <c r="B619" s="180">
        <v>254</v>
      </c>
      <c r="C619" s="811"/>
      <c r="D619" s="765"/>
      <c r="E619" s="186" t="s">
        <v>10</v>
      </c>
      <c r="F619" s="187" t="str">
        <f t="shared" si="22"/>
        <v>IB3120E</v>
      </c>
      <c r="G619" s="243"/>
      <c r="H619" s="244"/>
      <c r="I619" s="244"/>
      <c r="J619" s="245"/>
      <c r="K619" s="182"/>
      <c r="L619" s="235"/>
      <c r="M619" s="186" t="s">
        <v>11</v>
      </c>
      <c r="N619" s="195" t="str">
        <f t="shared" si="21"/>
        <v>OB3120E</v>
      </c>
      <c r="O619" s="259"/>
      <c r="P619" s="260"/>
      <c r="Q619" s="260"/>
      <c r="R619" s="261"/>
      <c r="S619" s="190"/>
      <c r="T619" s="191"/>
      <c r="U619" s="909"/>
      <c r="V619" s="909"/>
      <c r="W619" s="187"/>
      <c r="X619" s="182"/>
      <c r="Y619" s="182"/>
      <c r="Z619" s="182"/>
      <c r="AA619" s="182"/>
      <c r="AB619" s="210"/>
      <c r="AC619" s="182"/>
      <c r="AD619" s="182"/>
      <c r="AE619" s="211"/>
    </row>
    <row r="620" spans="2:31" ht="13.5" customHeight="1">
      <c r="B620" s="180">
        <v>255</v>
      </c>
      <c r="C620" s="928"/>
      <c r="D620" s="765"/>
      <c r="E620" s="186" t="s">
        <v>10</v>
      </c>
      <c r="F620" s="187" t="str">
        <f t="shared" si="22"/>
        <v>IB3120F</v>
      </c>
      <c r="G620" s="243" t="s">
        <v>820</v>
      </c>
      <c r="H620" s="244"/>
      <c r="I620" s="244"/>
      <c r="J620" s="245"/>
      <c r="K620" s="182" t="s">
        <v>1513</v>
      </c>
      <c r="L620" s="235"/>
      <c r="M620" s="186" t="s">
        <v>11</v>
      </c>
      <c r="N620" s="195" t="str">
        <f t="shared" si="21"/>
        <v>OB3120F</v>
      </c>
      <c r="O620" s="259"/>
      <c r="P620" s="260"/>
      <c r="Q620" s="260"/>
      <c r="R620" s="261"/>
      <c r="S620" s="190"/>
      <c r="T620" s="191"/>
      <c r="U620" s="909"/>
      <c r="V620" s="909"/>
      <c r="W620" s="187"/>
      <c r="X620" s="182"/>
      <c r="Y620" s="182"/>
      <c r="Z620" s="182"/>
      <c r="AA620" s="182"/>
      <c r="AB620" s="210"/>
      <c r="AC620" s="182"/>
      <c r="AD620" s="182"/>
      <c r="AE620" s="211"/>
    </row>
    <row r="621" spans="2:31" ht="13.5" customHeight="1">
      <c r="B621" s="180">
        <v>256</v>
      </c>
      <c r="C621" s="927" t="s">
        <v>71</v>
      </c>
      <c r="D621" s="901" t="s">
        <v>264</v>
      </c>
      <c r="E621" s="186" t="s">
        <v>10</v>
      </c>
      <c r="F621" s="187" t="str">
        <f t="shared" si="22"/>
        <v>IB31210</v>
      </c>
      <c r="G621" s="243" t="s">
        <v>1000</v>
      </c>
      <c r="H621" s="244"/>
      <c r="I621" s="244"/>
      <c r="J621" s="245"/>
      <c r="K621" s="182" t="s">
        <v>1513</v>
      </c>
      <c r="L621" s="235"/>
      <c r="M621" s="186" t="s">
        <v>11</v>
      </c>
      <c r="N621" s="195" t="str">
        <f t="shared" si="21"/>
        <v>OB31210</v>
      </c>
      <c r="O621" s="259"/>
      <c r="P621" s="260"/>
      <c r="Q621" s="260"/>
      <c r="R621" s="261"/>
      <c r="S621" s="190"/>
      <c r="T621" s="191"/>
      <c r="U621" s="909"/>
      <c r="V621" s="909"/>
      <c r="W621" s="187"/>
      <c r="X621" s="182"/>
      <c r="Y621" s="182"/>
      <c r="Z621" s="182"/>
      <c r="AA621" s="182"/>
      <c r="AB621" s="210"/>
      <c r="AC621" s="182"/>
      <c r="AD621" s="182"/>
      <c r="AE621" s="211"/>
    </row>
    <row r="622" spans="2:31" ht="13.5" customHeight="1">
      <c r="B622" s="180">
        <v>257</v>
      </c>
      <c r="C622" s="811"/>
      <c r="D622" s="765"/>
      <c r="E622" s="186" t="s">
        <v>10</v>
      </c>
      <c r="F622" s="187" t="str">
        <f t="shared" si="22"/>
        <v>IB31211</v>
      </c>
      <c r="G622" s="243" t="s">
        <v>1001</v>
      </c>
      <c r="H622" s="244"/>
      <c r="I622" s="244"/>
      <c r="J622" s="245"/>
      <c r="K622" s="182" t="s">
        <v>1529</v>
      </c>
      <c r="L622" s="235"/>
      <c r="M622" s="186" t="s">
        <v>11</v>
      </c>
      <c r="N622" s="195" t="str">
        <f t="shared" si="21"/>
        <v>OB31211</v>
      </c>
      <c r="O622" s="259"/>
      <c r="P622" s="260"/>
      <c r="Q622" s="260"/>
      <c r="R622" s="261"/>
      <c r="S622" s="190"/>
      <c r="T622" s="191"/>
      <c r="U622" s="909"/>
      <c r="V622" s="909"/>
      <c r="W622" s="187"/>
      <c r="X622" s="182"/>
      <c r="Y622" s="182"/>
      <c r="Z622" s="182"/>
      <c r="AA622" s="182"/>
      <c r="AB622" s="210"/>
      <c r="AC622" s="182"/>
      <c r="AD622" s="182"/>
      <c r="AE622" s="211"/>
    </row>
    <row r="623" spans="2:31" ht="13.5" customHeight="1">
      <c r="B623" s="180">
        <v>258</v>
      </c>
      <c r="C623" s="811"/>
      <c r="D623" s="765"/>
      <c r="E623" s="186" t="s">
        <v>10</v>
      </c>
      <c r="F623" s="187" t="str">
        <f t="shared" si="22"/>
        <v>IB31212</v>
      </c>
      <c r="G623" s="243" t="s">
        <v>1002</v>
      </c>
      <c r="H623" s="244"/>
      <c r="I623" s="244"/>
      <c r="J623" s="245"/>
      <c r="K623" s="182" t="s">
        <v>1513</v>
      </c>
      <c r="L623" s="235"/>
      <c r="M623" s="186" t="s">
        <v>11</v>
      </c>
      <c r="N623" s="195" t="str">
        <f t="shared" si="21"/>
        <v>OB31212</v>
      </c>
      <c r="O623" s="259"/>
      <c r="P623" s="260"/>
      <c r="Q623" s="260"/>
      <c r="R623" s="261"/>
      <c r="S623" s="190"/>
      <c r="T623" s="191"/>
      <c r="U623" s="909"/>
      <c r="V623" s="909"/>
      <c r="W623" s="187"/>
      <c r="X623" s="182"/>
      <c r="Y623" s="182"/>
      <c r="Z623" s="182"/>
      <c r="AA623" s="182"/>
      <c r="AB623" s="210"/>
      <c r="AC623" s="182"/>
      <c r="AD623" s="182"/>
      <c r="AE623" s="211"/>
    </row>
    <row r="624" spans="2:31" ht="13.5" customHeight="1">
      <c r="B624" s="180">
        <v>259</v>
      </c>
      <c r="C624" s="811"/>
      <c r="D624" s="765"/>
      <c r="E624" s="186" t="s">
        <v>10</v>
      </c>
      <c r="F624" s="187" t="str">
        <f t="shared" si="22"/>
        <v>IB31213</v>
      </c>
      <c r="G624" s="243" t="s">
        <v>1550</v>
      </c>
      <c r="H624" s="244"/>
      <c r="I624" s="244"/>
      <c r="J624" s="245"/>
      <c r="K624" s="182" t="s">
        <v>1513</v>
      </c>
      <c r="L624" s="188" t="s">
        <v>1513</v>
      </c>
      <c r="M624" s="186" t="s">
        <v>11</v>
      </c>
      <c r="N624" s="195" t="str">
        <f t="shared" si="21"/>
        <v>OB31213</v>
      </c>
      <c r="O624" s="259"/>
      <c r="P624" s="260"/>
      <c r="Q624" s="260"/>
      <c r="R624" s="261"/>
      <c r="S624" s="190"/>
      <c r="T624" s="191"/>
      <c r="U624" s="909"/>
      <c r="V624" s="909"/>
      <c r="W624" s="187"/>
      <c r="X624" s="182"/>
      <c r="Y624" s="182"/>
      <c r="Z624" s="182"/>
      <c r="AA624" s="182"/>
      <c r="AB624" s="210"/>
      <c r="AC624" s="182"/>
      <c r="AD624" s="182"/>
      <c r="AE624" s="211"/>
    </row>
    <row r="625" spans="2:31" ht="13.5" customHeight="1">
      <c r="B625" s="180">
        <v>260</v>
      </c>
      <c r="C625" s="811"/>
      <c r="D625" s="765"/>
      <c r="E625" s="186" t="s">
        <v>10</v>
      </c>
      <c r="F625" s="187" t="str">
        <f t="shared" si="22"/>
        <v>IB31214</v>
      </c>
      <c r="G625" s="243" t="s">
        <v>265</v>
      </c>
      <c r="H625" s="244"/>
      <c r="I625" s="244"/>
      <c r="J625" s="245"/>
      <c r="K625" s="182" t="s">
        <v>1513</v>
      </c>
      <c r="L625" s="235"/>
      <c r="M625" s="186" t="s">
        <v>11</v>
      </c>
      <c r="N625" s="195" t="str">
        <f t="shared" si="21"/>
        <v>OB31214</v>
      </c>
      <c r="O625" s="259"/>
      <c r="P625" s="260"/>
      <c r="Q625" s="260"/>
      <c r="R625" s="261"/>
      <c r="S625" s="190"/>
      <c r="T625" s="191"/>
      <c r="U625" s="909"/>
      <c r="V625" s="909"/>
      <c r="W625" s="187"/>
      <c r="X625" s="182"/>
      <c r="Y625" s="182"/>
      <c r="Z625" s="182"/>
      <c r="AA625" s="182"/>
      <c r="AB625" s="210"/>
      <c r="AC625" s="182"/>
      <c r="AD625" s="182"/>
      <c r="AE625" s="211"/>
    </row>
    <row r="626" spans="2:31" ht="13.5" customHeight="1">
      <c r="B626" s="180">
        <v>261</v>
      </c>
      <c r="C626" s="811"/>
      <c r="D626" s="765"/>
      <c r="E626" s="186" t="s">
        <v>10</v>
      </c>
      <c r="F626" s="187" t="str">
        <f t="shared" si="22"/>
        <v>IB31215</v>
      </c>
      <c r="G626" s="243" t="s">
        <v>266</v>
      </c>
      <c r="H626" s="244"/>
      <c r="I626" s="244"/>
      <c r="J626" s="245"/>
      <c r="K626" s="182" t="s">
        <v>1513</v>
      </c>
      <c r="L626" s="235"/>
      <c r="M626" s="186" t="s">
        <v>11</v>
      </c>
      <c r="N626" s="195" t="str">
        <f t="shared" si="21"/>
        <v>OB31215</v>
      </c>
      <c r="O626" s="259"/>
      <c r="P626" s="260"/>
      <c r="Q626" s="260"/>
      <c r="R626" s="261"/>
      <c r="S626" s="190"/>
      <c r="T626" s="191"/>
      <c r="U626" s="909"/>
      <c r="V626" s="909"/>
      <c r="W626" s="187"/>
      <c r="X626" s="182"/>
      <c r="Y626" s="182"/>
      <c r="Z626" s="182"/>
      <c r="AA626" s="182"/>
      <c r="AB626" s="210"/>
      <c r="AC626" s="182"/>
      <c r="AD626" s="182"/>
      <c r="AE626" s="211"/>
    </row>
    <row r="627" spans="2:31" ht="13.5" customHeight="1">
      <c r="B627" s="180">
        <v>262</v>
      </c>
      <c r="C627" s="811"/>
      <c r="D627" s="765"/>
      <c r="E627" s="186" t="s">
        <v>10</v>
      </c>
      <c r="F627" s="187" t="str">
        <f t="shared" si="22"/>
        <v>IB31216</v>
      </c>
      <c r="G627" s="243" t="s">
        <v>267</v>
      </c>
      <c r="H627" s="244"/>
      <c r="I627" s="244"/>
      <c r="J627" s="245"/>
      <c r="K627" s="182" t="s">
        <v>1513</v>
      </c>
      <c r="L627" s="235"/>
      <c r="M627" s="186" t="s">
        <v>11</v>
      </c>
      <c r="N627" s="195" t="str">
        <f t="shared" si="21"/>
        <v>OB31216</v>
      </c>
      <c r="O627" s="259"/>
      <c r="P627" s="260"/>
      <c r="Q627" s="260"/>
      <c r="R627" s="261"/>
      <c r="S627" s="190"/>
      <c r="T627" s="191"/>
      <c r="U627" s="909"/>
      <c r="V627" s="909"/>
      <c r="W627" s="187"/>
      <c r="X627" s="182"/>
      <c r="Y627" s="182"/>
      <c r="Z627" s="182"/>
      <c r="AA627" s="182"/>
      <c r="AB627" s="210"/>
      <c r="AC627" s="182"/>
      <c r="AD627" s="182"/>
      <c r="AE627" s="211"/>
    </row>
    <row r="628" spans="2:31" ht="13.5" customHeight="1">
      <c r="B628" s="180">
        <v>263</v>
      </c>
      <c r="C628" s="811"/>
      <c r="D628" s="765"/>
      <c r="E628" s="186" t="s">
        <v>10</v>
      </c>
      <c r="F628" s="187" t="str">
        <f t="shared" si="22"/>
        <v>IB31217</v>
      </c>
      <c r="G628" s="243" t="s">
        <v>268</v>
      </c>
      <c r="H628" s="244"/>
      <c r="I628" s="244"/>
      <c r="J628" s="245" t="s">
        <v>1514</v>
      </c>
      <c r="K628" s="182" t="s">
        <v>1513</v>
      </c>
      <c r="L628" s="235"/>
      <c r="M628" s="186" t="s">
        <v>11</v>
      </c>
      <c r="N628" s="195" t="str">
        <f t="shared" si="21"/>
        <v>OB31217</v>
      </c>
      <c r="O628" s="259"/>
      <c r="P628" s="260"/>
      <c r="Q628" s="260"/>
      <c r="R628" s="261"/>
      <c r="S628" s="190"/>
      <c r="T628" s="191"/>
      <c r="U628" s="909"/>
      <c r="V628" s="909"/>
      <c r="W628" s="187"/>
      <c r="X628" s="182"/>
      <c r="Y628" s="182"/>
      <c r="Z628" s="182"/>
      <c r="AA628" s="182"/>
      <c r="AB628" s="210"/>
      <c r="AC628" s="182"/>
      <c r="AD628" s="182"/>
      <c r="AE628" s="211"/>
    </row>
    <row r="629" spans="2:31" ht="13.5" customHeight="1">
      <c r="B629" s="180">
        <v>264</v>
      </c>
      <c r="C629" s="811"/>
      <c r="D629" s="765"/>
      <c r="E629" s="186" t="s">
        <v>10</v>
      </c>
      <c r="F629" s="187" t="str">
        <f t="shared" si="22"/>
        <v>IB31218</v>
      </c>
      <c r="G629" s="243" t="s">
        <v>269</v>
      </c>
      <c r="H629" s="244"/>
      <c r="I629" s="244"/>
      <c r="J629" s="245"/>
      <c r="K629" s="182" t="s">
        <v>1513</v>
      </c>
      <c r="L629" s="235"/>
      <c r="M629" s="186" t="s">
        <v>11</v>
      </c>
      <c r="N629" s="195" t="str">
        <f t="shared" si="21"/>
        <v>OB31218</v>
      </c>
      <c r="O629" s="259"/>
      <c r="P629" s="260"/>
      <c r="Q629" s="260"/>
      <c r="R629" s="261"/>
      <c r="S629" s="190"/>
      <c r="T629" s="191"/>
      <c r="U629" s="909"/>
      <c r="V629" s="909"/>
      <c r="W629" s="187"/>
      <c r="X629" s="182"/>
      <c r="Y629" s="182"/>
      <c r="Z629" s="182"/>
      <c r="AA629" s="182"/>
      <c r="AB629" s="210"/>
      <c r="AC629" s="182"/>
      <c r="AD629" s="182"/>
      <c r="AE629" s="211"/>
    </row>
    <row r="630" spans="2:31" ht="13.5" customHeight="1">
      <c r="B630" s="180">
        <v>265</v>
      </c>
      <c r="C630" s="811"/>
      <c r="D630" s="765"/>
      <c r="E630" s="186" t="s">
        <v>10</v>
      </c>
      <c r="F630" s="187" t="str">
        <f t="shared" si="22"/>
        <v>IB31219</v>
      </c>
      <c r="G630" s="243" t="s">
        <v>270</v>
      </c>
      <c r="H630" s="244"/>
      <c r="I630" s="244"/>
      <c r="J630" s="245"/>
      <c r="K630" s="182" t="s">
        <v>1513</v>
      </c>
      <c r="L630" s="235"/>
      <c r="M630" s="186" t="s">
        <v>11</v>
      </c>
      <c r="N630" s="195" t="str">
        <f t="shared" si="21"/>
        <v>OB31219</v>
      </c>
      <c r="O630" s="259"/>
      <c r="P630" s="260"/>
      <c r="Q630" s="260"/>
      <c r="R630" s="261"/>
      <c r="S630" s="190"/>
      <c r="T630" s="191"/>
      <c r="U630" s="909"/>
      <c r="V630" s="909"/>
      <c r="W630" s="187"/>
      <c r="X630" s="182"/>
      <c r="Y630" s="182"/>
      <c r="Z630" s="182"/>
      <c r="AA630" s="182"/>
      <c r="AB630" s="210"/>
      <c r="AC630" s="182"/>
      <c r="AD630" s="182"/>
      <c r="AE630" s="211"/>
    </row>
    <row r="631" spans="2:31" ht="13.5" customHeight="1">
      <c r="B631" s="180">
        <v>266</v>
      </c>
      <c r="C631" s="811"/>
      <c r="D631" s="765"/>
      <c r="E631" s="186" t="s">
        <v>10</v>
      </c>
      <c r="F631" s="187" t="str">
        <f t="shared" si="22"/>
        <v>IB3121A</v>
      </c>
      <c r="G631" s="243"/>
      <c r="H631" s="244"/>
      <c r="I631" s="244"/>
      <c r="J631" s="245"/>
      <c r="K631" s="182"/>
      <c r="L631" s="235"/>
      <c r="M631" s="186" t="s">
        <v>11</v>
      </c>
      <c r="N631" s="195" t="str">
        <f t="shared" si="21"/>
        <v>OB3121A</v>
      </c>
      <c r="O631" s="259"/>
      <c r="P631" s="260"/>
      <c r="Q631" s="260"/>
      <c r="R631" s="261"/>
      <c r="S631" s="190"/>
      <c r="T631" s="191"/>
      <c r="U631" s="909"/>
      <c r="V631" s="909"/>
      <c r="W631" s="187"/>
      <c r="X631" s="182"/>
      <c r="Y631" s="182"/>
      <c r="Z631" s="182"/>
      <c r="AA631" s="182"/>
      <c r="AB631" s="210"/>
      <c r="AC631" s="182"/>
      <c r="AD631" s="182"/>
      <c r="AE631" s="211"/>
    </row>
    <row r="632" spans="2:31" ht="13.5" customHeight="1">
      <c r="B632" s="180">
        <v>267</v>
      </c>
      <c r="C632" s="811"/>
      <c r="D632" s="765"/>
      <c r="E632" s="186" t="s">
        <v>10</v>
      </c>
      <c r="F632" s="187" t="str">
        <f t="shared" si="22"/>
        <v>IB3121B</v>
      </c>
      <c r="G632" s="243"/>
      <c r="H632" s="244"/>
      <c r="I632" s="244"/>
      <c r="J632" s="245"/>
      <c r="K632" s="182"/>
      <c r="L632" s="235"/>
      <c r="M632" s="186" t="s">
        <v>11</v>
      </c>
      <c r="N632" s="195" t="str">
        <f t="shared" si="21"/>
        <v>OB3121B</v>
      </c>
      <c r="O632" s="259"/>
      <c r="P632" s="260"/>
      <c r="Q632" s="260"/>
      <c r="R632" s="261"/>
      <c r="S632" s="190"/>
      <c r="T632" s="191"/>
      <c r="U632" s="909"/>
      <c r="V632" s="909"/>
      <c r="W632" s="187"/>
      <c r="X632" s="182"/>
      <c r="Y632" s="182"/>
      <c r="Z632" s="182"/>
      <c r="AA632" s="182"/>
      <c r="AB632" s="210"/>
      <c r="AC632" s="182"/>
      <c r="AD632" s="182"/>
      <c r="AE632" s="211"/>
    </row>
    <row r="633" spans="2:31" ht="13.5" customHeight="1">
      <c r="B633" s="180">
        <v>268</v>
      </c>
      <c r="C633" s="811"/>
      <c r="D633" s="765"/>
      <c r="E633" s="186" t="s">
        <v>10</v>
      </c>
      <c r="F633" s="187" t="str">
        <f t="shared" si="22"/>
        <v>IB3121C</v>
      </c>
      <c r="G633" s="243"/>
      <c r="H633" s="244"/>
      <c r="I633" s="244"/>
      <c r="J633" s="245"/>
      <c r="K633" s="182"/>
      <c r="L633" s="235"/>
      <c r="M633" s="186" t="s">
        <v>11</v>
      </c>
      <c r="N633" s="195" t="str">
        <f t="shared" si="21"/>
        <v>OB3121C</v>
      </c>
      <c r="O633" s="259"/>
      <c r="P633" s="260"/>
      <c r="Q633" s="260"/>
      <c r="R633" s="261"/>
      <c r="S633" s="190"/>
      <c r="T633" s="191"/>
      <c r="U633" s="909"/>
      <c r="V633" s="909"/>
      <c r="W633" s="187"/>
      <c r="X633" s="182"/>
      <c r="Y633" s="182"/>
      <c r="Z633" s="182"/>
      <c r="AA633" s="182"/>
      <c r="AB633" s="210"/>
      <c r="AC633" s="182"/>
      <c r="AD633" s="182"/>
      <c r="AE633" s="211"/>
    </row>
    <row r="634" spans="2:31" ht="13.5" customHeight="1">
      <c r="B634" s="180">
        <v>269</v>
      </c>
      <c r="C634" s="811"/>
      <c r="D634" s="765"/>
      <c r="E634" s="186" t="s">
        <v>10</v>
      </c>
      <c r="F634" s="187" t="str">
        <f t="shared" si="22"/>
        <v>IB3121D</v>
      </c>
      <c r="G634" s="243"/>
      <c r="H634" s="244"/>
      <c r="I634" s="244"/>
      <c r="J634" s="245"/>
      <c r="K634" s="182"/>
      <c r="L634" s="235"/>
      <c r="M634" s="186" t="s">
        <v>11</v>
      </c>
      <c r="N634" s="195" t="str">
        <f t="shared" si="21"/>
        <v>OB3121D</v>
      </c>
      <c r="O634" s="259"/>
      <c r="P634" s="260"/>
      <c r="Q634" s="260"/>
      <c r="R634" s="261"/>
      <c r="S634" s="190"/>
      <c r="T634" s="191"/>
      <c r="U634" s="909"/>
      <c r="V634" s="909"/>
      <c r="W634" s="187"/>
      <c r="X634" s="182"/>
      <c r="Y634" s="182"/>
      <c r="Z634" s="182"/>
      <c r="AA634" s="182"/>
      <c r="AB634" s="210"/>
      <c r="AC634" s="182"/>
      <c r="AD634" s="182"/>
      <c r="AE634" s="211"/>
    </row>
    <row r="635" spans="2:31" ht="13.5" customHeight="1">
      <c r="B635" s="180">
        <v>270</v>
      </c>
      <c r="C635" s="811"/>
      <c r="D635" s="765"/>
      <c r="E635" s="186" t="s">
        <v>10</v>
      </c>
      <c r="F635" s="187" t="str">
        <f t="shared" si="22"/>
        <v>IB3121E</v>
      </c>
      <c r="G635" s="243"/>
      <c r="H635" s="244"/>
      <c r="I635" s="244"/>
      <c r="J635" s="245"/>
      <c r="K635" s="182"/>
      <c r="L635" s="235"/>
      <c r="M635" s="186" t="s">
        <v>11</v>
      </c>
      <c r="N635" s="195" t="str">
        <f t="shared" si="21"/>
        <v>OB3121E</v>
      </c>
      <c r="O635" s="259"/>
      <c r="P635" s="260"/>
      <c r="Q635" s="260"/>
      <c r="R635" s="261"/>
      <c r="S635" s="190"/>
      <c r="T635" s="191"/>
      <c r="U635" s="909"/>
      <c r="V635" s="909"/>
      <c r="W635" s="187"/>
      <c r="X635" s="182"/>
      <c r="Y635" s="182"/>
      <c r="Z635" s="182"/>
      <c r="AA635" s="182"/>
      <c r="AB635" s="210"/>
      <c r="AC635" s="182"/>
      <c r="AD635" s="182"/>
      <c r="AE635" s="211"/>
    </row>
    <row r="636" spans="2:31" ht="13.5" customHeight="1">
      <c r="B636" s="180">
        <v>271</v>
      </c>
      <c r="C636" s="928"/>
      <c r="D636" s="765"/>
      <c r="E636" s="186" t="s">
        <v>10</v>
      </c>
      <c r="F636" s="187" t="str">
        <f t="shared" si="22"/>
        <v>IB3121F</v>
      </c>
      <c r="G636" s="243"/>
      <c r="H636" s="244"/>
      <c r="I636" s="244"/>
      <c r="J636" s="245"/>
      <c r="K636" s="182"/>
      <c r="L636" s="235"/>
      <c r="M636" s="186" t="s">
        <v>11</v>
      </c>
      <c r="N636" s="195" t="str">
        <f t="shared" si="21"/>
        <v>OB3121F</v>
      </c>
      <c r="O636" s="259"/>
      <c r="P636" s="260"/>
      <c r="Q636" s="260"/>
      <c r="R636" s="261"/>
      <c r="S636" s="190"/>
      <c r="T636" s="191"/>
      <c r="U636" s="909"/>
      <c r="V636" s="909"/>
      <c r="W636" s="187"/>
      <c r="X636" s="182"/>
      <c r="Y636" s="182"/>
      <c r="Z636" s="182"/>
      <c r="AA636" s="182"/>
      <c r="AB636" s="210"/>
      <c r="AC636" s="182"/>
      <c r="AD636" s="182"/>
      <c r="AE636" s="211"/>
    </row>
    <row r="637" spans="2:31" ht="13.5" customHeight="1">
      <c r="B637" s="180">
        <v>288</v>
      </c>
      <c r="C637" s="927" t="s">
        <v>1587</v>
      </c>
      <c r="D637" s="940" t="s">
        <v>271</v>
      </c>
      <c r="E637" s="186" t="s">
        <v>10</v>
      </c>
      <c r="F637" s="187" t="str">
        <f t="shared" si="22"/>
        <v>IB31220</v>
      </c>
      <c r="G637" s="243" t="s">
        <v>1003</v>
      </c>
      <c r="H637" s="244"/>
      <c r="I637" s="244"/>
      <c r="J637" s="245"/>
      <c r="K637" s="182" t="s">
        <v>1513</v>
      </c>
      <c r="L637" s="234"/>
      <c r="M637" s="186" t="s">
        <v>11</v>
      </c>
      <c r="N637" s="195" t="str">
        <f t="shared" si="21"/>
        <v>OB31220</v>
      </c>
      <c r="O637" s="259"/>
      <c r="P637" s="260"/>
      <c r="Q637" s="260"/>
      <c r="R637" s="261"/>
      <c r="S637" s="190"/>
      <c r="T637" s="191"/>
      <c r="U637" s="909"/>
      <c r="V637" s="909"/>
      <c r="W637" s="187"/>
      <c r="X637" s="182"/>
      <c r="Y637" s="182"/>
      <c r="Z637" s="182"/>
      <c r="AA637" s="182"/>
      <c r="AB637" s="210"/>
      <c r="AC637" s="182"/>
      <c r="AD637" s="182"/>
      <c r="AE637" s="211"/>
    </row>
    <row r="638" spans="2:31" ht="13.5" customHeight="1">
      <c r="B638" s="180">
        <v>289</v>
      </c>
      <c r="C638" s="811"/>
      <c r="D638" s="765"/>
      <c r="E638" s="186" t="s">
        <v>10</v>
      </c>
      <c r="F638" s="187" t="str">
        <f t="shared" si="22"/>
        <v>IB31221</v>
      </c>
      <c r="G638" s="243" t="s">
        <v>1004</v>
      </c>
      <c r="H638" s="244"/>
      <c r="I638" s="244"/>
      <c r="J638" s="245"/>
      <c r="K638" s="182" t="s">
        <v>1529</v>
      </c>
      <c r="L638" s="234"/>
      <c r="M638" s="186" t="s">
        <v>11</v>
      </c>
      <c r="N638" s="195" t="str">
        <f t="shared" si="21"/>
        <v>OB31221</v>
      </c>
      <c r="O638" s="259"/>
      <c r="P638" s="260"/>
      <c r="Q638" s="260"/>
      <c r="R638" s="261"/>
      <c r="S638" s="190"/>
      <c r="T638" s="191"/>
      <c r="U638" s="909"/>
      <c r="V638" s="909"/>
      <c r="W638" s="187"/>
      <c r="X638" s="182"/>
      <c r="Y638" s="182"/>
      <c r="Z638" s="182"/>
      <c r="AA638" s="182"/>
      <c r="AB638" s="210"/>
      <c r="AC638" s="182"/>
      <c r="AD638" s="182"/>
      <c r="AE638" s="211"/>
    </row>
    <row r="639" spans="2:31" ht="13.5" customHeight="1">
      <c r="B639" s="180">
        <v>290</v>
      </c>
      <c r="C639" s="811"/>
      <c r="D639" s="765"/>
      <c r="E639" s="186" t="s">
        <v>10</v>
      </c>
      <c r="F639" s="187" t="str">
        <f t="shared" si="22"/>
        <v>IB31222</v>
      </c>
      <c r="G639" s="243" t="s">
        <v>1005</v>
      </c>
      <c r="H639" s="244"/>
      <c r="I639" s="244"/>
      <c r="J639" s="245"/>
      <c r="K639" s="182" t="s">
        <v>1513</v>
      </c>
      <c r="L639" s="234"/>
      <c r="M639" s="186" t="s">
        <v>11</v>
      </c>
      <c r="N639" s="195" t="str">
        <f t="shared" si="21"/>
        <v>OB31222</v>
      </c>
      <c r="O639" s="259"/>
      <c r="P639" s="260"/>
      <c r="Q639" s="260"/>
      <c r="R639" s="261"/>
      <c r="S639" s="190"/>
      <c r="T639" s="191"/>
      <c r="U639" s="909"/>
      <c r="V639" s="909"/>
      <c r="W639" s="187"/>
      <c r="X639" s="182"/>
      <c r="Y639" s="182"/>
      <c r="Z639" s="182"/>
      <c r="AA639" s="182"/>
      <c r="AB639" s="210"/>
      <c r="AC639" s="182"/>
      <c r="AD639" s="182"/>
      <c r="AE639" s="211"/>
    </row>
    <row r="640" spans="2:31" ht="13.5" customHeight="1">
      <c r="B640" s="180">
        <v>291</v>
      </c>
      <c r="C640" s="811"/>
      <c r="D640" s="765"/>
      <c r="E640" s="186" t="s">
        <v>10</v>
      </c>
      <c r="F640" s="187" t="str">
        <f t="shared" si="22"/>
        <v>IB31223</v>
      </c>
      <c r="G640" s="243" t="s">
        <v>1006</v>
      </c>
      <c r="H640" s="244"/>
      <c r="I640" s="244"/>
      <c r="J640" s="245"/>
      <c r="K640" s="182" t="s">
        <v>1513</v>
      </c>
      <c r="L640" s="235" t="s">
        <v>1513</v>
      </c>
      <c r="M640" s="186" t="s">
        <v>11</v>
      </c>
      <c r="N640" s="195" t="str">
        <f t="shared" si="21"/>
        <v>OB31223</v>
      </c>
      <c r="O640" s="259"/>
      <c r="P640" s="260"/>
      <c r="Q640" s="260"/>
      <c r="R640" s="261"/>
      <c r="S640" s="190"/>
      <c r="T640" s="191"/>
      <c r="U640" s="909"/>
      <c r="V640" s="909"/>
      <c r="W640" s="187"/>
      <c r="X640" s="182"/>
      <c r="Y640" s="182"/>
      <c r="Z640" s="182"/>
      <c r="AA640" s="182"/>
      <c r="AB640" s="210"/>
      <c r="AC640" s="182"/>
      <c r="AD640" s="182"/>
      <c r="AE640" s="211"/>
    </row>
    <row r="641" spans="2:31" ht="13.5" customHeight="1">
      <c r="B641" s="180">
        <v>292</v>
      </c>
      <c r="C641" s="811"/>
      <c r="D641" s="765"/>
      <c r="E641" s="186" t="s">
        <v>10</v>
      </c>
      <c r="F641" s="187" t="str">
        <f t="shared" si="22"/>
        <v>IB31224</v>
      </c>
      <c r="G641" s="243" t="s">
        <v>272</v>
      </c>
      <c r="H641" s="244"/>
      <c r="I641" s="244"/>
      <c r="J641" s="245"/>
      <c r="K641" s="182" t="s">
        <v>1513</v>
      </c>
      <c r="L641" s="235"/>
      <c r="M641" s="186" t="s">
        <v>11</v>
      </c>
      <c r="N641" s="195" t="str">
        <f t="shared" si="21"/>
        <v>OB31224</v>
      </c>
      <c r="O641" s="259"/>
      <c r="P641" s="260"/>
      <c r="Q641" s="260"/>
      <c r="R641" s="261"/>
      <c r="S641" s="190"/>
      <c r="T641" s="191"/>
      <c r="U641" s="909"/>
      <c r="V641" s="909"/>
      <c r="W641" s="187"/>
      <c r="X641" s="182"/>
      <c r="Y641" s="182"/>
      <c r="Z641" s="182"/>
      <c r="AA641" s="182"/>
      <c r="AB641" s="210"/>
      <c r="AC641" s="182"/>
      <c r="AD641" s="182"/>
      <c r="AE641" s="211"/>
    </row>
    <row r="642" spans="2:31" ht="13.5" customHeight="1">
      <c r="B642" s="180">
        <v>293</v>
      </c>
      <c r="C642" s="811"/>
      <c r="D642" s="765"/>
      <c r="E642" s="186" t="s">
        <v>10</v>
      </c>
      <c r="F642" s="187" t="str">
        <f t="shared" si="22"/>
        <v>IB31225</v>
      </c>
      <c r="G642" s="243" t="s">
        <v>273</v>
      </c>
      <c r="H642" s="244"/>
      <c r="I642" s="244"/>
      <c r="J642" s="245"/>
      <c r="K642" s="182" t="s">
        <v>1513</v>
      </c>
      <c r="L642" s="235"/>
      <c r="M642" s="186" t="s">
        <v>11</v>
      </c>
      <c r="N642" s="195" t="str">
        <f t="shared" si="21"/>
        <v>OB31225</v>
      </c>
      <c r="O642" s="259"/>
      <c r="P642" s="260"/>
      <c r="Q642" s="260"/>
      <c r="R642" s="261"/>
      <c r="S642" s="190"/>
      <c r="T642" s="191"/>
      <c r="U642" s="909"/>
      <c r="V642" s="909"/>
      <c r="W642" s="187"/>
      <c r="X642" s="182"/>
      <c r="Y642" s="182"/>
      <c r="Z642" s="182"/>
      <c r="AA642" s="182"/>
      <c r="AB642" s="210"/>
      <c r="AC642" s="182"/>
      <c r="AD642" s="182"/>
      <c r="AE642" s="211"/>
    </row>
    <row r="643" spans="2:31" ht="13.5" customHeight="1">
      <c r="B643" s="180">
        <v>294</v>
      </c>
      <c r="C643" s="811"/>
      <c r="D643" s="765"/>
      <c r="E643" s="186" t="s">
        <v>10</v>
      </c>
      <c r="F643" s="187" t="str">
        <f t="shared" si="22"/>
        <v>IB31226</v>
      </c>
      <c r="G643" s="243" t="s">
        <v>274</v>
      </c>
      <c r="H643" s="244"/>
      <c r="I643" s="244"/>
      <c r="J643" s="245"/>
      <c r="K643" s="182" t="s">
        <v>1513</v>
      </c>
      <c r="L643" s="235"/>
      <c r="M643" s="186" t="s">
        <v>11</v>
      </c>
      <c r="N643" s="195" t="str">
        <f t="shared" si="21"/>
        <v>OB31226</v>
      </c>
      <c r="O643" s="259"/>
      <c r="P643" s="260"/>
      <c r="Q643" s="260"/>
      <c r="R643" s="261"/>
      <c r="S643" s="190"/>
      <c r="T643" s="191"/>
      <c r="U643" s="909"/>
      <c r="V643" s="909"/>
      <c r="W643" s="187"/>
      <c r="X643" s="182"/>
      <c r="Y643" s="182"/>
      <c r="Z643" s="182"/>
      <c r="AA643" s="182"/>
      <c r="AB643" s="210"/>
      <c r="AC643" s="182"/>
      <c r="AD643" s="182"/>
      <c r="AE643" s="211"/>
    </row>
    <row r="644" spans="2:31" ht="13.5" customHeight="1">
      <c r="B644" s="180">
        <v>295</v>
      </c>
      <c r="C644" s="811"/>
      <c r="D644" s="765"/>
      <c r="E644" s="186" t="s">
        <v>10</v>
      </c>
      <c r="F644" s="187" t="str">
        <f t="shared" si="22"/>
        <v>IB31227</v>
      </c>
      <c r="G644" s="243" t="s">
        <v>275</v>
      </c>
      <c r="H644" s="244"/>
      <c r="I644" s="244"/>
      <c r="J644" s="245"/>
      <c r="K644" s="182" t="s">
        <v>1513</v>
      </c>
      <c r="L644" s="235"/>
      <c r="M644" s="186" t="s">
        <v>11</v>
      </c>
      <c r="N644" s="195" t="str">
        <f t="shared" si="21"/>
        <v>OB31227</v>
      </c>
      <c r="O644" s="259"/>
      <c r="P644" s="260"/>
      <c r="Q644" s="260"/>
      <c r="R644" s="261"/>
      <c r="S644" s="190"/>
      <c r="T644" s="191"/>
      <c r="U644" s="909"/>
      <c r="V644" s="909"/>
      <c r="W644" s="187"/>
      <c r="X644" s="182"/>
      <c r="Y644" s="182"/>
      <c r="Z644" s="182"/>
      <c r="AA644" s="182"/>
      <c r="AB644" s="210"/>
      <c r="AC644" s="182"/>
      <c r="AD644" s="182"/>
      <c r="AE644" s="211"/>
    </row>
    <row r="645" spans="2:31" ht="13.5" customHeight="1">
      <c r="B645" s="180">
        <v>296</v>
      </c>
      <c r="C645" s="811"/>
      <c r="D645" s="765"/>
      <c r="E645" s="186" t="s">
        <v>10</v>
      </c>
      <c r="F645" s="187" t="str">
        <f t="shared" si="22"/>
        <v>IB31228</v>
      </c>
      <c r="G645" s="243" t="s">
        <v>276</v>
      </c>
      <c r="H645" s="244"/>
      <c r="I645" s="244"/>
      <c r="J645" s="245"/>
      <c r="K645" s="182" t="s">
        <v>1513</v>
      </c>
      <c r="L645" s="235"/>
      <c r="M645" s="186" t="s">
        <v>11</v>
      </c>
      <c r="N645" s="195" t="str">
        <f t="shared" si="21"/>
        <v>OB31228</v>
      </c>
      <c r="O645" s="259"/>
      <c r="P645" s="260"/>
      <c r="Q645" s="260"/>
      <c r="R645" s="261"/>
      <c r="S645" s="190"/>
      <c r="T645" s="191"/>
      <c r="U645" s="909"/>
      <c r="V645" s="909"/>
      <c r="W645" s="187"/>
      <c r="X645" s="182"/>
      <c r="Y645" s="182"/>
      <c r="Z645" s="182"/>
      <c r="AA645" s="182"/>
      <c r="AB645" s="210"/>
      <c r="AC645" s="182"/>
      <c r="AD645" s="182"/>
      <c r="AE645" s="211"/>
    </row>
    <row r="646" spans="2:31" ht="13.5" customHeight="1">
      <c r="B646" s="180">
        <v>297</v>
      </c>
      <c r="C646" s="811"/>
      <c r="D646" s="765"/>
      <c r="E646" s="186" t="s">
        <v>10</v>
      </c>
      <c r="F646" s="187" t="str">
        <f t="shared" si="22"/>
        <v>IB31229</v>
      </c>
      <c r="G646" s="243" t="s">
        <v>277</v>
      </c>
      <c r="H646" s="244"/>
      <c r="I646" s="244"/>
      <c r="J646" s="245"/>
      <c r="K646" s="182" t="s">
        <v>1513</v>
      </c>
      <c r="L646" s="235"/>
      <c r="M646" s="186" t="s">
        <v>11</v>
      </c>
      <c r="N646" s="195" t="str">
        <f t="shared" si="21"/>
        <v>OB31229</v>
      </c>
      <c r="O646" s="259"/>
      <c r="P646" s="260"/>
      <c r="Q646" s="260"/>
      <c r="R646" s="261"/>
      <c r="S646" s="190"/>
      <c r="T646" s="191"/>
      <c r="U646" s="909"/>
      <c r="V646" s="909"/>
      <c r="W646" s="187"/>
      <c r="X646" s="182"/>
      <c r="Y646" s="182"/>
      <c r="Z646" s="182"/>
      <c r="AA646" s="182"/>
      <c r="AB646" s="210"/>
      <c r="AC646" s="182"/>
      <c r="AD646" s="182"/>
      <c r="AE646" s="211"/>
    </row>
    <row r="647" spans="2:31" ht="13.5" customHeight="1">
      <c r="B647" s="180">
        <v>298</v>
      </c>
      <c r="C647" s="811"/>
      <c r="D647" s="765"/>
      <c r="E647" s="186" t="s">
        <v>10</v>
      </c>
      <c r="F647" s="187" t="str">
        <f t="shared" si="22"/>
        <v>IB3122A</v>
      </c>
      <c r="G647" s="243"/>
      <c r="H647" s="244"/>
      <c r="I647" s="244"/>
      <c r="J647" s="245"/>
      <c r="K647" s="182"/>
      <c r="L647" s="235"/>
      <c r="M647" s="186" t="s">
        <v>11</v>
      </c>
      <c r="N647" s="195" t="str">
        <f t="shared" si="21"/>
        <v>OB3122A</v>
      </c>
      <c r="O647" s="259"/>
      <c r="P647" s="260"/>
      <c r="Q647" s="260"/>
      <c r="R647" s="261"/>
      <c r="S647" s="190"/>
      <c r="T647" s="191"/>
      <c r="U647" s="909"/>
      <c r="V647" s="909"/>
      <c r="W647" s="187"/>
      <c r="X647" s="182"/>
      <c r="Y647" s="182"/>
      <c r="Z647" s="182"/>
      <c r="AA647" s="182"/>
      <c r="AB647" s="210"/>
      <c r="AC647" s="182"/>
      <c r="AD647" s="182"/>
      <c r="AE647" s="211"/>
    </row>
    <row r="648" spans="2:31" ht="13.5" customHeight="1">
      <c r="B648" s="180">
        <v>299</v>
      </c>
      <c r="C648" s="811"/>
      <c r="D648" s="765"/>
      <c r="E648" s="186" t="s">
        <v>10</v>
      </c>
      <c r="F648" s="187" t="str">
        <f t="shared" si="22"/>
        <v>IB3122B</v>
      </c>
      <c r="G648" s="243"/>
      <c r="H648" s="244"/>
      <c r="I648" s="244"/>
      <c r="J648" s="245"/>
      <c r="K648" s="182"/>
      <c r="L648" s="235"/>
      <c r="M648" s="186" t="s">
        <v>11</v>
      </c>
      <c r="N648" s="195" t="str">
        <f t="shared" si="21"/>
        <v>OB3122B</v>
      </c>
      <c r="O648" s="259"/>
      <c r="P648" s="260"/>
      <c r="Q648" s="260"/>
      <c r="R648" s="261"/>
      <c r="S648" s="190"/>
      <c r="T648" s="191"/>
      <c r="U648" s="909"/>
      <c r="V648" s="909"/>
      <c r="W648" s="187"/>
      <c r="X648" s="182"/>
      <c r="Y648" s="182"/>
      <c r="Z648" s="182"/>
      <c r="AA648" s="182"/>
      <c r="AB648" s="210"/>
      <c r="AC648" s="182"/>
      <c r="AD648" s="182"/>
      <c r="AE648" s="211"/>
    </row>
    <row r="649" spans="2:31" ht="13.5" customHeight="1">
      <c r="B649" s="180">
        <v>300</v>
      </c>
      <c r="C649" s="811"/>
      <c r="D649" s="765"/>
      <c r="E649" s="186" t="s">
        <v>10</v>
      </c>
      <c r="F649" s="187" t="str">
        <f t="shared" si="22"/>
        <v>IB3122C</v>
      </c>
      <c r="G649" s="243"/>
      <c r="H649" s="244"/>
      <c r="I649" s="244"/>
      <c r="J649" s="245"/>
      <c r="K649" s="182"/>
      <c r="L649" s="235"/>
      <c r="M649" s="186" t="s">
        <v>11</v>
      </c>
      <c r="N649" s="195" t="str">
        <f t="shared" si="21"/>
        <v>OB3122C</v>
      </c>
      <c r="O649" s="259"/>
      <c r="P649" s="260"/>
      <c r="Q649" s="260"/>
      <c r="R649" s="261"/>
      <c r="S649" s="190"/>
      <c r="T649" s="191"/>
      <c r="U649" s="909"/>
      <c r="V649" s="909"/>
      <c r="W649" s="187"/>
      <c r="X649" s="182"/>
      <c r="Y649" s="182"/>
      <c r="Z649" s="182"/>
      <c r="AA649" s="182"/>
      <c r="AB649" s="210"/>
      <c r="AC649" s="182"/>
      <c r="AD649" s="182"/>
      <c r="AE649" s="211"/>
    </row>
    <row r="650" spans="2:31" ht="13.5" customHeight="1">
      <c r="B650" s="180">
        <v>301</v>
      </c>
      <c r="C650" s="811"/>
      <c r="D650" s="765"/>
      <c r="E650" s="186" t="s">
        <v>10</v>
      </c>
      <c r="F650" s="187" t="str">
        <f t="shared" si="22"/>
        <v>IB3122D</v>
      </c>
      <c r="G650" s="243"/>
      <c r="H650" s="244"/>
      <c r="I650" s="244"/>
      <c r="J650" s="245"/>
      <c r="K650" s="182"/>
      <c r="L650" s="235"/>
      <c r="M650" s="186" t="s">
        <v>11</v>
      </c>
      <c r="N650" s="195" t="str">
        <f t="shared" si="21"/>
        <v>OB3122D</v>
      </c>
      <c r="O650" s="259"/>
      <c r="P650" s="260"/>
      <c r="Q650" s="260"/>
      <c r="R650" s="261"/>
      <c r="S650" s="190"/>
      <c r="T650" s="191"/>
      <c r="U650" s="909"/>
      <c r="V650" s="909"/>
      <c r="W650" s="187"/>
      <c r="X650" s="182"/>
      <c r="Y650" s="182"/>
      <c r="Z650" s="182"/>
      <c r="AA650" s="182"/>
      <c r="AB650" s="210"/>
      <c r="AC650" s="182"/>
      <c r="AD650" s="182"/>
      <c r="AE650" s="211"/>
    </row>
    <row r="651" spans="2:31" ht="13.5" customHeight="1">
      <c r="B651" s="180">
        <v>302</v>
      </c>
      <c r="C651" s="811"/>
      <c r="D651" s="765"/>
      <c r="E651" s="186" t="s">
        <v>10</v>
      </c>
      <c r="F651" s="187" t="str">
        <f t="shared" si="22"/>
        <v>IB3122E</v>
      </c>
      <c r="G651" s="243"/>
      <c r="H651" s="244"/>
      <c r="I651" s="244"/>
      <c r="J651" s="245"/>
      <c r="K651" s="182"/>
      <c r="L651" s="235"/>
      <c r="M651" s="186" t="s">
        <v>11</v>
      </c>
      <c r="N651" s="195" t="str">
        <f t="shared" si="21"/>
        <v>OB3122E</v>
      </c>
      <c r="O651" s="259"/>
      <c r="P651" s="260"/>
      <c r="Q651" s="260"/>
      <c r="R651" s="261"/>
      <c r="S651" s="190"/>
      <c r="T651" s="191"/>
      <c r="U651" s="909"/>
      <c r="V651" s="909"/>
      <c r="W651" s="187"/>
      <c r="X651" s="182"/>
      <c r="Y651" s="182"/>
      <c r="Z651" s="182"/>
      <c r="AA651" s="182"/>
      <c r="AB651" s="210"/>
      <c r="AC651" s="182"/>
      <c r="AD651" s="182"/>
      <c r="AE651" s="211"/>
    </row>
    <row r="652" spans="2:31" ht="13.5" customHeight="1">
      <c r="B652" s="180">
        <v>303</v>
      </c>
      <c r="C652" s="928"/>
      <c r="D652" s="765"/>
      <c r="E652" s="186" t="s">
        <v>10</v>
      </c>
      <c r="F652" s="187" t="str">
        <f t="shared" si="22"/>
        <v>IB3122F</v>
      </c>
      <c r="G652" s="243"/>
      <c r="H652" s="244"/>
      <c r="I652" s="244"/>
      <c r="J652" s="245"/>
      <c r="K652" s="182"/>
      <c r="L652" s="235"/>
      <c r="M652" s="186" t="s">
        <v>11</v>
      </c>
      <c r="N652" s="195" t="str">
        <f t="shared" si="21"/>
        <v>OB3122F</v>
      </c>
      <c r="O652" s="259"/>
      <c r="P652" s="260"/>
      <c r="Q652" s="260"/>
      <c r="R652" s="261"/>
      <c r="S652" s="190"/>
      <c r="T652" s="191"/>
      <c r="U652" s="909"/>
      <c r="V652" s="909"/>
      <c r="W652" s="187"/>
      <c r="X652" s="182"/>
      <c r="Y652" s="182"/>
      <c r="Z652" s="182"/>
      <c r="AA652" s="182"/>
      <c r="AB652" s="210"/>
      <c r="AC652" s="182"/>
      <c r="AD652" s="182"/>
      <c r="AE652" s="211"/>
    </row>
    <row r="653" spans="2:31" ht="13.5" customHeight="1">
      <c r="B653" s="180">
        <v>304</v>
      </c>
      <c r="C653" s="925" t="s">
        <v>1588</v>
      </c>
      <c r="D653" s="940" t="s">
        <v>271</v>
      </c>
      <c r="E653" s="186" t="s">
        <v>10</v>
      </c>
      <c r="F653" s="187" t="str">
        <f t="shared" si="22"/>
        <v>IB31230</v>
      </c>
      <c r="G653" s="259"/>
      <c r="H653" s="260"/>
      <c r="I653" s="260"/>
      <c r="J653" s="261"/>
      <c r="K653" s="190"/>
      <c r="L653" s="209"/>
      <c r="M653" s="186" t="s">
        <v>11</v>
      </c>
      <c r="N653" s="195" t="str">
        <f t="shared" ref="N653:N716" si="23">LEFT(N652,1)&amp;DEC2HEX(HEX2DEC(MID(N652,2,LENB(N652)-1))+1,LENB(N652)-1)</f>
        <v>OB31230</v>
      </c>
      <c r="O653" s="243"/>
      <c r="P653" s="244"/>
      <c r="Q653" s="244"/>
      <c r="R653" s="245"/>
      <c r="S653" s="190"/>
      <c r="T653" s="191"/>
      <c r="U653" s="909"/>
      <c r="V653" s="909"/>
      <c r="W653" s="187"/>
      <c r="X653" s="182"/>
      <c r="Y653" s="182"/>
      <c r="Z653" s="182"/>
      <c r="AA653" s="182"/>
      <c r="AB653" s="210"/>
      <c r="AC653" s="182"/>
      <c r="AD653" s="182"/>
      <c r="AE653" s="211"/>
    </row>
    <row r="654" spans="2:31" ht="13.5" customHeight="1">
      <c r="B654" s="180">
        <v>305</v>
      </c>
      <c r="C654" s="816"/>
      <c r="D654" s="765"/>
      <c r="E654" s="186" t="s">
        <v>10</v>
      </c>
      <c r="F654" s="187" t="str">
        <f t="shared" si="22"/>
        <v>IB31231</v>
      </c>
      <c r="G654" s="259"/>
      <c r="H654" s="260"/>
      <c r="I654" s="260"/>
      <c r="J654" s="261"/>
      <c r="K654" s="190"/>
      <c r="L654" s="209"/>
      <c r="M654" s="186" t="s">
        <v>11</v>
      </c>
      <c r="N654" s="195" t="str">
        <f t="shared" si="23"/>
        <v>OB31231</v>
      </c>
      <c r="O654" s="243" t="s">
        <v>163</v>
      </c>
      <c r="P654" s="244"/>
      <c r="Q654" s="244"/>
      <c r="R654" s="245"/>
      <c r="S654" s="190" t="s">
        <v>1513</v>
      </c>
      <c r="T654" s="191"/>
      <c r="U654" s="909"/>
      <c r="V654" s="909"/>
      <c r="W654" s="187"/>
      <c r="X654" s="182"/>
      <c r="Y654" s="182"/>
      <c r="Z654" s="182"/>
      <c r="AA654" s="182"/>
      <c r="AB654" s="210"/>
      <c r="AC654" s="182"/>
      <c r="AD654" s="182"/>
      <c r="AE654" s="211"/>
    </row>
    <row r="655" spans="2:31" ht="13.5" customHeight="1">
      <c r="B655" s="180">
        <v>306</v>
      </c>
      <c r="C655" s="816"/>
      <c r="D655" s="765"/>
      <c r="E655" s="186" t="s">
        <v>10</v>
      </c>
      <c r="F655" s="187" t="str">
        <f t="shared" si="22"/>
        <v>IB31232</v>
      </c>
      <c r="G655" s="259"/>
      <c r="H655" s="260"/>
      <c r="I655" s="260"/>
      <c r="J655" s="261"/>
      <c r="K655" s="190"/>
      <c r="L655" s="209"/>
      <c r="M655" s="186" t="s">
        <v>11</v>
      </c>
      <c r="N655" s="195" t="str">
        <f t="shared" si="23"/>
        <v>OB31232</v>
      </c>
      <c r="O655" s="243" t="s">
        <v>165</v>
      </c>
      <c r="P655" s="244"/>
      <c r="Q655" s="244"/>
      <c r="R655" s="245"/>
      <c r="S655" s="190" t="s">
        <v>1513</v>
      </c>
      <c r="T655" s="191"/>
      <c r="U655" s="909"/>
      <c r="V655" s="909"/>
      <c r="W655" s="187"/>
      <c r="X655" s="182"/>
      <c r="Y655" s="182"/>
      <c r="Z655" s="182"/>
      <c r="AA655" s="182"/>
      <c r="AB655" s="210"/>
      <c r="AC655" s="182"/>
      <c r="AD655" s="182"/>
      <c r="AE655" s="211"/>
    </row>
    <row r="656" spans="2:31" ht="13.5" customHeight="1">
      <c r="B656" s="180">
        <v>307</v>
      </c>
      <c r="C656" s="816"/>
      <c r="D656" s="765"/>
      <c r="E656" s="186" t="s">
        <v>10</v>
      </c>
      <c r="F656" s="187" t="str">
        <f t="shared" si="22"/>
        <v>IB31233</v>
      </c>
      <c r="G656" s="259"/>
      <c r="H656" s="260"/>
      <c r="I656" s="260"/>
      <c r="J656" s="261"/>
      <c r="K656" s="190"/>
      <c r="L656" s="209"/>
      <c r="M656" s="186" t="s">
        <v>11</v>
      </c>
      <c r="N656" s="195" t="str">
        <f t="shared" si="23"/>
        <v>OB31233</v>
      </c>
      <c r="O656" s="243" t="s">
        <v>167</v>
      </c>
      <c r="P656" s="244"/>
      <c r="Q656" s="244"/>
      <c r="R656" s="245"/>
      <c r="S656" s="190" t="s">
        <v>1513</v>
      </c>
      <c r="T656" s="191"/>
      <c r="U656" s="909"/>
      <c r="V656" s="909"/>
      <c r="W656" s="187"/>
      <c r="X656" s="182"/>
      <c r="Y656" s="182"/>
      <c r="Z656" s="182"/>
      <c r="AA656" s="182"/>
      <c r="AB656" s="210"/>
      <c r="AC656" s="182"/>
      <c r="AD656" s="182"/>
      <c r="AE656" s="211"/>
    </row>
    <row r="657" spans="2:31" ht="13.5" customHeight="1">
      <c r="B657" s="180">
        <v>308</v>
      </c>
      <c r="C657" s="816"/>
      <c r="D657" s="765"/>
      <c r="E657" s="186" t="s">
        <v>10</v>
      </c>
      <c r="F657" s="187" t="str">
        <f t="shared" si="22"/>
        <v>IB31234</v>
      </c>
      <c r="G657" s="259"/>
      <c r="H657" s="260"/>
      <c r="I657" s="260"/>
      <c r="J657" s="261"/>
      <c r="K657" s="190"/>
      <c r="L657" s="209"/>
      <c r="M657" s="186" t="s">
        <v>11</v>
      </c>
      <c r="N657" s="195" t="str">
        <f t="shared" si="23"/>
        <v>OB31234</v>
      </c>
      <c r="O657" s="659" t="s">
        <v>1511</v>
      </c>
      <c r="P657" s="660"/>
      <c r="Q657" s="244"/>
      <c r="R657" s="245"/>
      <c r="S657" s="190" t="s">
        <v>1513</v>
      </c>
      <c r="T657" s="191"/>
      <c r="U657" s="957" t="s">
        <v>1575</v>
      </c>
      <c r="V657" s="957"/>
      <c r="W657" s="187"/>
      <c r="X657" s="182"/>
      <c r="Y657" s="182"/>
      <c r="Z657" s="182"/>
      <c r="AA657" s="182"/>
      <c r="AB657" s="210"/>
      <c r="AC657" s="182"/>
      <c r="AD657" s="182"/>
      <c r="AE657" s="211"/>
    </row>
    <row r="658" spans="2:31" ht="13.5" customHeight="1">
      <c r="B658" s="180">
        <v>309</v>
      </c>
      <c r="C658" s="816"/>
      <c r="D658" s="765"/>
      <c r="E658" s="186" t="s">
        <v>10</v>
      </c>
      <c r="F658" s="187" t="str">
        <f t="shared" si="22"/>
        <v>IB31235</v>
      </c>
      <c r="G658" s="259"/>
      <c r="H658" s="260"/>
      <c r="I658" s="260"/>
      <c r="J658" s="261"/>
      <c r="K658" s="190"/>
      <c r="L658" s="209"/>
      <c r="M658" s="186" t="s">
        <v>11</v>
      </c>
      <c r="N658" s="195" t="str">
        <f t="shared" si="23"/>
        <v>OB31235</v>
      </c>
      <c r="O658" s="243"/>
      <c r="P658" s="244"/>
      <c r="Q658" s="244"/>
      <c r="R658" s="245"/>
      <c r="S658" s="190"/>
      <c r="T658" s="191"/>
      <c r="U658" s="909"/>
      <c r="V658" s="909"/>
      <c r="W658" s="187"/>
      <c r="X658" s="182"/>
      <c r="Y658" s="182"/>
      <c r="Z658" s="182"/>
      <c r="AA658" s="182"/>
      <c r="AB658" s="210"/>
      <c r="AC658" s="182"/>
      <c r="AD658" s="182"/>
      <c r="AE658" s="211"/>
    </row>
    <row r="659" spans="2:31" ht="13.5" customHeight="1">
      <c r="B659" s="180">
        <v>310</v>
      </c>
      <c r="C659" s="816"/>
      <c r="D659" s="765"/>
      <c r="E659" s="186" t="s">
        <v>10</v>
      </c>
      <c r="F659" s="187" t="str">
        <f t="shared" si="22"/>
        <v>IB31236</v>
      </c>
      <c r="G659" s="259"/>
      <c r="H659" s="260"/>
      <c r="I659" s="260"/>
      <c r="J659" s="261"/>
      <c r="K659" s="190"/>
      <c r="L659" s="209"/>
      <c r="M659" s="186" t="s">
        <v>11</v>
      </c>
      <c r="N659" s="195" t="str">
        <f t="shared" si="23"/>
        <v>OB31236</v>
      </c>
      <c r="O659" s="243"/>
      <c r="P659" s="244"/>
      <c r="Q659" s="244"/>
      <c r="R659" s="245"/>
      <c r="S659" s="190"/>
      <c r="T659" s="191"/>
      <c r="U659" s="909"/>
      <c r="V659" s="909"/>
      <c r="W659" s="187"/>
      <c r="X659" s="182"/>
      <c r="Y659" s="182"/>
      <c r="Z659" s="182"/>
      <c r="AA659" s="182"/>
      <c r="AB659" s="210"/>
      <c r="AC659" s="182"/>
      <c r="AD659" s="182"/>
      <c r="AE659" s="211"/>
    </row>
    <row r="660" spans="2:31" ht="13.5" customHeight="1">
      <c r="B660" s="180">
        <v>311</v>
      </c>
      <c r="C660" s="816"/>
      <c r="D660" s="765"/>
      <c r="E660" s="186" t="s">
        <v>10</v>
      </c>
      <c r="F660" s="187" t="str">
        <f t="shared" si="22"/>
        <v>IB31237</v>
      </c>
      <c r="G660" s="259"/>
      <c r="H660" s="260"/>
      <c r="I660" s="260"/>
      <c r="J660" s="261"/>
      <c r="K660" s="190"/>
      <c r="L660" s="209"/>
      <c r="M660" s="186" t="s">
        <v>11</v>
      </c>
      <c r="N660" s="195" t="str">
        <f t="shared" si="23"/>
        <v>OB31237</v>
      </c>
      <c r="O660" s="243"/>
      <c r="P660" s="244"/>
      <c r="Q660" s="244"/>
      <c r="R660" s="245"/>
      <c r="S660" s="190"/>
      <c r="T660" s="191"/>
      <c r="U660" s="909"/>
      <c r="V660" s="909"/>
      <c r="W660" s="187"/>
      <c r="X660" s="182"/>
      <c r="Y660" s="182"/>
      <c r="Z660" s="182"/>
      <c r="AA660" s="182"/>
      <c r="AB660" s="210"/>
      <c r="AC660" s="182"/>
      <c r="AD660" s="182"/>
      <c r="AE660" s="211"/>
    </row>
    <row r="661" spans="2:31" ht="13.5" customHeight="1">
      <c r="B661" s="180">
        <v>312</v>
      </c>
      <c r="C661" s="816"/>
      <c r="D661" s="765"/>
      <c r="E661" s="186" t="s">
        <v>10</v>
      </c>
      <c r="F661" s="187" t="str">
        <f t="shared" si="22"/>
        <v>IB31238</v>
      </c>
      <c r="G661" s="259"/>
      <c r="H661" s="260"/>
      <c r="I661" s="260"/>
      <c r="J661" s="261"/>
      <c r="K661" s="190"/>
      <c r="L661" s="209"/>
      <c r="M661" s="186" t="s">
        <v>11</v>
      </c>
      <c r="N661" s="195" t="str">
        <f t="shared" si="23"/>
        <v>OB31238</v>
      </c>
      <c r="O661" s="243" t="s">
        <v>195</v>
      </c>
      <c r="P661" s="244"/>
      <c r="Q661" s="244"/>
      <c r="R661" s="245"/>
      <c r="S661" s="190" t="s">
        <v>1513</v>
      </c>
      <c r="T661" s="191"/>
      <c r="U661" s="909"/>
      <c r="V661" s="909"/>
      <c r="W661" s="187"/>
      <c r="X661" s="182"/>
      <c r="Y661" s="182"/>
      <c r="Z661" s="182"/>
      <c r="AA661" s="182"/>
      <c r="AB661" s="210"/>
      <c r="AC661" s="182"/>
      <c r="AD661" s="182"/>
      <c r="AE661" s="211"/>
    </row>
    <row r="662" spans="2:31" ht="13.5" customHeight="1">
      <c r="B662" s="180">
        <v>313</v>
      </c>
      <c r="C662" s="816"/>
      <c r="D662" s="765"/>
      <c r="E662" s="186" t="s">
        <v>10</v>
      </c>
      <c r="F662" s="187" t="str">
        <f t="shared" si="22"/>
        <v>IB31239</v>
      </c>
      <c r="G662" s="259"/>
      <c r="H662" s="260"/>
      <c r="I662" s="260"/>
      <c r="J662" s="261"/>
      <c r="K662" s="190"/>
      <c r="L662" s="209"/>
      <c r="M662" s="186" t="s">
        <v>11</v>
      </c>
      <c r="N662" s="195" t="str">
        <f t="shared" si="23"/>
        <v>OB31239</v>
      </c>
      <c r="O662" s="243" t="s">
        <v>196</v>
      </c>
      <c r="P662" s="244"/>
      <c r="Q662" s="244"/>
      <c r="R662" s="245"/>
      <c r="S662" s="190" t="s">
        <v>1513</v>
      </c>
      <c r="T662" s="191"/>
      <c r="U662" s="761"/>
      <c r="V662" s="762"/>
      <c r="W662" s="187"/>
      <c r="X662" s="182"/>
      <c r="Y662" s="182"/>
      <c r="Z662" s="182"/>
      <c r="AA662" s="182"/>
      <c r="AB662" s="210"/>
      <c r="AC662" s="182"/>
      <c r="AD662" s="182"/>
      <c r="AE662" s="211"/>
    </row>
    <row r="663" spans="2:31" ht="13.5" customHeight="1">
      <c r="B663" s="180">
        <v>314</v>
      </c>
      <c r="C663" s="816"/>
      <c r="D663" s="765"/>
      <c r="E663" s="186" t="s">
        <v>10</v>
      </c>
      <c r="F663" s="187" t="str">
        <f t="shared" si="22"/>
        <v>IB3123A</v>
      </c>
      <c r="G663" s="259"/>
      <c r="H663" s="260"/>
      <c r="I663" s="260"/>
      <c r="J663" s="261"/>
      <c r="K663" s="190"/>
      <c r="L663" s="209"/>
      <c r="M663" s="186" t="s">
        <v>11</v>
      </c>
      <c r="N663" s="195" t="str">
        <f t="shared" si="23"/>
        <v>OB3123A</v>
      </c>
      <c r="O663" s="243" t="s">
        <v>197</v>
      </c>
      <c r="P663" s="244"/>
      <c r="Q663" s="244"/>
      <c r="R663" s="245"/>
      <c r="S663" s="190" t="s">
        <v>1513</v>
      </c>
      <c r="T663" s="191"/>
      <c r="U663" s="761"/>
      <c r="V663" s="762"/>
      <c r="W663" s="187"/>
      <c r="X663" s="182"/>
      <c r="Y663" s="182"/>
      <c r="Z663" s="182"/>
      <c r="AA663" s="182"/>
      <c r="AB663" s="210"/>
      <c r="AC663" s="182"/>
      <c r="AD663" s="182"/>
      <c r="AE663" s="211"/>
    </row>
    <row r="664" spans="2:31" ht="13.5" customHeight="1">
      <c r="B664" s="180">
        <v>315</v>
      </c>
      <c r="C664" s="816"/>
      <c r="D664" s="765"/>
      <c r="E664" s="186" t="s">
        <v>10</v>
      </c>
      <c r="F664" s="187" t="str">
        <f t="shared" si="22"/>
        <v>IB3123B</v>
      </c>
      <c r="G664" s="259"/>
      <c r="H664" s="260"/>
      <c r="I664" s="260"/>
      <c r="J664" s="261"/>
      <c r="K664" s="190"/>
      <c r="L664" s="209"/>
      <c r="M664" s="186" t="s">
        <v>11</v>
      </c>
      <c r="N664" s="195" t="str">
        <f t="shared" si="23"/>
        <v>OB3123B</v>
      </c>
      <c r="O664" s="243" t="s">
        <v>198</v>
      </c>
      <c r="P664" s="244"/>
      <c r="Q664" s="244"/>
      <c r="R664" s="245"/>
      <c r="S664" s="190" t="s">
        <v>1513</v>
      </c>
      <c r="T664" s="191"/>
      <c r="U664" s="761"/>
      <c r="V664" s="762"/>
      <c r="W664" s="187"/>
      <c r="X664" s="182"/>
      <c r="Y664" s="182"/>
      <c r="Z664" s="182"/>
      <c r="AA664" s="182"/>
      <c r="AB664" s="210"/>
      <c r="AC664" s="182"/>
      <c r="AD664" s="182"/>
      <c r="AE664" s="211"/>
    </row>
    <row r="665" spans="2:31" ht="13.5" customHeight="1">
      <c r="B665" s="180">
        <v>316</v>
      </c>
      <c r="C665" s="816"/>
      <c r="D665" s="765"/>
      <c r="E665" s="186" t="s">
        <v>10</v>
      </c>
      <c r="F665" s="187" t="str">
        <f t="shared" si="22"/>
        <v>IB3123C</v>
      </c>
      <c r="G665" s="259"/>
      <c r="H665" s="260"/>
      <c r="I665" s="260"/>
      <c r="J665" s="261"/>
      <c r="K665" s="190"/>
      <c r="L665" s="209"/>
      <c r="M665" s="186" t="s">
        <v>11</v>
      </c>
      <c r="N665" s="195" t="str">
        <f t="shared" si="23"/>
        <v>OB3123C</v>
      </c>
      <c r="O665" s="243" t="s">
        <v>199</v>
      </c>
      <c r="P665" s="244"/>
      <c r="Q665" s="244"/>
      <c r="R665" s="245"/>
      <c r="S665" s="190" t="s">
        <v>1529</v>
      </c>
      <c r="T665" s="191"/>
      <c r="U665" s="761"/>
      <c r="V665" s="762"/>
      <c r="W665" s="187"/>
      <c r="X665" s="182"/>
      <c r="Y665" s="182"/>
      <c r="Z665" s="182"/>
      <c r="AA665" s="182"/>
      <c r="AB665" s="210"/>
      <c r="AC665" s="182"/>
      <c r="AD665" s="182"/>
      <c r="AE665" s="211"/>
    </row>
    <row r="666" spans="2:31" ht="13.5" customHeight="1">
      <c r="B666" s="180">
        <v>317</v>
      </c>
      <c r="C666" s="816"/>
      <c r="D666" s="765"/>
      <c r="E666" s="186" t="s">
        <v>10</v>
      </c>
      <c r="F666" s="187" t="str">
        <f t="shared" si="22"/>
        <v>IB3123D</v>
      </c>
      <c r="G666" s="259"/>
      <c r="H666" s="260"/>
      <c r="I666" s="260"/>
      <c r="J666" s="261"/>
      <c r="K666" s="182"/>
      <c r="L666" s="235"/>
      <c r="M666" s="186" t="s">
        <v>11</v>
      </c>
      <c r="N666" s="195" t="str">
        <f t="shared" si="23"/>
        <v>OB3123D</v>
      </c>
      <c r="O666" s="243" t="s">
        <v>200</v>
      </c>
      <c r="P666" s="244"/>
      <c r="Q666" s="244"/>
      <c r="R666" s="245"/>
      <c r="S666" s="190" t="s">
        <v>1529</v>
      </c>
      <c r="T666" s="191"/>
      <c r="U666" s="761"/>
      <c r="V666" s="762"/>
      <c r="W666" s="187"/>
      <c r="X666" s="182"/>
      <c r="Y666" s="182"/>
      <c r="Z666" s="182"/>
      <c r="AA666" s="182"/>
      <c r="AB666" s="210"/>
      <c r="AC666" s="182"/>
      <c r="AD666" s="182"/>
      <c r="AE666" s="211"/>
    </row>
    <row r="667" spans="2:31" ht="13.5" customHeight="1">
      <c r="B667" s="180">
        <v>318</v>
      </c>
      <c r="C667" s="816"/>
      <c r="D667" s="765"/>
      <c r="E667" s="186" t="s">
        <v>10</v>
      </c>
      <c r="F667" s="187" t="str">
        <f t="shared" si="22"/>
        <v>IB3123E</v>
      </c>
      <c r="G667" s="259"/>
      <c r="H667" s="260"/>
      <c r="I667" s="260"/>
      <c r="J667" s="261"/>
      <c r="K667" s="182"/>
      <c r="L667" s="235"/>
      <c r="M667" s="186" t="s">
        <v>11</v>
      </c>
      <c r="N667" s="195" t="str">
        <f t="shared" si="23"/>
        <v>OB3123E</v>
      </c>
      <c r="O667" s="243" t="s">
        <v>201</v>
      </c>
      <c r="P667" s="244"/>
      <c r="Q667" s="244"/>
      <c r="R667" s="245"/>
      <c r="S667" s="190" t="s">
        <v>1529</v>
      </c>
      <c r="T667" s="191"/>
      <c r="U667" s="761"/>
      <c r="V667" s="762"/>
      <c r="W667" s="187"/>
      <c r="X667" s="182"/>
      <c r="Y667" s="182"/>
      <c r="Z667" s="182"/>
      <c r="AA667" s="182"/>
      <c r="AB667" s="210"/>
      <c r="AC667" s="182"/>
      <c r="AD667" s="182"/>
      <c r="AE667" s="211"/>
    </row>
    <row r="668" spans="2:31" ht="13.5" customHeight="1">
      <c r="B668" s="180">
        <v>319</v>
      </c>
      <c r="C668" s="926"/>
      <c r="D668" s="765"/>
      <c r="E668" s="186" t="s">
        <v>10</v>
      </c>
      <c r="F668" s="187" t="str">
        <f t="shared" si="22"/>
        <v>IB3123F</v>
      </c>
      <c r="G668" s="361"/>
      <c r="H668" s="362"/>
      <c r="I668" s="362"/>
      <c r="J668" s="363"/>
      <c r="K668" s="182"/>
      <c r="L668" s="235"/>
      <c r="M668" s="186" t="s">
        <v>11</v>
      </c>
      <c r="N668" s="195" t="str">
        <f t="shared" si="23"/>
        <v>OB3123F</v>
      </c>
      <c r="O668" s="243" t="s">
        <v>202</v>
      </c>
      <c r="P668" s="244"/>
      <c r="Q668" s="244"/>
      <c r="R668" s="245"/>
      <c r="S668" s="190" t="s">
        <v>1529</v>
      </c>
      <c r="T668" s="191"/>
      <c r="U668" s="761"/>
      <c r="V668" s="762"/>
      <c r="W668" s="187"/>
      <c r="X668" s="182"/>
      <c r="Y668" s="182"/>
      <c r="Z668" s="182"/>
      <c r="AA668" s="182"/>
      <c r="AB668" s="210"/>
      <c r="AC668" s="182"/>
      <c r="AD668" s="182"/>
      <c r="AE668" s="211"/>
    </row>
    <row r="669" spans="2:31" ht="13.5" customHeight="1">
      <c r="B669" s="180">
        <v>288</v>
      </c>
      <c r="C669" s="927" t="s">
        <v>258</v>
      </c>
      <c r="D669" s="940" t="s">
        <v>271</v>
      </c>
      <c r="E669" s="186" t="s">
        <v>10</v>
      </c>
      <c r="F669" s="187" t="str">
        <f t="shared" si="22"/>
        <v>IB31240</v>
      </c>
      <c r="G669" s="305" t="s">
        <v>461</v>
      </c>
      <c r="H669" s="306"/>
      <c r="I669" s="306"/>
      <c r="J669" s="307"/>
      <c r="K669" s="143" t="s">
        <v>1516</v>
      </c>
      <c r="L669" s="235"/>
      <c r="M669" s="186" t="s">
        <v>11</v>
      </c>
      <c r="N669" s="195" t="str">
        <f t="shared" si="23"/>
        <v>OB31240</v>
      </c>
      <c r="O669" s="259"/>
      <c r="P669" s="260"/>
      <c r="Q669" s="260"/>
      <c r="R669" s="261"/>
      <c r="S669" s="190"/>
      <c r="T669" s="191"/>
      <c r="U669" s="281"/>
      <c r="V669" s="282"/>
      <c r="W669" s="187"/>
      <c r="X669" s="182"/>
      <c r="Y669" s="182"/>
      <c r="Z669" s="182"/>
      <c r="AA669" s="182"/>
      <c r="AB669" s="210"/>
      <c r="AC669" s="182"/>
      <c r="AD669" s="182"/>
      <c r="AE669" s="211"/>
    </row>
    <row r="670" spans="2:31" ht="13.5" customHeight="1">
      <c r="B670" s="180">
        <v>289</v>
      </c>
      <c r="C670" s="811"/>
      <c r="D670" s="765"/>
      <c r="E670" s="186" t="s">
        <v>10</v>
      </c>
      <c r="F670" s="187" t="str">
        <f t="shared" ref="F670:F733" si="24">LEFT(F669,1)&amp;DEC2HEX(HEX2DEC(MID(F669,2,LENB(F669)-1))+1,LENB(F669)-1)</f>
        <v>IB31241</v>
      </c>
      <c r="G670" s="305" t="s">
        <v>1502</v>
      </c>
      <c r="H670" s="306"/>
      <c r="I670" s="306"/>
      <c r="J670" s="307"/>
      <c r="K670" s="143" t="s">
        <v>1516</v>
      </c>
      <c r="L670" s="235"/>
      <c r="M670" s="186" t="s">
        <v>11</v>
      </c>
      <c r="N670" s="195" t="str">
        <f t="shared" si="23"/>
        <v>OB31241</v>
      </c>
      <c r="O670" s="259"/>
      <c r="P670" s="260"/>
      <c r="Q670" s="260"/>
      <c r="R670" s="261"/>
      <c r="S670" s="190"/>
      <c r="T670" s="191"/>
      <c r="U670" s="281"/>
      <c r="V670" s="282"/>
      <c r="W670" s="187"/>
      <c r="X670" s="182"/>
      <c r="Y670" s="182"/>
      <c r="Z670" s="182"/>
      <c r="AA670" s="182"/>
      <c r="AB670" s="210"/>
      <c r="AC670" s="182"/>
      <c r="AD670" s="182"/>
      <c r="AE670" s="211"/>
    </row>
    <row r="671" spans="2:31" ht="13.5" customHeight="1">
      <c r="B671" s="180">
        <v>290</v>
      </c>
      <c r="C671" s="811"/>
      <c r="D671" s="765"/>
      <c r="E671" s="186" t="s">
        <v>10</v>
      </c>
      <c r="F671" s="187" t="str">
        <f t="shared" si="24"/>
        <v>IB31242</v>
      </c>
      <c r="G671" s="305" t="s">
        <v>1503</v>
      </c>
      <c r="H671" s="306"/>
      <c r="I671" s="306"/>
      <c r="J671" s="307"/>
      <c r="K671" s="143" t="s">
        <v>1516</v>
      </c>
      <c r="L671" s="235"/>
      <c r="M671" s="186" t="s">
        <v>11</v>
      </c>
      <c r="N671" s="195" t="str">
        <f t="shared" si="23"/>
        <v>OB31242</v>
      </c>
      <c r="O671" s="259"/>
      <c r="P671" s="260"/>
      <c r="Q671" s="260"/>
      <c r="R671" s="261"/>
      <c r="S671" s="190"/>
      <c r="T671" s="191"/>
      <c r="U671" s="281"/>
      <c r="V671" s="282"/>
      <c r="W671" s="187"/>
      <c r="X671" s="182"/>
      <c r="Y671" s="182"/>
      <c r="Z671" s="182"/>
      <c r="AA671" s="182"/>
      <c r="AB671" s="210"/>
      <c r="AC671" s="182"/>
      <c r="AD671" s="182"/>
      <c r="AE671" s="211"/>
    </row>
    <row r="672" spans="2:31" ht="13.5" customHeight="1">
      <c r="B672" s="180">
        <v>291</v>
      </c>
      <c r="C672" s="811"/>
      <c r="D672" s="765"/>
      <c r="E672" s="186" t="s">
        <v>10</v>
      </c>
      <c r="F672" s="187" t="str">
        <f t="shared" si="24"/>
        <v>IB31243</v>
      </c>
      <c r="G672" s="305" t="s">
        <v>1504</v>
      </c>
      <c r="H672" s="306"/>
      <c r="I672" s="306"/>
      <c r="J672" s="307"/>
      <c r="K672" s="143" t="s">
        <v>1516</v>
      </c>
      <c r="L672" s="235"/>
      <c r="M672" s="186" t="s">
        <v>11</v>
      </c>
      <c r="N672" s="195" t="str">
        <f t="shared" si="23"/>
        <v>OB31243</v>
      </c>
      <c r="O672" s="259"/>
      <c r="P672" s="260"/>
      <c r="Q672" s="260"/>
      <c r="R672" s="261"/>
      <c r="S672" s="190"/>
      <c r="T672" s="191"/>
      <c r="U672" s="281"/>
      <c r="V672" s="282"/>
      <c r="W672" s="187"/>
      <c r="X672" s="182"/>
      <c r="Y672" s="182"/>
      <c r="Z672" s="182"/>
      <c r="AA672" s="182"/>
      <c r="AB672" s="210"/>
      <c r="AC672" s="182"/>
      <c r="AD672" s="182"/>
      <c r="AE672" s="211"/>
    </row>
    <row r="673" spans="2:31" ht="13.5" customHeight="1">
      <c r="B673" s="180">
        <v>292</v>
      </c>
      <c r="C673" s="811"/>
      <c r="D673" s="765"/>
      <c r="E673" s="186" t="s">
        <v>10</v>
      </c>
      <c r="F673" s="187" t="str">
        <f t="shared" si="24"/>
        <v>IB31244</v>
      </c>
      <c r="G673" s="305" t="s">
        <v>1505</v>
      </c>
      <c r="H673" s="306"/>
      <c r="I673" s="306"/>
      <c r="J673" s="307"/>
      <c r="K673" s="143" t="s">
        <v>1516</v>
      </c>
      <c r="L673" s="235"/>
      <c r="M673" s="186" t="s">
        <v>11</v>
      </c>
      <c r="N673" s="195" t="str">
        <f t="shared" si="23"/>
        <v>OB31244</v>
      </c>
      <c r="O673" s="259"/>
      <c r="P673" s="260"/>
      <c r="Q673" s="260"/>
      <c r="R673" s="261"/>
      <c r="S673" s="190"/>
      <c r="T673" s="191"/>
      <c r="U673" s="281"/>
      <c r="V673" s="282"/>
      <c r="W673" s="187"/>
      <c r="X673" s="182"/>
      <c r="Y673" s="182"/>
      <c r="Z673" s="182"/>
      <c r="AA673" s="182"/>
      <c r="AB673" s="210"/>
      <c r="AC673" s="182"/>
      <c r="AD673" s="182"/>
      <c r="AE673" s="211"/>
    </row>
    <row r="674" spans="2:31" ht="13.5" customHeight="1">
      <c r="B674" s="180">
        <v>293</v>
      </c>
      <c r="C674" s="811"/>
      <c r="D674" s="765"/>
      <c r="E674" s="186" t="s">
        <v>10</v>
      </c>
      <c r="F674" s="187" t="str">
        <f t="shared" si="24"/>
        <v>IB31245</v>
      </c>
      <c r="G674" s="308" t="s">
        <v>1506</v>
      </c>
      <c r="H674" s="309"/>
      <c r="I674" s="309"/>
      <c r="J674" s="310"/>
      <c r="K674" s="143" t="s">
        <v>1516</v>
      </c>
      <c r="L674" s="235"/>
      <c r="M674" s="186" t="s">
        <v>11</v>
      </c>
      <c r="N674" s="195" t="str">
        <f t="shared" si="23"/>
        <v>OB31245</v>
      </c>
      <c r="O674" s="259"/>
      <c r="P674" s="260"/>
      <c r="Q674" s="260"/>
      <c r="R674" s="261"/>
      <c r="S674" s="190"/>
      <c r="T674" s="191"/>
      <c r="U674" s="281"/>
      <c r="V674" s="282"/>
      <c r="W674" s="187"/>
      <c r="X674" s="182"/>
      <c r="Y674" s="182"/>
      <c r="Z674" s="182"/>
      <c r="AA674" s="182"/>
      <c r="AB674" s="210"/>
      <c r="AC674" s="182"/>
      <c r="AD674" s="182"/>
      <c r="AE674" s="211"/>
    </row>
    <row r="675" spans="2:31" ht="13.5" customHeight="1">
      <c r="B675" s="180">
        <v>294</v>
      </c>
      <c r="C675" s="811"/>
      <c r="D675" s="765"/>
      <c r="E675" s="186" t="s">
        <v>10</v>
      </c>
      <c r="F675" s="187" t="str">
        <f t="shared" si="24"/>
        <v>IB31246</v>
      </c>
      <c r="G675" s="308" t="s">
        <v>462</v>
      </c>
      <c r="H675" s="309"/>
      <c r="I675" s="309"/>
      <c r="J675" s="310"/>
      <c r="K675" s="143" t="s">
        <v>1516</v>
      </c>
      <c r="L675" s="235"/>
      <c r="M675" s="186" t="s">
        <v>11</v>
      </c>
      <c r="N675" s="195" t="str">
        <f t="shared" si="23"/>
        <v>OB31246</v>
      </c>
      <c r="O675" s="259"/>
      <c r="P675" s="260"/>
      <c r="Q675" s="260"/>
      <c r="R675" s="261"/>
      <c r="S675" s="190"/>
      <c r="T675" s="191"/>
      <c r="U675" s="281"/>
      <c r="V675" s="282"/>
      <c r="W675" s="187"/>
      <c r="X675" s="182"/>
      <c r="Y675" s="182"/>
      <c r="Z675" s="182"/>
      <c r="AA675" s="182"/>
      <c r="AB675" s="210"/>
      <c r="AC675" s="182"/>
      <c r="AD675" s="182"/>
      <c r="AE675" s="211"/>
    </row>
    <row r="676" spans="2:31" ht="13.5" customHeight="1">
      <c r="B676" s="180">
        <v>295</v>
      </c>
      <c r="C676" s="811"/>
      <c r="D676" s="765"/>
      <c r="E676" s="186" t="s">
        <v>10</v>
      </c>
      <c r="F676" s="187" t="str">
        <f t="shared" si="24"/>
        <v>IB31247</v>
      </c>
      <c r="G676" s="308" t="s">
        <v>1507</v>
      </c>
      <c r="H676" s="309"/>
      <c r="I676" s="309"/>
      <c r="J676" s="310"/>
      <c r="K676" s="143" t="s">
        <v>1516</v>
      </c>
      <c r="L676" s="235"/>
      <c r="M676" s="186" t="s">
        <v>11</v>
      </c>
      <c r="N676" s="195" t="str">
        <f t="shared" si="23"/>
        <v>OB31247</v>
      </c>
      <c r="O676" s="259"/>
      <c r="P676" s="260"/>
      <c r="Q676" s="260"/>
      <c r="R676" s="261"/>
      <c r="S676" s="190"/>
      <c r="T676" s="191"/>
      <c r="U676" s="281"/>
      <c r="V676" s="282"/>
      <c r="W676" s="187"/>
      <c r="X676" s="182"/>
      <c r="Y676" s="182"/>
      <c r="Z676" s="182"/>
      <c r="AA676" s="182"/>
      <c r="AB676" s="210"/>
      <c r="AC676" s="182"/>
      <c r="AD676" s="182"/>
      <c r="AE676" s="211"/>
    </row>
    <row r="677" spans="2:31" ht="13.5" customHeight="1">
      <c r="B677" s="180">
        <v>296</v>
      </c>
      <c r="C677" s="811"/>
      <c r="D677" s="765"/>
      <c r="E677" s="186" t="s">
        <v>10</v>
      </c>
      <c r="F677" s="187" t="str">
        <f t="shared" si="24"/>
        <v>IB31248</v>
      </c>
      <c r="G677" s="305" t="s">
        <v>460</v>
      </c>
      <c r="H677" s="306"/>
      <c r="I677" s="306"/>
      <c r="J677" s="307"/>
      <c r="K677" s="143" t="s">
        <v>1516</v>
      </c>
      <c r="L677" s="235"/>
      <c r="M677" s="186" t="s">
        <v>11</v>
      </c>
      <c r="N677" s="195" t="str">
        <f t="shared" si="23"/>
        <v>OB31248</v>
      </c>
      <c r="O677" s="259"/>
      <c r="P677" s="260"/>
      <c r="Q677" s="260"/>
      <c r="R677" s="261"/>
      <c r="S677" s="190"/>
      <c r="T677" s="191"/>
      <c r="U677" s="281"/>
      <c r="V677" s="282"/>
      <c r="W677" s="187"/>
      <c r="X677" s="182"/>
      <c r="Y677" s="182"/>
      <c r="Z677" s="182"/>
      <c r="AA677" s="182"/>
      <c r="AB677" s="210"/>
      <c r="AC677" s="182"/>
      <c r="AD677" s="182"/>
      <c r="AE677" s="211"/>
    </row>
    <row r="678" spans="2:31" ht="13.5" customHeight="1">
      <c r="B678" s="180">
        <v>297</v>
      </c>
      <c r="C678" s="811"/>
      <c r="D678" s="765"/>
      <c r="E678" s="186" t="s">
        <v>10</v>
      </c>
      <c r="F678" s="187" t="str">
        <f t="shared" si="24"/>
        <v>IB31249</v>
      </c>
      <c r="G678" s="305"/>
      <c r="H678" s="306"/>
      <c r="I678" s="306"/>
      <c r="J678" s="307"/>
      <c r="K678" s="143"/>
      <c r="L678" s="235"/>
      <c r="M678" s="186" t="s">
        <v>11</v>
      </c>
      <c r="N678" s="195" t="str">
        <f t="shared" si="23"/>
        <v>OB31249</v>
      </c>
      <c r="O678" s="259"/>
      <c r="P678" s="260"/>
      <c r="Q678" s="260"/>
      <c r="R678" s="261"/>
      <c r="S678" s="190"/>
      <c r="T678" s="191"/>
      <c r="U678" s="281"/>
      <c r="V678" s="282"/>
      <c r="W678" s="187"/>
      <c r="X678" s="182"/>
      <c r="Y678" s="182"/>
      <c r="Z678" s="182"/>
      <c r="AA678" s="182"/>
      <c r="AB678" s="210"/>
      <c r="AC678" s="182"/>
      <c r="AD678" s="182"/>
      <c r="AE678" s="211"/>
    </row>
    <row r="679" spans="2:31" ht="13.5" customHeight="1">
      <c r="B679" s="180">
        <v>298</v>
      </c>
      <c r="C679" s="811"/>
      <c r="D679" s="765"/>
      <c r="E679" s="186" t="s">
        <v>10</v>
      </c>
      <c r="F679" s="187" t="str">
        <f t="shared" si="24"/>
        <v>IB3124A</v>
      </c>
      <c r="G679" s="305"/>
      <c r="H679" s="306"/>
      <c r="I679" s="306"/>
      <c r="J679" s="307"/>
      <c r="K679" s="143"/>
      <c r="L679" s="235"/>
      <c r="M679" s="186" t="s">
        <v>11</v>
      </c>
      <c r="N679" s="195" t="str">
        <f t="shared" si="23"/>
        <v>OB3124A</v>
      </c>
      <c r="O679" s="259"/>
      <c r="P679" s="260"/>
      <c r="Q679" s="260"/>
      <c r="R679" s="261"/>
      <c r="S679" s="190"/>
      <c r="T679" s="191"/>
      <c r="U679" s="281"/>
      <c r="V679" s="282"/>
      <c r="W679" s="187"/>
      <c r="X679" s="182"/>
      <c r="Y679" s="182"/>
      <c r="Z679" s="182"/>
      <c r="AA679" s="182"/>
      <c r="AB679" s="210"/>
      <c r="AC679" s="182"/>
      <c r="AD679" s="182"/>
      <c r="AE679" s="211"/>
    </row>
    <row r="680" spans="2:31" ht="13.5" customHeight="1">
      <c r="B680" s="180">
        <v>299</v>
      </c>
      <c r="C680" s="811"/>
      <c r="D680" s="765"/>
      <c r="E680" s="186" t="s">
        <v>10</v>
      </c>
      <c r="F680" s="187" t="str">
        <f t="shared" si="24"/>
        <v>IB3124B</v>
      </c>
      <c r="G680" s="305"/>
      <c r="H680" s="306"/>
      <c r="I680" s="306"/>
      <c r="J680" s="307"/>
      <c r="K680" s="143"/>
      <c r="L680" s="235"/>
      <c r="M680" s="186" t="s">
        <v>11</v>
      </c>
      <c r="N680" s="195" t="str">
        <f t="shared" si="23"/>
        <v>OB3124B</v>
      </c>
      <c r="O680" s="259"/>
      <c r="P680" s="260"/>
      <c r="Q680" s="260"/>
      <c r="R680" s="261"/>
      <c r="S680" s="190"/>
      <c r="T680" s="191"/>
      <c r="U680" s="281"/>
      <c r="V680" s="282"/>
      <c r="W680" s="187"/>
      <c r="X680" s="182"/>
      <c r="Y680" s="182"/>
      <c r="Z680" s="182"/>
      <c r="AA680" s="182"/>
      <c r="AB680" s="210"/>
      <c r="AC680" s="182"/>
      <c r="AD680" s="182"/>
      <c r="AE680" s="211"/>
    </row>
    <row r="681" spans="2:31" ht="13.5" customHeight="1">
      <c r="B681" s="180">
        <v>300</v>
      </c>
      <c r="C681" s="811"/>
      <c r="D681" s="765"/>
      <c r="E681" s="186" t="s">
        <v>10</v>
      </c>
      <c r="F681" s="187" t="str">
        <f t="shared" si="24"/>
        <v>IB3124C</v>
      </c>
      <c r="G681" s="305"/>
      <c r="H681" s="306"/>
      <c r="I681" s="306"/>
      <c r="J681" s="307"/>
      <c r="K681" s="143"/>
      <c r="L681" s="235"/>
      <c r="M681" s="186" t="s">
        <v>11</v>
      </c>
      <c r="N681" s="195" t="str">
        <f t="shared" si="23"/>
        <v>OB3124C</v>
      </c>
      <c r="O681" s="259"/>
      <c r="P681" s="260"/>
      <c r="Q681" s="260"/>
      <c r="R681" s="261"/>
      <c r="S681" s="190"/>
      <c r="T681" s="191"/>
      <c r="U681" s="281"/>
      <c r="V681" s="282"/>
      <c r="W681" s="187"/>
      <c r="X681" s="182"/>
      <c r="Y681" s="182"/>
      <c r="Z681" s="182"/>
      <c r="AA681" s="182"/>
      <c r="AB681" s="210"/>
      <c r="AC681" s="182"/>
      <c r="AD681" s="182"/>
      <c r="AE681" s="211"/>
    </row>
    <row r="682" spans="2:31" ht="13.5" customHeight="1">
      <c r="B682" s="180">
        <v>301</v>
      </c>
      <c r="C682" s="811"/>
      <c r="D682" s="765"/>
      <c r="E682" s="186" t="s">
        <v>10</v>
      </c>
      <c r="F682" s="187" t="str">
        <f t="shared" si="24"/>
        <v>IB3124D</v>
      </c>
      <c r="G682" s="305"/>
      <c r="H682" s="306"/>
      <c r="I682" s="306"/>
      <c r="J682" s="307"/>
      <c r="K682" s="143"/>
      <c r="L682" s="235"/>
      <c r="M682" s="186" t="s">
        <v>11</v>
      </c>
      <c r="N682" s="195" t="str">
        <f t="shared" si="23"/>
        <v>OB3124D</v>
      </c>
      <c r="O682" s="259"/>
      <c r="P682" s="260"/>
      <c r="Q682" s="260"/>
      <c r="R682" s="261"/>
      <c r="S682" s="190"/>
      <c r="T682" s="191"/>
      <c r="U682" s="281"/>
      <c r="V682" s="282"/>
      <c r="W682" s="187"/>
      <c r="X682" s="182"/>
      <c r="Y682" s="182"/>
      <c r="Z682" s="182"/>
      <c r="AA682" s="182"/>
      <c r="AB682" s="210"/>
      <c r="AC682" s="182"/>
      <c r="AD682" s="182"/>
      <c r="AE682" s="211"/>
    </row>
    <row r="683" spans="2:31" ht="13.5" customHeight="1">
      <c r="B683" s="180">
        <v>302</v>
      </c>
      <c r="C683" s="811"/>
      <c r="D683" s="765"/>
      <c r="E683" s="186" t="s">
        <v>10</v>
      </c>
      <c r="F683" s="187" t="str">
        <f t="shared" si="24"/>
        <v>IB3124E</v>
      </c>
      <c r="G683" s="305"/>
      <c r="H683" s="306"/>
      <c r="I683" s="306"/>
      <c r="J683" s="307"/>
      <c r="K683" s="143"/>
      <c r="L683" s="235"/>
      <c r="M683" s="186" t="s">
        <v>11</v>
      </c>
      <c r="N683" s="195" t="str">
        <f t="shared" si="23"/>
        <v>OB3124E</v>
      </c>
      <c r="O683" s="259"/>
      <c r="P683" s="260"/>
      <c r="Q683" s="260"/>
      <c r="R683" s="261"/>
      <c r="S683" s="190"/>
      <c r="T683" s="191"/>
      <c r="U683" s="281"/>
      <c r="V683" s="282"/>
      <c r="W683" s="187"/>
      <c r="X683" s="182"/>
      <c r="Y683" s="182"/>
      <c r="Z683" s="182"/>
      <c r="AA683" s="182"/>
      <c r="AB683" s="210"/>
      <c r="AC683" s="182"/>
      <c r="AD683" s="182"/>
      <c r="AE683" s="211"/>
    </row>
    <row r="684" spans="2:31" ht="13.5" customHeight="1">
      <c r="B684" s="180">
        <v>303</v>
      </c>
      <c r="C684" s="928"/>
      <c r="D684" s="765"/>
      <c r="E684" s="186" t="s">
        <v>10</v>
      </c>
      <c r="F684" s="187" t="str">
        <f t="shared" si="24"/>
        <v>IB3124F</v>
      </c>
      <c r="G684" s="305"/>
      <c r="H684" s="306"/>
      <c r="I684" s="306"/>
      <c r="J684" s="307"/>
      <c r="K684" s="143"/>
      <c r="L684" s="235"/>
      <c r="M684" s="186" t="s">
        <v>11</v>
      </c>
      <c r="N684" s="195" t="str">
        <f t="shared" si="23"/>
        <v>OB3124F</v>
      </c>
      <c r="O684" s="259"/>
      <c r="P684" s="260"/>
      <c r="Q684" s="260"/>
      <c r="R684" s="261"/>
      <c r="S684" s="190"/>
      <c r="T684" s="191"/>
      <c r="U684" s="281"/>
      <c r="V684" s="282"/>
      <c r="W684" s="187"/>
      <c r="X684" s="182"/>
      <c r="Y684" s="182"/>
      <c r="Z684" s="182"/>
      <c r="AA684" s="182"/>
      <c r="AB684" s="210"/>
      <c r="AC684" s="182"/>
      <c r="AD684" s="182"/>
      <c r="AE684" s="211"/>
    </row>
    <row r="685" spans="2:31" ht="13.5" customHeight="1">
      <c r="B685" s="180">
        <v>304</v>
      </c>
      <c r="C685" s="925" t="s">
        <v>259</v>
      </c>
      <c r="D685" s="940" t="s">
        <v>271</v>
      </c>
      <c r="E685" s="186" t="s">
        <v>10</v>
      </c>
      <c r="F685" s="187" t="str">
        <f t="shared" si="24"/>
        <v>IB31250</v>
      </c>
      <c r="G685" s="271"/>
      <c r="H685" s="272"/>
      <c r="I685" s="272"/>
      <c r="J685" s="273"/>
      <c r="K685" s="182"/>
      <c r="L685" s="235"/>
      <c r="M685" s="186" t="s">
        <v>11</v>
      </c>
      <c r="N685" s="195" t="str">
        <f t="shared" si="23"/>
        <v>OB31250</v>
      </c>
      <c r="O685" s="305" t="s">
        <v>463</v>
      </c>
      <c r="P685" s="306"/>
      <c r="Q685" s="306"/>
      <c r="R685" s="307"/>
      <c r="S685" s="190" t="s">
        <v>1516</v>
      </c>
      <c r="T685" s="191"/>
      <c r="U685" s="281"/>
      <c r="V685" s="282"/>
      <c r="W685" s="187"/>
      <c r="X685" s="182"/>
      <c r="Y685" s="182"/>
      <c r="Z685" s="182"/>
      <c r="AA685" s="182"/>
      <c r="AB685" s="210"/>
      <c r="AC685" s="182"/>
      <c r="AD685" s="182"/>
      <c r="AE685" s="211"/>
    </row>
    <row r="686" spans="2:31" ht="13.5" customHeight="1">
      <c r="B686" s="180">
        <v>305</v>
      </c>
      <c r="C686" s="816"/>
      <c r="D686" s="765"/>
      <c r="E686" s="186" t="s">
        <v>10</v>
      </c>
      <c r="F686" s="187" t="str">
        <f t="shared" si="24"/>
        <v>IB31251</v>
      </c>
      <c r="G686" s="271"/>
      <c r="H686" s="272"/>
      <c r="I686" s="272"/>
      <c r="J686" s="273"/>
      <c r="K686" s="182"/>
      <c r="L686" s="235"/>
      <c r="M686" s="186" t="s">
        <v>11</v>
      </c>
      <c r="N686" s="195" t="str">
        <f t="shared" si="23"/>
        <v>OB31251</v>
      </c>
      <c r="O686" s="305" t="s">
        <v>997</v>
      </c>
      <c r="P686" s="306"/>
      <c r="Q686" s="306"/>
      <c r="R686" s="307"/>
      <c r="S686" s="190" t="s">
        <v>1516</v>
      </c>
      <c r="T686" s="191"/>
      <c r="U686" s="281"/>
      <c r="V686" s="282"/>
      <c r="W686" s="187"/>
      <c r="X686" s="182"/>
      <c r="Y686" s="182"/>
      <c r="Z686" s="182"/>
      <c r="AA686" s="182"/>
      <c r="AB686" s="210"/>
      <c r="AC686" s="182"/>
      <c r="AD686" s="182"/>
      <c r="AE686" s="211"/>
    </row>
    <row r="687" spans="2:31" ht="13.5" customHeight="1">
      <c r="B687" s="180">
        <v>306</v>
      </c>
      <c r="C687" s="816"/>
      <c r="D687" s="765"/>
      <c r="E687" s="186" t="s">
        <v>10</v>
      </c>
      <c r="F687" s="187" t="str">
        <f t="shared" si="24"/>
        <v>IB31252</v>
      </c>
      <c r="G687" s="271"/>
      <c r="H687" s="272"/>
      <c r="I687" s="272"/>
      <c r="J687" s="273"/>
      <c r="K687" s="182"/>
      <c r="L687" s="235"/>
      <c r="M687" s="186" t="s">
        <v>11</v>
      </c>
      <c r="N687" s="195" t="str">
        <f t="shared" si="23"/>
        <v>OB31252</v>
      </c>
      <c r="O687" s="305" t="s">
        <v>998</v>
      </c>
      <c r="P687" s="306"/>
      <c r="Q687" s="306"/>
      <c r="R687" s="307"/>
      <c r="S687" s="190" t="s">
        <v>1516</v>
      </c>
      <c r="T687" s="191"/>
      <c r="U687" s="281"/>
      <c r="V687" s="282"/>
      <c r="W687" s="187"/>
      <c r="X687" s="182"/>
      <c r="Y687" s="182"/>
      <c r="Z687" s="182"/>
      <c r="AA687" s="182"/>
      <c r="AB687" s="210"/>
      <c r="AC687" s="182"/>
      <c r="AD687" s="182"/>
      <c r="AE687" s="211"/>
    </row>
    <row r="688" spans="2:31" ht="13.5" customHeight="1">
      <c r="B688" s="180">
        <v>307</v>
      </c>
      <c r="C688" s="816"/>
      <c r="D688" s="765"/>
      <c r="E688" s="186" t="s">
        <v>10</v>
      </c>
      <c r="F688" s="187" t="str">
        <f t="shared" si="24"/>
        <v>IB31253</v>
      </c>
      <c r="G688" s="271"/>
      <c r="H688" s="272"/>
      <c r="I688" s="272"/>
      <c r="J688" s="273"/>
      <c r="K688" s="182"/>
      <c r="L688" s="235"/>
      <c r="M688" s="186" t="s">
        <v>11</v>
      </c>
      <c r="N688" s="195" t="str">
        <f t="shared" si="23"/>
        <v>OB31253</v>
      </c>
      <c r="O688" s="305" t="s">
        <v>999</v>
      </c>
      <c r="P688" s="306"/>
      <c r="Q688" s="306"/>
      <c r="R688" s="307"/>
      <c r="S688" s="190" t="s">
        <v>1516</v>
      </c>
      <c r="T688" s="191"/>
      <c r="U688" s="281"/>
      <c r="V688" s="282"/>
      <c r="W688" s="187"/>
      <c r="X688" s="182"/>
      <c r="Y688" s="182"/>
      <c r="Z688" s="182"/>
      <c r="AA688" s="182"/>
      <c r="AB688" s="210"/>
      <c r="AC688" s="182"/>
      <c r="AD688" s="182"/>
      <c r="AE688" s="211"/>
    </row>
    <row r="689" spans="2:31" ht="13.5" customHeight="1">
      <c r="B689" s="180">
        <v>308</v>
      </c>
      <c r="C689" s="816"/>
      <c r="D689" s="765"/>
      <c r="E689" s="186" t="s">
        <v>10</v>
      </c>
      <c r="F689" s="187" t="str">
        <f t="shared" si="24"/>
        <v>IB31254</v>
      </c>
      <c r="G689" s="271"/>
      <c r="H689" s="272"/>
      <c r="I689" s="272"/>
      <c r="J689" s="273"/>
      <c r="K689" s="182"/>
      <c r="L689" s="235"/>
      <c r="M689" s="186" t="s">
        <v>11</v>
      </c>
      <c r="N689" s="195" t="str">
        <f t="shared" si="23"/>
        <v>OB31254</v>
      </c>
      <c r="O689" s="249"/>
      <c r="P689" s="250"/>
      <c r="Q689" s="250"/>
      <c r="R689" s="251"/>
      <c r="S689" s="190"/>
      <c r="T689" s="191"/>
      <c r="U689" s="281"/>
      <c r="V689" s="282"/>
      <c r="W689" s="187"/>
      <c r="X689" s="182"/>
      <c r="Y689" s="182"/>
      <c r="Z689" s="182"/>
      <c r="AA689" s="182"/>
      <c r="AB689" s="210"/>
      <c r="AC689" s="182"/>
      <c r="AD689" s="182"/>
      <c r="AE689" s="211"/>
    </row>
    <row r="690" spans="2:31" ht="13.5" customHeight="1">
      <c r="B690" s="180">
        <v>309</v>
      </c>
      <c r="C690" s="816"/>
      <c r="D690" s="765"/>
      <c r="E690" s="186" t="s">
        <v>10</v>
      </c>
      <c r="F690" s="187" t="str">
        <f t="shared" si="24"/>
        <v>IB31255</v>
      </c>
      <c r="G690" s="271"/>
      <c r="H690" s="272"/>
      <c r="I690" s="272"/>
      <c r="J690" s="273"/>
      <c r="K690" s="182"/>
      <c r="L690" s="235"/>
      <c r="M690" s="186" t="s">
        <v>11</v>
      </c>
      <c r="N690" s="195" t="str">
        <f t="shared" si="23"/>
        <v>OB31255</v>
      </c>
      <c r="O690" s="249"/>
      <c r="P690" s="250"/>
      <c r="Q690" s="250"/>
      <c r="R690" s="251"/>
      <c r="S690" s="190"/>
      <c r="T690" s="191"/>
      <c r="U690" s="281"/>
      <c r="V690" s="282"/>
      <c r="W690" s="187"/>
      <c r="X690" s="182"/>
      <c r="Y690" s="182"/>
      <c r="Z690" s="182"/>
      <c r="AA690" s="182"/>
      <c r="AB690" s="210"/>
      <c r="AC690" s="182"/>
      <c r="AD690" s="182"/>
      <c r="AE690" s="211"/>
    </row>
    <row r="691" spans="2:31" ht="13.5" customHeight="1">
      <c r="B691" s="180">
        <v>310</v>
      </c>
      <c r="C691" s="816"/>
      <c r="D691" s="765"/>
      <c r="E691" s="186" t="s">
        <v>10</v>
      </c>
      <c r="F691" s="187" t="str">
        <f t="shared" si="24"/>
        <v>IB31256</v>
      </c>
      <c r="G691" s="271"/>
      <c r="H691" s="272"/>
      <c r="I691" s="272"/>
      <c r="J691" s="273"/>
      <c r="K691" s="182"/>
      <c r="L691" s="235"/>
      <c r="M691" s="186" t="s">
        <v>11</v>
      </c>
      <c r="N691" s="195" t="str">
        <f t="shared" si="23"/>
        <v>OB31256</v>
      </c>
      <c r="O691" s="249"/>
      <c r="P691" s="250"/>
      <c r="Q691" s="250"/>
      <c r="R691" s="251"/>
      <c r="S691" s="190"/>
      <c r="T691" s="191"/>
      <c r="U691" s="281"/>
      <c r="V691" s="282"/>
      <c r="W691" s="187"/>
      <c r="X691" s="182"/>
      <c r="Y691" s="182"/>
      <c r="Z691" s="182"/>
      <c r="AA691" s="182"/>
      <c r="AB691" s="210"/>
      <c r="AC691" s="182"/>
      <c r="AD691" s="182"/>
      <c r="AE691" s="211"/>
    </row>
    <row r="692" spans="2:31" ht="13.5" customHeight="1">
      <c r="B692" s="180">
        <v>311</v>
      </c>
      <c r="C692" s="816"/>
      <c r="D692" s="765"/>
      <c r="E692" s="186" t="s">
        <v>10</v>
      </c>
      <c r="F692" s="187" t="str">
        <f t="shared" si="24"/>
        <v>IB31257</v>
      </c>
      <c r="G692" s="271"/>
      <c r="H692" s="272"/>
      <c r="I692" s="272"/>
      <c r="J692" s="273"/>
      <c r="K692" s="182"/>
      <c r="L692" s="235"/>
      <c r="M692" s="186" t="s">
        <v>11</v>
      </c>
      <c r="N692" s="195" t="str">
        <f t="shared" si="23"/>
        <v>OB31257</v>
      </c>
      <c r="O692" s="249"/>
      <c r="P692" s="250"/>
      <c r="Q692" s="250"/>
      <c r="R692" s="251"/>
      <c r="S692" s="190"/>
      <c r="T692" s="191"/>
      <c r="U692" s="281"/>
      <c r="V692" s="282"/>
      <c r="W692" s="187"/>
      <c r="X692" s="182"/>
      <c r="Y692" s="182"/>
      <c r="Z692" s="182"/>
      <c r="AA692" s="182"/>
      <c r="AB692" s="210"/>
      <c r="AC692" s="182"/>
      <c r="AD692" s="182"/>
      <c r="AE692" s="211"/>
    </row>
    <row r="693" spans="2:31" ht="13.5" customHeight="1">
      <c r="B693" s="180">
        <v>312</v>
      </c>
      <c r="C693" s="816"/>
      <c r="D693" s="765"/>
      <c r="E693" s="186" t="s">
        <v>10</v>
      </c>
      <c r="F693" s="187" t="str">
        <f t="shared" si="24"/>
        <v>IB31258</v>
      </c>
      <c r="G693" s="271"/>
      <c r="H693" s="272"/>
      <c r="I693" s="272"/>
      <c r="J693" s="273"/>
      <c r="K693" s="182"/>
      <c r="L693" s="235"/>
      <c r="M693" s="186" t="s">
        <v>11</v>
      </c>
      <c r="N693" s="195" t="str">
        <f t="shared" si="23"/>
        <v>OB31258</v>
      </c>
      <c r="O693" s="249"/>
      <c r="P693" s="250"/>
      <c r="Q693" s="250"/>
      <c r="R693" s="251"/>
      <c r="S693" s="190"/>
      <c r="T693" s="191"/>
      <c r="U693" s="281"/>
      <c r="V693" s="282"/>
      <c r="W693" s="187"/>
      <c r="X693" s="182"/>
      <c r="Y693" s="182"/>
      <c r="Z693" s="182"/>
      <c r="AA693" s="182"/>
      <c r="AB693" s="210"/>
      <c r="AC693" s="182"/>
      <c r="AD693" s="182"/>
      <c r="AE693" s="211"/>
    </row>
    <row r="694" spans="2:31" ht="13.5" customHeight="1">
      <c r="B694" s="180">
        <v>313</v>
      </c>
      <c r="C694" s="816"/>
      <c r="D694" s="765"/>
      <c r="E694" s="186" t="s">
        <v>10</v>
      </c>
      <c r="F694" s="187" t="str">
        <f t="shared" si="24"/>
        <v>IB31259</v>
      </c>
      <c r="G694" s="271"/>
      <c r="H694" s="272"/>
      <c r="I694" s="272"/>
      <c r="J694" s="273"/>
      <c r="K694" s="182"/>
      <c r="L694" s="235"/>
      <c r="M694" s="186" t="s">
        <v>11</v>
      </c>
      <c r="N694" s="195" t="str">
        <f t="shared" si="23"/>
        <v>OB31259</v>
      </c>
      <c r="O694" s="249"/>
      <c r="P694" s="250"/>
      <c r="Q694" s="250"/>
      <c r="R694" s="251"/>
      <c r="S694" s="190"/>
      <c r="T694" s="191"/>
      <c r="U694" s="281"/>
      <c r="V694" s="282"/>
      <c r="W694" s="187"/>
      <c r="X694" s="182"/>
      <c r="Y694" s="182"/>
      <c r="Z694" s="182"/>
      <c r="AA694" s="182"/>
      <c r="AB694" s="210"/>
      <c r="AC694" s="182"/>
      <c r="AD694" s="182"/>
      <c r="AE694" s="211"/>
    </row>
    <row r="695" spans="2:31" ht="13.5" customHeight="1">
      <c r="B695" s="180">
        <v>314</v>
      </c>
      <c r="C695" s="816"/>
      <c r="D695" s="765"/>
      <c r="E695" s="186" t="s">
        <v>10</v>
      </c>
      <c r="F695" s="187" t="str">
        <f t="shared" si="24"/>
        <v>IB3125A</v>
      </c>
      <c r="G695" s="271"/>
      <c r="H695" s="272"/>
      <c r="I695" s="272"/>
      <c r="J695" s="273"/>
      <c r="K695" s="182"/>
      <c r="L695" s="235"/>
      <c r="M695" s="186" t="s">
        <v>11</v>
      </c>
      <c r="N695" s="195" t="str">
        <f t="shared" si="23"/>
        <v>OB3125A</v>
      </c>
      <c r="O695" s="249"/>
      <c r="P695" s="250"/>
      <c r="Q695" s="250"/>
      <c r="R695" s="251"/>
      <c r="S695" s="190"/>
      <c r="T695" s="191"/>
      <c r="U695" s="281"/>
      <c r="V695" s="282"/>
      <c r="W695" s="187"/>
      <c r="X695" s="182"/>
      <c r="Y695" s="182"/>
      <c r="Z695" s="182"/>
      <c r="AA695" s="182"/>
      <c r="AB695" s="210"/>
      <c r="AC695" s="182"/>
      <c r="AD695" s="182"/>
      <c r="AE695" s="211"/>
    </row>
    <row r="696" spans="2:31" ht="13.5" customHeight="1">
      <c r="B696" s="180">
        <v>315</v>
      </c>
      <c r="C696" s="816"/>
      <c r="D696" s="765"/>
      <c r="E696" s="186" t="s">
        <v>10</v>
      </c>
      <c r="F696" s="187" t="str">
        <f t="shared" si="24"/>
        <v>IB3125B</v>
      </c>
      <c r="G696" s="271"/>
      <c r="H696" s="272"/>
      <c r="I696" s="272"/>
      <c r="J696" s="273"/>
      <c r="K696" s="182"/>
      <c r="L696" s="235"/>
      <c r="M696" s="186" t="s">
        <v>11</v>
      </c>
      <c r="N696" s="195" t="str">
        <f t="shared" si="23"/>
        <v>OB3125B</v>
      </c>
      <c r="O696" s="249"/>
      <c r="P696" s="250"/>
      <c r="Q696" s="250"/>
      <c r="R696" s="251"/>
      <c r="S696" s="190"/>
      <c r="T696" s="191"/>
      <c r="U696" s="281"/>
      <c r="V696" s="282"/>
      <c r="W696" s="187"/>
      <c r="X696" s="182"/>
      <c r="Y696" s="182"/>
      <c r="Z696" s="182"/>
      <c r="AA696" s="182"/>
      <c r="AB696" s="210"/>
      <c r="AC696" s="182"/>
      <c r="AD696" s="182"/>
      <c r="AE696" s="211"/>
    </row>
    <row r="697" spans="2:31" ht="13.5" customHeight="1">
      <c r="B697" s="180">
        <v>316</v>
      </c>
      <c r="C697" s="816"/>
      <c r="D697" s="765"/>
      <c r="E697" s="186" t="s">
        <v>10</v>
      </c>
      <c r="F697" s="187" t="str">
        <f t="shared" si="24"/>
        <v>IB3125C</v>
      </c>
      <c r="G697" s="271"/>
      <c r="H697" s="272"/>
      <c r="I697" s="272"/>
      <c r="J697" s="273"/>
      <c r="K697" s="182"/>
      <c r="L697" s="235"/>
      <c r="M697" s="186" t="s">
        <v>11</v>
      </c>
      <c r="N697" s="195" t="str">
        <f t="shared" si="23"/>
        <v>OB3125C</v>
      </c>
      <c r="O697" s="249"/>
      <c r="P697" s="250"/>
      <c r="Q697" s="250"/>
      <c r="R697" s="251"/>
      <c r="S697" s="190"/>
      <c r="T697" s="191"/>
      <c r="U697" s="281"/>
      <c r="V697" s="282"/>
      <c r="W697" s="187"/>
      <c r="X697" s="182"/>
      <c r="Y697" s="182"/>
      <c r="Z697" s="182"/>
      <c r="AA697" s="182"/>
      <c r="AB697" s="210"/>
      <c r="AC697" s="182"/>
      <c r="AD697" s="182"/>
      <c r="AE697" s="211"/>
    </row>
    <row r="698" spans="2:31" ht="13.5" customHeight="1">
      <c r="B698" s="180">
        <v>317</v>
      </c>
      <c r="C698" s="816"/>
      <c r="D698" s="765"/>
      <c r="E698" s="186" t="s">
        <v>10</v>
      </c>
      <c r="F698" s="187" t="str">
        <f t="shared" si="24"/>
        <v>IB3125D</v>
      </c>
      <c r="G698" s="271"/>
      <c r="H698" s="272"/>
      <c r="I698" s="272"/>
      <c r="J698" s="273"/>
      <c r="K698" s="182"/>
      <c r="L698" s="235"/>
      <c r="M698" s="186" t="s">
        <v>11</v>
      </c>
      <c r="N698" s="195" t="str">
        <f t="shared" si="23"/>
        <v>OB3125D</v>
      </c>
      <c r="O698" s="249"/>
      <c r="P698" s="250"/>
      <c r="Q698" s="250"/>
      <c r="R698" s="251"/>
      <c r="S698" s="190"/>
      <c r="T698" s="191"/>
      <c r="U698" s="281"/>
      <c r="V698" s="282"/>
      <c r="W698" s="187"/>
      <c r="X698" s="182"/>
      <c r="Y698" s="182"/>
      <c r="Z698" s="182"/>
      <c r="AA698" s="182"/>
      <c r="AB698" s="210"/>
      <c r="AC698" s="182"/>
      <c r="AD698" s="182"/>
      <c r="AE698" s="211"/>
    </row>
    <row r="699" spans="2:31" ht="13.5" customHeight="1">
      <c r="B699" s="180">
        <v>318</v>
      </c>
      <c r="C699" s="816"/>
      <c r="D699" s="765"/>
      <c r="E699" s="186" t="s">
        <v>10</v>
      </c>
      <c r="F699" s="187" t="str">
        <f t="shared" si="24"/>
        <v>IB3125E</v>
      </c>
      <c r="G699" s="271"/>
      <c r="H699" s="272"/>
      <c r="I699" s="272"/>
      <c r="J699" s="273"/>
      <c r="K699" s="182"/>
      <c r="L699" s="235"/>
      <c r="M699" s="186" t="s">
        <v>11</v>
      </c>
      <c r="N699" s="195" t="str">
        <f t="shared" si="23"/>
        <v>OB3125E</v>
      </c>
      <c r="O699" s="249"/>
      <c r="P699" s="250"/>
      <c r="Q699" s="250"/>
      <c r="R699" s="251"/>
      <c r="S699" s="190"/>
      <c r="T699" s="191"/>
      <c r="U699" s="281"/>
      <c r="V699" s="282"/>
      <c r="W699" s="187"/>
      <c r="X699" s="182"/>
      <c r="Y699" s="182"/>
      <c r="Z699" s="182"/>
      <c r="AA699" s="182"/>
      <c r="AB699" s="210"/>
      <c r="AC699" s="182"/>
      <c r="AD699" s="182"/>
      <c r="AE699" s="211"/>
    </row>
    <row r="700" spans="2:31" ht="13.5" customHeight="1">
      <c r="B700" s="180">
        <v>319</v>
      </c>
      <c r="C700" s="926"/>
      <c r="D700" s="765"/>
      <c r="E700" s="186" t="s">
        <v>10</v>
      </c>
      <c r="F700" s="187" t="str">
        <f t="shared" si="24"/>
        <v>IB3125F</v>
      </c>
      <c r="G700" s="271"/>
      <c r="H700" s="272"/>
      <c r="I700" s="272"/>
      <c r="J700" s="273"/>
      <c r="K700" s="182"/>
      <c r="L700" s="235"/>
      <c r="M700" s="186" t="s">
        <v>11</v>
      </c>
      <c r="N700" s="195" t="str">
        <f t="shared" si="23"/>
        <v>OB3125F</v>
      </c>
      <c r="O700" s="249"/>
      <c r="P700" s="250"/>
      <c r="Q700" s="250"/>
      <c r="R700" s="251"/>
      <c r="S700" s="190"/>
      <c r="T700" s="191"/>
      <c r="U700" s="281"/>
      <c r="V700" s="282"/>
      <c r="W700" s="187"/>
      <c r="X700" s="182"/>
      <c r="Y700" s="182"/>
      <c r="Z700" s="182"/>
      <c r="AA700" s="182"/>
      <c r="AB700" s="210"/>
      <c r="AC700" s="182"/>
      <c r="AD700" s="182"/>
      <c r="AE700" s="211"/>
    </row>
    <row r="701" spans="2:31" ht="13.5" customHeight="1">
      <c r="B701" s="180">
        <v>288</v>
      </c>
      <c r="C701" s="927" t="s">
        <v>1593</v>
      </c>
      <c r="D701" s="901" t="s">
        <v>264</v>
      </c>
      <c r="E701" s="186" t="s">
        <v>10</v>
      </c>
      <c r="F701" s="187" t="str">
        <f t="shared" si="24"/>
        <v>IB31260</v>
      </c>
      <c r="G701" s="958" t="s">
        <v>1621</v>
      </c>
      <c r="H701" s="958"/>
      <c r="I701" s="958"/>
      <c r="J701" s="958"/>
      <c r="K701" s="182" t="s">
        <v>1516</v>
      </c>
      <c r="L701" s="234"/>
      <c r="M701" s="186" t="s">
        <v>11</v>
      </c>
      <c r="N701" s="195" t="str">
        <f t="shared" si="23"/>
        <v>OB31260</v>
      </c>
      <c r="O701" s="259"/>
      <c r="P701" s="260"/>
      <c r="Q701" s="260"/>
      <c r="R701" s="261"/>
      <c r="S701" s="190"/>
      <c r="T701" s="191"/>
      <c r="U701" s="761"/>
      <c r="V701" s="762"/>
      <c r="W701" s="187"/>
      <c r="X701" s="182"/>
      <c r="Y701" s="182"/>
      <c r="Z701" s="182"/>
      <c r="AA701" s="182"/>
      <c r="AB701" s="210"/>
      <c r="AC701" s="182"/>
      <c r="AD701" s="182"/>
      <c r="AE701" s="211"/>
    </row>
    <row r="702" spans="2:31" ht="13.5" customHeight="1">
      <c r="B702" s="180">
        <v>289</v>
      </c>
      <c r="C702" s="811"/>
      <c r="D702" s="765"/>
      <c r="E702" s="186" t="s">
        <v>10</v>
      </c>
      <c r="F702" s="187" t="str">
        <f t="shared" si="24"/>
        <v>IB31261</v>
      </c>
      <c r="G702" s="958" t="s">
        <v>1622</v>
      </c>
      <c r="H702" s="958"/>
      <c r="I702" s="958"/>
      <c r="J702" s="958"/>
      <c r="K702" s="182" t="s">
        <v>1516</v>
      </c>
      <c r="L702" s="234"/>
      <c r="M702" s="186" t="s">
        <v>11</v>
      </c>
      <c r="N702" s="195" t="str">
        <f t="shared" si="23"/>
        <v>OB31261</v>
      </c>
      <c r="O702" s="259"/>
      <c r="P702" s="260"/>
      <c r="Q702" s="260"/>
      <c r="R702" s="261"/>
      <c r="S702" s="190"/>
      <c r="T702" s="191"/>
      <c r="U702" s="761"/>
      <c r="V702" s="762"/>
      <c r="W702" s="187"/>
      <c r="X702" s="182"/>
      <c r="Y702" s="182"/>
      <c r="Z702" s="182"/>
      <c r="AA702" s="182"/>
      <c r="AB702" s="210"/>
      <c r="AC702" s="182"/>
      <c r="AD702" s="182"/>
      <c r="AE702" s="211"/>
    </row>
    <row r="703" spans="2:31" ht="13.5" customHeight="1">
      <c r="B703" s="180">
        <v>290</v>
      </c>
      <c r="C703" s="811"/>
      <c r="D703" s="765"/>
      <c r="E703" s="186" t="s">
        <v>10</v>
      </c>
      <c r="F703" s="187" t="str">
        <f t="shared" si="24"/>
        <v>IB31262</v>
      </c>
      <c r="G703" s="958" t="s">
        <v>1623</v>
      </c>
      <c r="H703" s="958"/>
      <c r="I703" s="958"/>
      <c r="J703" s="958"/>
      <c r="K703" s="182" t="s">
        <v>1516</v>
      </c>
      <c r="L703" s="234"/>
      <c r="M703" s="186" t="s">
        <v>11</v>
      </c>
      <c r="N703" s="195" t="str">
        <f t="shared" si="23"/>
        <v>OB31262</v>
      </c>
      <c r="O703" s="259"/>
      <c r="P703" s="260"/>
      <c r="Q703" s="260"/>
      <c r="R703" s="261"/>
      <c r="S703" s="190"/>
      <c r="T703" s="191"/>
      <c r="U703" s="761"/>
      <c r="V703" s="762"/>
      <c r="W703" s="187"/>
      <c r="X703" s="182"/>
      <c r="Y703" s="182"/>
      <c r="Z703" s="182"/>
      <c r="AA703" s="182"/>
      <c r="AB703" s="210"/>
      <c r="AC703" s="182"/>
      <c r="AD703" s="182"/>
      <c r="AE703" s="211"/>
    </row>
    <row r="704" spans="2:31" ht="13.5" customHeight="1">
      <c r="B704" s="180">
        <v>291</v>
      </c>
      <c r="C704" s="811"/>
      <c r="D704" s="765"/>
      <c r="E704" s="186" t="s">
        <v>10</v>
      </c>
      <c r="F704" s="187" t="str">
        <f t="shared" si="24"/>
        <v>IB31263</v>
      </c>
      <c r="G704" s="958" t="s">
        <v>1624</v>
      </c>
      <c r="H704" s="958"/>
      <c r="I704" s="958"/>
      <c r="J704" s="958"/>
      <c r="K704" s="182" t="s">
        <v>1516</v>
      </c>
      <c r="L704" s="234"/>
      <c r="M704" s="186" t="s">
        <v>11</v>
      </c>
      <c r="N704" s="195" t="str">
        <f t="shared" si="23"/>
        <v>OB31263</v>
      </c>
      <c r="O704" s="259"/>
      <c r="P704" s="260"/>
      <c r="Q704" s="260"/>
      <c r="R704" s="261"/>
      <c r="S704" s="190"/>
      <c r="T704" s="191"/>
      <c r="U704" s="761"/>
      <c r="V704" s="762"/>
      <c r="W704" s="187"/>
      <c r="X704" s="182"/>
      <c r="Y704" s="182"/>
      <c r="Z704" s="182"/>
      <c r="AA704" s="182"/>
      <c r="AB704" s="210"/>
      <c r="AC704" s="182"/>
      <c r="AD704" s="182"/>
      <c r="AE704" s="211"/>
    </row>
    <row r="705" spans="2:31" ht="13.5" customHeight="1">
      <c r="B705" s="180">
        <v>292</v>
      </c>
      <c r="C705" s="811"/>
      <c r="D705" s="765"/>
      <c r="E705" s="186" t="s">
        <v>10</v>
      </c>
      <c r="F705" s="187" t="str">
        <f t="shared" si="24"/>
        <v>IB31264</v>
      </c>
      <c r="G705" s="958" t="s">
        <v>1625</v>
      </c>
      <c r="H705" s="958"/>
      <c r="I705" s="958"/>
      <c r="J705" s="958"/>
      <c r="K705" s="182" t="s">
        <v>1516</v>
      </c>
      <c r="L705" s="235"/>
      <c r="M705" s="186" t="s">
        <v>11</v>
      </c>
      <c r="N705" s="195" t="str">
        <f t="shared" si="23"/>
        <v>OB31264</v>
      </c>
      <c r="O705" s="259"/>
      <c r="P705" s="260"/>
      <c r="Q705" s="260"/>
      <c r="R705" s="261"/>
      <c r="S705" s="190"/>
      <c r="T705" s="191"/>
      <c r="U705" s="909"/>
      <c r="V705" s="909"/>
      <c r="W705" s="187"/>
      <c r="X705" s="182"/>
      <c r="Y705" s="182"/>
      <c r="Z705" s="182"/>
      <c r="AA705" s="182"/>
      <c r="AB705" s="210"/>
      <c r="AC705" s="182"/>
      <c r="AD705" s="182"/>
      <c r="AE705" s="211"/>
    </row>
    <row r="706" spans="2:31" ht="13.5" customHeight="1">
      <c r="B706" s="180">
        <v>293</v>
      </c>
      <c r="C706" s="811"/>
      <c r="D706" s="765"/>
      <c r="E706" s="186" t="s">
        <v>10</v>
      </c>
      <c r="F706" s="187" t="str">
        <f t="shared" si="24"/>
        <v>IB31265</v>
      </c>
      <c r="G706" s="958" t="s">
        <v>1626</v>
      </c>
      <c r="H706" s="958"/>
      <c r="I706" s="958"/>
      <c r="J706" s="958"/>
      <c r="K706" s="182" t="s">
        <v>1516</v>
      </c>
      <c r="L706" s="235"/>
      <c r="M706" s="186" t="s">
        <v>11</v>
      </c>
      <c r="N706" s="195" t="str">
        <f t="shared" si="23"/>
        <v>OB31265</v>
      </c>
      <c r="O706" s="259"/>
      <c r="P706" s="260"/>
      <c r="Q706" s="260"/>
      <c r="R706" s="261"/>
      <c r="S706" s="190"/>
      <c r="T706" s="191"/>
      <c r="U706" s="909"/>
      <c r="V706" s="909"/>
      <c r="W706" s="187"/>
      <c r="X706" s="182"/>
      <c r="Y706" s="182"/>
      <c r="Z706" s="182"/>
      <c r="AA706" s="182"/>
      <c r="AB706" s="210"/>
      <c r="AC706" s="182"/>
      <c r="AD706" s="182"/>
      <c r="AE706" s="211"/>
    </row>
    <row r="707" spans="2:31" ht="13.5" customHeight="1">
      <c r="B707" s="180">
        <v>294</v>
      </c>
      <c r="C707" s="811"/>
      <c r="D707" s="765"/>
      <c r="E707" s="186" t="s">
        <v>10</v>
      </c>
      <c r="F707" s="187" t="str">
        <f t="shared" si="24"/>
        <v>IB31266</v>
      </c>
      <c r="G707" s="958" t="s">
        <v>1627</v>
      </c>
      <c r="H707" s="958"/>
      <c r="I707" s="958"/>
      <c r="J707" s="958"/>
      <c r="K707" s="182" t="s">
        <v>1516</v>
      </c>
      <c r="L707" s="235"/>
      <c r="M707" s="186" t="s">
        <v>11</v>
      </c>
      <c r="N707" s="195" t="str">
        <f t="shared" si="23"/>
        <v>OB31266</v>
      </c>
      <c r="O707" s="259"/>
      <c r="P707" s="260"/>
      <c r="Q707" s="260"/>
      <c r="R707" s="261"/>
      <c r="S707" s="190"/>
      <c r="T707" s="191"/>
      <c r="U707" s="909"/>
      <c r="V707" s="909"/>
      <c r="W707" s="187"/>
      <c r="X707" s="182"/>
      <c r="Y707" s="182"/>
      <c r="Z707" s="182"/>
      <c r="AA707" s="182"/>
      <c r="AB707" s="210"/>
      <c r="AC707" s="182"/>
      <c r="AD707" s="182"/>
      <c r="AE707" s="211"/>
    </row>
    <row r="708" spans="2:31" ht="13.5" customHeight="1">
      <c r="B708" s="180">
        <v>295</v>
      </c>
      <c r="C708" s="811"/>
      <c r="D708" s="765"/>
      <c r="E708" s="186" t="s">
        <v>10</v>
      </c>
      <c r="F708" s="187" t="str">
        <f t="shared" si="24"/>
        <v>IB31267</v>
      </c>
      <c r="G708" s="958" t="s">
        <v>1628</v>
      </c>
      <c r="H708" s="958"/>
      <c r="I708" s="958"/>
      <c r="J708" s="958"/>
      <c r="K708" s="182" t="s">
        <v>1516</v>
      </c>
      <c r="L708" s="235"/>
      <c r="M708" s="186" t="s">
        <v>11</v>
      </c>
      <c r="N708" s="195" t="str">
        <f t="shared" si="23"/>
        <v>OB31267</v>
      </c>
      <c r="O708" s="259"/>
      <c r="P708" s="260"/>
      <c r="Q708" s="260"/>
      <c r="R708" s="261"/>
      <c r="S708" s="190"/>
      <c r="T708" s="191"/>
      <c r="U708" s="909"/>
      <c r="V708" s="909"/>
      <c r="W708" s="187"/>
      <c r="X708" s="182"/>
      <c r="Y708" s="182"/>
      <c r="Z708" s="182"/>
      <c r="AA708" s="182"/>
      <c r="AB708" s="210"/>
      <c r="AC708" s="182"/>
      <c r="AD708" s="182"/>
      <c r="AE708" s="211"/>
    </row>
    <row r="709" spans="2:31" ht="13.5" customHeight="1">
      <c r="B709" s="180">
        <v>296</v>
      </c>
      <c r="C709" s="811"/>
      <c r="D709" s="765"/>
      <c r="E709" s="186" t="s">
        <v>10</v>
      </c>
      <c r="F709" s="187" t="str">
        <f t="shared" si="24"/>
        <v>IB31268</v>
      </c>
      <c r="G709" s="958" t="s">
        <v>1629</v>
      </c>
      <c r="H709" s="958"/>
      <c r="I709" s="958"/>
      <c r="J709" s="958"/>
      <c r="K709" s="182" t="s">
        <v>1516</v>
      </c>
      <c r="L709" s="235"/>
      <c r="M709" s="186" t="s">
        <v>11</v>
      </c>
      <c r="N709" s="195" t="str">
        <f t="shared" si="23"/>
        <v>OB31268</v>
      </c>
      <c r="O709" s="259"/>
      <c r="P709" s="260"/>
      <c r="Q709" s="260"/>
      <c r="R709" s="261"/>
      <c r="S709" s="190"/>
      <c r="T709" s="191"/>
      <c r="U709" s="909"/>
      <c r="V709" s="909"/>
      <c r="W709" s="187"/>
      <c r="X709" s="182"/>
      <c r="Y709" s="182"/>
      <c r="Z709" s="182"/>
      <c r="AA709" s="182"/>
      <c r="AB709" s="210"/>
      <c r="AC709" s="182"/>
      <c r="AD709" s="182"/>
      <c r="AE709" s="211"/>
    </row>
    <row r="710" spans="2:31" ht="13.5" customHeight="1">
      <c r="B710" s="180">
        <v>297</v>
      </c>
      <c r="C710" s="811"/>
      <c r="D710" s="765"/>
      <c r="E710" s="186" t="s">
        <v>10</v>
      </c>
      <c r="F710" s="187" t="str">
        <f t="shared" si="24"/>
        <v>IB31269</v>
      </c>
      <c r="G710" s="958" t="s">
        <v>1630</v>
      </c>
      <c r="H710" s="958"/>
      <c r="I710" s="958"/>
      <c r="J710" s="958"/>
      <c r="K710" s="182" t="s">
        <v>1516</v>
      </c>
      <c r="L710" s="235"/>
      <c r="M710" s="186" t="s">
        <v>11</v>
      </c>
      <c r="N710" s="195" t="str">
        <f t="shared" si="23"/>
        <v>OB31269</v>
      </c>
      <c r="O710" s="259"/>
      <c r="P710" s="260"/>
      <c r="Q710" s="260"/>
      <c r="R710" s="261"/>
      <c r="S710" s="190"/>
      <c r="T710" s="191"/>
      <c r="U710" s="909"/>
      <c r="V710" s="909"/>
      <c r="W710" s="187"/>
      <c r="X710" s="182"/>
      <c r="Y710" s="182"/>
      <c r="Z710" s="182"/>
      <c r="AA710" s="182"/>
      <c r="AB710" s="210"/>
      <c r="AC710" s="182"/>
      <c r="AD710" s="182"/>
      <c r="AE710" s="211"/>
    </row>
    <row r="711" spans="2:31" ht="13.5" customHeight="1">
      <c r="B711" s="180">
        <v>298</v>
      </c>
      <c r="C711" s="811"/>
      <c r="D711" s="765"/>
      <c r="E711" s="186" t="s">
        <v>10</v>
      </c>
      <c r="F711" s="187" t="str">
        <f t="shared" si="24"/>
        <v>IB3126A</v>
      </c>
      <c r="G711" s="958" t="s">
        <v>1631</v>
      </c>
      <c r="H711" s="958"/>
      <c r="I711" s="958"/>
      <c r="J711" s="958"/>
      <c r="K711" s="182" t="s">
        <v>1516</v>
      </c>
      <c r="L711" s="235"/>
      <c r="M711" s="186" t="s">
        <v>11</v>
      </c>
      <c r="N711" s="195" t="str">
        <f t="shared" si="23"/>
        <v>OB3126A</v>
      </c>
      <c r="O711" s="259"/>
      <c r="P711" s="260"/>
      <c r="Q711" s="260"/>
      <c r="R711" s="261"/>
      <c r="S711" s="190"/>
      <c r="T711" s="191"/>
      <c r="U711" s="909"/>
      <c r="V711" s="909"/>
      <c r="W711" s="187"/>
      <c r="X711" s="182"/>
      <c r="Y711" s="182"/>
      <c r="Z711" s="182"/>
      <c r="AA711" s="182"/>
      <c r="AB711" s="210"/>
      <c r="AC711" s="182"/>
      <c r="AD711" s="182"/>
      <c r="AE711" s="211"/>
    </row>
    <row r="712" spans="2:31" ht="13.5" customHeight="1">
      <c r="B712" s="180">
        <v>299</v>
      </c>
      <c r="C712" s="811"/>
      <c r="D712" s="765"/>
      <c r="E712" s="186" t="s">
        <v>10</v>
      </c>
      <c r="F712" s="187" t="str">
        <f t="shared" si="24"/>
        <v>IB3126B</v>
      </c>
      <c r="G712" s="958" t="s">
        <v>1632</v>
      </c>
      <c r="H712" s="958"/>
      <c r="I712" s="958"/>
      <c r="J712" s="958"/>
      <c r="K712" s="182" t="s">
        <v>1516</v>
      </c>
      <c r="L712" s="235"/>
      <c r="M712" s="186" t="s">
        <v>11</v>
      </c>
      <c r="N712" s="195" t="str">
        <f t="shared" si="23"/>
        <v>OB3126B</v>
      </c>
      <c r="O712" s="259"/>
      <c r="P712" s="260"/>
      <c r="Q712" s="260"/>
      <c r="R712" s="261"/>
      <c r="S712" s="190"/>
      <c r="T712" s="191"/>
      <c r="U712" s="909"/>
      <c r="V712" s="909"/>
      <c r="W712" s="187"/>
      <c r="X712" s="182"/>
      <c r="Y712" s="182"/>
      <c r="Z712" s="182"/>
      <c r="AA712" s="182"/>
      <c r="AB712" s="210"/>
      <c r="AC712" s="182"/>
      <c r="AD712" s="182"/>
      <c r="AE712" s="211"/>
    </row>
    <row r="713" spans="2:31" ht="13.5" customHeight="1">
      <c r="B713" s="180">
        <v>300</v>
      </c>
      <c r="C713" s="811"/>
      <c r="D713" s="765"/>
      <c r="E713" s="186" t="s">
        <v>10</v>
      </c>
      <c r="F713" s="187" t="str">
        <f t="shared" si="24"/>
        <v>IB3126C</v>
      </c>
      <c r="G713" s="958" t="s">
        <v>1633</v>
      </c>
      <c r="H713" s="958"/>
      <c r="I713" s="958"/>
      <c r="J713" s="958"/>
      <c r="K713" s="182" t="s">
        <v>1516</v>
      </c>
      <c r="L713" s="235"/>
      <c r="M713" s="186" t="s">
        <v>11</v>
      </c>
      <c r="N713" s="195" t="str">
        <f t="shared" si="23"/>
        <v>OB3126C</v>
      </c>
      <c r="O713" s="259"/>
      <c r="P713" s="260"/>
      <c r="Q713" s="260"/>
      <c r="R713" s="261"/>
      <c r="S713" s="190"/>
      <c r="T713" s="191"/>
      <c r="U713" s="909"/>
      <c r="V713" s="909"/>
      <c r="W713" s="187"/>
      <c r="X713" s="182"/>
      <c r="Y713" s="182"/>
      <c r="Z713" s="182"/>
      <c r="AA713" s="182"/>
      <c r="AB713" s="210"/>
      <c r="AC713" s="182"/>
      <c r="AD713" s="182"/>
      <c r="AE713" s="211"/>
    </row>
    <row r="714" spans="2:31" ht="13.5" customHeight="1">
      <c r="B714" s="180">
        <v>301</v>
      </c>
      <c r="C714" s="811"/>
      <c r="D714" s="765"/>
      <c r="E714" s="186" t="s">
        <v>10</v>
      </c>
      <c r="F714" s="187" t="str">
        <f t="shared" si="24"/>
        <v>IB3126D</v>
      </c>
      <c r="G714" s="958" t="s">
        <v>1634</v>
      </c>
      <c r="H714" s="958"/>
      <c r="I714" s="958"/>
      <c r="J714" s="958"/>
      <c r="K714" s="182" t="s">
        <v>1516</v>
      </c>
      <c r="L714" s="235"/>
      <c r="M714" s="186" t="s">
        <v>11</v>
      </c>
      <c r="N714" s="195" t="str">
        <f t="shared" si="23"/>
        <v>OB3126D</v>
      </c>
      <c r="O714" s="259"/>
      <c r="P714" s="260"/>
      <c r="Q714" s="260"/>
      <c r="R714" s="261"/>
      <c r="S714" s="190"/>
      <c r="T714" s="191"/>
      <c r="U714" s="909"/>
      <c r="V714" s="909"/>
      <c r="W714" s="187"/>
      <c r="X714" s="182"/>
      <c r="Y714" s="182"/>
      <c r="Z714" s="182"/>
      <c r="AA714" s="182"/>
      <c r="AB714" s="210"/>
      <c r="AC714" s="182"/>
      <c r="AD714" s="182"/>
      <c r="AE714" s="211"/>
    </row>
    <row r="715" spans="2:31" ht="13.5" customHeight="1">
      <c r="B715" s="180">
        <v>302</v>
      </c>
      <c r="C715" s="811"/>
      <c r="D715" s="765"/>
      <c r="E715" s="186" t="s">
        <v>10</v>
      </c>
      <c r="F715" s="187" t="str">
        <f t="shared" si="24"/>
        <v>IB3126E</v>
      </c>
      <c r="G715" s="958" t="s">
        <v>1635</v>
      </c>
      <c r="H715" s="958"/>
      <c r="I715" s="958"/>
      <c r="J715" s="958"/>
      <c r="K715" s="182" t="s">
        <v>1516</v>
      </c>
      <c r="L715" s="235"/>
      <c r="M715" s="186" t="s">
        <v>11</v>
      </c>
      <c r="N715" s="195" t="str">
        <f t="shared" si="23"/>
        <v>OB3126E</v>
      </c>
      <c r="O715" s="259"/>
      <c r="P715" s="260"/>
      <c r="Q715" s="260"/>
      <c r="R715" s="261"/>
      <c r="S715" s="190"/>
      <c r="T715" s="191"/>
      <c r="U715" s="909"/>
      <c r="V715" s="909"/>
      <c r="W715" s="187"/>
      <c r="X715" s="182"/>
      <c r="Y715" s="182"/>
      <c r="Z715" s="182"/>
      <c r="AA715" s="182"/>
      <c r="AB715" s="210"/>
      <c r="AC715" s="182"/>
      <c r="AD715" s="182"/>
      <c r="AE715" s="211"/>
    </row>
    <row r="716" spans="2:31" ht="13.5" customHeight="1">
      <c r="B716" s="180">
        <v>303</v>
      </c>
      <c r="C716" s="928"/>
      <c r="D716" s="765"/>
      <c r="E716" s="186" t="s">
        <v>10</v>
      </c>
      <c r="F716" s="187" t="str">
        <f t="shared" si="24"/>
        <v>IB3126F</v>
      </c>
      <c r="G716" s="958" t="s">
        <v>1636</v>
      </c>
      <c r="H716" s="958"/>
      <c r="I716" s="958"/>
      <c r="J716" s="958"/>
      <c r="K716" s="182" t="s">
        <v>1516</v>
      </c>
      <c r="L716" s="235"/>
      <c r="M716" s="186" t="s">
        <v>11</v>
      </c>
      <c r="N716" s="195" t="str">
        <f t="shared" si="23"/>
        <v>OB3126F</v>
      </c>
      <c r="O716" s="259"/>
      <c r="P716" s="260"/>
      <c r="Q716" s="260"/>
      <c r="R716" s="261"/>
      <c r="S716" s="190"/>
      <c r="T716" s="191"/>
      <c r="U716" s="909"/>
      <c r="V716" s="909"/>
      <c r="W716" s="187"/>
      <c r="X716" s="182"/>
      <c r="Y716" s="182"/>
      <c r="Z716" s="182"/>
      <c r="AA716" s="182"/>
      <c r="AB716" s="210"/>
      <c r="AC716" s="182"/>
      <c r="AD716" s="182"/>
      <c r="AE716" s="211"/>
    </row>
    <row r="717" spans="2:31" ht="13.5" customHeight="1">
      <c r="B717" s="180">
        <v>304</v>
      </c>
      <c r="C717" s="925" t="s">
        <v>1594</v>
      </c>
      <c r="D717" s="901" t="s">
        <v>264</v>
      </c>
      <c r="E717" s="186" t="s">
        <v>10</v>
      </c>
      <c r="F717" s="187" t="str">
        <f t="shared" si="24"/>
        <v>IB31270</v>
      </c>
      <c r="G717" s="259"/>
      <c r="H717" s="260"/>
      <c r="I717" s="260"/>
      <c r="J717" s="261"/>
      <c r="K717" s="190"/>
      <c r="L717" s="209"/>
      <c r="M717" s="186" t="s">
        <v>11</v>
      </c>
      <c r="N717" s="195" t="str">
        <f t="shared" ref="N717:N743" si="25">LEFT(N716,1)&amp;DEC2HEX(HEX2DEC(MID(N716,2,LENB(N716)-1))+1,LENB(N716)-1)</f>
        <v>OB31270</v>
      </c>
      <c r="O717" s="958" t="s">
        <v>1621</v>
      </c>
      <c r="P717" s="958"/>
      <c r="Q717" s="958"/>
      <c r="R717" s="958"/>
      <c r="S717" s="190" t="s">
        <v>1516</v>
      </c>
      <c r="T717" s="191"/>
      <c r="U717" s="909"/>
      <c r="V717" s="909"/>
      <c r="W717" s="187"/>
      <c r="X717" s="182"/>
      <c r="Y717" s="182"/>
      <c r="Z717" s="182"/>
      <c r="AA717" s="182"/>
      <c r="AB717" s="210"/>
      <c r="AC717" s="182"/>
      <c r="AD717" s="182"/>
      <c r="AE717" s="211"/>
    </row>
    <row r="718" spans="2:31" ht="13.5" customHeight="1">
      <c r="B718" s="180">
        <v>305</v>
      </c>
      <c r="C718" s="816"/>
      <c r="D718" s="765"/>
      <c r="E718" s="186" t="s">
        <v>10</v>
      </c>
      <c r="F718" s="187" t="str">
        <f t="shared" si="24"/>
        <v>IB31271</v>
      </c>
      <c r="G718" s="259"/>
      <c r="H718" s="260"/>
      <c r="I718" s="260"/>
      <c r="J718" s="261"/>
      <c r="K718" s="190"/>
      <c r="L718" s="209"/>
      <c r="M718" s="186" t="s">
        <v>11</v>
      </c>
      <c r="N718" s="195" t="str">
        <f t="shared" si="25"/>
        <v>OB31271</v>
      </c>
      <c r="O718" s="958" t="s">
        <v>1622</v>
      </c>
      <c r="P718" s="958"/>
      <c r="Q718" s="958"/>
      <c r="R718" s="958"/>
      <c r="S718" s="190" t="s">
        <v>1516</v>
      </c>
      <c r="T718" s="191"/>
      <c r="U718" s="909"/>
      <c r="V718" s="909"/>
      <c r="W718" s="187"/>
      <c r="X718" s="182"/>
      <c r="Y718" s="182"/>
      <c r="Z718" s="182"/>
      <c r="AA718" s="182"/>
      <c r="AB718" s="210"/>
      <c r="AC718" s="182"/>
      <c r="AD718" s="182"/>
      <c r="AE718" s="211"/>
    </row>
    <row r="719" spans="2:31" ht="13.5" customHeight="1">
      <c r="B719" s="180">
        <v>306</v>
      </c>
      <c r="C719" s="816"/>
      <c r="D719" s="765"/>
      <c r="E719" s="186" t="s">
        <v>10</v>
      </c>
      <c r="F719" s="187" t="str">
        <f t="shared" si="24"/>
        <v>IB31272</v>
      </c>
      <c r="G719" s="259"/>
      <c r="H719" s="260"/>
      <c r="I719" s="260"/>
      <c r="J719" s="261"/>
      <c r="K719" s="190"/>
      <c r="L719" s="209"/>
      <c r="M719" s="186" t="s">
        <v>11</v>
      </c>
      <c r="N719" s="195" t="str">
        <f t="shared" si="25"/>
        <v>OB31272</v>
      </c>
      <c r="O719" s="958" t="s">
        <v>1623</v>
      </c>
      <c r="P719" s="958"/>
      <c r="Q719" s="958"/>
      <c r="R719" s="958"/>
      <c r="S719" s="190" t="s">
        <v>1516</v>
      </c>
      <c r="T719" s="191"/>
      <c r="U719" s="909"/>
      <c r="V719" s="909"/>
      <c r="W719" s="187"/>
      <c r="X719" s="182"/>
      <c r="Y719" s="182"/>
      <c r="Z719" s="182"/>
      <c r="AA719" s="182"/>
      <c r="AB719" s="210"/>
      <c r="AC719" s="182"/>
      <c r="AD719" s="182"/>
      <c r="AE719" s="211"/>
    </row>
    <row r="720" spans="2:31" ht="13.5" customHeight="1">
      <c r="B720" s="180">
        <v>307</v>
      </c>
      <c r="C720" s="816"/>
      <c r="D720" s="765"/>
      <c r="E720" s="186" t="s">
        <v>10</v>
      </c>
      <c r="F720" s="187" t="str">
        <f t="shared" si="24"/>
        <v>IB31273</v>
      </c>
      <c r="G720" s="259"/>
      <c r="H720" s="260"/>
      <c r="I720" s="260"/>
      <c r="J720" s="261"/>
      <c r="K720" s="190"/>
      <c r="L720" s="209"/>
      <c r="M720" s="186" t="s">
        <v>11</v>
      </c>
      <c r="N720" s="195" t="str">
        <f t="shared" si="25"/>
        <v>OB31273</v>
      </c>
      <c r="O720" s="958" t="s">
        <v>1624</v>
      </c>
      <c r="P720" s="958"/>
      <c r="Q720" s="958"/>
      <c r="R720" s="958"/>
      <c r="S720" s="190" t="s">
        <v>1516</v>
      </c>
      <c r="T720" s="191"/>
      <c r="U720" s="909"/>
      <c r="V720" s="909"/>
      <c r="W720" s="187"/>
      <c r="X720" s="182"/>
      <c r="Y720" s="182"/>
      <c r="Z720" s="182"/>
      <c r="AA720" s="182"/>
      <c r="AB720" s="210"/>
      <c r="AC720" s="182"/>
      <c r="AD720" s="182"/>
      <c r="AE720" s="211"/>
    </row>
    <row r="721" spans="2:31" ht="13.5" customHeight="1">
      <c r="B721" s="180">
        <v>308</v>
      </c>
      <c r="C721" s="816"/>
      <c r="D721" s="765"/>
      <c r="E721" s="186" t="s">
        <v>10</v>
      </c>
      <c r="F721" s="187" t="str">
        <f t="shared" si="24"/>
        <v>IB31274</v>
      </c>
      <c r="G721" s="259"/>
      <c r="H721" s="260"/>
      <c r="I721" s="260"/>
      <c r="J721" s="261"/>
      <c r="K721" s="190"/>
      <c r="L721" s="209"/>
      <c r="M721" s="186" t="s">
        <v>11</v>
      </c>
      <c r="N721" s="195" t="str">
        <f t="shared" si="25"/>
        <v>OB31274</v>
      </c>
      <c r="O721" s="958" t="s">
        <v>1625</v>
      </c>
      <c r="P721" s="958"/>
      <c r="Q721" s="958"/>
      <c r="R721" s="958"/>
      <c r="S721" s="190" t="s">
        <v>1516</v>
      </c>
      <c r="T721" s="191"/>
      <c r="U721" s="909"/>
      <c r="V721" s="909"/>
      <c r="W721" s="187"/>
      <c r="X721" s="182"/>
      <c r="Y721" s="182"/>
      <c r="Z721" s="182"/>
      <c r="AA721" s="182"/>
      <c r="AB721" s="210"/>
      <c r="AC721" s="182"/>
      <c r="AD721" s="182"/>
      <c r="AE721" s="211"/>
    </row>
    <row r="722" spans="2:31" ht="13.5" customHeight="1">
      <c r="B722" s="180">
        <v>309</v>
      </c>
      <c r="C722" s="816"/>
      <c r="D722" s="765"/>
      <c r="E722" s="186" t="s">
        <v>10</v>
      </c>
      <c r="F722" s="187" t="str">
        <f t="shared" si="24"/>
        <v>IB31275</v>
      </c>
      <c r="G722" s="259"/>
      <c r="H722" s="260"/>
      <c r="I722" s="260"/>
      <c r="J722" s="261"/>
      <c r="K722" s="190"/>
      <c r="L722" s="209"/>
      <c r="M722" s="186" t="s">
        <v>11</v>
      </c>
      <c r="N722" s="195" t="str">
        <f t="shared" si="25"/>
        <v>OB31275</v>
      </c>
      <c r="O722" s="958" t="s">
        <v>1626</v>
      </c>
      <c r="P722" s="958"/>
      <c r="Q722" s="958"/>
      <c r="R722" s="958"/>
      <c r="S722" s="190" t="s">
        <v>1516</v>
      </c>
      <c r="T722" s="191"/>
      <c r="U722" s="909"/>
      <c r="V722" s="909"/>
      <c r="W722" s="187"/>
      <c r="X722" s="182"/>
      <c r="Y722" s="182"/>
      <c r="Z722" s="182"/>
      <c r="AA722" s="182"/>
      <c r="AB722" s="210"/>
      <c r="AC722" s="182"/>
      <c r="AD722" s="182"/>
      <c r="AE722" s="211"/>
    </row>
    <row r="723" spans="2:31" ht="13.5" customHeight="1">
      <c r="B723" s="180">
        <v>310</v>
      </c>
      <c r="C723" s="816"/>
      <c r="D723" s="765"/>
      <c r="E723" s="186" t="s">
        <v>10</v>
      </c>
      <c r="F723" s="187" t="str">
        <f t="shared" si="24"/>
        <v>IB31276</v>
      </c>
      <c r="G723" s="259"/>
      <c r="H723" s="260"/>
      <c r="I723" s="260"/>
      <c r="J723" s="261"/>
      <c r="K723" s="190"/>
      <c r="L723" s="209"/>
      <c r="M723" s="186" t="s">
        <v>11</v>
      </c>
      <c r="N723" s="195" t="str">
        <f t="shared" si="25"/>
        <v>OB31276</v>
      </c>
      <c r="O723" s="958" t="s">
        <v>1627</v>
      </c>
      <c r="P723" s="958"/>
      <c r="Q723" s="958"/>
      <c r="R723" s="958"/>
      <c r="S723" s="190" t="s">
        <v>1516</v>
      </c>
      <c r="T723" s="191"/>
      <c r="U723" s="909"/>
      <c r="V723" s="909"/>
      <c r="W723" s="187"/>
      <c r="X723" s="182"/>
      <c r="Y723" s="182"/>
      <c r="Z723" s="182"/>
      <c r="AA723" s="182"/>
      <c r="AB723" s="210"/>
      <c r="AC723" s="182"/>
      <c r="AD723" s="182"/>
      <c r="AE723" s="211"/>
    </row>
    <row r="724" spans="2:31" ht="13.5" customHeight="1">
      <c r="B724" s="180">
        <v>311</v>
      </c>
      <c r="C724" s="816"/>
      <c r="D724" s="765"/>
      <c r="E724" s="186" t="s">
        <v>10</v>
      </c>
      <c r="F724" s="187" t="str">
        <f t="shared" si="24"/>
        <v>IB31277</v>
      </c>
      <c r="G724" s="259"/>
      <c r="H724" s="260"/>
      <c r="I724" s="260"/>
      <c r="J724" s="261"/>
      <c r="K724" s="190"/>
      <c r="L724" s="209"/>
      <c r="M724" s="186" t="s">
        <v>11</v>
      </c>
      <c r="N724" s="195" t="str">
        <f t="shared" si="25"/>
        <v>OB31277</v>
      </c>
      <c r="O724" s="958" t="s">
        <v>1628</v>
      </c>
      <c r="P724" s="958"/>
      <c r="Q724" s="958"/>
      <c r="R724" s="958"/>
      <c r="S724" s="190" t="s">
        <v>1516</v>
      </c>
      <c r="T724" s="191"/>
      <c r="U724" s="909"/>
      <c r="V724" s="909"/>
      <c r="W724" s="187"/>
      <c r="X724" s="182"/>
      <c r="Y724" s="182"/>
      <c r="Z724" s="182"/>
      <c r="AA724" s="182"/>
      <c r="AB724" s="210"/>
      <c r="AC724" s="182"/>
      <c r="AD724" s="182"/>
      <c r="AE724" s="211"/>
    </row>
    <row r="725" spans="2:31" ht="13.5" customHeight="1">
      <c r="B725" s="180">
        <v>312</v>
      </c>
      <c r="C725" s="816"/>
      <c r="D725" s="765"/>
      <c r="E725" s="186" t="s">
        <v>10</v>
      </c>
      <c r="F725" s="187" t="str">
        <f t="shared" si="24"/>
        <v>IB31278</v>
      </c>
      <c r="G725" s="259"/>
      <c r="H725" s="260"/>
      <c r="I725" s="260"/>
      <c r="J725" s="261"/>
      <c r="K725" s="190"/>
      <c r="L725" s="209"/>
      <c r="M725" s="186" t="s">
        <v>11</v>
      </c>
      <c r="N725" s="195" t="str">
        <f t="shared" si="25"/>
        <v>OB31278</v>
      </c>
      <c r="O725" s="958" t="s">
        <v>1629</v>
      </c>
      <c r="P725" s="958"/>
      <c r="Q725" s="958"/>
      <c r="R725" s="958"/>
      <c r="S725" s="190" t="s">
        <v>1516</v>
      </c>
      <c r="T725" s="191"/>
      <c r="U725" s="909"/>
      <c r="V725" s="909"/>
      <c r="W725" s="187"/>
      <c r="X725" s="182"/>
      <c r="Y725" s="182"/>
      <c r="Z725" s="182"/>
      <c r="AA725" s="182"/>
      <c r="AB725" s="210"/>
      <c r="AC725" s="182"/>
      <c r="AD725" s="182"/>
      <c r="AE725" s="211"/>
    </row>
    <row r="726" spans="2:31" ht="13.5" customHeight="1">
      <c r="B726" s="180">
        <v>313</v>
      </c>
      <c r="C726" s="816"/>
      <c r="D726" s="765"/>
      <c r="E726" s="186" t="s">
        <v>10</v>
      </c>
      <c r="F726" s="187" t="str">
        <f t="shared" si="24"/>
        <v>IB31279</v>
      </c>
      <c r="G726" s="259"/>
      <c r="H726" s="260"/>
      <c r="I726" s="260"/>
      <c r="J726" s="261"/>
      <c r="K726" s="190"/>
      <c r="L726" s="209"/>
      <c r="M726" s="186" t="s">
        <v>11</v>
      </c>
      <c r="N726" s="195" t="str">
        <f t="shared" si="25"/>
        <v>OB31279</v>
      </c>
      <c r="O726" s="958" t="s">
        <v>1630</v>
      </c>
      <c r="P726" s="958"/>
      <c r="Q726" s="958"/>
      <c r="R726" s="958"/>
      <c r="S726" s="190" t="s">
        <v>1516</v>
      </c>
      <c r="T726" s="191"/>
      <c r="U726" s="909"/>
      <c r="V726" s="909"/>
      <c r="W726" s="187"/>
      <c r="X726" s="182"/>
      <c r="Y726" s="182"/>
      <c r="Z726" s="182"/>
      <c r="AA726" s="182"/>
      <c r="AB726" s="210"/>
      <c r="AC726" s="182"/>
      <c r="AD726" s="182"/>
      <c r="AE726" s="211"/>
    </row>
    <row r="727" spans="2:31" ht="13.5" customHeight="1">
      <c r="B727" s="180">
        <v>314</v>
      </c>
      <c r="C727" s="816"/>
      <c r="D727" s="765"/>
      <c r="E727" s="186" t="s">
        <v>10</v>
      </c>
      <c r="F727" s="187" t="str">
        <f t="shared" si="24"/>
        <v>IB3127A</v>
      </c>
      <c r="G727" s="259"/>
      <c r="H727" s="260"/>
      <c r="I727" s="260"/>
      <c r="J727" s="261"/>
      <c r="K727" s="190"/>
      <c r="L727" s="209"/>
      <c r="M727" s="186" t="s">
        <v>11</v>
      </c>
      <c r="N727" s="195" t="str">
        <f t="shared" si="25"/>
        <v>OB3127A</v>
      </c>
      <c r="O727" s="958" t="s">
        <v>1631</v>
      </c>
      <c r="P727" s="958"/>
      <c r="Q727" s="958"/>
      <c r="R727" s="958"/>
      <c r="S727" s="190" t="s">
        <v>1516</v>
      </c>
      <c r="T727" s="191"/>
      <c r="U727" s="909"/>
      <c r="V727" s="909"/>
      <c r="W727" s="187"/>
      <c r="X727" s="182"/>
      <c r="Y727" s="182"/>
      <c r="Z727" s="182"/>
      <c r="AA727" s="182"/>
      <c r="AB727" s="210"/>
      <c r="AC727" s="182"/>
      <c r="AD727" s="182"/>
      <c r="AE727" s="211"/>
    </row>
    <row r="728" spans="2:31" ht="13.5" customHeight="1">
      <c r="B728" s="180">
        <v>315</v>
      </c>
      <c r="C728" s="816"/>
      <c r="D728" s="765"/>
      <c r="E728" s="186" t="s">
        <v>10</v>
      </c>
      <c r="F728" s="187" t="str">
        <f t="shared" si="24"/>
        <v>IB3127B</v>
      </c>
      <c r="G728" s="259"/>
      <c r="H728" s="260"/>
      <c r="I728" s="260"/>
      <c r="J728" s="261"/>
      <c r="K728" s="190"/>
      <c r="L728" s="209"/>
      <c r="M728" s="186" t="s">
        <v>11</v>
      </c>
      <c r="N728" s="195" t="str">
        <f t="shared" si="25"/>
        <v>OB3127B</v>
      </c>
      <c r="O728" s="958" t="s">
        <v>1632</v>
      </c>
      <c r="P728" s="958"/>
      <c r="Q728" s="958"/>
      <c r="R728" s="958"/>
      <c r="S728" s="190" t="s">
        <v>1516</v>
      </c>
      <c r="T728" s="191"/>
      <c r="U728" s="909"/>
      <c r="V728" s="909"/>
      <c r="W728" s="187"/>
      <c r="X728" s="182"/>
      <c r="Y728" s="182"/>
      <c r="Z728" s="182"/>
      <c r="AA728" s="182"/>
      <c r="AB728" s="210"/>
      <c r="AC728" s="182"/>
      <c r="AD728" s="182"/>
      <c r="AE728" s="211"/>
    </row>
    <row r="729" spans="2:31" ht="13.5" customHeight="1">
      <c r="B729" s="180">
        <v>316</v>
      </c>
      <c r="C729" s="816"/>
      <c r="D729" s="765"/>
      <c r="E729" s="186" t="s">
        <v>10</v>
      </c>
      <c r="F729" s="187" t="str">
        <f t="shared" si="24"/>
        <v>IB3127C</v>
      </c>
      <c r="G729" s="259"/>
      <c r="H729" s="260"/>
      <c r="I729" s="260"/>
      <c r="J729" s="261"/>
      <c r="K729" s="190"/>
      <c r="L729" s="209"/>
      <c r="M729" s="186" t="s">
        <v>11</v>
      </c>
      <c r="N729" s="195" t="str">
        <f t="shared" si="25"/>
        <v>OB3127C</v>
      </c>
      <c r="O729" s="958" t="s">
        <v>1633</v>
      </c>
      <c r="P729" s="958"/>
      <c r="Q729" s="958"/>
      <c r="R729" s="958"/>
      <c r="S729" s="190" t="s">
        <v>1516</v>
      </c>
      <c r="T729" s="191"/>
      <c r="U729" s="909"/>
      <c r="V729" s="909"/>
      <c r="W729" s="187"/>
      <c r="X729" s="182"/>
      <c r="Y729" s="182"/>
      <c r="Z729" s="182"/>
      <c r="AA729" s="182"/>
      <c r="AB729" s="210"/>
      <c r="AC729" s="182"/>
      <c r="AD729" s="182"/>
      <c r="AE729" s="211"/>
    </row>
    <row r="730" spans="2:31" ht="13.5" customHeight="1">
      <c r="B730" s="180">
        <v>317</v>
      </c>
      <c r="C730" s="816"/>
      <c r="D730" s="765"/>
      <c r="E730" s="186" t="s">
        <v>10</v>
      </c>
      <c r="F730" s="187" t="str">
        <f t="shared" si="24"/>
        <v>IB3127D</v>
      </c>
      <c r="G730" s="259"/>
      <c r="H730" s="260"/>
      <c r="I730" s="260"/>
      <c r="J730" s="261"/>
      <c r="K730" s="182"/>
      <c r="L730" s="235"/>
      <c r="M730" s="186" t="s">
        <v>11</v>
      </c>
      <c r="N730" s="195" t="str">
        <f t="shared" si="25"/>
        <v>OB3127D</v>
      </c>
      <c r="O730" s="958" t="s">
        <v>1634</v>
      </c>
      <c r="P730" s="958"/>
      <c r="Q730" s="958"/>
      <c r="R730" s="958"/>
      <c r="S730" s="190" t="s">
        <v>1516</v>
      </c>
      <c r="T730" s="191"/>
      <c r="U730" s="909"/>
      <c r="V730" s="909"/>
      <c r="W730" s="187"/>
      <c r="X730" s="182"/>
      <c r="Y730" s="182"/>
      <c r="Z730" s="182"/>
      <c r="AA730" s="182"/>
      <c r="AB730" s="210"/>
      <c r="AC730" s="182"/>
      <c r="AD730" s="182"/>
      <c r="AE730" s="211"/>
    </row>
    <row r="731" spans="2:31" ht="13.5" customHeight="1">
      <c r="B731" s="180">
        <v>318</v>
      </c>
      <c r="C731" s="816"/>
      <c r="D731" s="765"/>
      <c r="E731" s="186" t="s">
        <v>10</v>
      </c>
      <c r="F731" s="187" t="str">
        <f t="shared" si="24"/>
        <v>IB3127E</v>
      </c>
      <c r="G731" s="259"/>
      <c r="H731" s="260"/>
      <c r="I731" s="260"/>
      <c r="J731" s="261"/>
      <c r="K731" s="182"/>
      <c r="L731" s="235"/>
      <c r="M731" s="186" t="s">
        <v>11</v>
      </c>
      <c r="N731" s="195" t="str">
        <f t="shared" si="25"/>
        <v>OB3127E</v>
      </c>
      <c r="O731" s="958" t="s">
        <v>1635</v>
      </c>
      <c r="P731" s="958"/>
      <c r="Q731" s="958"/>
      <c r="R731" s="958"/>
      <c r="S731" s="190" t="s">
        <v>1516</v>
      </c>
      <c r="T731" s="191"/>
      <c r="U731" s="909"/>
      <c r="V731" s="909"/>
      <c r="W731" s="187"/>
      <c r="X731" s="182"/>
      <c r="Y731" s="182"/>
      <c r="Z731" s="182"/>
      <c r="AA731" s="182"/>
      <c r="AB731" s="210"/>
      <c r="AC731" s="182"/>
      <c r="AD731" s="182"/>
      <c r="AE731" s="211"/>
    </row>
    <row r="732" spans="2:31" ht="13.5" customHeight="1">
      <c r="B732" s="291">
        <v>319</v>
      </c>
      <c r="C732" s="956"/>
      <c r="D732" s="923"/>
      <c r="E732" s="292" t="s">
        <v>10</v>
      </c>
      <c r="F732" s="293" t="str">
        <f t="shared" si="24"/>
        <v>IB3127F</v>
      </c>
      <c r="G732" s="361"/>
      <c r="H732" s="362"/>
      <c r="I732" s="362"/>
      <c r="J732" s="363"/>
      <c r="K732" s="299"/>
      <c r="L732" s="579"/>
      <c r="M732" s="292" t="s">
        <v>11</v>
      </c>
      <c r="N732" s="195" t="str">
        <f t="shared" si="25"/>
        <v>OB3127F</v>
      </c>
      <c r="O732" s="958" t="s">
        <v>1636</v>
      </c>
      <c r="P732" s="958"/>
      <c r="Q732" s="958"/>
      <c r="R732" s="958"/>
      <c r="S732" s="190" t="s">
        <v>1516</v>
      </c>
      <c r="T732" s="298"/>
      <c r="U732" s="955"/>
      <c r="V732" s="955"/>
      <c r="W732" s="293"/>
      <c r="X732" s="299"/>
      <c r="Y732" s="299"/>
      <c r="Z732" s="299"/>
      <c r="AA732" s="299"/>
      <c r="AB732" s="300"/>
      <c r="AC732" s="299"/>
      <c r="AD732" s="299"/>
      <c r="AE732" s="301"/>
    </row>
    <row r="733" spans="2:31" ht="17.25" customHeight="1">
      <c r="B733" s="180">
        <v>320</v>
      </c>
      <c r="C733" s="907" t="s">
        <v>1595</v>
      </c>
      <c r="D733" s="843" t="s">
        <v>1405</v>
      </c>
      <c r="E733" s="35" t="s">
        <v>10</v>
      </c>
      <c r="F733" s="36" t="str">
        <f t="shared" si="24"/>
        <v>IB31280</v>
      </c>
      <c r="G733" s="305"/>
      <c r="H733" s="306"/>
      <c r="I733" s="306"/>
      <c r="J733" s="307"/>
      <c r="K733" s="140"/>
      <c r="L733" s="579"/>
      <c r="M733" s="35" t="s">
        <v>11</v>
      </c>
      <c r="N733" s="195" t="str">
        <f t="shared" si="25"/>
        <v>OB31280</v>
      </c>
      <c r="O733" s="364"/>
      <c r="P733" s="365"/>
      <c r="Q733" s="365"/>
      <c r="R733" s="366"/>
      <c r="S733" s="140"/>
      <c r="T733" s="142"/>
      <c r="U733" s="882"/>
      <c r="V733" s="883"/>
      <c r="W733" s="36"/>
      <c r="X733" s="143"/>
      <c r="Y733" s="143"/>
      <c r="Z733" s="143"/>
      <c r="AA733" s="143"/>
      <c r="AB733" s="144"/>
      <c r="AC733" s="143"/>
      <c r="AD733" s="143"/>
      <c r="AE733" s="145"/>
    </row>
    <row r="734" spans="2:31" ht="17.25" customHeight="1">
      <c r="B734" s="291">
        <v>321</v>
      </c>
      <c r="C734" s="816"/>
      <c r="D734" s="792"/>
      <c r="E734" s="35" t="s">
        <v>10</v>
      </c>
      <c r="F734" s="36" t="str">
        <f t="shared" ref="F734:F748" si="26">LEFT(F733,1)&amp;DEC2HEX(HEX2DEC(MID(F733,2,LENB(F733)-1))+1,LENB(F733)-1)</f>
        <v>IB31281</v>
      </c>
      <c r="G734" s="305"/>
      <c r="H734" s="306"/>
      <c r="I734" s="306"/>
      <c r="J734" s="307"/>
      <c r="K734" s="140"/>
      <c r="L734" s="235"/>
      <c r="M734" s="35" t="s">
        <v>11</v>
      </c>
      <c r="N734" s="195" t="str">
        <f t="shared" si="25"/>
        <v>OB31281</v>
      </c>
      <c r="O734" s="364"/>
      <c r="P734" s="365"/>
      <c r="Q734" s="365"/>
      <c r="R734" s="366"/>
      <c r="S734" s="140"/>
      <c r="T734" s="142"/>
      <c r="U734" s="882"/>
      <c r="V734" s="883"/>
      <c r="W734" s="36"/>
      <c r="X734" s="143"/>
      <c r="Y734" s="143"/>
      <c r="Z734" s="143"/>
      <c r="AA734" s="143"/>
      <c r="AB734" s="144"/>
      <c r="AC734" s="143"/>
      <c r="AD734" s="143"/>
      <c r="AE734" s="145"/>
    </row>
    <row r="735" spans="2:31" ht="17.25" customHeight="1">
      <c r="B735" s="180">
        <v>322</v>
      </c>
      <c r="C735" s="816"/>
      <c r="D735" s="792"/>
      <c r="E735" s="35" t="s">
        <v>10</v>
      </c>
      <c r="F735" s="36" t="str">
        <f t="shared" si="26"/>
        <v>IB31282</v>
      </c>
      <c r="G735" s="305"/>
      <c r="H735" s="306"/>
      <c r="I735" s="306"/>
      <c r="J735" s="307"/>
      <c r="K735" s="140"/>
      <c r="L735" s="235"/>
      <c r="M735" s="35" t="s">
        <v>11</v>
      </c>
      <c r="N735" s="195" t="str">
        <f t="shared" si="25"/>
        <v>OB31282</v>
      </c>
      <c r="O735" s="364"/>
      <c r="P735" s="365"/>
      <c r="Q735" s="365"/>
      <c r="R735" s="366"/>
      <c r="S735" s="140"/>
      <c r="T735" s="142"/>
      <c r="U735" s="882"/>
      <c r="V735" s="883"/>
      <c r="W735" s="36"/>
      <c r="X735" s="143"/>
      <c r="Y735" s="143"/>
      <c r="Z735" s="143"/>
      <c r="AA735" s="143"/>
      <c r="AB735" s="144"/>
      <c r="AC735" s="143"/>
      <c r="AD735" s="143"/>
      <c r="AE735" s="145"/>
    </row>
    <row r="736" spans="2:31" ht="17.25" customHeight="1">
      <c r="B736" s="291">
        <v>323</v>
      </c>
      <c r="C736" s="816"/>
      <c r="D736" s="792"/>
      <c r="E736" s="35" t="s">
        <v>10</v>
      </c>
      <c r="F736" s="36" t="str">
        <f t="shared" si="26"/>
        <v>IB31283</v>
      </c>
      <c r="G736" s="305"/>
      <c r="H736" s="306"/>
      <c r="I736" s="306"/>
      <c r="J736" s="307"/>
      <c r="K736" s="140"/>
      <c r="L736" s="235"/>
      <c r="M736" s="35" t="s">
        <v>11</v>
      </c>
      <c r="N736" s="195" t="str">
        <f t="shared" si="25"/>
        <v>OB31283</v>
      </c>
      <c r="O736" s="364"/>
      <c r="P736" s="365"/>
      <c r="Q736" s="365"/>
      <c r="R736" s="366"/>
      <c r="S736" s="140"/>
      <c r="T736" s="142"/>
      <c r="U736" s="882"/>
      <c r="V736" s="883"/>
      <c r="W736" s="36"/>
      <c r="X736" s="143"/>
      <c r="Y736" s="143"/>
      <c r="Z736" s="143"/>
      <c r="AA736" s="143"/>
      <c r="AB736" s="144"/>
      <c r="AC736" s="143"/>
      <c r="AD736" s="143"/>
      <c r="AE736" s="145"/>
    </row>
    <row r="737" spans="2:31" ht="17.25" customHeight="1">
      <c r="B737" s="180">
        <v>324</v>
      </c>
      <c r="C737" s="816"/>
      <c r="D737" s="792"/>
      <c r="E737" s="35" t="s">
        <v>10</v>
      </c>
      <c r="F737" s="36" t="str">
        <f t="shared" si="26"/>
        <v>IB31284</v>
      </c>
      <c r="G737" s="305"/>
      <c r="H737" s="306"/>
      <c r="I737" s="306"/>
      <c r="J737" s="307"/>
      <c r="K737" s="140"/>
      <c r="L737" s="235"/>
      <c r="M737" s="35" t="s">
        <v>11</v>
      </c>
      <c r="N737" s="195" t="str">
        <f t="shared" si="25"/>
        <v>OB31284</v>
      </c>
      <c r="O737" s="364"/>
      <c r="P737" s="365"/>
      <c r="Q737" s="365"/>
      <c r="R737" s="366"/>
      <c r="S737" s="140"/>
      <c r="T737" s="142"/>
      <c r="U737" s="882"/>
      <c r="V737" s="883"/>
      <c r="W737" s="36"/>
      <c r="X737" s="143"/>
      <c r="Y737" s="143"/>
      <c r="Z737" s="143"/>
      <c r="AA737" s="143"/>
      <c r="AB737" s="144"/>
      <c r="AC737" s="143"/>
      <c r="AD737" s="143"/>
      <c r="AE737" s="145"/>
    </row>
    <row r="738" spans="2:31" ht="17.25" customHeight="1">
      <c r="B738" s="291">
        <v>325</v>
      </c>
      <c r="C738" s="816"/>
      <c r="D738" s="792"/>
      <c r="E738" s="35" t="s">
        <v>10</v>
      </c>
      <c r="F738" s="36" t="str">
        <f t="shared" si="26"/>
        <v>IB31285</v>
      </c>
      <c r="G738" s="305"/>
      <c r="H738" s="306"/>
      <c r="I738" s="306"/>
      <c r="J738" s="307"/>
      <c r="K738" s="140"/>
      <c r="L738" s="235"/>
      <c r="M738" s="35" t="s">
        <v>11</v>
      </c>
      <c r="N738" s="195" t="str">
        <f t="shared" si="25"/>
        <v>OB31285</v>
      </c>
      <c r="O738" s="364"/>
      <c r="P738" s="365"/>
      <c r="Q738" s="365"/>
      <c r="R738" s="366"/>
      <c r="S738" s="140"/>
      <c r="T738" s="142"/>
      <c r="U738" s="882"/>
      <c r="V738" s="883"/>
      <c r="W738" s="36"/>
      <c r="X738" s="143"/>
      <c r="Y738" s="143"/>
      <c r="Z738" s="143"/>
      <c r="AA738" s="143"/>
      <c r="AB738" s="144"/>
      <c r="AC738" s="143"/>
      <c r="AD738" s="143"/>
      <c r="AE738" s="145"/>
    </row>
    <row r="739" spans="2:31" ht="17.25" customHeight="1">
      <c r="B739" s="180">
        <v>326</v>
      </c>
      <c r="C739" s="816"/>
      <c r="D739" s="792"/>
      <c r="E739" s="35" t="s">
        <v>10</v>
      </c>
      <c r="F739" s="36" t="str">
        <f t="shared" si="26"/>
        <v>IB31286</v>
      </c>
      <c r="G739" s="305"/>
      <c r="H739" s="306"/>
      <c r="I739" s="306"/>
      <c r="J739" s="307"/>
      <c r="K739" s="140"/>
      <c r="L739" s="235"/>
      <c r="M739" s="35" t="s">
        <v>11</v>
      </c>
      <c r="N739" s="195" t="str">
        <f t="shared" si="25"/>
        <v>OB31286</v>
      </c>
      <c r="O739" s="364"/>
      <c r="P739" s="365"/>
      <c r="Q739" s="365"/>
      <c r="R739" s="366"/>
      <c r="S739" s="140"/>
      <c r="T739" s="142"/>
      <c r="U739" s="882"/>
      <c r="V739" s="883"/>
      <c r="W739" s="36"/>
      <c r="X739" s="143"/>
      <c r="Y739" s="143"/>
      <c r="Z739" s="143"/>
      <c r="AA739" s="143"/>
      <c r="AB739" s="144"/>
      <c r="AC739" s="143"/>
      <c r="AD739" s="143"/>
      <c r="AE739" s="145"/>
    </row>
    <row r="740" spans="2:31" ht="17.25" customHeight="1">
      <c r="B740" s="291">
        <v>327</v>
      </c>
      <c r="C740" s="816"/>
      <c r="D740" s="792"/>
      <c r="E740" s="35" t="s">
        <v>10</v>
      </c>
      <c r="F740" s="36" t="str">
        <f t="shared" si="26"/>
        <v>IB31287</v>
      </c>
      <c r="G740" s="305"/>
      <c r="H740" s="306"/>
      <c r="I740" s="306"/>
      <c r="J740" s="307"/>
      <c r="K740" s="140"/>
      <c r="L740" s="235"/>
      <c r="M740" s="35" t="s">
        <v>11</v>
      </c>
      <c r="N740" s="195" t="str">
        <f t="shared" si="25"/>
        <v>OB31287</v>
      </c>
      <c r="O740" s="364"/>
      <c r="P740" s="365"/>
      <c r="Q740" s="365"/>
      <c r="R740" s="366"/>
      <c r="S740" s="140"/>
      <c r="T740" s="142"/>
      <c r="U740" s="882"/>
      <c r="V740" s="883"/>
      <c r="W740" s="36"/>
      <c r="X740" s="143"/>
      <c r="Y740" s="143"/>
      <c r="Z740" s="143"/>
      <c r="AA740" s="143"/>
      <c r="AB740" s="144"/>
      <c r="AC740" s="143"/>
      <c r="AD740" s="143"/>
      <c r="AE740" s="145"/>
    </row>
    <row r="741" spans="2:31" ht="17.25" customHeight="1">
      <c r="B741" s="180">
        <v>328</v>
      </c>
      <c r="C741" s="816"/>
      <c r="D741" s="792"/>
      <c r="E741" s="35" t="s">
        <v>10</v>
      </c>
      <c r="F741" s="36" t="str">
        <f t="shared" si="26"/>
        <v>IB31288</v>
      </c>
      <c r="G741" s="364"/>
      <c r="H741" s="365"/>
      <c r="I741" s="365"/>
      <c r="J741" s="366"/>
      <c r="K741" s="140"/>
      <c r="L741" s="235"/>
      <c r="M741" s="35" t="s">
        <v>11</v>
      </c>
      <c r="N741" s="195" t="str">
        <f t="shared" si="25"/>
        <v>OB31288</v>
      </c>
      <c r="O741" s="305" t="s">
        <v>282</v>
      </c>
      <c r="P741" s="306"/>
      <c r="Q741" s="306"/>
      <c r="R741" s="307"/>
      <c r="S741" s="140" t="s">
        <v>1516</v>
      </c>
      <c r="T741" s="142" t="s">
        <v>1513</v>
      </c>
      <c r="U741" s="882"/>
      <c r="V741" s="883"/>
      <c r="W741" s="36"/>
      <c r="X741" s="143"/>
      <c r="Y741" s="143"/>
      <c r="Z741" s="143"/>
      <c r="AA741" s="143"/>
      <c r="AB741" s="144"/>
      <c r="AC741" s="143"/>
      <c r="AD741" s="143"/>
      <c r="AE741" s="145"/>
    </row>
    <row r="742" spans="2:31" ht="17.25" customHeight="1">
      <c r="B742" s="291">
        <v>329</v>
      </c>
      <c r="C742" s="816"/>
      <c r="D742" s="792"/>
      <c r="E742" s="35" t="s">
        <v>10</v>
      </c>
      <c r="F742" s="36" t="str">
        <f t="shared" si="26"/>
        <v>IB31289</v>
      </c>
      <c r="G742" s="364"/>
      <c r="H742" s="365"/>
      <c r="I742" s="365"/>
      <c r="J742" s="366"/>
      <c r="K742" s="140"/>
      <c r="L742" s="235"/>
      <c r="M742" s="35" t="s">
        <v>11</v>
      </c>
      <c r="N742" s="195" t="str">
        <f t="shared" si="25"/>
        <v>OB31289</v>
      </c>
      <c r="O742" s="305" t="s">
        <v>194</v>
      </c>
      <c r="P742" s="306"/>
      <c r="Q742" s="306"/>
      <c r="R742" s="307"/>
      <c r="S742" s="608" t="s">
        <v>1528</v>
      </c>
      <c r="T742" s="142" t="s">
        <v>1513</v>
      </c>
      <c r="U742" s="761" t="s">
        <v>1549</v>
      </c>
      <c r="V742" s="762"/>
      <c r="W742" s="36"/>
      <c r="X742" s="143"/>
      <c r="Y742" s="143"/>
      <c r="Z742" s="143"/>
      <c r="AA742" s="143"/>
      <c r="AB742" s="144"/>
      <c r="AC742" s="143"/>
      <c r="AD742" s="143"/>
      <c r="AE742" s="145"/>
    </row>
    <row r="743" spans="2:31" ht="17.25" customHeight="1">
      <c r="B743" s="180">
        <v>330</v>
      </c>
      <c r="C743" s="816"/>
      <c r="D743" s="792"/>
      <c r="E743" s="35" t="s">
        <v>10</v>
      </c>
      <c r="F743" s="36" t="str">
        <f t="shared" si="26"/>
        <v>IB3128A</v>
      </c>
      <c r="G743" s="364"/>
      <c r="H743" s="365"/>
      <c r="I743" s="365"/>
      <c r="J743" s="366"/>
      <c r="K743" s="140"/>
      <c r="L743" s="235"/>
      <c r="M743" s="35" t="s">
        <v>11</v>
      </c>
      <c r="N743" s="195" t="str">
        <f t="shared" si="25"/>
        <v>OB3128A</v>
      </c>
      <c r="O743" s="305"/>
      <c r="P743" s="306"/>
      <c r="Q743" s="306"/>
      <c r="R743" s="307"/>
      <c r="S743" s="140"/>
      <c r="T743" s="142"/>
      <c r="U743" s="882"/>
      <c r="V743" s="883"/>
      <c r="W743" s="36"/>
      <c r="X743" s="143"/>
      <c r="Y743" s="143"/>
      <c r="Z743" s="143"/>
      <c r="AA743" s="143"/>
      <c r="AB743" s="144"/>
      <c r="AC743" s="143"/>
      <c r="AD743" s="143"/>
      <c r="AE743" s="145"/>
    </row>
    <row r="744" spans="2:31" ht="17.25" customHeight="1">
      <c r="B744" s="291">
        <v>331</v>
      </c>
      <c r="C744" s="816"/>
      <c r="D744" s="792"/>
      <c r="E744" s="35" t="s">
        <v>10</v>
      </c>
      <c r="F744" s="36" t="str">
        <f t="shared" si="26"/>
        <v>IB3128B</v>
      </c>
      <c r="G744" s="364"/>
      <c r="H744" s="365"/>
      <c r="I744" s="365"/>
      <c r="J744" s="366"/>
      <c r="K744" s="140"/>
      <c r="L744" s="235"/>
      <c r="M744" s="35" t="s">
        <v>11</v>
      </c>
      <c r="N744" s="38" t="str">
        <f t="shared" ref="N744:N748" si="27">LEFT(N743,1)&amp;DEC2HEX(HEX2DEC(MID(N743,2,LENB(N743)-1))+1,LENB(N743)-1)</f>
        <v>OB3128B</v>
      </c>
      <c r="O744" s="305"/>
      <c r="P744" s="306"/>
      <c r="Q744" s="306"/>
      <c r="R744" s="307"/>
      <c r="S744" s="140"/>
      <c r="T744" s="142"/>
      <c r="U744" s="882"/>
      <c r="V744" s="883"/>
      <c r="W744" s="36"/>
      <c r="X744" s="143"/>
      <c r="Y744" s="143"/>
      <c r="Z744" s="143"/>
      <c r="AA744" s="143"/>
      <c r="AB744" s="144"/>
      <c r="AC744" s="143"/>
      <c r="AD744" s="143"/>
      <c r="AE744" s="145"/>
    </row>
    <row r="745" spans="2:31" ht="17.25" customHeight="1">
      <c r="B745" s="180">
        <v>332</v>
      </c>
      <c r="C745" s="816"/>
      <c r="D745" s="792"/>
      <c r="E745" s="35" t="s">
        <v>10</v>
      </c>
      <c r="F745" s="36" t="str">
        <f t="shared" si="26"/>
        <v>IB3128C</v>
      </c>
      <c r="G745" s="364"/>
      <c r="H745" s="365"/>
      <c r="I745" s="365"/>
      <c r="J745" s="366"/>
      <c r="K745" s="140"/>
      <c r="L745" s="235"/>
      <c r="M745" s="35" t="s">
        <v>11</v>
      </c>
      <c r="N745" s="38" t="str">
        <f t="shared" si="27"/>
        <v>OB3128C</v>
      </c>
      <c r="O745" s="305"/>
      <c r="P745" s="306"/>
      <c r="Q745" s="306"/>
      <c r="R745" s="307"/>
      <c r="S745" s="140"/>
      <c r="T745" s="142"/>
      <c r="U745" s="882"/>
      <c r="V745" s="883"/>
      <c r="W745" s="36"/>
      <c r="X745" s="143"/>
      <c r="Y745" s="143"/>
      <c r="Z745" s="143"/>
      <c r="AA745" s="143"/>
      <c r="AB745" s="144"/>
      <c r="AC745" s="143"/>
      <c r="AD745" s="143"/>
      <c r="AE745" s="145"/>
    </row>
    <row r="746" spans="2:31" ht="17.25" customHeight="1">
      <c r="B746" s="291">
        <v>333</v>
      </c>
      <c r="C746" s="816"/>
      <c r="D746" s="792"/>
      <c r="E746" s="35" t="s">
        <v>10</v>
      </c>
      <c r="F746" s="36" t="str">
        <f t="shared" si="26"/>
        <v>IB3128D</v>
      </c>
      <c r="G746" s="364"/>
      <c r="H746" s="365"/>
      <c r="I746" s="365"/>
      <c r="J746" s="366"/>
      <c r="K746" s="143"/>
      <c r="L746" s="235"/>
      <c r="M746" s="35" t="s">
        <v>11</v>
      </c>
      <c r="N746" s="38" t="str">
        <f t="shared" si="27"/>
        <v>OB3128D</v>
      </c>
      <c r="O746" s="305" t="s">
        <v>699</v>
      </c>
      <c r="P746" s="306"/>
      <c r="Q746" s="306"/>
      <c r="R746" s="307"/>
      <c r="S746" s="608" t="s">
        <v>1528</v>
      </c>
      <c r="T746" s="142" t="s">
        <v>1513</v>
      </c>
      <c r="U746" s="882"/>
      <c r="V746" s="883"/>
      <c r="W746" s="36"/>
      <c r="X746" s="143"/>
      <c r="Y746" s="143"/>
      <c r="Z746" s="143"/>
      <c r="AA746" s="143"/>
      <c r="AB746" s="144"/>
      <c r="AC746" s="143"/>
      <c r="AD746" s="143"/>
      <c r="AE746" s="145"/>
    </row>
    <row r="747" spans="2:31" ht="17.25" customHeight="1">
      <c r="B747" s="180">
        <v>334</v>
      </c>
      <c r="C747" s="816"/>
      <c r="D747" s="792"/>
      <c r="E747" s="35" t="s">
        <v>10</v>
      </c>
      <c r="F747" s="36" t="str">
        <f t="shared" si="26"/>
        <v>IB3128E</v>
      </c>
      <c r="G747" s="364"/>
      <c r="H747" s="365"/>
      <c r="I747" s="365"/>
      <c r="J747" s="366"/>
      <c r="K747" s="143"/>
      <c r="L747" s="235"/>
      <c r="M747" s="35" t="s">
        <v>11</v>
      </c>
      <c r="N747" s="38" t="str">
        <f t="shared" si="27"/>
        <v>OB3128E</v>
      </c>
      <c r="O747" s="305" t="s">
        <v>700</v>
      </c>
      <c r="P747" s="306"/>
      <c r="Q747" s="306"/>
      <c r="R747" s="307"/>
      <c r="S747" s="608" t="s">
        <v>1528</v>
      </c>
      <c r="T747" s="142" t="s">
        <v>1513</v>
      </c>
      <c r="U747" s="882"/>
      <c r="V747" s="883"/>
      <c r="W747" s="36"/>
      <c r="X747" s="143"/>
      <c r="Y747" s="143"/>
      <c r="Z747" s="143"/>
      <c r="AA747" s="143"/>
      <c r="AB747" s="144"/>
      <c r="AC747" s="143"/>
      <c r="AD747" s="143"/>
      <c r="AE747" s="145"/>
    </row>
    <row r="748" spans="2:31" ht="17.25" customHeight="1" thickBot="1">
      <c r="B748" s="44">
        <v>335</v>
      </c>
      <c r="C748" s="908"/>
      <c r="D748" s="793"/>
      <c r="E748" s="45" t="s">
        <v>10</v>
      </c>
      <c r="F748" s="46" t="str">
        <f t="shared" si="26"/>
        <v>IB3128F</v>
      </c>
      <c r="G748" s="367"/>
      <c r="H748" s="368"/>
      <c r="I748" s="368"/>
      <c r="J748" s="369"/>
      <c r="K748" s="154"/>
      <c r="L748" s="580"/>
      <c r="M748" s="45" t="s">
        <v>11</v>
      </c>
      <c r="N748" s="48" t="str">
        <f t="shared" si="27"/>
        <v>OB3128F</v>
      </c>
      <c r="O748" s="420" t="s">
        <v>285</v>
      </c>
      <c r="P748" s="421"/>
      <c r="Q748" s="421"/>
      <c r="R748" s="422"/>
      <c r="S748" s="610" t="s">
        <v>1528</v>
      </c>
      <c r="T748" s="290" t="s">
        <v>1513</v>
      </c>
      <c r="U748" s="905"/>
      <c r="V748" s="906"/>
      <c r="W748" s="46"/>
      <c r="X748" s="154"/>
      <c r="Y748" s="154"/>
      <c r="Z748" s="154"/>
      <c r="AA748" s="154"/>
      <c r="AB748" s="155"/>
      <c r="AC748" s="154"/>
      <c r="AD748" s="154"/>
      <c r="AE748" s="156"/>
    </row>
  </sheetData>
  <mergeCells count="914">
    <mergeCell ref="O724:R724"/>
    <mergeCell ref="O725:R725"/>
    <mergeCell ref="O726:R726"/>
    <mergeCell ref="O727:R727"/>
    <mergeCell ref="O728:R728"/>
    <mergeCell ref="O729:R729"/>
    <mergeCell ref="O730:R730"/>
    <mergeCell ref="O731:R731"/>
    <mergeCell ref="O732:R732"/>
    <mergeCell ref="G709:J709"/>
    <mergeCell ref="G710:J710"/>
    <mergeCell ref="G711:J711"/>
    <mergeCell ref="G712:J712"/>
    <mergeCell ref="G713:J713"/>
    <mergeCell ref="G714:J714"/>
    <mergeCell ref="G715:J715"/>
    <mergeCell ref="G716:J716"/>
    <mergeCell ref="O717:R717"/>
    <mergeCell ref="Z5:AA5"/>
    <mergeCell ref="AC5:AD5"/>
    <mergeCell ref="B6:D6"/>
    <mergeCell ref="E6:F6"/>
    <mergeCell ref="G6:H6"/>
    <mergeCell ref="I6:J6"/>
    <mergeCell ref="K6:N6"/>
    <mergeCell ref="O6:P6"/>
    <mergeCell ref="Q6:R6"/>
    <mergeCell ref="B7:D7"/>
    <mergeCell ref="E7:F7"/>
    <mergeCell ref="G7:H7"/>
    <mergeCell ref="I7:J7"/>
    <mergeCell ref="K7:N7"/>
    <mergeCell ref="O7:P7"/>
    <mergeCell ref="Q7:R7"/>
    <mergeCell ref="B5:H5"/>
    <mergeCell ref="I5:S5"/>
    <mergeCell ref="Q8:R8"/>
    <mergeCell ref="B9:D9"/>
    <mergeCell ref="E9:F9"/>
    <mergeCell ref="G9:H9"/>
    <mergeCell ref="I9:J9"/>
    <mergeCell ref="K9:N9"/>
    <mergeCell ref="O9:P9"/>
    <mergeCell ref="Q9:R9"/>
    <mergeCell ref="B8:D8"/>
    <mergeCell ref="E8:F8"/>
    <mergeCell ref="G8:H8"/>
    <mergeCell ref="I8:J8"/>
    <mergeCell ref="K8:N8"/>
    <mergeCell ref="O8:P8"/>
    <mergeCell ref="Q10:R10"/>
    <mergeCell ref="B11:D11"/>
    <mergeCell ref="E11:F11"/>
    <mergeCell ref="G11:H11"/>
    <mergeCell ref="I11:J11"/>
    <mergeCell ref="K11:N11"/>
    <mergeCell ref="O11:P11"/>
    <mergeCell ref="Q11:R11"/>
    <mergeCell ref="B10:D10"/>
    <mergeCell ref="E10:F10"/>
    <mergeCell ref="G10:H10"/>
    <mergeCell ref="I10:J10"/>
    <mergeCell ref="K10:N10"/>
    <mergeCell ref="O10:P10"/>
    <mergeCell ref="Z12:AB12"/>
    <mergeCell ref="B13:B14"/>
    <mergeCell ref="C13:C14"/>
    <mergeCell ref="D13:D14"/>
    <mergeCell ref="E13:E14"/>
    <mergeCell ref="F13:F14"/>
    <mergeCell ref="G13:J14"/>
    <mergeCell ref="K13:K14"/>
    <mergeCell ref="L13:L14"/>
    <mergeCell ref="M13:M14"/>
    <mergeCell ref="Z13:AB13"/>
    <mergeCell ref="AC13:AE13"/>
    <mergeCell ref="C15:C46"/>
    <mergeCell ref="D15:D46"/>
    <mergeCell ref="U15:V15"/>
    <mergeCell ref="U16:V16"/>
    <mergeCell ref="U17:V17"/>
    <mergeCell ref="U18:V18"/>
    <mergeCell ref="U19:V19"/>
    <mergeCell ref="U20:V20"/>
    <mergeCell ref="N13:N14"/>
    <mergeCell ref="O13:R14"/>
    <mergeCell ref="S13:S14"/>
    <mergeCell ref="T13:T14"/>
    <mergeCell ref="U13:V14"/>
    <mergeCell ref="W13:Y13"/>
    <mergeCell ref="U27:V27"/>
    <mergeCell ref="U28:V28"/>
    <mergeCell ref="U29:V29"/>
    <mergeCell ref="U30:V30"/>
    <mergeCell ref="U31:V31"/>
    <mergeCell ref="U32:V32"/>
    <mergeCell ref="U21:V21"/>
    <mergeCell ref="U22:V22"/>
    <mergeCell ref="U23:V23"/>
    <mergeCell ref="U24:V24"/>
    <mergeCell ref="U25:V25"/>
    <mergeCell ref="U26:V26"/>
    <mergeCell ref="U39:V39"/>
    <mergeCell ref="U40:V40"/>
    <mergeCell ref="U41:V41"/>
    <mergeCell ref="U42:V42"/>
    <mergeCell ref="U43:V43"/>
    <mergeCell ref="U44:V44"/>
    <mergeCell ref="U33:V33"/>
    <mergeCell ref="U34:V34"/>
    <mergeCell ref="U35:V35"/>
    <mergeCell ref="U36:V36"/>
    <mergeCell ref="U37:V37"/>
    <mergeCell ref="U38:V38"/>
    <mergeCell ref="U45:V45"/>
    <mergeCell ref="U46:V46"/>
    <mergeCell ref="B49:B50"/>
    <mergeCell ref="C49:C50"/>
    <mergeCell ref="D49:D50"/>
    <mergeCell ref="E49:E50"/>
    <mergeCell ref="F49:F50"/>
    <mergeCell ref="G49:J50"/>
    <mergeCell ref="K49:K50"/>
    <mergeCell ref="M49:M50"/>
    <mergeCell ref="AC49:AE49"/>
    <mergeCell ref="C51:C82"/>
    <mergeCell ref="D51:D82"/>
    <mergeCell ref="U51:V51"/>
    <mergeCell ref="U52:V52"/>
    <mergeCell ref="U53:V53"/>
    <mergeCell ref="U54:V54"/>
    <mergeCell ref="U55:V55"/>
    <mergeCell ref="U56:V56"/>
    <mergeCell ref="U57:V57"/>
    <mergeCell ref="N49:N50"/>
    <mergeCell ref="O49:R50"/>
    <mergeCell ref="S49:S50"/>
    <mergeCell ref="U49:V50"/>
    <mergeCell ref="W49:Y49"/>
    <mergeCell ref="Z49:AB49"/>
    <mergeCell ref="U64:V64"/>
    <mergeCell ref="U65:V65"/>
    <mergeCell ref="U66:V66"/>
    <mergeCell ref="U67:V67"/>
    <mergeCell ref="U68:V68"/>
    <mergeCell ref="U69:V69"/>
    <mergeCell ref="U58:V58"/>
    <mergeCell ref="U59:V59"/>
    <mergeCell ref="U60:V60"/>
    <mergeCell ref="U61:V61"/>
    <mergeCell ref="U62:V62"/>
    <mergeCell ref="U63:V63"/>
    <mergeCell ref="U76:V76"/>
    <mergeCell ref="U77:V77"/>
    <mergeCell ref="U78:V78"/>
    <mergeCell ref="U79:V79"/>
    <mergeCell ref="U80:V80"/>
    <mergeCell ref="U81:V81"/>
    <mergeCell ref="U70:V70"/>
    <mergeCell ref="U71:V71"/>
    <mergeCell ref="U72:V72"/>
    <mergeCell ref="U73:V73"/>
    <mergeCell ref="U74:V74"/>
    <mergeCell ref="U75:V75"/>
    <mergeCell ref="O85:R86"/>
    <mergeCell ref="S85:S86"/>
    <mergeCell ref="U85:V86"/>
    <mergeCell ref="W85:Y85"/>
    <mergeCell ref="Z85:AB85"/>
    <mergeCell ref="AC85:AE85"/>
    <mergeCell ref="U82:V82"/>
    <mergeCell ref="B85:B86"/>
    <mergeCell ref="C85:C86"/>
    <mergeCell ref="D85:D86"/>
    <mergeCell ref="E85:E86"/>
    <mergeCell ref="F85:F86"/>
    <mergeCell ref="G85:J86"/>
    <mergeCell ref="K85:K86"/>
    <mergeCell ref="M85:M86"/>
    <mergeCell ref="N85:N86"/>
    <mergeCell ref="U95:V95"/>
    <mergeCell ref="U96:V96"/>
    <mergeCell ref="U97:V97"/>
    <mergeCell ref="U98:V98"/>
    <mergeCell ref="U99:V99"/>
    <mergeCell ref="U100:V100"/>
    <mergeCell ref="C87:C102"/>
    <mergeCell ref="D87:D102"/>
    <mergeCell ref="U87:V87"/>
    <mergeCell ref="U88:V88"/>
    <mergeCell ref="U89:V89"/>
    <mergeCell ref="U90:V90"/>
    <mergeCell ref="U91:V91"/>
    <mergeCell ref="U92:V92"/>
    <mergeCell ref="U93:V93"/>
    <mergeCell ref="U94:V94"/>
    <mergeCell ref="U109:V109"/>
    <mergeCell ref="U110:V110"/>
    <mergeCell ref="U111:V111"/>
    <mergeCell ref="U112:V112"/>
    <mergeCell ref="U113:V113"/>
    <mergeCell ref="U114:V114"/>
    <mergeCell ref="U101:V101"/>
    <mergeCell ref="U102:V102"/>
    <mergeCell ref="C103:C118"/>
    <mergeCell ref="D103:D118"/>
    <mergeCell ref="U103:V103"/>
    <mergeCell ref="U104:V104"/>
    <mergeCell ref="U105:V105"/>
    <mergeCell ref="U106:V106"/>
    <mergeCell ref="U107:V107"/>
    <mergeCell ref="U108:V108"/>
    <mergeCell ref="U124:V124"/>
    <mergeCell ref="U125:V125"/>
    <mergeCell ref="U126:V126"/>
    <mergeCell ref="U127:V127"/>
    <mergeCell ref="U128:V128"/>
    <mergeCell ref="U129:V129"/>
    <mergeCell ref="U115:V115"/>
    <mergeCell ref="U117:V117"/>
    <mergeCell ref="U118:V118"/>
    <mergeCell ref="U119:V119"/>
    <mergeCell ref="U120:V120"/>
    <mergeCell ref="U121:V121"/>
    <mergeCell ref="U122:V122"/>
    <mergeCell ref="U123:V123"/>
    <mergeCell ref="U130:V130"/>
    <mergeCell ref="U131:V131"/>
    <mergeCell ref="U132:V132"/>
    <mergeCell ref="U133:V133"/>
    <mergeCell ref="U134:V134"/>
    <mergeCell ref="C135:C150"/>
    <mergeCell ref="D135:D150"/>
    <mergeCell ref="U135:V135"/>
    <mergeCell ref="U136:V136"/>
    <mergeCell ref="U137:V137"/>
    <mergeCell ref="C119:C134"/>
    <mergeCell ref="D119:D134"/>
    <mergeCell ref="U144:V144"/>
    <mergeCell ref="U145:V145"/>
    <mergeCell ref="U146:V146"/>
    <mergeCell ref="U147:V147"/>
    <mergeCell ref="U148:V148"/>
    <mergeCell ref="U149:V149"/>
    <mergeCell ref="U138:V138"/>
    <mergeCell ref="U139:V139"/>
    <mergeCell ref="U140:V140"/>
    <mergeCell ref="U141:V141"/>
    <mergeCell ref="U142:V142"/>
    <mergeCell ref="U143:V143"/>
    <mergeCell ref="U158:V158"/>
    <mergeCell ref="U159:V159"/>
    <mergeCell ref="U160:V160"/>
    <mergeCell ref="U161:V161"/>
    <mergeCell ref="U162:V162"/>
    <mergeCell ref="U163:V163"/>
    <mergeCell ref="U150:V150"/>
    <mergeCell ref="C151:C166"/>
    <mergeCell ref="D151:D166"/>
    <mergeCell ref="U151:V151"/>
    <mergeCell ref="U152:V152"/>
    <mergeCell ref="U153:V153"/>
    <mergeCell ref="U154:V154"/>
    <mergeCell ref="U155:V155"/>
    <mergeCell ref="U156:V156"/>
    <mergeCell ref="U157:V157"/>
    <mergeCell ref="U172:V172"/>
    <mergeCell ref="U173:V173"/>
    <mergeCell ref="U174:V174"/>
    <mergeCell ref="U175:V175"/>
    <mergeCell ref="U176:V176"/>
    <mergeCell ref="U177:V177"/>
    <mergeCell ref="U164:V164"/>
    <mergeCell ref="U165:V165"/>
    <mergeCell ref="U166:V166"/>
    <mergeCell ref="U167:V167"/>
    <mergeCell ref="U168:V168"/>
    <mergeCell ref="U169:V169"/>
    <mergeCell ref="U170:V170"/>
    <mergeCell ref="U171:V171"/>
    <mergeCell ref="U178:V178"/>
    <mergeCell ref="U179:V179"/>
    <mergeCell ref="U180:V180"/>
    <mergeCell ref="U181:V181"/>
    <mergeCell ref="U182:V182"/>
    <mergeCell ref="C183:C198"/>
    <mergeCell ref="D183:D198"/>
    <mergeCell ref="U183:V183"/>
    <mergeCell ref="U184:V184"/>
    <mergeCell ref="U185:V185"/>
    <mergeCell ref="C167:C182"/>
    <mergeCell ref="D167:D182"/>
    <mergeCell ref="U192:V192"/>
    <mergeCell ref="U193:V193"/>
    <mergeCell ref="U194:V194"/>
    <mergeCell ref="U195:V195"/>
    <mergeCell ref="U196:V196"/>
    <mergeCell ref="U197:V197"/>
    <mergeCell ref="U186:V186"/>
    <mergeCell ref="U187:V187"/>
    <mergeCell ref="U188:V188"/>
    <mergeCell ref="U189:V189"/>
    <mergeCell ref="U190:V190"/>
    <mergeCell ref="U191:V191"/>
    <mergeCell ref="U206:V206"/>
    <mergeCell ref="U207:V207"/>
    <mergeCell ref="U208:V208"/>
    <mergeCell ref="U209:V209"/>
    <mergeCell ref="U210:V210"/>
    <mergeCell ref="U211:V211"/>
    <mergeCell ref="U198:V198"/>
    <mergeCell ref="C199:C214"/>
    <mergeCell ref="D199:D214"/>
    <mergeCell ref="U199:V199"/>
    <mergeCell ref="U200:V200"/>
    <mergeCell ref="U201:V201"/>
    <mergeCell ref="U202:V202"/>
    <mergeCell ref="U203:V203"/>
    <mergeCell ref="U204:V204"/>
    <mergeCell ref="U205:V205"/>
    <mergeCell ref="U220:V220"/>
    <mergeCell ref="U221:V221"/>
    <mergeCell ref="U222:V222"/>
    <mergeCell ref="U223:V223"/>
    <mergeCell ref="U224:V224"/>
    <mergeCell ref="U225:V225"/>
    <mergeCell ref="U212:V212"/>
    <mergeCell ref="U213:V213"/>
    <mergeCell ref="U214:V214"/>
    <mergeCell ref="U215:V215"/>
    <mergeCell ref="U216:V216"/>
    <mergeCell ref="U217:V217"/>
    <mergeCell ref="U218:V218"/>
    <mergeCell ref="U219:V219"/>
    <mergeCell ref="U226:V226"/>
    <mergeCell ref="U227:V227"/>
    <mergeCell ref="U228:V228"/>
    <mergeCell ref="U229:V229"/>
    <mergeCell ref="U230:V230"/>
    <mergeCell ref="C231:C246"/>
    <mergeCell ref="D231:D246"/>
    <mergeCell ref="U231:V231"/>
    <mergeCell ref="U232:V232"/>
    <mergeCell ref="U233:V233"/>
    <mergeCell ref="C215:C230"/>
    <mergeCell ref="D215:D230"/>
    <mergeCell ref="U240:V240"/>
    <mergeCell ref="U241:V241"/>
    <mergeCell ref="U242:V242"/>
    <mergeCell ref="U243:V243"/>
    <mergeCell ref="U244:V244"/>
    <mergeCell ref="U245:V245"/>
    <mergeCell ref="U234:V234"/>
    <mergeCell ref="U235:V235"/>
    <mergeCell ref="U236:V236"/>
    <mergeCell ref="U237:V237"/>
    <mergeCell ref="U238:V238"/>
    <mergeCell ref="U239:V239"/>
    <mergeCell ref="U254:V254"/>
    <mergeCell ref="U255:V255"/>
    <mergeCell ref="U256:V256"/>
    <mergeCell ref="U257:V257"/>
    <mergeCell ref="U258:V258"/>
    <mergeCell ref="U259:V259"/>
    <mergeCell ref="U246:V246"/>
    <mergeCell ref="C247:C262"/>
    <mergeCell ref="D247:D262"/>
    <mergeCell ref="U247:V247"/>
    <mergeCell ref="U248:V248"/>
    <mergeCell ref="U249:V249"/>
    <mergeCell ref="U250:V250"/>
    <mergeCell ref="U251:V251"/>
    <mergeCell ref="U252:V252"/>
    <mergeCell ref="U253:V253"/>
    <mergeCell ref="U268:V268"/>
    <mergeCell ref="U269:V269"/>
    <mergeCell ref="U270:V270"/>
    <mergeCell ref="U271:V271"/>
    <mergeCell ref="U272:V272"/>
    <mergeCell ref="U273:V273"/>
    <mergeCell ref="U260:V260"/>
    <mergeCell ref="U261:V261"/>
    <mergeCell ref="U262:V262"/>
    <mergeCell ref="U263:V263"/>
    <mergeCell ref="U264:V264"/>
    <mergeCell ref="U265:V265"/>
    <mergeCell ref="U266:V266"/>
    <mergeCell ref="U267:V267"/>
    <mergeCell ref="U274:V274"/>
    <mergeCell ref="U275:V275"/>
    <mergeCell ref="U276:V276"/>
    <mergeCell ref="U277:V277"/>
    <mergeCell ref="U278:V278"/>
    <mergeCell ref="C279:C294"/>
    <mergeCell ref="D279:D294"/>
    <mergeCell ref="U279:V279"/>
    <mergeCell ref="U280:V280"/>
    <mergeCell ref="U281:V281"/>
    <mergeCell ref="C263:C278"/>
    <mergeCell ref="D263:D278"/>
    <mergeCell ref="U288:V288"/>
    <mergeCell ref="U289:V289"/>
    <mergeCell ref="U290:V290"/>
    <mergeCell ref="U291:V291"/>
    <mergeCell ref="U292:V292"/>
    <mergeCell ref="U293:V293"/>
    <mergeCell ref="U282:V282"/>
    <mergeCell ref="U283:V283"/>
    <mergeCell ref="U284:V284"/>
    <mergeCell ref="U285:V285"/>
    <mergeCell ref="U286:V286"/>
    <mergeCell ref="U287:V287"/>
    <mergeCell ref="U302:V302"/>
    <mergeCell ref="U303:V303"/>
    <mergeCell ref="U304:V304"/>
    <mergeCell ref="U305:V305"/>
    <mergeCell ref="U306:V306"/>
    <mergeCell ref="U307:V307"/>
    <mergeCell ref="U294:V294"/>
    <mergeCell ref="C295:C310"/>
    <mergeCell ref="D295:D310"/>
    <mergeCell ref="U295:V295"/>
    <mergeCell ref="U296:V296"/>
    <mergeCell ref="U297:V297"/>
    <mergeCell ref="U298:V298"/>
    <mergeCell ref="U299:V299"/>
    <mergeCell ref="U300:V300"/>
    <mergeCell ref="U301:V301"/>
    <mergeCell ref="U316:V316"/>
    <mergeCell ref="U317:V317"/>
    <mergeCell ref="U318:V318"/>
    <mergeCell ref="U319:V319"/>
    <mergeCell ref="U320:V320"/>
    <mergeCell ref="U321:V321"/>
    <mergeCell ref="U308:V308"/>
    <mergeCell ref="U309:V309"/>
    <mergeCell ref="U310:V310"/>
    <mergeCell ref="U311:V311"/>
    <mergeCell ref="U312:V312"/>
    <mergeCell ref="U313:V313"/>
    <mergeCell ref="U314:V314"/>
    <mergeCell ref="U315:V315"/>
    <mergeCell ref="U322:V322"/>
    <mergeCell ref="U323:V323"/>
    <mergeCell ref="U324:V324"/>
    <mergeCell ref="U325:V325"/>
    <mergeCell ref="U326:V326"/>
    <mergeCell ref="C327:C342"/>
    <mergeCell ref="D327:D342"/>
    <mergeCell ref="U327:V327"/>
    <mergeCell ref="U328:V328"/>
    <mergeCell ref="U329:V329"/>
    <mergeCell ref="C311:C326"/>
    <mergeCell ref="D311:D326"/>
    <mergeCell ref="U336:V336"/>
    <mergeCell ref="U337:V337"/>
    <mergeCell ref="U338:V338"/>
    <mergeCell ref="U339:V339"/>
    <mergeCell ref="U340:V340"/>
    <mergeCell ref="U341:V341"/>
    <mergeCell ref="U330:V330"/>
    <mergeCell ref="U331:V331"/>
    <mergeCell ref="U332:V332"/>
    <mergeCell ref="U333:V333"/>
    <mergeCell ref="U334:V334"/>
    <mergeCell ref="U335:V335"/>
    <mergeCell ref="O345:R346"/>
    <mergeCell ref="S345:S346"/>
    <mergeCell ref="U345:V346"/>
    <mergeCell ref="W345:Y345"/>
    <mergeCell ref="Z345:AB345"/>
    <mergeCell ref="AC345:AE345"/>
    <mergeCell ref="U342:V342"/>
    <mergeCell ref="B345:B346"/>
    <mergeCell ref="C345:C346"/>
    <mergeCell ref="D345:D346"/>
    <mergeCell ref="E345:E346"/>
    <mergeCell ref="F345:F346"/>
    <mergeCell ref="G345:J346"/>
    <mergeCell ref="K345:K346"/>
    <mergeCell ref="M345:M346"/>
    <mergeCell ref="N345:N346"/>
    <mergeCell ref="U355:V355"/>
    <mergeCell ref="U356:V356"/>
    <mergeCell ref="U357:V357"/>
    <mergeCell ref="U358:V358"/>
    <mergeCell ref="U359:V359"/>
    <mergeCell ref="U360:V360"/>
    <mergeCell ref="C347:C362"/>
    <mergeCell ref="D347:D362"/>
    <mergeCell ref="U347:V347"/>
    <mergeCell ref="U348:V348"/>
    <mergeCell ref="U349:V349"/>
    <mergeCell ref="U350:V350"/>
    <mergeCell ref="U351:V351"/>
    <mergeCell ref="U352:V352"/>
    <mergeCell ref="U353:V353"/>
    <mergeCell ref="U354:V354"/>
    <mergeCell ref="U369:V369"/>
    <mergeCell ref="U370:V370"/>
    <mergeCell ref="U371:V371"/>
    <mergeCell ref="U372:V372"/>
    <mergeCell ref="U373:V373"/>
    <mergeCell ref="U374:V374"/>
    <mergeCell ref="U361:V361"/>
    <mergeCell ref="U362:V362"/>
    <mergeCell ref="C363:C378"/>
    <mergeCell ref="D363:D378"/>
    <mergeCell ref="U363:V363"/>
    <mergeCell ref="U364:V364"/>
    <mergeCell ref="U365:V365"/>
    <mergeCell ref="U366:V366"/>
    <mergeCell ref="U367:V367"/>
    <mergeCell ref="U368:V368"/>
    <mergeCell ref="U375:V375"/>
    <mergeCell ref="U376:V376"/>
    <mergeCell ref="U377:V377"/>
    <mergeCell ref="U378:V378"/>
    <mergeCell ref="C379:C394"/>
    <mergeCell ref="D379:D394"/>
    <mergeCell ref="U379:V379"/>
    <mergeCell ref="U380:V380"/>
    <mergeCell ref="U381:V381"/>
    <mergeCell ref="U382:V382"/>
    <mergeCell ref="U389:V389"/>
    <mergeCell ref="U390:V390"/>
    <mergeCell ref="U391:V391"/>
    <mergeCell ref="U392:V392"/>
    <mergeCell ref="U393:V393"/>
    <mergeCell ref="U394:V394"/>
    <mergeCell ref="U383:V383"/>
    <mergeCell ref="U384:V384"/>
    <mergeCell ref="U385:V385"/>
    <mergeCell ref="U386:V386"/>
    <mergeCell ref="U387:V387"/>
    <mergeCell ref="U388:V388"/>
    <mergeCell ref="U403:V403"/>
    <mergeCell ref="U404:V404"/>
    <mergeCell ref="U405:V405"/>
    <mergeCell ref="U406:V406"/>
    <mergeCell ref="U407:V407"/>
    <mergeCell ref="U408:V408"/>
    <mergeCell ref="C395:C410"/>
    <mergeCell ref="D395:D410"/>
    <mergeCell ref="U395:V395"/>
    <mergeCell ref="U396:V396"/>
    <mergeCell ref="U397:V397"/>
    <mergeCell ref="U398:V398"/>
    <mergeCell ref="U399:V399"/>
    <mergeCell ref="U400:V400"/>
    <mergeCell ref="U401:V401"/>
    <mergeCell ref="U402:V402"/>
    <mergeCell ref="U417:V417"/>
    <mergeCell ref="U418:V418"/>
    <mergeCell ref="U419:V419"/>
    <mergeCell ref="U420:V420"/>
    <mergeCell ref="U421:V421"/>
    <mergeCell ref="U422:V422"/>
    <mergeCell ref="U409:V409"/>
    <mergeCell ref="U410:V410"/>
    <mergeCell ref="C411:C426"/>
    <mergeCell ref="D411:D426"/>
    <mergeCell ref="U411:V411"/>
    <mergeCell ref="U412:V412"/>
    <mergeCell ref="U413:V413"/>
    <mergeCell ref="U414:V414"/>
    <mergeCell ref="U415:V415"/>
    <mergeCell ref="U416:V416"/>
    <mergeCell ref="U423:V423"/>
    <mergeCell ref="U424:V424"/>
    <mergeCell ref="U425:V425"/>
    <mergeCell ref="U426:V426"/>
    <mergeCell ref="C427:C442"/>
    <mergeCell ref="D427:D442"/>
    <mergeCell ref="U427:V427"/>
    <mergeCell ref="U428:V428"/>
    <mergeCell ref="U429:V429"/>
    <mergeCell ref="U430:V430"/>
    <mergeCell ref="U437:V437"/>
    <mergeCell ref="U438:V438"/>
    <mergeCell ref="U439:V439"/>
    <mergeCell ref="U440:V440"/>
    <mergeCell ref="U441:V441"/>
    <mergeCell ref="U442:V442"/>
    <mergeCell ref="U431:V431"/>
    <mergeCell ref="U432:V432"/>
    <mergeCell ref="U433:V433"/>
    <mergeCell ref="U434:V434"/>
    <mergeCell ref="U435:V435"/>
    <mergeCell ref="U436:V436"/>
    <mergeCell ref="U451:V451"/>
    <mergeCell ref="U452:V452"/>
    <mergeCell ref="U453:V453"/>
    <mergeCell ref="U454:V454"/>
    <mergeCell ref="U455:V455"/>
    <mergeCell ref="U456:V456"/>
    <mergeCell ref="C443:C458"/>
    <mergeCell ref="D443:D458"/>
    <mergeCell ref="U443:V443"/>
    <mergeCell ref="U444:V444"/>
    <mergeCell ref="U445:V445"/>
    <mergeCell ref="U446:V446"/>
    <mergeCell ref="U447:V447"/>
    <mergeCell ref="U448:V448"/>
    <mergeCell ref="U449:V449"/>
    <mergeCell ref="U450:V450"/>
    <mergeCell ref="U465:V465"/>
    <mergeCell ref="U466:V466"/>
    <mergeCell ref="U467:V467"/>
    <mergeCell ref="U468:V468"/>
    <mergeCell ref="U469:V469"/>
    <mergeCell ref="U470:V470"/>
    <mergeCell ref="U457:V457"/>
    <mergeCell ref="U458:V458"/>
    <mergeCell ref="C459:C474"/>
    <mergeCell ref="D459:D474"/>
    <mergeCell ref="U459:V459"/>
    <mergeCell ref="U460:V460"/>
    <mergeCell ref="U461:V461"/>
    <mergeCell ref="U462:V462"/>
    <mergeCell ref="U463:V463"/>
    <mergeCell ref="U464:V464"/>
    <mergeCell ref="U471:V471"/>
    <mergeCell ref="U472:V472"/>
    <mergeCell ref="U473:V473"/>
    <mergeCell ref="U474:V474"/>
    <mergeCell ref="C475:C490"/>
    <mergeCell ref="D475:D490"/>
    <mergeCell ref="U475:V475"/>
    <mergeCell ref="U476:V476"/>
    <mergeCell ref="U477:V477"/>
    <mergeCell ref="U478:V478"/>
    <mergeCell ref="U485:V485"/>
    <mergeCell ref="U486:V486"/>
    <mergeCell ref="U487:V487"/>
    <mergeCell ref="U488:V488"/>
    <mergeCell ref="U489:V489"/>
    <mergeCell ref="U490:V490"/>
    <mergeCell ref="U479:V479"/>
    <mergeCell ref="U480:V480"/>
    <mergeCell ref="U481:V481"/>
    <mergeCell ref="U482:V482"/>
    <mergeCell ref="U483:V483"/>
    <mergeCell ref="U484:V484"/>
    <mergeCell ref="U499:V499"/>
    <mergeCell ref="U500:V500"/>
    <mergeCell ref="U501:V501"/>
    <mergeCell ref="U502:V502"/>
    <mergeCell ref="U503:V503"/>
    <mergeCell ref="U504:V504"/>
    <mergeCell ref="C491:C506"/>
    <mergeCell ref="D491:D506"/>
    <mergeCell ref="U491:V491"/>
    <mergeCell ref="U492:V492"/>
    <mergeCell ref="U493:V493"/>
    <mergeCell ref="U494:V494"/>
    <mergeCell ref="U495:V495"/>
    <mergeCell ref="U496:V496"/>
    <mergeCell ref="U497:V497"/>
    <mergeCell ref="U498:V498"/>
    <mergeCell ref="U513:V513"/>
    <mergeCell ref="U514:V514"/>
    <mergeCell ref="U515:V515"/>
    <mergeCell ref="U516:V516"/>
    <mergeCell ref="U517:V517"/>
    <mergeCell ref="U518:V518"/>
    <mergeCell ref="U505:V505"/>
    <mergeCell ref="U506:V506"/>
    <mergeCell ref="C507:C522"/>
    <mergeCell ref="D507:D522"/>
    <mergeCell ref="U507:V507"/>
    <mergeCell ref="U508:V508"/>
    <mergeCell ref="U509:V509"/>
    <mergeCell ref="U510:V510"/>
    <mergeCell ref="U511:V511"/>
    <mergeCell ref="U512:V512"/>
    <mergeCell ref="U519:V519"/>
    <mergeCell ref="U520:V520"/>
    <mergeCell ref="U521:V521"/>
    <mergeCell ref="U522:V522"/>
    <mergeCell ref="C523:C538"/>
    <mergeCell ref="D523:D538"/>
    <mergeCell ref="U523:V523"/>
    <mergeCell ref="U524:V524"/>
    <mergeCell ref="U525:V525"/>
    <mergeCell ref="U526:V526"/>
    <mergeCell ref="U533:V533"/>
    <mergeCell ref="U534:V534"/>
    <mergeCell ref="U535:V535"/>
    <mergeCell ref="U536:V536"/>
    <mergeCell ref="U537:V537"/>
    <mergeCell ref="U538:V538"/>
    <mergeCell ref="U527:V527"/>
    <mergeCell ref="U528:V528"/>
    <mergeCell ref="U529:V529"/>
    <mergeCell ref="U530:V530"/>
    <mergeCell ref="U531:V531"/>
    <mergeCell ref="U532:V532"/>
    <mergeCell ref="U547:V547"/>
    <mergeCell ref="U548:V548"/>
    <mergeCell ref="U549:V549"/>
    <mergeCell ref="U550:V550"/>
    <mergeCell ref="U551:V551"/>
    <mergeCell ref="U552:V552"/>
    <mergeCell ref="C539:C554"/>
    <mergeCell ref="D539:D554"/>
    <mergeCell ref="U539:V539"/>
    <mergeCell ref="U540:V540"/>
    <mergeCell ref="U541:V541"/>
    <mergeCell ref="U542:V542"/>
    <mergeCell ref="U543:V543"/>
    <mergeCell ref="U544:V544"/>
    <mergeCell ref="U545:V545"/>
    <mergeCell ref="U546:V546"/>
    <mergeCell ref="U561:V561"/>
    <mergeCell ref="U562:V562"/>
    <mergeCell ref="U563:V563"/>
    <mergeCell ref="U564:V564"/>
    <mergeCell ref="U565:V565"/>
    <mergeCell ref="U566:V566"/>
    <mergeCell ref="U553:V553"/>
    <mergeCell ref="U554:V554"/>
    <mergeCell ref="C555:C570"/>
    <mergeCell ref="D555:D570"/>
    <mergeCell ref="U555:V555"/>
    <mergeCell ref="U556:V556"/>
    <mergeCell ref="U557:V557"/>
    <mergeCell ref="U558:V558"/>
    <mergeCell ref="U559:V559"/>
    <mergeCell ref="U560:V560"/>
    <mergeCell ref="U567:V567"/>
    <mergeCell ref="U568:V568"/>
    <mergeCell ref="U569:V569"/>
    <mergeCell ref="U570:V570"/>
    <mergeCell ref="C571:C586"/>
    <mergeCell ref="D571:D586"/>
    <mergeCell ref="U571:V571"/>
    <mergeCell ref="U572:V572"/>
    <mergeCell ref="U573:V573"/>
    <mergeCell ref="U574:V574"/>
    <mergeCell ref="U581:V581"/>
    <mergeCell ref="U582:V582"/>
    <mergeCell ref="U583:V583"/>
    <mergeCell ref="U584:V584"/>
    <mergeCell ref="U585:V585"/>
    <mergeCell ref="U586:V586"/>
    <mergeCell ref="U575:V575"/>
    <mergeCell ref="U576:V576"/>
    <mergeCell ref="U577:V577"/>
    <mergeCell ref="U578:V578"/>
    <mergeCell ref="U579:V579"/>
    <mergeCell ref="U580:V580"/>
    <mergeCell ref="U595:V595"/>
    <mergeCell ref="U596:V596"/>
    <mergeCell ref="U597:V597"/>
    <mergeCell ref="U598:V598"/>
    <mergeCell ref="U599:V599"/>
    <mergeCell ref="U600:V600"/>
    <mergeCell ref="C587:C602"/>
    <mergeCell ref="D587:D602"/>
    <mergeCell ref="U587:V587"/>
    <mergeCell ref="U588:V588"/>
    <mergeCell ref="U589:V589"/>
    <mergeCell ref="U590:V590"/>
    <mergeCell ref="U591:V591"/>
    <mergeCell ref="U592:V592"/>
    <mergeCell ref="U593:V593"/>
    <mergeCell ref="U594:V594"/>
    <mergeCell ref="U611:V611"/>
    <mergeCell ref="U612:V612"/>
    <mergeCell ref="U613:V613"/>
    <mergeCell ref="U614:V614"/>
    <mergeCell ref="U615:V615"/>
    <mergeCell ref="U616:V616"/>
    <mergeCell ref="U601:V601"/>
    <mergeCell ref="U602:V602"/>
    <mergeCell ref="C605:C620"/>
    <mergeCell ref="D605:D620"/>
    <mergeCell ref="U605:V605"/>
    <mergeCell ref="U606:V606"/>
    <mergeCell ref="U607:V607"/>
    <mergeCell ref="U608:V608"/>
    <mergeCell ref="U609:V609"/>
    <mergeCell ref="U610:V610"/>
    <mergeCell ref="U617:V617"/>
    <mergeCell ref="U618:V618"/>
    <mergeCell ref="U619:V619"/>
    <mergeCell ref="U620:V620"/>
    <mergeCell ref="C621:C636"/>
    <mergeCell ref="D621:D636"/>
    <mergeCell ref="U621:V621"/>
    <mergeCell ref="U622:V622"/>
    <mergeCell ref="U623:V623"/>
    <mergeCell ref="U624:V624"/>
    <mergeCell ref="U631:V631"/>
    <mergeCell ref="U632:V632"/>
    <mergeCell ref="U633:V633"/>
    <mergeCell ref="U634:V634"/>
    <mergeCell ref="U635:V635"/>
    <mergeCell ref="U636:V636"/>
    <mergeCell ref="U625:V625"/>
    <mergeCell ref="U626:V626"/>
    <mergeCell ref="U627:V627"/>
    <mergeCell ref="U628:V628"/>
    <mergeCell ref="U629:V629"/>
    <mergeCell ref="U630:V630"/>
    <mergeCell ref="U645:V645"/>
    <mergeCell ref="U646:V646"/>
    <mergeCell ref="U647:V647"/>
    <mergeCell ref="U648:V648"/>
    <mergeCell ref="U649:V649"/>
    <mergeCell ref="U650:V650"/>
    <mergeCell ref="C637:C652"/>
    <mergeCell ref="D637:D652"/>
    <mergeCell ref="U637:V637"/>
    <mergeCell ref="U638:V638"/>
    <mergeCell ref="U639:V639"/>
    <mergeCell ref="U640:V640"/>
    <mergeCell ref="U641:V641"/>
    <mergeCell ref="U642:V642"/>
    <mergeCell ref="U643:V643"/>
    <mergeCell ref="U644:V644"/>
    <mergeCell ref="U651:V651"/>
    <mergeCell ref="U652:V652"/>
    <mergeCell ref="C669:C684"/>
    <mergeCell ref="D669:D684"/>
    <mergeCell ref="U659:V659"/>
    <mergeCell ref="U660:V660"/>
    <mergeCell ref="U661:V661"/>
    <mergeCell ref="U662:V662"/>
    <mergeCell ref="U663:V663"/>
    <mergeCell ref="U664:V664"/>
    <mergeCell ref="U707:V707"/>
    <mergeCell ref="C653:C668"/>
    <mergeCell ref="D653:D668"/>
    <mergeCell ref="U653:V653"/>
    <mergeCell ref="U654:V654"/>
    <mergeCell ref="U655:V655"/>
    <mergeCell ref="U656:V656"/>
    <mergeCell ref="U657:V657"/>
    <mergeCell ref="U658:V658"/>
    <mergeCell ref="U665:V665"/>
    <mergeCell ref="U666:V666"/>
    <mergeCell ref="U667:V667"/>
    <mergeCell ref="U668:V668"/>
    <mergeCell ref="G701:J701"/>
    <mergeCell ref="G702:J702"/>
    <mergeCell ref="G703:J703"/>
    <mergeCell ref="U708:V708"/>
    <mergeCell ref="U709:V709"/>
    <mergeCell ref="U710:V710"/>
    <mergeCell ref="U711:V711"/>
    <mergeCell ref="U712:V712"/>
    <mergeCell ref="C685:C700"/>
    <mergeCell ref="D685:D700"/>
    <mergeCell ref="C701:C716"/>
    <mergeCell ref="D701:D716"/>
    <mergeCell ref="U701:V701"/>
    <mergeCell ref="U702:V702"/>
    <mergeCell ref="U703:V703"/>
    <mergeCell ref="U704:V704"/>
    <mergeCell ref="U705:V705"/>
    <mergeCell ref="U706:V706"/>
    <mergeCell ref="U713:V713"/>
    <mergeCell ref="U714:V714"/>
    <mergeCell ref="U715:V715"/>
    <mergeCell ref="U716:V716"/>
    <mergeCell ref="G704:J704"/>
    <mergeCell ref="G705:J705"/>
    <mergeCell ref="G706:J706"/>
    <mergeCell ref="G707:J707"/>
    <mergeCell ref="G708:J708"/>
    <mergeCell ref="C717:C732"/>
    <mergeCell ref="D717:D732"/>
    <mergeCell ref="U717:V717"/>
    <mergeCell ref="U718:V718"/>
    <mergeCell ref="U719:V719"/>
    <mergeCell ref="U720:V720"/>
    <mergeCell ref="U727:V727"/>
    <mergeCell ref="U728:V728"/>
    <mergeCell ref="U729:V729"/>
    <mergeCell ref="U730:V730"/>
    <mergeCell ref="U731:V731"/>
    <mergeCell ref="U732:V732"/>
    <mergeCell ref="U721:V721"/>
    <mergeCell ref="U722:V722"/>
    <mergeCell ref="U723:V723"/>
    <mergeCell ref="U724:V724"/>
    <mergeCell ref="U725:V725"/>
    <mergeCell ref="U726:V726"/>
    <mergeCell ref="O718:R718"/>
    <mergeCell ref="O719:R719"/>
    <mergeCell ref="O720:R720"/>
    <mergeCell ref="O721:R721"/>
    <mergeCell ref="O722:R722"/>
    <mergeCell ref="O723:R723"/>
    <mergeCell ref="U747:V747"/>
    <mergeCell ref="U748:V748"/>
    <mergeCell ref="U741:V741"/>
    <mergeCell ref="U742:V742"/>
    <mergeCell ref="U743:V743"/>
    <mergeCell ref="U744:V744"/>
    <mergeCell ref="U745:V745"/>
    <mergeCell ref="U746:V746"/>
    <mergeCell ref="C733:C748"/>
    <mergeCell ref="D733:D748"/>
    <mergeCell ref="U733:V733"/>
    <mergeCell ref="U734:V734"/>
    <mergeCell ref="U735:V735"/>
    <mergeCell ref="U736:V736"/>
    <mergeCell ref="U737:V737"/>
    <mergeCell ref="U738:V738"/>
    <mergeCell ref="U739:V739"/>
    <mergeCell ref="U740:V740"/>
  </mergeCells>
  <phoneticPr fontId="1" type="noConversion"/>
  <dataValidations disablePrompts="1" count="2">
    <dataValidation type="list" allowBlank="1" showInputMessage="1" showErrorMessage="1" sqref="AA87:AA344 AD87:AD344 X51:X84 X15:X47 X87:X344 AA347:AA748 X347:X748 AD347:AD748" xr:uid="{AE7808F8-FD05-4A23-9C08-33F5D1701AEE}">
      <formula1>"OK, NG, SKIP"</formula1>
    </dataValidation>
    <dataValidation type="list" allowBlank="1" showInputMessage="1" showErrorMessage="1" sqref="Z205:Z344 AC347:AC748 W347:W748 Z347:Z748 AA15:AA47 Y31:Y44 Y19:Y25 Y84 Y67:Y80 W220 W146:W150 W157:W158 W263:W270 W278 W318:W326 W303:W314 W293:W294 W285:W286 W238 W251:W254 W113:W114 W246 W212:W214 W210 W205:W206 W201:W202 W110 W190:W198 W177:W179 W139:W140 W122 W331:W344 Y16:Y17 AC87:AC162 AD15:AD47 Z175:Z202 Y55:Y61 AC205:AC344 Z87:Z162 Y52:Y53 AC175:AC202 AD51:AD84 AA51:AA84" xr:uid="{83885E9B-31F6-4071-B3E0-B22F9805FED7}">
      <formula1>$S$10:$S$11</formula1>
    </dataValidation>
  </dataValidations>
  <pageMargins left="0.39" right="0.39" top="0.59" bottom="0.59" header="0.12" footer="0.31"/>
  <pageSetup paperSize="9" scale="48" orientation="landscape" horizontalDpi="300" verticalDpi="300" r:id="rId1"/>
  <headerFooter alignWithMargins="0">
    <oddHeader>&amp;L&amp;G&amp;R&amp;8&amp;A</oddHeader>
    <oddFooter>&amp;LRev.0&amp;C&amp;9&amp;[&amp;P</oddFooter>
  </headerFooter>
  <rowBreaks count="4" manualBreakCount="4">
    <brk id="84" max="19" man="1"/>
    <brk id="150" max="22" man="1"/>
    <brk id="214" max="22" man="1"/>
    <brk id="278" max="22" man="1"/>
  </rowBreaks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표지</vt:lpstr>
      <vt:lpstr>0. 변경이력</vt:lpstr>
      <vt:lpstr>SCT(1st)</vt:lpstr>
      <vt:lpstr>LCCT(2nd)</vt:lpstr>
      <vt:lpstr>RCCT(2nd)</vt:lpstr>
      <vt:lpstr>'LCCT(2nd)'!Print_Area</vt:lpstr>
      <vt:lpstr>'RCCT(2nd)'!Print_Area</vt:lpstr>
      <vt:lpstr>'SCT(1st)'!Print_Area</vt:lpstr>
      <vt:lpstr>표지!Print_Area</vt:lpstr>
    </vt:vector>
  </TitlesOfParts>
  <Company>MDIK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延 明遠 (연명원)</cp:lastModifiedBy>
  <cp:lastPrinted>2024-03-05T08:12:26Z</cp:lastPrinted>
  <dcterms:created xsi:type="dcterms:W3CDTF">2010-10-20T04:52:39Z</dcterms:created>
  <dcterms:modified xsi:type="dcterms:W3CDTF">2024-09-25T01:17:40Z</dcterms:modified>
</cp:coreProperties>
</file>