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01. 업무자료\01. PROJECT\00. SDC\01. SDC SISW-OLED2300-4(8.6G) - 22R57-001\A - 설계관련\98. DOC\00. AXIS LIST\"/>
    </mc:Choice>
  </mc:AlternateContent>
  <xr:revisionPtr revIDLastSave="0" documentId="13_ncr:1_{F4FF7C8B-12DA-40B7-9DE3-84D5C453931F}" xr6:coauthVersionLast="47" xr6:coauthVersionMax="47" xr10:uidLastSave="{00000000-0000-0000-0000-000000000000}"/>
  <bookViews>
    <workbookView xWindow="-96" yWindow="-96" windowWidth="23232" windowHeight="12432" tabRatio="858" activeTab="2" xr2:uid="{00000000-000D-0000-FFFF-FFFF00000000}"/>
  </bookViews>
  <sheets>
    <sheet name="표지" sheetId="1" r:id="rId1"/>
    <sheet name="1. PC1_AXIS CHECK LIST(CIM1)" sheetId="54" r:id="rId2"/>
    <sheet name="2. PC2_AXIS CHECK LIST(SCT)" sheetId="40" r:id="rId3"/>
    <sheet name="2-1.SCT(UPS1)" sheetId="57" r:id="rId4"/>
    <sheet name="3. PC3_AXIS CHECK LIST(CIM2)" sheetId="56" r:id="rId5"/>
    <sheet name="4. PC4_AXIS CHECK LIST(LCCT)" sheetId="51" r:id="rId6"/>
    <sheet name="4-1.LCCT(UPS2)" sheetId="58" r:id="rId7"/>
    <sheet name="5. PC5_AXIS CHECK LIST(RCCT)" sheetId="55" r:id="rId8"/>
    <sheet name="5-1.RCCT(UPS3)" sheetId="60" r:id="rId9"/>
    <sheet name="20.개정 이력" sheetId="48" r:id="rId10"/>
    <sheet name="30.작성법" sheetId="49" r:id="rId11"/>
  </sheets>
  <externalReferences>
    <externalReference r:id="rId12"/>
    <externalReference r:id="rId13"/>
    <externalReference r:id="rId14"/>
    <externalReference r:id="rId15"/>
  </externalReferences>
  <definedNames>
    <definedName name="_GoA1" localSheetId="9">'20.개정 이력'!_GoA1</definedName>
    <definedName name="_GoA1" localSheetId="3">'[1]4-1.CCTA(UPS5)'!_GoA1</definedName>
    <definedName name="_GoA1" localSheetId="10">'30.작성법'!_GoA1</definedName>
    <definedName name="_GoA1" localSheetId="6">'[1]4-1.CCTA(UPS5)'!_GoA1</definedName>
    <definedName name="_GoA1" localSheetId="8">'[1]4-1.CCTA(UPS5)'!_GoA1</definedName>
    <definedName name="_GoA1">[0]!_GoA1</definedName>
    <definedName name="Capture.Capture" localSheetId="9">'20.개정 이력'!Capture.Capture</definedName>
    <definedName name="Capture.Capture" localSheetId="3">'[1]4-1.CCTA(UPS5)'!Capture.Capture</definedName>
    <definedName name="Capture.Capture" localSheetId="10">'30.작성법'!Capture.Capture</definedName>
    <definedName name="Capture.Capture" localSheetId="6">'[1]4-1.CCTA(UPS5)'!Capture.Capture</definedName>
    <definedName name="Capture.Capture" localSheetId="8">'[1]4-1.CCTA(UPS5)'!Capture.Capture</definedName>
    <definedName name="Capture.Capture">[0]!Capture.Capture</definedName>
    <definedName name="_xlnm.Database">[2]提出先一覧!$A$1:$G$65536</definedName>
    <definedName name="LXCPK" localSheetId="9">'20.개정 이력'!LXCPK</definedName>
    <definedName name="LXCPK" localSheetId="3">'[1]4-1.CCTA(UPS5)'!LXCPK</definedName>
    <definedName name="LXCPK" localSheetId="10">'30.작성법'!LXCPK</definedName>
    <definedName name="LXCPK" localSheetId="6">'[1]4-1.CCTA(UPS5)'!LXCPK</definedName>
    <definedName name="LXCPK" localSheetId="8">'[1]4-1.CCTA(UPS5)'!LXCPK</definedName>
    <definedName name="LXCPK">[0]!LXCPK</definedName>
    <definedName name="_xlnm.Print_Area" localSheetId="1">'1. PC1_AXIS CHECK LIST(CIM1)'!$A$1:$W$30</definedName>
    <definedName name="_xlnm.Print_Area" localSheetId="2">'2. PC2_AXIS CHECK LIST(SCT)'!$A$1:$V$202</definedName>
    <definedName name="_xlnm.Print_Area" localSheetId="9">'20.개정 이력'!$A$1:$BM$29</definedName>
    <definedName name="_xlnm.Print_Area" localSheetId="4">'3. PC3_AXIS CHECK LIST(CIM2)'!$A$1:$W$28</definedName>
    <definedName name="_xlnm.Print_Area" localSheetId="5">'4. PC4_AXIS CHECK LIST(LCCT)'!$A$1:$V$223</definedName>
    <definedName name="_xlnm.Print_Area" localSheetId="7">'5. PC5_AXIS CHECK LIST(RCCT)'!$A$1:$V$223</definedName>
    <definedName name="_xlnm.Print_Area" localSheetId="0">표지!$A$1:$AZ$47</definedName>
    <definedName name="RANDR폭" localSheetId="9">'20.개정 이력'!RANDR폭</definedName>
    <definedName name="RANDR폭" localSheetId="3">'[1]4-1.CCTA(UPS5)'!RANDR폭</definedName>
    <definedName name="RANDR폭" localSheetId="10">'30.작성법'!RANDR폭</definedName>
    <definedName name="RANDR폭" localSheetId="6">'[1]4-1.CCTA(UPS5)'!RANDR폭</definedName>
    <definedName name="RANDR폭" localSheetId="8">'[1]4-1.CCTA(UPS5)'!RANDR폭</definedName>
    <definedName name="RANDR폭">[0]!RANDR폭</definedName>
    <definedName name="切断評価結果">[3]報告書!$M$15</definedName>
    <definedName name="폭CPK" localSheetId="9">'20.개정 이력'!폭CPK</definedName>
    <definedName name="폭CPK" localSheetId="3">'[1]4-1.CCTA(UPS5)'!폭CPK</definedName>
    <definedName name="폭CPK" localSheetId="10">'30.작성법'!폭CPK</definedName>
    <definedName name="폭CPK" localSheetId="6">'[1]4-1.CCTA(UPS5)'!폭CPK</definedName>
    <definedName name="폭CPK" localSheetId="8">'[1]4-1.CCTA(UPS5)'!폭CPK</definedName>
    <definedName name="폭CPK">[0]!폭CPK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4" i="57" l="1"/>
  <c r="V54" i="57"/>
  <c r="V53" i="57"/>
  <c r="V60" i="58"/>
  <c r="V35" i="58"/>
  <c r="V60" i="60"/>
  <c r="V18" i="60"/>
  <c r="V17" i="60"/>
  <c r="V43" i="58"/>
  <c r="V42" i="58"/>
  <c r="B2" i="60" l="1"/>
  <c r="H9" i="60"/>
  <c r="J9" i="60" s="1"/>
  <c r="V9" i="60" s="1"/>
  <c r="I9" i="60"/>
  <c r="K9" i="60"/>
  <c r="L9" i="60"/>
  <c r="M9" i="60"/>
  <c r="P9" i="60"/>
  <c r="W9" i="60" s="1"/>
  <c r="Q9" i="60"/>
  <c r="AC9" i="60" s="1"/>
  <c r="AD9" i="60" s="1"/>
  <c r="R9" i="60"/>
  <c r="Z13" i="60" s="1"/>
  <c r="S9" i="60"/>
  <c r="U9" i="60"/>
  <c r="AA9" i="60"/>
  <c r="AB9" i="60"/>
  <c r="H10" i="60"/>
  <c r="I10" i="60"/>
  <c r="J10" i="60"/>
  <c r="K10" i="60"/>
  <c r="L10" i="60"/>
  <c r="M10" i="60"/>
  <c r="P10" i="60"/>
  <c r="W10" i="60" s="1"/>
  <c r="Q10" i="60"/>
  <c r="AC10" i="60" s="1"/>
  <c r="AD10" i="60" s="1"/>
  <c r="R10" i="60"/>
  <c r="S10" i="60"/>
  <c r="U10" i="60"/>
  <c r="Z10" i="60"/>
  <c r="AB10" i="60"/>
  <c r="H11" i="60"/>
  <c r="I11" i="60"/>
  <c r="P11" i="60" s="1"/>
  <c r="W11" i="60" s="1"/>
  <c r="J11" i="60"/>
  <c r="V11" i="60" s="1"/>
  <c r="K11" i="60"/>
  <c r="L11" i="60"/>
  <c r="M11" i="60"/>
  <c r="Q11" i="60"/>
  <c r="AC11" i="60" s="1"/>
  <c r="AD11" i="60" s="1"/>
  <c r="R11" i="60"/>
  <c r="S11" i="60"/>
  <c r="U11" i="60"/>
  <c r="Z11" i="60"/>
  <c r="AA11" i="60"/>
  <c r="H12" i="60"/>
  <c r="I12" i="60"/>
  <c r="P12" i="60" s="1"/>
  <c r="W12" i="60" s="1"/>
  <c r="J12" i="60"/>
  <c r="V12" i="60" s="1"/>
  <c r="K12" i="60"/>
  <c r="L12" i="60"/>
  <c r="M12" i="60"/>
  <c r="Q12" i="60"/>
  <c r="R12" i="60"/>
  <c r="S12" i="60"/>
  <c r="T12" i="60"/>
  <c r="U12" i="60"/>
  <c r="Z12" i="60"/>
  <c r="AA12" i="60"/>
  <c r="AB12" i="60"/>
  <c r="AC12" i="60"/>
  <c r="AD12" i="60" s="1"/>
  <c r="H13" i="60"/>
  <c r="I13" i="60"/>
  <c r="J13" i="60"/>
  <c r="K13" i="60"/>
  <c r="L13" i="60"/>
  <c r="M13" i="60"/>
  <c r="P13" i="60"/>
  <c r="Q13" i="60"/>
  <c r="AC13" i="60" s="1"/>
  <c r="AD13" i="60" s="1"/>
  <c r="R13" i="60"/>
  <c r="S13" i="60"/>
  <c r="U13" i="60"/>
  <c r="V13" i="60"/>
  <c r="W13" i="60"/>
  <c r="AA13" i="60"/>
  <c r="AB13" i="60"/>
  <c r="H14" i="60"/>
  <c r="J14" i="60" s="1"/>
  <c r="V14" i="60" s="1"/>
  <c r="I14" i="60"/>
  <c r="K14" i="60"/>
  <c r="L14" i="60"/>
  <c r="M14" i="60"/>
  <c r="P14" i="60"/>
  <c r="W14" i="60" s="1"/>
  <c r="Q14" i="60"/>
  <c r="AC14" i="60" s="1"/>
  <c r="AD14" i="60" s="1"/>
  <c r="R14" i="60"/>
  <c r="S14" i="60"/>
  <c r="U14" i="60"/>
  <c r="Z14" i="60"/>
  <c r="AB14" i="60"/>
  <c r="H15" i="60"/>
  <c r="I15" i="60"/>
  <c r="J15" i="60"/>
  <c r="K15" i="60"/>
  <c r="L15" i="60"/>
  <c r="M15" i="60"/>
  <c r="P15" i="60"/>
  <c r="W15" i="60" s="1"/>
  <c r="Q15" i="60"/>
  <c r="AC15" i="60" s="1"/>
  <c r="AD15" i="60" s="1"/>
  <c r="R15" i="60"/>
  <c r="S15" i="60"/>
  <c r="U15" i="60"/>
  <c r="Z15" i="60"/>
  <c r="AA15" i="60"/>
  <c r="H16" i="60"/>
  <c r="I16" i="60"/>
  <c r="J16" i="60"/>
  <c r="K16" i="60"/>
  <c r="L16" i="60"/>
  <c r="M16" i="60"/>
  <c r="P16" i="60"/>
  <c r="W16" i="60" s="1"/>
  <c r="Q16" i="60"/>
  <c r="R16" i="60"/>
  <c r="S16" i="60"/>
  <c r="T16" i="60"/>
  <c r="U16" i="60"/>
  <c r="Z16" i="60"/>
  <c r="AA16" i="60"/>
  <c r="AB16" i="60"/>
  <c r="AC16" i="60"/>
  <c r="AD16" i="60" s="1"/>
  <c r="H17" i="60"/>
  <c r="J17" i="60" s="1"/>
  <c r="I17" i="60"/>
  <c r="P17" i="60" s="1"/>
  <c r="W17" i="60" s="1"/>
  <c r="K17" i="60"/>
  <c r="L17" i="60"/>
  <c r="M17" i="60"/>
  <c r="Q17" i="60"/>
  <c r="R17" i="60"/>
  <c r="S17" i="60"/>
  <c r="U17" i="60"/>
  <c r="AA17" i="60"/>
  <c r="AB17" i="60"/>
  <c r="AC17" i="60"/>
  <c r="AD17" i="60" s="1"/>
  <c r="H18" i="60"/>
  <c r="J18" i="60" s="1"/>
  <c r="I18" i="60"/>
  <c r="P18" i="60" s="1"/>
  <c r="K18" i="60"/>
  <c r="L18" i="60"/>
  <c r="M18" i="60"/>
  <c r="Q18" i="60"/>
  <c r="R18" i="60"/>
  <c r="S18" i="60"/>
  <c r="T18" i="60"/>
  <c r="U18" i="60"/>
  <c r="W18" i="60"/>
  <c r="Z18" i="60"/>
  <c r="AA18" i="60"/>
  <c r="AB18" i="60"/>
  <c r="AC18" i="60"/>
  <c r="AD18" i="60" s="1"/>
  <c r="H19" i="60"/>
  <c r="I19" i="60"/>
  <c r="J19" i="60"/>
  <c r="K19" i="60"/>
  <c r="L19" i="60"/>
  <c r="M19" i="60"/>
  <c r="P19" i="60"/>
  <c r="Q19" i="60"/>
  <c r="AC19" i="60" s="1"/>
  <c r="AD19" i="60" s="1"/>
  <c r="R19" i="60"/>
  <c r="S19" i="60"/>
  <c r="U19" i="60"/>
  <c r="V19" i="60"/>
  <c r="W19" i="60"/>
  <c r="Z19" i="60"/>
  <c r="AB19" i="60"/>
  <c r="H20" i="60"/>
  <c r="I20" i="60"/>
  <c r="J20" i="60"/>
  <c r="K20" i="60"/>
  <c r="L20" i="60"/>
  <c r="M20" i="60"/>
  <c r="P20" i="60"/>
  <c r="W20" i="60" s="1"/>
  <c r="Q20" i="60"/>
  <c r="R20" i="60"/>
  <c r="S20" i="60"/>
  <c r="T20" i="60"/>
  <c r="U20" i="60"/>
  <c r="Z20" i="60"/>
  <c r="AA20" i="60"/>
  <c r="AB20" i="60"/>
  <c r="AC20" i="60"/>
  <c r="AD20" i="60" s="1"/>
  <c r="H21" i="60"/>
  <c r="I21" i="60"/>
  <c r="J21" i="60"/>
  <c r="K21" i="60"/>
  <c r="L21" i="60"/>
  <c r="M21" i="60"/>
  <c r="P21" i="60"/>
  <c r="W21" i="60" s="1"/>
  <c r="Q21" i="60"/>
  <c r="AC21" i="60" s="1"/>
  <c r="AD21" i="60" s="1"/>
  <c r="R21" i="60"/>
  <c r="S21" i="60"/>
  <c r="U21" i="60"/>
  <c r="Z21" i="60"/>
  <c r="AA21" i="60"/>
  <c r="H22" i="60"/>
  <c r="I22" i="60"/>
  <c r="P22" i="60" s="1"/>
  <c r="W22" i="60" s="1"/>
  <c r="J22" i="60"/>
  <c r="V22" i="60" s="1"/>
  <c r="K22" i="60"/>
  <c r="L22" i="60"/>
  <c r="M22" i="60"/>
  <c r="Q22" i="60"/>
  <c r="R22" i="60"/>
  <c r="S22" i="60"/>
  <c r="T22" i="60"/>
  <c r="U22" i="60"/>
  <c r="Z22" i="60"/>
  <c r="AA22" i="60"/>
  <c r="AB22" i="60"/>
  <c r="AC22" i="60"/>
  <c r="AD22" i="60" s="1"/>
  <c r="H23" i="60"/>
  <c r="J23" i="60" s="1"/>
  <c r="I23" i="60"/>
  <c r="P23" i="60" s="1"/>
  <c r="K23" i="60"/>
  <c r="L23" i="60"/>
  <c r="M23" i="60"/>
  <c r="Q23" i="60"/>
  <c r="AC23" i="60" s="1"/>
  <c r="AD23" i="60" s="1"/>
  <c r="R23" i="60"/>
  <c r="S23" i="60"/>
  <c r="U23" i="60"/>
  <c r="W23" i="60"/>
  <c r="Z23" i="60"/>
  <c r="AA23" i="60"/>
  <c r="AB23" i="60"/>
  <c r="H24" i="60"/>
  <c r="I24" i="60"/>
  <c r="J24" i="60"/>
  <c r="K24" i="60"/>
  <c r="L24" i="60"/>
  <c r="M24" i="60"/>
  <c r="P24" i="60"/>
  <c r="Q24" i="60"/>
  <c r="R24" i="60"/>
  <c r="S24" i="60"/>
  <c r="T24" i="60"/>
  <c r="U24" i="60"/>
  <c r="V24" i="60"/>
  <c r="W24" i="60"/>
  <c r="Z24" i="60"/>
  <c r="AA24" i="60"/>
  <c r="AB24" i="60"/>
  <c r="AC24" i="60"/>
  <c r="AD24" i="60" s="1"/>
  <c r="H25" i="60"/>
  <c r="J25" i="60" s="1"/>
  <c r="V25" i="60" s="1"/>
  <c r="I25" i="60"/>
  <c r="K25" i="60"/>
  <c r="L25" i="60"/>
  <c r="M25" i="60"/>
  <c r="P25" i="60"/>
  <c r="W25" i="60" s="1"/>
  <c r="Q25" i="60"/>
  <c r="AC25" i="60" s="1"/>
  <c r="AD25" i="60" s="1"/>
  <c r="R25" i="60"/>
  <c r="S25" i="60"/>
  <c r="U25" i="60"/>
  <c r="Z25" i="60"/>
  <c r="AB25" i="60"/>
  <c r="H26" i="60"/>
  <c r="I26" i="60"/>
  <c r="J26" i="60"/>
  <c r="K26" i="60"/>
  <c r="L26" i="60"/>
  <c r="M26" i="60"/>
  <c r="P26" i="60"/>
  <c r="W26" i="60" s="1"/>
  <c r="Q26" i="60"/>
  <c r="AC26" i="60" s="1"/>
  <c r="AD26" i="60" s="1"/>
  <c r="R26" i="60"/>
  <c r="S26" i="60"/>
  <c r="U26" i="60"/>
  <c r="Z26" i="60"/>
  <c r="AA26" i="60"/>
  <c r="H27" i="60"/>
  <c r="I27" i="60"/>
  <c r="P27" i="60" s="1"/>
  <c r="W27" i="60" s="1"/>
  <c r="J27" i="60"/>
  <c r="V27" i="60" s="1"/>
  <c r="K27" i="60"/>
  <c r="L27" i="60"/>
  <c r="M27" i="60"/>
  <c r="Q27" i="60"/>
  <c r="AC27" i="60" s="1"/>
  <c r="AD27" i="60" s="1"/>
  <c r="R27" i="60"/>
  <c r="S27" i="60"/>
  <c r="U27" i="60"/>
  <c r="AA27" i="60"/>
  <c r="AB27" i="60"/>
  <c r="H28" i="60"/>
  <c r="I28" i="60"/>
  <c r="P28" i="60" s="1"/>
  <c r="W28" i="60" s="1"/>
  <c r="J28" i="60"/>
  <c r="V28" i="60" s="1"/>
  <c r="K28" i="60"/>
  <c r="L28" i="60"/>
  <c r="M28" i="60"/>
  <c r="Q28" i="60"/>
  <c r="AC28" i="60" s="1"/>
  <c r="AD28" i="60" s="1"/>
  <c r="R28" i="60"/>
  <c r="S28" i="60"/>
  <c r="U28" i="60"/>
  <c r="Z28" i="60"/>
  <c r="AA28" i="60"/>
  <c r="AB28" i="60"/>
  <c r="H29" i="60"/>
  <c r="I29" i="60"/>
  <c r="J29" i="60"/>
  <c r="K29" i="60"/>
  <c r="L29" i="60"/>
  <c r="M29" i="60"/>
  <c r="P29" i="60"/>
  <c r="Q29" i="60"/>
  <c r="R29" i="60"/>
  <c r="S29" i="60"/>
  <c r="T29" i="60"/>
  <c r="U29" i="60"/>
  <c r="V29" i="60"/>
  <c r="W29" i="60"/>
  <c r="Z29" i="60"/>
  <c r="AA29" i="60"/>
  <c r="AB29" i="60"/>
  <c r="AC29" i="60"/>
  <c r="AD29" i="60"/>
  <c r="H30" i="60"/>
  <c r="J30" i="60" s="1"/>
  <c r="V30" i="60" s="1"/>
  <c r="I30" i="60"/>
  <c r="K30" i="60"/>
  <c r="L30" i="60"/>
  <c r="M30" i="60"/>
  <c r="P30" i="60"/>
  <c r="W30" i="60" s="1"/>
  <c r="Q30" i="60"/>
  <c r="AC30" i="60" s="1"/>
  <c r="AD30" i="60" s="1"/>
  <c r="R30" i="60"/>
  <c r="S30" i="60"/>
  <c r="U30" i="60"/>
  <c r="AA30" i="60"/>
  <c r="AB30" i="60"/>
  <c r="H31" i="60"/>
  <c r="I31" i="60"/>
  <c r="J31" i="60"/>
  <c r="V31" i="60" s="1"/>
  <c r="K31" i="60"/>
  <c r="L31" i="60"/>
  <c r="M31" i="60"/>
  <c r="P31" i="60"/>
  <c r="W31" i="60" s="1"/>
  <c r="Q31" i="60"/>
  <c r="R31" i="60"/>
  <c r="S31" i="60"/>
  <c r="T31" i="60"/>
  <c r="U31" i="60"/>
  <c r="Z31" i="60"/>
  <c r="AB31" i="60"/>
  <c r="AC31" i="60"/>
  <c r="AD31" i="60" s="1"/>
  <c r="H32" i="60"/>
  <c r="I32" i="60"/>
  <c r="P32" i="60" s="1"/>
  <c r="W32" i="60" s="1"/>
  <c r="J32" i="60"/>
  <c r="K32" i="60"/>
  <c r="L32" i="60"/>
  <c r="M32" i="60"/>
  <c r="Q32" i="60"/>
  <c r="R32" i="60"/>
  <c r="S32" i="60"/>
  <c r="T32" i="60"/>
  <c r="U32" i="60"/>
  <c r="Z32" i="60"/>
  <c r="AA32" i="60"/>
  <c r="AB32" i="60"/>
  <c r="AC32" i="60"/>
  <c r="AD32" i="60" s="1"/>
  <c r="H33" i="60"/>
  <c r="I33" i="60"/>
  <c r="P33" i="60" s="1"/>
  <c r="W33" i="60" s="1"/>
  <c r="J33" i="60"/>
  <c r="V33" i="60" s="1"/>
  <c r="K33" i="60"/>
  <c r="L33" i="60"/>
  <c r="M33" i="60"/>
  <c r="Q33" i="60"/>
  <c r="AC33" i="60" s="1"/>
  <c r="AD33" i="60" s="1"/>
  <c r="R33" i="60"/>
  <c r="S33" i="60"/>
  <c r="U33" i="60"/>
  <c r="Z33" i="60"/>
  <c r="AA33" i="60"/>
  <c r="AB33" i="60"/>
  <c r="H34" i="60"/>
  <c r="J34" i="60" s="1"/>
  <c r="V34" i="60" s="1"/>
  <c r="I34" i="60"/>
  <c r="P34" i="60" s="1"/>
  <c r="W34" i="60" s="1"/>
  <c r="K34" i="60"/>
  <c r="L34" i="60"/>
  <c r="M34" i="60"/>
  <c r="Q34" i="60"/>
  <c r="R34" i="60"/>
  <c r="S34" i="60"/>
  <c r="T34" i="60"/>
  <c r="U34" i="60"/>
  <c r="Z34" i="60"/>
  <c r="AA34" i="60"/>
  <c r="AB34" i="60"/>
  <c r="AC34" i="60"/>
  <c r="AD34" i="60" s="1"/>
  <c r="H35" i="60"/>
  <c r="I35" i="60"/>
  <c r="P35" i="60" s="1"/>
  <c r="J35" i="60"/>
  <c r="K35" i="60"/>
  <c r="L35" i="60"/>
  <c r="M35" i="60"/>
  <c r="Q35" i="60"/>
  <c r="AC35" i="60" s="1"/>
  <c r="AD35" i="60" s="1"/>
  <c r="R35" i="60"/>
  <c r="S35" i="60"/>
  <c r="U35" i="60"/>
  <c r="Z35" i="60"/>
  <c r="AA35" i="60"/>
  <c r="AB35" i="60"/>
  <c r="H36" i="60"/>
  <c r="J36" i="60" s="1"/>
  <c r="V36" i="60" s="1"/>
  <c r="I36" i="60"/>
  <c r="K36" i="60"/>
  <c r="L36" i="60"/>
  <c r="M36" i="60"/>
  <c r="P36" i="60"/>
  <c r="W36" i="60" s="1"/>
  <c r="Q36" i="60"/>
  <c r="AC36" i="60" s="1"/>
  <c r="AD36" i="60" s="1"/>
  <c r="R36" i="60"/>
  <c r="S36" i="60"/>
  <c r="U36" i="60"/>
  <c r="Z36" i="60"/>
  <c r="AB36" i="60"/>
  <c r="H37" i="60"/>
  <c r="I37" i="60"/>
  <c r="J37" i="60"/>
  <c r="K37" i="60"/>
  <c r="L37" i="60"/>
  <c r="M37" i="60"/>
  <c r="P37" i="60"/>
  <c r="W37" i="60" s="1"/>
  <c r="Q37" i="60"/>
  <c r="R37" i="60"/>
  <c r="S37" i="60"/>
  <c r="T37" i="60"/>
  <c r="U37" i="60"/>
  <c r="Z37" i="60"/>
  <c r="AA37" i="60"/>
  <c r="AB37" i="60"/>
  <c r="AC37" i="60"/>
  <c r="AD37" i="60" s="1"/>
  <c r="H38" i="60"/>
  <c r="I38" i="60"/>
  <c r="P38" i="60" s="1"/>
  <c r="W38" i="60" s="1"/>
  <c r="J38" i="60"/>
  <c r="V38" i="60" s="1"/>
  <c r="K38" i="60"/>
  <c r="L38" i="60"/>
  <c r="M38" i="60"/>
  <c r="Q38" i="60"/>
  <c r="AC38" i="60" s="1"/>
  <c r="AD38" i="60" s="1"/>
  <c r="R38" i="60"/>
  <c r="S38" i="60"/>
  <c r="U38" i="60"/>
  <c r="Z38" i="60"/>
  <c r="AA38" i="60"/>
  <c r="AB38" i="60"/>
  <c r="H39" i="60"/>
  <c r="I39" i="60"/>
  <c r="P39" i="60" s="1"/>
  <c r="W39" i="60" s="1"/>
  <c r="J39" i="60"/>
  <c r="V39" i="60" s="1"/>
  <c r="K39" i="60"/>
  <c r="L39" i="60"/>
  <c r="M39" i="60"/>
  <c r="Q39" i="60"/>
  <c r="AC39" i="60" s="1"/>
  <c r="AD39" i="60" s="1"/>
  <c r="R39" i="60"/>
  <c r="S39" i="60"/>
  <c r="U39" i="60"/>
  <c r="Z39" i="60"/>
  <c r="AA39" i="60"/>
  <c r="AB39" i="60"/>
  <c r="H40" i="60"/>
  <c r="I40" i="60"/>
  <c r="J40" i="60"/>
  <c r="K40" i="60"/>
  <c r="L40" i="60"/>
  <c r="M40" i="60"/>
  <c r="P40" i="60"/>
  <c r="Q40" i="60"/>
  <c r="AC40" i="60" s="1"/>
  <c r="AD40" i="60" s="1"/>
  <c r="R40" i="60"/>
  <c r="S40" i="60"/>
  <c r="U40" i="60"/>
  <c r="V40" i="60"/>
  <c r="W40" i="60"/>
  <c r="Z40" i="60"/>
  <c r="AA40" i="60"/>
  <c r="AB40" i="60"/>
  <c r="H41" i="60"/>
  <c r="J41" i="60" s="1"/>
  <c r="V41" i="60" s="1"/>
  <c r="I41" i="60"/>
  <c r="K41" i="60"/>
  <c r="L41" i="60"/>
  <c r="M41" i="60"/>
  <c r="P41" i="60"/>
  <c r="W41" i="60" s="1"/>
  <c r="Q41" i="60"/>
  <c r="R41" i="60"/>
  <c r="S41" i="60"/>
  <c r="T41" i="60"/>
  <c r="U41" i="60"/>
  <c r="Z41" i="60"/>
  <c r="AA41" i="60"/>
  <c r="AB41" i="60"/>
  <c r="AC41" i="60"/>
  <c r="AD41" i="60" s="1"/>
  <c r="H42" i="60"/>
  <c r="I42" i="60"/>
  <c r="J42" i="60"/>
  <c r="V42" i="60" s="1"/>
  <c r="K42" i="60"/>
  <c r="L42" i="60"/>
  <c r="M42" i="60"/>
  <c r="P42" i="60"/>
  <c r="W42" i="60" s="1"/>
  <c r="Q42" i="60"/>
  <c r="AC42" i="60" s="1"/>
  <c r="AD42" i="60" s="1"/>
  <c r="R42" i="60"/>
  <c r="S42" i="60"/>
  <c r="U42" i="60"/>
  <c r="AA42" i="60"/>
  <c r="AB42" i="60"/>
  <c r="H43" i="60"/>
  <c r="I43" i="60"/>
  <c r="J43" i="60"/>
  <c r="K43" i="60"/>
  <c r="L43" i="60"/>
  <c r="M43" i="60"/>
  <c r="P43" i="60"/>
  <c r="W43" i="60" s="1"/>
  <c r="Q43" i="60"/>
  <c r="R43" i="60"/>
  <c r="S43" i="60"/>
  <c r="T43" i="60"/>
  <c r="U43" i="60"/>
  <c r="Z43" i="60"/>
  <c r="AA43" i="60"/>
  <c r="AB43" i="60"/>
  <c r="AC43" i="60"/>
  <c r="AD43" i="60" s="1"/>
  <c r="H44" i="60"/>
  <c r="I44" i="60"/>
  <c r="P44" i="60" s="1"/>
  <c r="W44" i="60" s="1"/>
  <c r="J44" i="60"/>
  <c r="V44" i="60" s="1"/>
  <c r="K44" i="60"/>
  <c r="L44" i="60"/>
  <c r="M44" i="60"/>
  <c r="Q44" i="60"/>
  <c r="AC44" i="60" s="1"/>
  <c r="AD44" i="60" s="1"/>
  <c r="R44" i="60"/>
  <c r="S44" i="60"/>
  <c r="U44" i="60"/>
  <c r="Z44" i="60"/>
  <c r="AA44" i="60"/>
  <c r="AB44" i="60"/>
  <c r="H45" i="60"/>
  <c r="J45" i="60" s="1"/>
  <c r="V45" i="60" s="1"/>
  <c r="I45" i="60"/>
  <c r="K45" i="60"/>
  <c r="L45" i="60"/>
  <c r="M45" i="60"/>
  <c r="P45" i="60"/>
  <c r="Q45" i="60"/>
  <c r="R45" i="60"/>
  <c r="S45" i="60"/>
  <c r="T45" i="60"/>
  <c r="U45" i="60"/>
  <c r="W45" i="60"/>
  <c r="Z45" i="60"/>
  <c r="AA45" i="60"/>
  <c r="AB45" i="60"/>
  <c r="AC45" i="60"/>
  <c r="AD45" i="60" s="1"/>
  <c r="H46" i="60"/>
  <c r="I46" i="60"/>
  <c r="J46" i="60"/>
  <c r="K46" i="60"/>
  <c r="L46" i="60"/>
  <c r="M46" i="60"/>
  <c r="P46" i="60"/>
  <c r="Q46" i="60"/>
  <c r="AC46" i="60" s="1"/>
  <c r="AD46" i="60" s="1"/>
  <c r="R46" i="60"/>
  <c r="S46" i="60"/>
  <c r="U46" i="60"/>
  <c r="V46" i="60"/>
  <c r="W46" i="60"/>
  <c r="Z46" i="60"/>
  <c r="AA46" i="60"/>
  <c r="H47" i="60"/>
  <c r="I47" i="60"/>
  <c r="J47" i="60"/>
  <c r="K47" i="60"/>
  <c r="L47" i="60"/>
  <c r="M47" i="60"/>
  <c r="P47" i="60"/>
  <c r="W47" i="60" s="1"/>
  <c r="Q47" i="60"/>
  <c r="R47" i="60"/>
  <c r="S47" i="60"/>
  <c r="T47" i="60"/>
  <c r="U47" i="60"/>
  <c r="Z47" i="60"/>
  <c r="AA47" i="60"/>
  <c r="AB47" i="60"/>
  <c r="AC47" i="60"/>
  <c r="AD47" i="60" s="1"/>
  <c r="H48" i="60"/>
  <c r="I48" i="60"/>
  <c r="J48" i="60"/>
  <c r="V48" i="60" s="1"/>
  <c r="K48" i="60"/>
  <c r="L48" i="60"/>
  <c r="M48" i="60"/>
  <c r="P48" i="60"/>
  <c r="W48" i="60" s="1"/>
  <c r="Q48" i="60"/>
  <c r="AC48" i="60" s="1"/>
  <c r="AD48" i="60" s="1"/>
  <c r="R48" i="60"/>
  <c r="S48" i="60"/>
  <c r="U48" i="60"/>
  <c r="AA48" i="60"/>
  <c r="AB48" i="60"/>
  <c r="H49" i="60"/>
  <c r="I49" i="60"/>
  <c r="P49" i="60" s="1"/>
  <c r="W49" i="60" s="1"/>
  <c r="J49" i="60"/>
  <c r="V49" i="60" s="1"/>
  <c r="K49" i="60"/>
  <c r="L49" i="60"/>
  <c r="M49" i="60"/>
  <c r="Q49" i="60"/>
  <c r="R49" i="60"/>
  <c r="S49" i="60"/>
  <c r="T49" i="60"/>
  <c r="U49" i="60"/>
  <c r="Z49" i="60"/>
  <c r="AA49" i="60"/>
  <c r="AB49" i="60"/>
  <c r="AC49" i="60"/>
  <c r="AD49" i="60" s="1"/>
  <c r="H50" i="60"/>
  <c r="J50" i="60" s="1"/>
  <c r="V50" i="60" s="1"/>
  <c r="I50" i="60"/>
  <c r="P50" i="60" s="1"/>
  <c r="W50" i="60" s="1"/>
  <c r="K50" i="60"/>
  <c r="L50" i="60"/>
  <c r="M50" i="60"/>
  <c r="Q50" i="60"/>
  <c r="AC50" i="60" s="1"/>
  <c r="AD50" i="60" s="1"/>
  <c r="R50" i="60"/>
  <c r="S50" i="60"/>
  <c r="U50" i="60"/>
  <c r="Z50" i="60"/>
  <c r="AA50" i="60"/>
  <c r="AB50" i="60"/>
  <c r="H51" i="60"/>
  <c r="I51" i="60"/>
  <c r="J51" i="60"/>
  <c r="K51" i="60"/>
  <c r="L51" i="60"/>
  <c r="M51" i="60"/>
  <c r="P51" i="60"/>
  <c r="Q51" i="60"/>
  <c r="AC51" i="60" s="1"/>
  <c r="AD51" i="60" s="1"/>
  <c r="R51" i="60"/>
  <c r="S51" i="60"/>
  <c r="U51" i="60"/>
  <c r="V51" i="60"/>
  <c r="W51" i="60"/>
  <c r="Z51" i="60"/>
  <c r="AA51" i="60"/>
  <c r="H52" i="60"/>
  <c r="J52" i="60" s="1"/>
  <c r="I52" i="60"/>
  <c r="K52" i="60"/>
  <c r="L52" i="60"/>
  <c r="M52" i="60"/>
  <c r="P52" i="60"/>
  <c r="W52" i="60" s="1"/>
  <c r="Q52" i="60"/>
  <c r="AC52" i="60" s="1"/>
  <c r="AD52" i="60" s="1"/>
  <c r="R52" i="60"/>
  <c r="S52" i="60"/>
  <c r="U52" i="60"/>
  <c r="AA52" i="60"/>
  <c r="AB52" i="60"/>
  <c r="H53" i="60"/>
  <c r="I53" i="60"/>
  <c r="J53" i="60"/>
  <c r="K53" i="60"/>
  <c r="L53" i="60"/>
  <c r="M53" i="60"/>
  <c r="P53" i="60"/>
  <c r="W53" i="60" s="1"/>
  <c r="Q53" i="60"/>
  <c r="AC53" i="60" s="1"/>
  <c r="AD53" i="60" s="1"/>
  <c r="R53" i="60"/>
  <c r="S53" i="60"/>
  <c r="U53" i="60"/>
  <c r="Z53" i="60"/>
  <c r="AB53" i="60"/>
  <c r="H54" i="60"/>
  <c r="I54" i="60"/>
  <c r="P54" i="60" s="1"/>
  <c r="W54" i="60" s="1"/>
  <c r="J54" i="60"/>
  <c r="V54" i="60" s="1"/>
  <c r="K54" i="60"/>
  <c r="L54" i="60"/>
  <c r="M54" i="60"/>
  <c r="Q54" i="60"/>
  <c r="R54" i="60"/>
  <c r="S54" i="60"/>
  <c r="T54" i="60"/>
  <c r="U54" i="60"/>
  <c r="Z54" i="60"/>
  <c r="AA54" i="60"/>
  <c r="AB54" i="60"/>
  <c r="AC54" i="60"/>
  <c r="AD54" i="60" s="1"/>
  <c r="H55" i="60"/>
  <c r="I55" i="60"/>
  <c r="P55" i="60" s="1"/>
  <c r="J55" i="60"/>
  <c r="V55" i="60" s="1"/>
  <c r="K55" i="60"/>
  <c r="L55" i="60"/>
  <c r="M55" i="60"/>
  <c r="Q55" i="60"/>
  <c r="AC55" i="60" s="1"/>
  <c r="AD55" i="60" s="1"/>
  <c r="R55" i="60"/>
  <c r="X75" i="60" s="1"/>
  <c r="S55" i="60"/>
  <c r="U55" i="60"/>
  <c r="W55" i="60"/>
  <c r="Z55" i="60"/>
  <c r="AA55" i="60"/>
  <c r="AB55" i="60"/>
  <c r="H56" i="60"/>
  <c r="I56" i="60"/>
  <c r="J56" i="60"/>
  <c r="K56" i="60"/>
  <c r="L56" i="60"/>
  <c r="M56" i="60"/>
  <c r="P56" i="60"/>
  <c r="Q56" i="60"/>
  <c r="R56" i="60"/>
  <c r="S56" i="60"/>
  <c r="T56" i="60"/>
  <c r="U56" i="60"/>
  <c r="V56" i="60"/>
  <c r="W56" i="60"/>
  <c r="Z56" i="60"/>
  <c r="AA56" i="60"/>
  <c r="AC56" i="60"/>
  <c r="AD56" i="60" s="1"/>
  <c r="H57" i="60"/>
  <c r="J57" i="60" s="1"/>
  <c r="I57" i="60"/>
  <c r="K57" i="60"/>
  <c r="L57" i="60"/>
  <c r="M57" i="60"/>
  <c r="P57" i="60"/>
  <c r="W57" i="60" s="1"/>
  <c r="Q57" i="60"/>
  <c r="R57" i="60"/>
  <c r="S57" i="60"/>
  <c r="T57" i="60"/>
  <c r="U57" i="60"/>
  <c r="V57" i="60"/>
  <c r="Z57" i="60"/>
  <c r="AA57" i="60"/>
  <c r="AB57" i="60"/>
  <c r="AC57" i="60"/>
  <c r="AD57" i="60" s="1"/>
  <c r="H58" i="60"/>
  <c r="I58" i="60"/>
  <c r="J58" i="60"/>
  <c r="K58" i="60"/>
  <c r="L58" i="60"/>
  <c r="M58" i="60"/>
  <c r="P58" i="60"/>
  <c r="W58" i="60" s="1"/>
  <c r="Q58" i="60"/>
  <c r="AC58" i="60" s="1"/>
  <c r="AD58" i="60" s="1"/>
  <c r="R58" i="60"/>
  <c r="S58" i="60"/>
  <c r="U58" i="60"/>
  <c r="Z58" i="60"/>
  <c r="AA58" i="60"/>
  <c r="H59" i="60"/>
  <c r="I59" i="60"/>
  <c r="J59" i="60"/>
  <c r="K59" i="60"/>
  <c r="L59" i="60"/>
  <c r="M59" i="60"/>
  <c r="P59" i="60"/>
  <c r="W59" i="60" s="1"/>
  <c r="Q59" i="60"/>
  <c r="R59" i="60"/>
  <c r="S59" i="60"/>
  <c r="T59" i="60"/>
  <c r="U59" i="60"/>
  <c r="Z59" i="60"/>
  <c r="AA59" i="60"/>
  <c r="AB59" i="60"/>
  <c r="AC59" i="60"/>
  <c r="AD59" i="60" s="1"/>
  <c r="H60" i="60"/>
  <c r="I60" i="60"/>
  <c r="P60" i="60" s="1"/>
  <c r="W60" i="60" s="1"/>
  <c r="J60" i="60"/>
  <c r="K60" i="60"/>
  <c r="L60" i="60"/>
  <c r="M60" i="60"/>
  <c r="Q60" i="60"/>
  <c r="AC60" i="60" s="1"/>
  <c r="AD60" i="60" s="1"/>
  <c r="R60" i="60"/>
  <c r="S60" i="60"/>
  <c r="U60" i="60"/>
  <c r="Z60" i="60"/>
  <c r="AA60" i="60"/>
  <c r="AB60" i="60"/>
  <c r="X76" i="60"/>
  <c r="C77" i="60"/>
  <c r="C78" i="60"/>
  <c r="C79" i="60"/>
  <c r="P85" i="60"/>
  <c r="P86" i="60"/>
  <c r="P87" i="60"/>
  <c r="P88" i="60"/>
  <c r="P89" i="60"/>
  <c r="P90" i="60"/>
  <c r="P91" i="60"/>
  <c r="P92" i="60"/>
  <c r="P93" i="60"/>
  <c r="P94" i="60"/>
  <c r="P95" i="60"/>
  <c r="P96" i="60"/>
  <c r="P97" i="60"/>
  <c r="P98" i="60"/>
  <c r="P99" i="60"/>
  <c r="P100" i="60"/>
  <c r="P101" i="60"/>
  <c r="P102" i="60"/>
  <c r="P103" i="60"/>
  <c r="P104" i="60"/>
  <c r="P105" i="60"/>
  <c r="P106" i="60"/>
  <c r="P107" i="60"/>
  <c r="P108" i="60"/>
  <c r="P109" i="60"/>
  <c r="P110" i="60"/>
  <c r="P111" i="60"/>
  <c r="P112" i="60"/>
  <c r="P113" i="60"/>
  <c r="P114" i="60"/>
  <c r="P115" i="60"/>
  <c r="P116" i="60"/>
  <c r="P117" i="60"/>
  <c r="P118" i="60"/>
  <c r="P119" i="60"/>
  <c r="P120" i="60"/>
  <c r="P121" i="60"/>
  <c r="P122" i="60"/>
  <c r="P123" i="60"/>
  <c r="P124" i="60"/>
  <c r="P125" i="60"/>
  <c r="P126" i="60"/>
  <c r="P127" i="60"/>
  <c r="P128" i="60"/>
  <c r="P129" i="60"/>
  <c r="P130" i="60"/>
  <c r="P131" i="60"/>
  <c r="P132" i="60"/>
  <c r="P133" i="60"/>
  <c r="P134" i="60"/>
  <c r="P135" i="60"/>
  <c r="P136" i="60"/>
  <c r="P137" i="60"/>
  <c r="P138" i="60"/>
  <c r="P139" i="60"/>
  <c r="P140" i="60"/>
  <c r="P141" i="60"/>
  <c r="P142" i="60"/>
  <c r="P143" i="60"/>
  <c r="P144" i="60"/>
  <c r="P145" i="60"/>
  <c r="P146" i="60"/>
  <c r="P147" i="60"/>
  <c r="P148" i="60"/>
  <c r="P149" i="60"/>
  <c r="P150" i="60"/>
  <c r="P151" i="60"/>
  <c r="P152" i="60"/>
  <c r="P153" i="60"/>
  <c r="P154" i="60"/>
  <c r="P155" i="60"/>
  <c r="P156" i="60"/>
  <c r="P157" i="60"/>
  <c r="P158" i="60"/>
  <c r="P159" i="60"/>
  <c r="P160" i="60"/>
  <c r="P161" i="60"/>
  <c r="P162" i="60"/>
  <c r="P163" i="60"/>
  <c r="P164" i="60"/>
  <c r="P165" i="60"/>
  <c r="P166" i="60"/>
  <c r="P167" i="60"/>
  <c r="P168" i="60"/>
  <c r="P169" i="60"/>
  <c r="P170" i="60"/>
  <c r="P171" i="60"/>
  <c r="P172" i="60"/>
  <c r="P173" i="60"/>
  <c r="P174" i="60"/>
  <c r="P175" i="60"/>
  <c r="P176" i="60"/>
  <c r="P177" i="60"/>
  <c r="P178" i="60"/>
  <c r="P179" i="60"/>
  <c r="P180" i="60"/>
  <c r="P181" i="60"/>
  <c r="P182" i="60"/>
  <c r="P183" i="60"/>
  <c r="P184" i="60"/>
  <c r="P185" i="60"/>
  <c r="P186" i="60"/>
  <c r="P187" i="60"/>
  <c r="P188" i="60"/>
  <c r="P189" i="60"/>
  <c r="P190" i="60"/>
  <c r="P191" i="60"/>
  <c r="P192" i="60"/>
  <c r="P193" i="60"/>
  <c r="P194" i="60"/>
  <c r="P195" i="60"/>
  <c r="P196" i="60"/>
  <c r="P197" i="60"/>
  <c r="P198" i="60"/>
  <c r="P199" i="60"/>
  <c r="P200" i="60"/>
  <c r="P201" i="60"/>
  <c r="P202" i="60"/>
  <c r="P203" i="60"/>
  <c r="P204" i="60"/>
  <c r="P205" i="60"/>
  <c r="P206" i="60"/>
  <c r="P207" i="60"/>
  <c r="P208" i="60"/>
  <c r="P209" i="60"/>
  <c r="P210" i="60"/>
  <c r="P211" i="60"/>
  <c r="P212" i="60"/>
  <c r="P213" i="60"/>
  <c r="P214" i="60"/>
  <c r="P215" i="60"/>
  <c r="P216" i="60"/>
  <c r="P217" i="60"/>
  <c r="P218" i="60"/>
  <c r="P219" i="60"/>
  <c r="P220" i="60"/>
  <c r="P221" i="60"/>
  <c r="P222" i="60"/>
  <c r="P223" i="60"/>
  <c r="P224" i="60"/>
  <c r="P225" i="60"/>
  <c r="P226" i="60"/>
  <c r="P227" i="60"/>
  <c r="P228" i="60"/>
  <c r="P229" i="60"/>
  <c r="P230" i="60"/>
  <c r="P231" i="60"/>
  <c r="P232" i="60"/>
  <c r="P233" i="60"/>
  <c r="P234" i="60"/>
  <c r="P235" i="60"/>
  <c r="P236" i="60"/>
  <c r="P237" i="60"/>
  <c r="P238" i="60"/>
  <c r="P239" i="60"/>
  <c r="P240" i="60"/>
  <c r="P241" i="60"/>
  <c r="P242" i="60"/>
  <c r="P243" i="60"/>
  <c r="P244" i="60"/>
  <c r="P245" i="60"/>
  <c r="P246" i="60"/>
  <c r="P247" i="60"/>
  <c r="P248" i="60"/>
  <c r="P249" i="60"/>
  <c r="P250" i="60"/>
  <c r="P251" i="60"/>
  <c r="P252" i="60"/>
  <c r="P253" i="60"/>
  <c r="P254" i="60"/>
  <c r="P255" i="60"/>
  <c r="P256" i="60"/>
  <c r="P257" i="60"/>
  <c r="P258" i="60"/>
  <c r="P259" i="60"/>
  <c r="P260" i="60"/>
  <c r="P261" i="60"/>
  <c r="P262" i="60"/>
  <c r="P263" i="60"/>
  <c r="P264" i="60"/>
  <c r="P265" i="60"/>
  <c r="P266" i="60"/>
  <c r="P267" i="60"/>
  <c r="P268" i="60"/>
  <c r="P269" i="60"/>
  <c r="P270" i="60"/>
  <c r="P271" i="60"/>
  <c r="P272" i="60"/>
  <c r="P273" i="60"/>
  <c r="P274" i="60"/>
  <c r="P275" i="60"/>
  <c r="P276" i="60"/>
  <c r="P277" i="60"/>
  <c r="P278" i="60"/>
  <c r="P279" i="60"/>
  <c r="P280" i="60"/>
  <c r="P281" i="60"/>
  <c r="P282" i="60"/>
  <c r="P283" i="60"/>
  <c r="P284" i="60"/>
  <c r="P285" i="60"/>
  <c r="P286" i="60"/>
  <c r="P287" i="60"/>
  <c r="P288" i="60"/>
  <c r="P289" i="60"/>
  <c r="P290" i="60"/>
  <c r="P291" i="60"/>
  <c r="P292" i="60"/>
  <c r="P293" i="60"/>
  <c r="P294" i="60"/>
  <c r="P295" i="60"/>
  <c r="P296" i="60"/>
  <c r="P297" i="60"/>
  <c r="P298" i="60"/>
  <c r="P299" i="60"/>
  <c r="P300" i="60"/>
  <c r="P301" i="60"/>
  <c r="P302" i="60"/>
  <c r="P303" i="60"/>
  <c r="P304" i="60"/>
  <c r="P305" i="60"/>
  <c r="P306" i="60"/>
  <c r="P307" i="60"/>
  <c r="P308" i="60"/>
  <c r="P309" i="60"/>
  <c r="P310" i="60"/>
  <c r="P311" i="60"/>
  <c r="P312" i="60"/>
  <c r="P313" i="60"/>
  <c r="P314" i="60"/>
  <c r="P315" i="60"/>
  <c r="P316" i="60"/>
  <c r="P317" i="60"/>
  <c r="P318" i="60"/>
  <c r="P319" i="60"/>
  <c r="P320" i="60"/>
  <c r="P321" i="60"/>
  <c r="P322" i="60"/>
  <c r="P323" i="60"/>
  <c r="P324" i="60"/>
  <c r="P325" i="60"/>
  <c r="P326" i="60"/>
  <c r="P327" i="60"/>
  <c r="P328" i="60"/>
  <c r="P329" i="60"/>
  <c r="P330" i="60"/>
  <c r="P331" i="60"/>
  <c r="P332" i="60"/>
  <c r="P333" i="60"/>
  <c r="P334" i="60"/>
  <c r="P335" i="60"/>
  <c r="P336" i="60"/>
  <c r="P337" i="60"/>
  <c r="P338" i="60"/>
  <c r="P339" i="60"/>
  <c r="P340" i="60"/>
  <c r="P341" i="60"/>
  <c r="P342" i="60"/>
  <c r="P343" i="60"/>
  <c r="P344" i="60"/>
  <c r="P345" i="60"/>
  <c r="P346" i="60"/>
  <c r="P347" i="60"/>
  <c r="P348" i="60"/>
  <c r="P349" i="60"/>
  <c r="P350" i="60"/>
  <c r="P351" i="60"/>
  <c r="P352" i="60"/>
  <c r="P353" i="60"/>
  <c r="P354" i="60"/>
  <c r="P355" i="60"/>
  <c r="P356" i="60"/>
  <c r="P357" i="60"/>
  <c r="P358" i="60"/>
  <c r="P359" i="60"/>
  <c r="P360" i="60"/>
  <c r="P361" i="60"/>
  <c r="P362" i="60"/>
  <c r="P363" i="60"/>
  <c r="P364" i="60"/>
  <c r="P365" i="60"/>
  <c r="P366" i="60"/>
  <c r="P367" i="60"/>
  <c r="P368" i="60"/>
  <c r="P369" i="60"/>
  <c r="P370" i="60"/>
  <c r="P371" i="60"/>
  <c r="P372" i="60"/>
  <c r="P373" i="60"/>
  <c r="P374" i="60"/>
  <c r="P375" i="60"/>
  <c r="P376" i="60"/>
  <c r="P377" i="60"/>
  <c r="P378" i="60"/>
  <c r="P379" i="60"/>
  <c r="P380" i="60"/>
  <c r="P381" i="60"/>
  <c r="P382" i="60"/>
  <c r="P383" i="60"/>
  <c r="P384" i="60"/>
  <c r="P385" i="60"/>
  <c r="P386" i="60"/>
  <c r="P387" i="60"/>
  <c r="P388" i="60"/>
  <c r="P389" i="60"/>
  <c r="P390" i="60"/>
  <c r="P391" i="60"/>
  <c r="P392" i="60"/>
  <c r="P393" i="60"/>
  <c r="P394" i="60"/>
  <c r="P395" i="60"/>
  <c r="P396" i="60"/>
  <c r="P397" i="60"/>
  <c r="P398" i="60"/>
  <c r="P399" i="60"/>
  <c r="P400" i="60"/>
  <c r="P401" i="60"/>
  <c r="P402" i="60"/>
  <c r="P403" i="60"/>
  <c r="P404" i="60"/>
  <c r="P405" i="60"/>
  <c r="P406" i="60"/>
  <c r="P407" i="60"/>
  <c r="P408" i="60"/>
  <c r="P409" i="60"/>
  <c r="P410" i="60"/>
  <c r="P411" i="60"/>
  <c r="P412" i="60"/>
  <c r="P413" i="60"/>
  <c r="P414" i="60"/>
  <c r="P415" i="60"/>
  <c r="P416" i="60"/>
  <c r="P417" i="60"/>
  <c r="P418" i="60"/>
  <c r="P419" i="60"/>
  <c r="P420" i="60"/>
  <c r="P421" i="60"/>
  <c r="P422" i="60"/>
  <c r="P423" i="60"/>
  <c r="P424" i="60"/>
  <c r="P425" i="60"/>
  <c r="P426" i="60"/>
  <c r="P427" i="60"/>
  <c r="P428" i="60"/>
  <c r="P429" i="60"/>
  <c r="P430" i="60"/>
  <c r="P431" i="60"/>
  <c r="P432" i="60"/>
  <c r="P433" i="60"/>
  <c r="P434" i="60"/>
  <c r="P435" i="60"/>
  <c r="P436" i="60"/>
  <c r="P437" i="60"/>
  <c r="P438" i="60"/>
  <c r="P439" i="60"/>
  <c r="P440" i="60"/>
  <c r="P441" i="60"/>
  <c r="P442" i="60"/>
  <c r="P443" i="60"/>
  <c r="P444" i="60"/>
  <c r="P445" i="60"/>
  <c r="P446" i="60"/>
  <c r="P447" i="60"/>
  <c r="P448" i="60"/>
  <c r="P449" i="60"/>
  <c r="P450" i="60"/>
  <c r="P451" i="60"/>
  <c r="P452" i="60"/>
  <c r="P453" i="60"/>
  <c r="P454" i="60"/>
  <c r="P455" i="60"/>
  <c r="P456" i="60"/>
  <c r="P457" i="60"/>
  <c r="P458" i="60"/>
  <c r="P459" i="60"/>
  <c r="P460" i="60"/>
  <c r="P461" i="60"/>
  <c r="P462" i="60"/>
  <c r="P463" i="60"/>
  <c r="P464" i="60"/>
  <c r="P465" i="60"/>
  <c r="P466" i="60"/>
  <c r="P467" i="60"/>
  <c r="P468" i="60"/>
  <c r="P469" i="60"/>
  <c r="P470" i="60"/>
  <c r="P471" i="60"/>
  <c r="P472" i="60"/>
  <c r="P473" i="60"/>
  <c r="P474" i="60"/>
  <c r="P475" i="60"/>
  <c r="P476" i="60"/>
  <c r="P477" i="60"/>
  <c r="P478" i="60"/>
  <c r="P479" i="60"/>
  <c r="P480" i="60"/>
  <c r="P481" i="60"/>
  <c r="P482" i="60"/>
  <c r="P483" i="60"/>
  <c r="P484" i="60"/>
  <c r="P485" i="60"/>
  <c r="P486" i="60"/>
  <c r="P487" i="60"/>
  <c r="P488" i="60"/>
  <c r="P489" i="60"/>
  <c r="P490" i="60"/>
  <c r="P491" i="60"/>
  <c r="P492" i="60"/>
  <c r="P493" i="60"/>
  <c r="P494" i="60"/>
  <c r="P495" i="60"/>
  <c r="P496" i="60"/>
  <c r="P497" i="60"/>
  <c r="P498" i="60"/>
  <c r="P499" i="60"/>
  <c r="P500" i="60"/>
  <c r="P501" i="60"/>
  <c r="P502" i="60"/>
  <c r="P503" i="60"/>
  <c r="P504" i="60"/>
  <c r="P505" i="60"/>
  <c r="P506" i="60"/>
  <c r="P507" i="60"/>
  <c r="P508" i="60"/>
  <c r="P509" i="60"/>
  <c r="P510" i="60"/>
  <c r="P511" i="60"/>
  <c r="P512" i="60"/>
  <c r="P513" i="60"/>
  <c r="P514" i="60"/>
  <c r="P515" i="60"/>
  <c r="P516" i="60"/>
  <c r="P517" i="60"/>
  <c r="P518" i="60"/>
  <c r="P519" i="60"/>
  <c r="P520" i="60"/>
  <c r="P521" i="60"/>
  <c r="P522" i="60"/>
  <c r="P523" i="60"/>
  <c r="P524" i="60"/>
  <c r="P525" i="60"/>
  <c r="P526" i="60"/>
  <c r="P527" i="60"/>
  <c r="P528" i="60"/>
  <c r="P529" i="60"/>
  <c r="P530" i="60"/>
  <c r="P531" i="60"/>
  <c r="P532" i="60"/>
  <c r="P533" i="60"/>
  <c r="P534" i="60"/>
  <c r="P535" i="60"/>
  <c r="P536" i="60"/>
  <c r="P537" i="60"/>
  <c r="P538" i="60"/>
  <c r="P539" i="60"/>
  <c r="P540" i="60"/>
  <c r="P541" i="60"/>
  <c r="P542" i="60"/>
  <c r="P543" i="60"/>
  <c r="P544" i="60"/>
  <c r="P545" i="60"/>
  <c r="P546" i="60"/>
  <c r="P547" i="60"/>
  <c r="P548" i="60"/>
  <c r="P549" i="60"/>
  <c r="P550" i="60"/>
  <c r="P551" i="60"/>
  <c r="P552" i="60"/>
  <c r="P553" i="60"/>
  <c r="P554" i="60"/>
  <c r="P555" i="60"/>
  <c r="P556" i="60"/>
  <c r="P557" i="60"/>
  <c r="P558" i="60"/>
  <c r="P559" i="60"/>
  <c r="P560" i="60"/>
  <c r="P561" i="60"/>
  <c r="P562" i="60"/>
  <c r="P563" i="60"/>
  <c r="P564" i="60"/>
  <c r="P565" i="60"/>
  <c r="P566" i="60"/>
  <c r="P567" i="60"/>
  <c r="P568" i="60"/>
  <c r="P569" i="60"/>
  <c r="P570" i="60"/>
  <c r="P571" i="60"/>
  <c r="P572" i="60"/>
  <c r="P573" i="60"/>
  <c r="P574" i="60"/>
  <c r="P575" i="60"/>
  <c r="P576" i="60"/>
  <c r="P577" i="60"/>
  <c r="P578" i="60"/>
  <c r="P579" i="60"/>
  <c r="P580" i="60"/>
  <c r="P581" i="60"/>
  <c r="P582" i="60"/>
  <c r="P583" i="60"/>
  <c r="P584" i="60"/>
  <c r="P585" i="60"/>
  <c r="P586" i="60"/>
  <c r="P587" i="60"/>
  <c r="P588" i="60"/>
  <c r="P589" i="60"/>
  <c r="P590" i="60"/>
  <c r="P591" i="60"/>
  <c r="P592" i="60"/>
  <c r="P593" i="60"/>
  <c r="P594" i="60"/>
  <c r="P595" i="60"/>
  <c r="P596" i="60"/>
  <c r="P597" i="60"/>
  <c r="P598" i="60"/>
  <c r="P599" i="60"/>
  <c r="P600" i="60"/>
  <c r="P601" i="60"/>
  <c r="P570" i="58"/>
  <c r="P569" i="58"/>
  <c r="P568" i="58"/>
  <c r="P567" i="58"/>
  <c r="P566" i="58"/>
  <c r="P565" i="58"/>
  <c r="P564" i="58"/>
  <c r="P563" i="58"/>
  <c r="P562" i="58"/>
  <c r="P561" i="58"/>
  <c r="P560" i="58"/>
  <c r="P559" i="58"/>
  <c r="P558" i="58"/>
  <c r="P557" i="58"/>
  <c r="P556" i="58"/>
  <c r="P555" i="58"/>
  <c r="P554" i="58"/>
  <c r="P553" i="58"/>
  <c r="P552" i="58"/>
  <c r="P551" i="58"/>
  <c r="P550" i="58"/>
  <c r="P549" i="58"/>
  <c r="P548" i="58"/>
  <c r="P547" i="58"/>
  <c r="P546" i="58"/>
  <c r="P545" i="58"/>
  <c r="P544" i="58"/>
  <c r="P543" i="58"/>
  <c r="P542" i="58"/>
  <c r="P541" i="58"/>
  <c r="P540" i="58"/>
  <c r="P539" i="58"/>
  <c r="P538" i="58"/>
  <c r="P537" i="58"/>
  <c r="P536" i="58"/>
  <c r="P535" i="58"/>
  <c r="P534" i="58"/>
  <c r="P533" i="58"/>
  <c r="P532" i="58"/>
  <c r="P531" i="58"/>
  <c r="P530" i="58"/>
  <c r="P529" i="58"/>
  <c r="P528" i="58"/>
  <c r="P527" i="58"/>
  <c r="P526" i="58"/>
  <c r="P525" i="58"/>
  <c r="P524" i="58"/>
  <c r="P523" i="58"/>
  <c r="P522" i="58"/>
  <c r="P521" i="58"/>
  <c r="P520" i="58"/>
  <c r="P519" i="58"/>
  <c r="P518" i="58"/>
  <c r="P517" i="58"/>
  <c r="P516" i="58"/>
  <c r="P515" i="58"/>
  <c r="P514" i="58"/>
  <c r="P513" i="58"/>
  <c r="P512" i="58"/>
  <c r="P511" i="58"/>
  <c r="P510" i="58"/>
  <c r="P509" i="58"/>
  <c r="P508" i="58"/>
  <c r="P507" i="58"/>
  <c r="P506" i="58"/>
  <c r="P505" i="58"/>
  <c r="P504" i="58"/>
  <c r="P503" i="58"/>
  <c r="P502" i="58"/>
  <c r="P501" i="58"/>
  <c r="P500" i="58"/>
  <c r="P499" i="58"/>
  <c r="P498" i="58"/>
  <c r="P497" i="58"/>
  <c r="P496" i="58"/>
  <c r="P495" i="58"/>
  <c r="P494" i="58"/>
  <c r="P493" i="58"/>
  <c r="P492" i="58"/>
  <c r="P491" i="58"/>
  <c r="P490" i="58"/>
  <c r="P489" i="58"/>
  <c r="P488" i="58"/>
  <c r="P487" i="58"/>
  <c r="P486" i="58"/>
  <c r="P485" i="58"/>
  <c r="P484" i="58"/>
  <c r="P483" i="58"/>
  <c r="P482" i="58"/>
  <c r="P481" i="58"/>
  <c r="P480" i="58"/>
  <c r="P479" i="58"/>
  <c r="P478" i="58"/>
  <c r="P477" i="58"/>
  <c r="P476" i="58"/>
  <c r="P475" i="58"/>
  <c r="P474" i="58"/>
  <c r="P473" i="58"/>
  <c r="P472" i="58"/>
  <c r="P471" i="58"/>
  <c r="P470" i="58"/>
  <c r="P469" i="58"/>
  <c r="P468" i="58"/>
  <c r="P467" i="58"/>
  <c r="P466" i="58"/>
  <c r="P465" i="58"/>
  <c r="P464" i="58"/>
  <c r="P463" i="58"/>
  <c r="P462" i="58"/>
  <c r="P461" i="58"/>
  <c r="P460" i="58"/>
  <c r="P459" i="58"/>
  <c r="P458" i="58"/>
  <c r="P457" i="58"/>
  <c r="P456" i="58"/>
  <c r="P455" i="58"/>
  <c r="P454" i="58"/>
  <c r="P453" i="58"/>
  <c r="P452" i="58"/>
  <c r="P451" i="58"/>
  <c r="P450" i="58"/>
  <c r="P449" i="58"/>
  <c r="P448" i="58"/>
  <c r="P447" i="58"/>
  <c r="P446" i="58"/>
  <c r="P445" i="58"/>
  <c r="P444" i="58"/>
  <c r="P443" i="58"/>
  <c r="P442" i="58"/>
  <c r="P441" i="58"/>
  <c r="P440" i="58"/>
  <c r="P439" i="58"/>
  <c r="P438" i="58"/>
  <c r="P437" i="58"/>
  <c r="P436" i="58"/>
  <c r="P435" i="58"/>
  <c r="P434" i="58"/>
  <c r="P433" i="58"/>
  <c r="P432" i="58"/>
  <c r="P431" i="58"/>
  <c r="P430" i="58"/>
  <c r="P429" i="58"/>
  <c r="P428" i="58"/>
  <c r="P427" i="58"/>
  <c r="P426" i="58"/>
  <c r="P425" i="58"/>
  <c r="P424" i="58"/>
  <c r="P423" i="58"/>
  <c r="P422" i="58"/>
  <c r="P421" i="58"/>
  <c r="P420" i="58"/>
  <c r="P419" i="58"/>
  <c r="P418" i="58"/>
  <c r="P417" i="58"/>
  <c r="P416" i="58"/>
  <c r="P415" i="58"/>
  <c r="P414" i="58"/>
  <c r="P413" i="58"/>
  <c r="P412" i="58"/>
  <c r="P411" i="58"/>
  <c r="P410" i="58"/>
  <c r="P409" i="58"/>
  <c r="P408" i="58"/>
  <c r="P407" i="58"/>
  <c r="P406" i="58"/>
  <c r="P405" i="58"/>
  <c r="P404" i="58"/>
  <c r="P403" i="58"/>
  <c r="P402" i="58"/>
  <c r="P401" i="58"/>
  <c r="P400" i="58"/>
  <c r="P399" i="58"/>
  <c r="P398" i="58"/>
  <c r="P397" i="58"/>
  <c r="P396" i="58"/>
  <c r="P395" i="58"/>
  <c r="P394" i="58"/>
  <c r="P393" i="58"/>
  <c r="P392" i="58"/>
  <c r="P391" i="58"/>
  <c r="P390" i="58"/>
  <c r="P389" i="58"/>
  <c r="P388" i="58"/>
  <c r="P387" i="58"/>
  <c r="P386" i="58"/>
  <c r="P385" i="58"/>
  <c r="P384" i="58"/>
  <c r="P383" i="58"/>
  <c r="P382" i="58"/>
  <c r="P381" i="58"/>
  <c r="P380" i="58"/>
  <c r="P379" i="58"/>
  <c r="P378" i="58"/>
  <c r="P377" i="58"/>
  <c r="P376" i="58"/>
  <c r="P375" i="58"/>
  <c r="P374" i="58"/>
  <c r="P373" i="58"/>
  <c r="P372" i="58"/>
  <c r="P371" i="58"/>
  <c r="P370" i="58"/>
  <c r="P369" i="58"/>
  <c r="P368" i="58"/>
  <c r="P367" i="58"/>
  <c r="P366" i="58"/>
  <c r="P365" i="58"/>
  <c r="P364" i="58"/>
  <c r="P363" i="58"/>
  <c r="P362" i="58"/>
  <c r="P361" i="58"/>
  <c r="P360" i="58"/>
  <c r="P359" i="58"/>
  <c r="P358" i="58"/>
  <c r="P357" i="58"/>
  <c r="P356" i="58"/>
  <c r="P355" i="58"/>
  <c r="P354" i="58"/>
  <c r="P353" i="58"/>
  <c r="P352" i="58"/>
  <c r="P351" i="58"/>
  <c r="P350" i="58"/>
  <c r="P349" i="58"/>
  <c r="P348" i="58"/>
  <c r="P347" i="58"/>
  <c r="P346" i="58"/>
  <c r="P345" i="58"/>
  <c r="P344" i="58"/>
  <c r="P343" i="58"/>
  <c r="P342" i="58"/>
  <c r="P341" i="58"/>
  <c r="P340" i="58"/>
  <c r="P339" i="58"/>
  <c r="P338" i="58"/>
  <c r="P337" i="58"/>
  <c r="P336" i="58"/>
  <c r="P335" i="58"/>
  <c r="P334" i="58"/>
  <c r="P333" i="58"/>
  <c r="P332" i="58"/>
  <c r="P331" i="58"/>
  <c r="P330" i="58"/>
  <c r="P329" i="58"/>
  <c r="P328" i="58"/>
  <c r="P327" i="58"/>
  <c r="P326" i="58"/>
  <c r="P325" i="58"/>
  <c r="P324" i="58"/>
  <c r="P323" i="58"/>
  <c r="P322" i="58"/>
  <c r="P321" i="58"/>
  <c r="P320" i="58"/>
  <c r="P319" i="58"/>
  <c r="P318" i="58"/>
  <c r="P317" i="58"/>
  <c r="P316" i="58"/>
  <c r="P315" i="58"/>
  <c r="P314" i="58"/>
  <c r="P313" i="58"/>
  <c r="P312" i="58"/>
  <c r="P311" i="58"/>
  <c r="P310" i="58"/>
  <c r="P309" i="58"/>
  <c r="P308" i="58"/>
  <c r="P307" i="58"/>
  <c r="P306" i="58"/>
  <c r="P305" i="58"/>
  <c r="P304" i="58"/>
  <c r="P303" i="58"/>
  <c r="P302" i="58"/>
  <c r="P301" i="58"/>
  <c r="P300" i="58"/>
  <c r="P299" i="58"/>
  <c r="P298" i="58"/>
  <c r="P297" i="58"/>
  <c r="P296" i="58"/>
  <c r="P295" i="58"/>
  <c r="P294" i="58"/>
  <c r="P293" i="58"/>
  <c r="P292" i="58"/>
  <c r="P291" i="58"/>
  <c r="P290" i="58"/>
  <c r="P289" i="58"/>
  <c r="P288" i="58"/>
  <c r="P287" i="58"/>
  <c r="P286" i="58"/>
  <c r="P285" i="58"/>
  <c r="P284" i="58"/>
  <c r="P283" i="58"/>
  <c r="P282" i="58"/>
  <c r="P281" i="58"/>
  <c r="P280" i="58"/>
  <c r="P279" i="58"/>
  <c r="P278" i="58"/>
  <c r="P277" i="58"/>
  <c r="P276" i="58"/>
  <c r="P275" i="58"/>
  <c r="P274" i="58"/>
  <c r="P273" i="58"/>
  <c r="P272" i="58"/>
  <c r="P271" i="58"/>
  <c r="P270" i="58"/>
  <c r="P269" i="58"/>
  <c r="P268" i="58"/>
  <c r="P267" i="58"/>
  <c r="P266" i="58"/>
  <c r="P265" i="58"/>
  <c r="P264" i="58"/>
  <c r="P263" i="58"/>
  <c r="P262" i="58"/>
  <c r="P261" i="58"/>
  <c r="P260" i="58"/>
  <c r="P259" i="58"/>
  <c r="P258" i="58"/>
  <c r="P257" i="58"/>
  <c r="P256" i="58"/>
  <c r="P255" i="58"/>
  <c r="P254" i="58"/>
  <c r="P253" i="58"/>
  <c r="P252" i="58"/>
  <c r="P251" i="58"/>
  <c r="P250" i="58"/>
  <c r="P249" i="58"/>
  <c r="P248" i="58"/>
  <c r="P247" i="58"/>
  <c r="P246" i="58"/>
  <c r="P245" i="58"/>
  <c r="P244" i="58"/>
  <c r="P243" i="58"/>
  <c r="P242" i="58"/>
  <c r="P241" i="58"/>
  <c r="P240" i="58"/>
  <c r="P239" i="58"/>
  <c r="P238" i="58"/>
  <c r="P237" i="58"/>
  <c r="P236" i="58"/>
  <c r="P235" i="58"/>
  <c r="P234" i="58"/>
  <c r="P233" i="58"/>
  <c r="P232" i="58"/>
  <c r="P231" i="58"/>
  <c r="P230" i="58"/>
  <c r="P229" i="58"/>
  <c r="P228" i="58"/>
  <c r="P227" i="58"/>
  <c r="P226" i="58"/>
  <c r="P225" i="58"/>
  <c r="P224" i="58"/>
  <c r="P223" i="58"/>
  <c r="P222" i="58"/>
  <c r="P221" i="58"/>
  <c r="P220" i="58"/>
  <c r="P219" i="58"/>
  <c r="P218" i="58"/>
  <c r="P217" i="58"/>
  <c r="P216" i="58"/>
  <c r="P215" i="58"/>
  <c r="P214" i="58"/>
  <c r="P213" i="58"/>
  <c r="P212" i="58"/>
  <c r="P211" i="58"/>
  <c r="P210" i="58"/>
  <c r="P209" i="58"/>
  <c r="P208" i="58"/>
  <c r="P207" i="58"/>
  <c r="P206" i="58"/>
  <c r="P205" i="58"/>
  <c r="P204" i="58"/>
  <c r="P203" i="58"/>
  <c r="P202" i="58"/>
  <c r="P201" i="58"/>
  <c r="P200" i="58"/>
  <c r="P199" i="58"/>
  <c r="P198" i="58"/>
  <c r="P197" i="58"/>
  <c r="P196" i="58"/>
  <c r="P195" i="58"/>
  <c r="P194" i="58"/>
  <c r="P193" i="58"/>
  <c r="P192" i="58"/>
  <c r="P191" i="58"/>
  <c r="P190" i="58"/>
  <c r="P189" i="58"/>
  <c r="P188" i="58"/>
  <c r="P187" i="58"/>
  <c r="P186" i="58"/>
  <c r="P185" i="58"/>
  <c r="P184" i="58"/>
  <c r="P183" i="58"/>
  <c r="P182" i="58"/>
  <c r="P181" i="58"/>
  <c r="P180" i="58"/>
  <c r="P179" i="58"/>
  <c r="P178" i="58"/>
  <c r="P177" i="58"/>
  <c r="P176" i="58"/>
  <c r="P175" i="58"/>
  <c r="P174" i="58"/>
  <c r="P173" i="58"/>
  <c r="P172" i="58"/>
  <c r="P171" i="58"/>
  <c r="P170" i="58"/>
  <c r="P169" i="58"/>
  <c r="P168" i="58"/>
  <c r="P167" i="58"/>
  <c r="P166" i="58"/>
  <c r="P165" i="58"/>
  <c r="P164" i="58"/>
  <c r="P163" i="58"/>
  <c r="P162" i="58"/>
  <c r="P161" i="58"/>
  <c r="P160" i="58"/>
  <c r="P159" i="58"/>
  <c r="P158" i="58"/>
  <c r="P157" i="58"/>
  <c r="P156" i="58"/>
  <c r="P155" i="58"/>
  <c r="P154" i="58"/>
  <c r="P153" i="58"/>
  <c r="P152" i="58"/>
  <c r="P151" i="58"/>
  <c r="P150" i="58"/>
  <c r="P149" i="58"/>
  <c r="P148" i="58"/>
  <c r="P147" i="58"/>
  <c r="P146" i="58"/>
  <c r="P145" i="58"/>
  <c r="P144" i="58"/>
  <c r="P143" i="58"/>
  <c r="P142" i="58"/>
  <c r="P141" i="58"/>
  <c r="P140" i="58"/>
  <c r="P139" i="58"/>
  <c r="P138" i="58"/>
  <c r="P137" i="58"/>
  <c r="P136" i="58"/>
  <c r="P135" i="58"/>
  <c r="P134" i="58"/>
  <c r="P133" i="58"/>
  <c r="P132" i="58"/>
  <c r="P131" i="58"/>
  <c r="P130" i="58"/>
  <c r="P129" i="58"/>
  <c r="P128" i="58"/>
  <c r="P127" i="58"/>
  <c r="P126" i="58"/>
  <c r="P125" i="58"/>
  <c r="P124" i="58"/>
  <c r="P123" i="58"/>
  <c r="P122" i="58"/>
  <c r="P121" i="58"/>
  <c r="P120" i="58"/>
  <c r="P119" i="58"/>
  <c r="P118" i="58"/>
  <c r="P117" i="58"/>
  <c r="P116" i="58"/>
  <c r="P115" i="58"/>
  <c r="P114" i="58"/>
  <c r="P113" i="58"/>
  <c r="P112" i="58"/>
  <c r="P111" i="58"/>
  <c r="P110" i="58"/>
  <c r="P109" i="58"/>
  <c r="P108" i="58"/>
  <c r="P107" i="58"/>
  <c r="P106" i="58"/>
  <c r="P105" i="58"/>
  <c r="P104" i="58"/>
  <c r="P103" i="58"/>
  <c r="P102" i="58"/>
  <c r="P101" i="58"/>
  <c r="P100" i="58"/>
  <c r="P99" i="58"/>
  <c r="P98" i="58"/>
  <c r="P97" i="58"/>
  <c r="P96" i="58"/>
  <c r="P95" i="58"/>
  <c r="P94" i="58"/>
  <c r="P93" i="58"/>
  <c r="P92" i="58"/>
  <c r="P91" i="58"/>
  <c r="P90" i="58"/>
  <c r="P89" i="58"/>
  <c r="P88" i="58"/>
  <c r="P87" i="58"/>
  <c r="P86" i="58"/>
  <c r="P85" i="58"/>
  <c r="P84" i="58"/>
  <c r="P83" i="58"/>
  <c r="P82" i="58"/>
  <c r="P81" i="58"/>
  <c r="P80" i="58"/>
  <c r="P79" i="58"/>
  <c r="P78" i="58"/>
  <c r="P77" i="58"/>
  <c r="P76" i="58"/>
  <c r="P75" i="58"/>
  <c r="P74" i="58"/>
  <c r="P73" i="58"/>
  <c r="P72" i="58"/>
  <c r="P71" i="58"/>
  <c r="P70" i="58"/>
  <c r="P69" i="58"/>
  <c r="P68" i="58"/>
  <c r="P67" i="58"/>
  <c r="P66" i="58"/>
  <c r="P65" i="58"/>
  <c r="P64" i="58"/>
  <c r="AA60" i="58"/>
  <c r="Z60" i="58"/>
  <c r="U60" i="58"/>
  <c r="S60" i="58"/>
  <c r="T60" i="58" s="1"/>
  <c r="R60" i="58"/>
  <c r="Q60" i="58"/>
  <c r="AC60" i="58" s="1"/>
  <c r="AD60" i="58" s="1"/>
  <c r="M60" i="58"/>
  <c r="L60" i="58"/>
  <c r="K60" i="58"/>
  <c r="I60" i="58"/>
  <c r="P60" i="58" s="1"/>
  <c r="H60" i="58"/>
  <c r="J60" i="58" s="1"/>
  <c r="AC59" i="58"/>
  <c r="AD59" i="58" s="1"/>
  <c r="AB59" i="58"/>
  <c r="AA59" i="58"/>
  <c r="Z59" i="58"/>
  <c r="U59" i="58"/>
  <c r="T59" i="58"/>
  <c r="S59" i="58"/>
  <c r="R59" i="58"/>
  <c r="Q59" i="58"/>
  <c r="M59" i="58"/>
  <c r="L59" i="58"/>
  <c r="K59" i="58"/>
  <c r="I59" i="58"/>
  <c r="P59" i="58" s="1"/>
  <c r="W59" i="58" s="1"/>
  <c r="H59" i="58"/>
  <c r="J59" i="58" s="1"/>
  <c r="AA58" i="58"/>
  <c r="Z58" i="58"/>
  <c r="U58" i="58"/>
  <c r="S58" i="58"/>
  <c r="T58" i="58" s="1"/>
  <c r="R58" i="58"/>
  <c r="Q58" i="58"/>
  <c r="AC58" i="58" s="1"/>
  <c r="AD58" i="58" s="1"/>
  <c r="M58" i="58"/>
  <c r="L58" i="58"/>
  <c r="K58" i="58"/>
  <c r="I58" i="58"/>
  <c r="P58" i="58" s="1"/>
  <c r="W58" i="58" s="1"/>
  <c r="H58" i="58"/>
  <c r="J58" i="58" s="1"/>
  <c r="V58" i="58" s="1"/>
  <c r="AC57" i="58"/>
  <c r="AD57" i="58" s="1"/>
  <c r="AB57" i="58"/>
  <c r="AA57" i="58"/>
  <c r="Z57" i="58"/>
  <c r="U57" i="58"/>
  <c r="T57" i="58"/>
  <c r="S57" i="58"/>
  <c r="R57" i="58"/>
  <c r="Q57" i="58"/>
  <c r="M57" i="58"/>
  <c r="L57" i="58"/>
  <c r="K57" i="58"/>
  <c r="I57" i="58"/>
  <c r="P57" i="58" s="1"/>
  <c r="W57" i="58" s="1"/>
  <c r="H57" i="58"/>
  <c r="J57" i="58" s="1"/>
  <c r="V57" i="58" s="1"/>
  <c r="AC56" i="58"/>
  <c r="AD56" i="58" s="1"/>
  <c r="AA56" i="58"/>
  <c r="Z56" i="58"/>
  <c r="U56" i="58"/>
  <c r="T56" i="58"/>
  <c r="S56" i="58"/>
  <c r="R56" i="58"/>
  <c r="Q56" i="58"/>
  <c r="P56" i="58"/>
  <c r="W56" i="58" s="1"/>
  <c r="M56" i="58"/>
  <c r="L56" i="58"/>
  <c r="K56" i="58"/>
  <c r="I56" i="58"/>
  <c r="H56" i="58"/>
  <c r="J56" i="58" s="1"/>
  <c r="V56" i="58" s="1"/>
  <c r="AA55" i="58"/>
  <c r="Z55" i="58"/>
  <c r="U55" i="58"/>
  <c r="S55" i="58"/>
  <c r="T55" i="58" s="1"/>
  <c r="R55" i="58"/>
  <c r="Q55" i="58"/>
  <c r="AC55" i="58" s="1"/>
  <c r="AD55" i="58" s="1"/>
  <c r="M55" i="58"/>
  <c r="L55" i="58"/>
  <c r="K55" i="58"/>
  <c r="I55" i="58"/>
  <c r="P55" i="58" s="1"/>
  <c r="W55" i="58" s="1"/>
  <c r="H55" i="58"/>
  <c r="J55" i="58" s="1"/>
  <c r="AC54" i="58"/>
  <c r="AD54" i="58" s="1"/>
  <c r="AB54" i="58"/>
  <c r="AA54" i="58"/>
  <c r="Z54" i="58"/>
  <c r="U54" i="58"/>
  <c r="T54" i="58"/>
  <c r="S54" i="58"/>
  <c r="R54" i="58"/>
  <c r="Q54" i="58"/>
  <c r="M54" i="58"/>
  <c r="L54" i="58"/>
  <c r="K54" i="58"/>
  <c r="I54" i="58"/>
  <c r="P54" i="58" s="1"/>
  <c r="W54" i="58" s="1"/>
  <c r="H54" i="58"/>
  <c r="J54" i="58" s="1"/>
  <c r="AB53" i="58"/>
  <c r="Z53" i="58"/>
  <c r="U53" i="58"/>
  <c r="S53" i="58"/>
  <c r="R53" i="58"/>
  <c r="Q53" i="58"/>
  <c r="AC53" i="58" s="1"/>
  <c r="AD53" i="58" s="1"/>
  <c r="M53" i="58"/>
  <c r="L53" i="58"/>
  <c r="K53" i="58"/>
  <c r="I53" i="58"/>
  <c r="P53" i="58" s="1"/>
  <c r="W53" i="58" s="1"/>
  <c r="H53" i="58"/>
  <c r="J53" i="58" s="1"/>
  <c r="AB52" i="58"/>
  <c r="AA52" i="58"/>
  <c r="U52" i="58"/>
  <c r="S52" i="58"/>
  <c r="T52" i="58" s="1"/>
  <c r="R52" i="58"/>
  <c r="Q52" i="58"/>
  <c r="AC52" i="58" s="1"/>
  <c r="AD52" i="58" s="1"/>
  <c r="M52" i="58"/>
  <c r="L52" i="58"/>
  <c r="K52" i="58"/>
  <c r="I52" i="58"/>
  <c r="P52" i="58" s="1"/>
  <c r="W52" i="58" s="1"/>
  <c r="H52" i="58"/>
  <c r="J52" i="58" s="1"/>
  <c r="V52" i="58" s="1"/>
  <c r="AA51" i="58"/>
  <c r="Z51" i="58"/>
  <c r="U51" i="58"/>
  <c r="S51" i="58"/>
  <c r="T51" i="58" s="1"/>
  <c r="R51" i="58"/>
  <c r="Q51" i="58"/>
  <c r="AC51" i="58" s="1"/>
  <c r="AD51" i="58" s="1"/>
  <c r="M51" i="58"/>
  <c r="L51" i="58"/>
  <c r="K51" i="58"/>
  <c r="I51" i="58"/>
  <c r="P51" i="58" s="1"/>
  <c r="W51" i="58" s="1"/>
  <c r="H51" i="58"/>
  <c r="J51" i="58" s="1"/>
  <c r="V51" i="58" s="1"/>
  <c r="AB50" i="58"/>
  <c r="Z50" i="58"/>
  <c r="U50" i="58"/>
  <c r="S50" i="58"/>
  <c r="T50" i="58" s="1"/>
  <c r="R50" i="58"/>
  <c r="Q50" i="58"/>
  <c r="AC50" i="58" s="1"/>
  <c r="AD50" i="58" s="1"/>
  <c r="M50" i="58"/>
  <c r="L50" i="58"/>
  <c r="K50" i="58"/>
  <c r="I50" i="58"/>
  <c r="P50" i="58" s="1"/>
  <c r="W50" i="58" s="1"/>
  <c r="H50" i="58"/>
  <c r="J50" i="58" s="1"/>
  <c r="AC49" i="58"/>
  <c r="AD49" i="58" s="1"/>
  <c r="AB49" i="58"/>
  <c r="AA49" i="58"/>
  <c r="Z49" i="58"/>
  <c r="U49" i="58"/>
  <c r="T49" i="58"/>
  <c r="S49" i="58"/>
  <c r="R49" i="58"/>
  <c r="Q49" i="58"/>
  <c r="M49" i="58"/>
  <c r="L49" i="58"/>
  <c r="K49" i="58"/>
  <c r="I49" i="58"/>
  <c r="P49" i="58" s="1"/>
  <c r="W49" i="58" s="1"/>
  <c r="H49" i="58"/>
  <c r="J49" i="58" s="1"/>
  <c r="AB48" i="58"/>
  <c r="AA48" i="58"/>
  <c r="U48" i="58"/>
  <c r="S48" i="58"/>
  <c r="T48" i="58" s="1"/>
  <c r="R48" i="58"/>
  <c r="Q48" i="58"/>
  <c r="AC48" i="58" s="1"/>
  <c r="AD48" i="58" s="1"/>
  <c r="M48" i="58"/>
  <c r="L48" i="58"/>
  <c r="K48" i="58"/>
  <c r="I48" i="58"/>
  <c r="P48" i="58" s="1"/>
  <c r="W48" i="58" s="1"/>
  <c r="H48" i="58"/>
  <c r="J48" i="58" s="1"/>
  <c r="AC47" i="58"/>
  <c r="AD47" i="58" s="1"/>
  <c r="AB47" i="58"/>
  <c r="AA47" i="58"/>
  <c r="Z47" i="58"/>
  <c r="U47" i="58"/>
  <c r="T47" i="58"/>
  <c r="S47" i="58"/>
  <c r="R47" i="58"/>
  <c r="Q47" i="58"/>
  <c r="M47" i="58"/>
  <c r="L47" i="58"/>
  <c r="K47" i="58"/>
  <c r="I47" i="58"/>
  <c r="P47" i="58" s="1"/>
  <c r="W47" i="58" s="1"/>
  <c r="H47" i="58"/>
  <c r="J47" i="58" s="1"/>
  <c r="AA46" i="58"/>
  <c r="Z46" i="58"/>
  <c r="U46" i="58"/>
  <c r="S46" i="58"/>
  <c r="T46" i="58" s="1"/>
  <c r="R46" i="58"/>
  <c r="Q46" i="58"/>
  <c r="AC46" i="58" s="1"/>
  <c r="AD46" i="58" s="1"/>
  <c r="M46" i="58"/>
  <c r="L46" i="58"/>
  <c r="K46" i="58"/>
  <c r="I46" i="58"/>
  <c r="P46" i="58" s="1"/>
  <c r="W46" i="58" s="1"/>
  <c r="H46" i="58"/>
  <c r="J46" i="58" s="1"/>
  <c r="AC45" i="58"/>
  <c r="AD45" i="58" s="1"/>
  <c r="AB45" i="58"/>
  <c r="AA45" i="58"/>
  <c r="Z45" i="58"/>
  <c r="U45" i="58"/>
  <c r="T45" i="58"/>
  <c r="S45" i="58"/>
  <c r="R45" i="58"/>
  <c r="Q45" i="58"/>
  <c r="M45" i="58"/>
  <c r="L45" i="58"/>
  <c r="K45" i="58"/>
  <c r="I45" i="58"/>
  <c r="P45" i="58" s="1"/>
  <c r="H45" i="58"/>
  <c r="J45" i="58" s="1"/>
  <c r="AB44" i="58"/>
  <c r="Z44" i="58"/>
  <c r="U44" i="58"/>
  <c r="S44" i="58"/>
  <c r="T44" i="58" s="1"/>
  <c r="R44" i="58"/>
  <c r="Q44" i="58"/>
  <c r="AC44" i="58" s="1"/>
  <c r="AD44" i="58" s="1"/>
  <c r="M44" i="58"/>
  <c r="L44" i="58"/>
  <c r="K44" i="58"/>
  <c r="I44" i="58"/>
  <c r="P44" i="58" s="1"/>
  <c r="H44" i="58"/>
  <c r="J44" i="58" s="1"/>
  <c r="AC43" i="58"/>
  <c r="AD43" i="58" s="1"/>
  <c r="AB43" i="58"/>
  <c r="AA43" i="58"/>
  <c r="Z43" i="58"/>
  <c r="U43" i="58"/>
  <c r="T43" i="58"/>
  <c r="S43" i="58"/>
  <c r="R43" i="58"/>
  <c r="Q43" i="58"/>
  <c r="M43" i="58"/>
  <c r="L43" i="58"/>
  <c r="K43" i="58"/>
  <c r="I43" i="58"/>
  <c r="P43" i="58" s="1"/>
  <c r="W43" i="58" s="1"/>
  <c r="H43" i="58"/>
  <c r="J43" i="58" s="1"/>
  <c r="AB42" i="58"/>
  <c r="AA42" i="58"/>
  <c r="U42" i="58"/>
  <c r="S42" i="58"/>
  <c r="T42" i="58" s="1"/>
  <c r="R42" i="58"/>
  <c r="Q42" i="58"/>
  <c r="AC42" i="58" s="1"/>
  <c r="AD42" i="58" s="1"/>
  <c r="M42" i="58"/>
  <c r="L42" i="58"/>
  <c r="K42" i="58"/>
  <c r="I42" i="58"/>
  <c r="P42" i="58" s="1"/>
  <c r="W42" i="58" s="1"/>
  <c r="H42" i="58"/>
  <c r="J42" i="58" s="1"/>
  <c r="AC41" i="58"/>
  <c r="AD41" i="58" s="1"/>
  <c r="AB41" i="58"/>
  <c r="AA41" i="58"/>
  <c r="Z41" i="58"/>
  <c r="U41" i="58"/>
  <c r="T41" i="58"/>
  <c r="S41" i="58"/>
  <c r="R41" i="58"/>
  <c r="Q41" i="58"/>
  <c r="M41" i="58"/>
  <c r="L41" i="58"/>
  <c r="K41" i="58"/>
  <c r="I41" i="58"/>
  <c r="P41" i="58" s="1"/>
  <c r="W41" i="58" s="1"/>
  <c r="H41" i="58"/>
  <c r="J41" i="58" s="1"/>
  <c r="AB40" i="58"/>
  <c r="Z40" i="58"/>
  <c r="U40" i="58"/>
  <c r="S40" i="58"/>
  <c r="T40" i="58" s="1"/>
  <c r="R40" i="58"/>
  <c r="Q40" i="58"/>
  <c r="AC40" i="58" s="1"/>
  <c r="AD40" i="58" s="1"/>
  <c r="M40" i="58"/>
  <c r="L40" i="58"/>
  <c r="K40" i="58"/>
  <c r="I40" i="58"/>
  <c r="P40" i="58" s="1"/>
  <c r="W40" i="58" s="1"/>
  <c r="H40" i="58"/>
  <c r="J40" i="58" s="1"/>
  <c r="AB39" i="58"/>
  <c r="AA39" i="58"/>
  <c r="U39" i="58"/>
  <c r="S39" i="58"/>
  <c r="T39" i="58" s="1"/>
  <c r="R39" i="58"/>
  <c r="Q39" i="58"/>
  <c r="AC39" i="58" s="1"/>
  <c r="AD39" i="58" s="1"/>
  <c r="M39" i="58"/>
  <c r="L39" i="58"/>
  <c r="K39" i="58"/>
  <c r="I39" i="58"/>
  <c r="P39" i="58" s="1"/>
  <c r="W39" i="58" s="1"/>
  <c r="H39" i="58"/>
  <c r="J39" i="58" s="1"/>
  <c r="AA38" i="58"/>
  <c r="Z38" i="58"/>
  <c r="U38" i="58"/>
  <c r="S38" i="58"/>
  <c r="T38" i="58" s="1"/>
  <c r="R38" i="58"/>
  <c r="Q38" i="58"/>
  <c r="AC38" i="58" s="1"/>
  <c r="AD38" i="58" s="1"/>
  <c r="M38" i="58"/>
  <c r="L38" i="58"/>
  <c r="K38" i="58"/>
  <c r="I38" i="58"/>
  <c r="P38" i="58" s="1"/>
  <c r="W38" i="58" s="1"/>
  <c r="H38" i="58"/>
  <c r="J38" i="58" s="1"/>
  <c r="V38" i="58" s="1"/>
  <c r="AC37" i="58"/>
  <c r="AD37" i="58" s="1"/>
  <c r="AB37" i="58"/>
  <c r="AA37" i="58"/>
  <c r="Z37" i="58"/>
  <c r="U37" i="58"/>
  <c r="T37" i="58"/>
  <c r="S37" i="58"/>
  <c r="R37" i="58"/>
  <c r="Q37" i="58"/>
  <c r="M37" i="58"/>
  <c r="L37" i="58"/>
  <c r="K37" i="58"/>
  <c r="I37" i="58"/>
  <c r="P37" i="58" s="1"/>
  <c r="W37" i="58" s="1"/>
  <c r="H37" i="58"/>
  <c r="J37" i="58" s="1"/>
  <c r="AB36" i="58"/>
  <c r="Z36" i="58"/>
  <c r="U36" i="58"/>
  <c r="S36" i="58"/>
  <c r="T36" i="58" s="1"/>
  <c r="R36" i="58"/>
  <c r="Q36" i="58"/>
  <c r="AC36" i="58" s="1"/>
  <c r="AD36" i="58" s="1"/>
  <c r="M36" i="58"/>
  <c r="L36" i="58"/>
  <c r="K36" i="58"/>
  <c r="I36" i="58"/>
  <c r="P36" i="58" s="1"/>
  <c r="W36" i="58" s="1"/>
  <c r="H36" i="58"/>
  <c r="J36" i="58" s="1"/>
  <c r="AB35" i="58"/>
  <c r="AA35" i="58"/>
  <c r="U35" i="58"/>
  <c r="S35" i="58"/>
  <c r="T35" i="58" s="1"/>
  <c r="R35" i="58"/>
  <c r="Q35" i="58"/>
  <c r="AC35" i="58" s="1"/>
  <c r="AD35" i="58" s="1"/>
  <c r="P35" i="58"/>
  <c r="W35" i="58" s="1"/>
  <c r="M35" i="58"/>
  <c r="L35" i="58"/>
  <c r="K35" i="58"/>
  <c r="I35" i="58"/>
  <c r="H35" i="58"/>
  <c r="J35" i="58" s="1"/>
  <c r="AC34" i="58"/>
  <c r="AD34" i="58" s="1"/>
  <c r="AB34" i="58"/>
  <c r="AA34" i="58"/>
  <c r="Z34" i="58"/>
  <c r="U34" i="58"/>
  <c r="T34" i="58"/>
  <c r="S34" i="58"/>
  <c r="R34" i="58"/>
  <c r="Q34" i="58"/>
  <c r="M34" i="58"/>
  <c r="L34" i="58"/>
  <c r="K34" i="58"/>
  <c r="I34" i="58"/>
  <c r="P34" i="58" s="1"/>
  <c r="W34" i="58" s="1"/>
  <c r="H34" i="58"/>
  <c r="J34" i="58" s="1"/>
  <c r="AA33" i="58"/>
  <c r="Z33" i="58"/>
  <c r="U33" i="58"/>
  <c r="S33" i="58"/>
  <c r="R33" i="58"/>
  <c r="Q33" i="58"/>
  <c r="AC33" i="58" s="1"/>
  <c r="AD33" i="58" s="1"/>
  <c r="P33" i="58"/>
  <c r="W33" i="58" s="1"/>
  <c r="M33" i="58"/>
  <c r="L33" i="58"/>
  <c r="K33" i="58"/>
  <c r="I33" i="58"/>
  <c r="H33" i="58"/>
  <c r="J33" i="58" s="1"/>
  <c r="AC32" i="58"/>
  <c r="AD32" i="58" s="1"/>
  <c r="AB32" i="58"/>
  <c r="AA32" i="58"/>
  <c r="Z32" i="58"/>
  <c r="U32" i="58"/>
  <c r="T32" i="58"/>
  <c r="S32" i="58"/>
  <c r="R32" i="58"/>
  <c r="Q32" i="58"/>
  <c r="M32" i="58"/>
  <c r="L32" i="58"/>
  <c r="K32" i="58"/>
  <c r="I32" i="58"/>
  <c r="P32" i="58" s="1"/>
  <c r="W32" i="58" s="1"/>
  <c r="H32" i="58"/>
  <c r="J32" i="58" s="1"/>
  <c r="AC31" i="58"/>
  <c r="AD31" i="58" s="1"/>
  <c r="AB31" i="58"/>
  <c r="Z31" i="58"/>
  <c r="U31" i="58"/>
  <c r="T31" i="58"/>
  <c r="S31" i="58"/>
  <c r="R31" i="58"/>
  <c r="Q31" i="58"/>
  <c r="M31" i="58"/>
  <c r="L31" i="58"/>
  <c r="K31" i="58"/>
  <c r="I31" i="58"/>
  <c r="P31" i="58" s="1"/>
  <c r="W31" i="58" s="1"/>
  <c r="H31" i="58"/>
  <c r="J31" i="58" s="1"/>
  <c r="V31" i="58" s="1"/>
  <c r="AB30" i="58"/>
  <c r="AA30" i="58"/>
  <c r="U30" i="58"/>
  <c r="S30" i="58"/>
  <c r="R30" i="58"/>
  <c r="Q30" i="58"/>
  <c r="AC30" i="58" s="1"/>
  <c r="AD30" i="58" s="1"/>
  <c r="M30" i="58"/>
  <c r="L30" i="58"/>
  <c r="K30" i="58"/>
  <c r="I30" i="58"/>
  <c r="P30" i="58" s="1"/>
  <c r="W30" i="58" s="1"/>
  <c r="H30" i="58"/>
  <c r="J30" i="58" s="1"/>
  <c r="V30" i="58" s="1"/>
  <c r="AC29" i="58"/>
  <c r="AD29" i="58" s="1"/>
  <c r="AB29" i="58"/>
  <c r="AA29" i="58"/>
  <c r="Z29" i="58"/>
  <c r="U29" i="58"/>
  <c r="T29" i="58"/>
  <c r="S29" i="58"/>
  <c r="R29" i="58"/>
  <c r="Q29" i="58"/>
  <c r="M29" i="58"/>
  <c r="L29" i="58"/>
  <c r="K29" i="58"/>
  <c r="I29" i="58"/>
  <c r="P29" i="58" s="1"/>
  <c r="W29" i="58" s="1"/>
  <c r="H29" i="58"/>
  <c r="J29" i="58" s="1"/>
  <c r="V29" i="58" s="1"/>
  <c r="AB28" i="58"/>
  <c r="Z28" i="58"/>
  <c r="U28" i="58"/>
  <c r="S28" i="58"/>
  <c r="T28" i="58" s="1"/>
  <c r="R28" i="58"/>
  <c r="Q28" i="58"/>
  <c r="AC28" i="58" s="1"/>
  <c r="AD28" i="58" s="1"/>
  <c r="P28" i="58"/>
  <c r="W28" i="58" s="1"/>
  <c r="M28" i="58"/>
  <c r="L28" i="58"/>
  <c r="K28" i="58"/>
  <c r="I28" i="58"/>
  <c r="H28" i="58"/>
  <c r="J28" i="58" s="1"/>
  <c r="AB27" i="58"/>
  <c r="AA27" i="58"/>
  <c r="U27" i="58"/>
  <c r="S27" i="58"/>
  <c r="T27" i="58" s="1"/>
  <c r="R27" i="58"/>
  <c r="Q27" i="58"/>
  <c r="AC27" i="58" s="1"/>
  <c r="AD27" i="58" s="1"/>
  <c r="M27" i="58"/>
  <c r="L27" i="58"/>
  <c r="K27" i="58"/>
  <c r="I27" i="58"/>
  <c r="P27" i="58" s="1"/>
  <c r="W27" i="58" s="1"/>
  <c r="H27" i="58"/>
  <c r="J27" i="58" s="1"/>
  <c r="AA26" i="58"/>
  <c r="Z26" i="58"/>
  <c r="U26" i="58"/>
  <c r="S26" i="58"/>
  <c r="R26" i="58"/>
  <c r="Q26" i="58"/>
  <c r="AC26" i="58" s="1"/>
  <c r="AD26" i="58" s="1"/>
  <c r="M26" i="58"/>
  <c r="L26" i="58"/>
  <c r="K26" i="58"/>
  <c r="I26" i="58"/>
  <c r="P26" i="58" s="1"/>
  <c r="W26" i="58" s="1"/>
  <c r="H26" i="58"/>
  <c r="J26" i="58" s="1"/>
  <c r="AB25" i="58"/>
  <c r="Z25" i="58"/>
  <c r="U25" i="58"/>
  <c r="S25" i="58"/>
  <c r="T25" i="58" s="1"/>
  <c r="R25" i="58"/>
  <c r="Q25" i="58"/>
  <c r="AC25" i="58" s="1"/>
  <c r="AD25" i="58" s="1"/>
  <c r="M25" i="58"/>
  <c r="L25" i="58"/>
  <c r="K25" i="58"/>
  <c r="I25" i="58"/>
  <c r="P25" i="58" s="1"/>
  <c r="W25" i="58" s="1"/>
  <c r="H25" i="58"/>
  <c r="J25" i="58" s="1"/>
  <c r="AC24" i="58"/>
  <c r="AD24" i="58" s="1"/>
  <c r="AB24" i="58"/>
  <c r="AA24" i="58"/>
  <c r="Z24" i="58"/>
  <c r="U24" i="58"/>
  <c r="T24" i="58"/>
  <c r="S24" i="58"/>
  <c r="R24" i="58"/>
  <c r="Q24" i="58"/>
  <c r="M24" i="58"/>
  <c r="L24" i="58"/>
  <c r="K24" i="58"/>
  <c r="I24" i="58"/>
  <c r="P24" i="58" s="1"/>
  <c r="W24" i="58" s="1"/>
  <c r="H24" i="58"/>
  <c r="J24" i="58" s="1"/>
  <c r="AB23" i="58"/>
  <c r="AA23" i="58"/>
  <c r="U23" i="58"/>
  <c r="S23" i="58"/>
  <c r="T23" i="58" s="1"/>
  <c r="R23" i="58"/>
  <c r="Q23" i="58"/>
  <c r="AC23" i="58" s="1"/>
  <c r="AD23" i="58" s="1"/>
  <c r="M23" i="58"/>
  <c r="L23" i="58"/>
  <c r="K23" i="58"/>
  <c r="I23" i="58"/>
  <c r="P23" i="58" s="1"/>
  <c r="W23" i="58" s="1"/>
  <c r="H23" i="58"/>
  <c r="J23" i="58" s="1"/>
  <c r="AC22" i="58"/>
  <c r="AD22" i="58" s="1"/>
  <c r="AB22" i="58"/>
  <c r="AA22" i="58"/>
  <c r="Z22" i="58"/>
  <c r="U22" i="58"/>
  <c r="T22" i="58"/>
  <c r="S22" i="58"/>
  <c r="R22" i="58"/>
  <c r="Q22" i="58"/>
  <c r="M22" i="58"/>
  <c r="L22" i="58"/>
  <c r="K22" i="58"/>
  <c r="I22" i="58"/>
  <c r="P22" i="58" s="1"/>
  <c r="W22" i="58" s="1"/>
  <c r="H22" i="58"/>
  <c r="J22" i="58" s="1"/>
  <c r="AA21" i="58"/>
  <c r="Z21" i="58"/>
  <c r="U21" i="58"/>
  <c r="S21" i="58"/>
  <c r="T21" i="58" s="1"/>
  <c r="R21" i="58"/>
  <c r="Q21" i="58"/>
  <c r="AC21" i="58" s="1"/>
  <c r="AD21" i="58" s="1"/>
  <c r="M21" i="58"/>
  <c r="L21" i="58"/>
  <c r="K21" i="58"/>
  <c r="I21" i="58"/>
  <c r="P21" i="58" s="1"/>
  <c r="W21" i="58" s="1"/>
  <c r="H21" i="58"/>
  <c r="J21" i="58" s="1"/>
  <c r="V21" i="58" s="1"/>
  <c r="AC20" i="58"/>
  <c r="AD20" i="58" s="1"/>
  <c r="AB20" i="58"/>
  <c r="AA20" i="58"/>
  <c r="Z20" i="58"/>
  <c r="U20" i="58"/>
  <c r="T20" i="58"/>
  <c r="S20" i="58"/>
  <c r="R20" i="58"/>
  <c r="Q20" i="58"/>
  <c r="M20" i="58"/>
  <c r="L20" i="58"/>
  <c r="K20" i="58"/>
  <c r="I20" i="58"/>
  <c r="P20" i="58" s="1"/>
  <c r="W20" i="58" s="1"/>
  <c r="H20" i="58"/>
  <c r="J20" i="58" s="1"/>
  <c r="AB19" i="58"/>
  <c r="Z19" i="58"/>
  <c r="U19" i="58"/>
  <c r="S19" i="58"/>
  <c r="R19" i="58"/>
  <c r="Q19" i="58"/>
  <c r="AC19" i="58" s="1"/>
  <c r="AD19" i="58" s="1"/>
  <c r="M19" i="58"/>
  <c r="L19" i="58"/>
  <c r="K19" i="58"/>
  <c r="I19" i="58"/>
  <c r="P19" i="58" s="1"/>
  <c r="W19" i="58" s="1"/>
  <c r="H19" i="58"/>
  <c r="J19" i="58" s="1"/>
  <c r="V19" i="58" s="1"/>
  <c r="AC18" i="58"/>
  <c r="AD18" i="58" s="1"/>
  <c r="AB18" i="58"/>
  <c r="AA18" i="58"/>
  <c r="Z18" i="58"/>
  <c r="U18" i="58"/>
  <c r="T18" i="58"/>
  <c r="S18" i="58"/>
  <c r="R18" i="58"/>
  <c r="Q18" i="58"/>
  <c r="M18" i="58"/>
  <c r="L18" i="58"/>
  <c r="K18" i="58"/>
  <c r="J18" i="58"/>
  <c r="I18" i="58"/>
  <c r="P18" i="58" s="1"/>
  <c r="W18" i="58" s="1"/>
  <c r="H18" i="58"/>
  <c r="AB17" i="58"/>
  <c r="AA17" i="58"/>
  <c r="U17" i="58"/>
  <c r="S17" i="58"/>
  <c r="T17" i="58" s="1"/>
  <c r="R17" i="58"/>
  <c r="Q17" i="58"/>
  <c r="AC17" i="58" s="1"/>
  <c r="AD17" i="58" s="1"/>
  <c r="M17" i="58"/>
  <c r="L17" i="58"/>
  <c r="K17" i="58"/>
  <c r="I17" i="58"/>
  <c r="P17" i="58" s="1"/>
  <c r="H17" i="58"/>
  <c r="J17" i="58" s="1"/>
  <c r="AC16" i="58"/>
  <c r="AD16" i="58" s="1"/>
  <c r="AB16" i="58"/>
  <c r="AA16" i="58"/>
  <c r="Z16" i="58"/>
  <c r="U16" i="58"/>
  <c r="T16" i="58"/>
  <c r="S16" i="58"/>
  <c r="R16" i="58"/>
  <c r="Q16" i="58"/>
  <c r="M16" i="58"/>
  <c r="L16" i="58"/>
  <c r="K16" i="58"/>
  <c r="I16" i="58"/>
  <c r="P16" i="58" s="1"/>
  <c r="W16" i="58" s="1"/>
  <c r="H16" i="58"/>
  <c r="J16" i="58" s="1"/>
  <c r="AA15" i="58"/>
  <c r="Z15" i="58"/>
  <c r="U15" i="58"/>
  <c r="S15" i="58"/>
  <c r="T15" i="58" s="1"/>
  <c r="R15" i="58"/>
  <c r="Q15" i="58"/>
  <c r="AC15" i="58" s="1"/>
  <c r="AD15" i="58" s="1"/>
  <c r="M15" i="58"/>
  <c r="L15" i="58"/>
  <c r="K15" i="58"/>
  <c r="I15" i="58"/>
  <c r="P15" i="58" s="1"/>
  <c r="W15" i="58" s="1"/>
  <c r="H15" i="58"/>
  <c r="J15" i="58" s="1"/>
  <c r="AB14" i="58"/>
  <c r="Z14" i="58"/>
  <c r="U14" i="58"/>
  <c r="S14" i="58"/>
  <c r="R14" i="58"/>
  <c r="Q14" i="58"/>
  <c r="AC14" i="58" s="1"/>
  <c r="AD14" i="58" s="1"/>
  <c r="M14" i="58"/>
  <c r="L14" i="58"/>
  <c r="K14" i="58"/>
  <c r="I14" i="58"/>
  <c r="P14" i="58" s="1"/>
  <c r="W14" i="58" s="1"/>
  <c r="H14" i="58"/>
  <c r="J14" i="58" s="1"/>
  <c r="AB13" i="58"/>
  <c r="AA13" i="58"/>
  <c r="U13" i="58"/>
  <c r="S13" i="58"/>
  <c r="T13" i="58" s="1"/>
  <c r="R13" i="58"/>
  <c r="Q13" i="58"/>
  <c r="AC13" i="58" s="1"/>
  <c r="AD13" i="58" s="1"/>
  <c r="M13" i="58"/>
  <c r="L13" i="58"/>
  <c r="K13" i="58"/>
  <c r="I13" i="58"/>
  <c r="P13" i="58" s="1"/>
  <c r="W13" i="58" s="1"/>
  <c r="H13" i="58"/>
  <c r="J13" i="58" s="1"/>
  <c r="AC12" i="58"/>
  <c r="AD12" i="58" s="1"/>
  <c r="AB12" i="58"/>
  <c r="AA12" i="58"/>
  <c r="Z12" i="58"/>
  <c r="U12" i="58"/>
  <c r="T12" i="58"/>
  <c r="S12" i="58"/>
  <c r="R12" i="58"/>
  <c r="Q12" i="58"/>
  <c r="M12" i="58"/>
  <c r="L12" i="58"/>
  <c r="K12" i="58"/>
  <c r="I12" i="58"/>
  <c r="P12" i="58" s="1"/>
  <c r="W12" i="58" s="1"/>
  <c r="H12" i="58"/>
  <c r="J12" i="58" s="1"/>
  <c r="AA11" i="58"/>
  <c r="Z11" i="58"/>
  <c r="U11" i="58"/>
  <c r="S11" i="58"/>
  <c r="R11" i="58"/>
  <c r="Q11" i="58"/>
  <c r="AC11" i="58" s="1"/>
  <c r="AD11" i="58" s="1"/>
  <c r="M11" i="58"/>
  <c r="L11" i="58"/>
  <c r="K11" i="58"/>
  <c r="I11" i="58"/>
  <c r="P11" i="58" s="1"/>
  <c r="W11" i="58" s="1"/>
  <c r="H11" i="58"/>
  <c r="J11" i="58" s="1"/>
  <c r="V11" i="58" s="1"/>
  <c r="AB10" i="58"/>
  <c r="Z10" i="58"/>
  <c r="U10" i="58"/>
  <c r="S10" i="58"/>
  <c r="R10" i="58"/>
  <c r="Q10" i="58"/>
  <c r="AC10" i="58" s="1"/>
  <c r="AD10" i="58" s="1"/>
  <c r="M10" i="58"/>
  <c r="L10" i="58"/>
  <c r="K10" i="58"/>
  <c r="I10" i="58"/>
  <c r="P10" i="58" s="1"/>
  <c r="W10" i="58" s="1"/>
  <c r="H10" i="58"/>
  <c r="J10" i="58" s="1"/>
  <c r="AB9" i="58"/>
  <c r="AA9" i="58"/>
  <c r="U9" i="58"/>
  <c r="S9" i="58"/>
  <c r="T9" i="58" s="1"/>
  <c r="R9" i="58"/>
  <c r="Z52" i="58" s="1"/>
  <c r="Q9" i="58"/>
  <c r="AC9" i="58" s="1"/>
  <c r="AD9" i="58" s="1"/>
  <c r="M9" i="58"/>
  <c r="L9" i="58"/>
  <c r="K9" i="58"/>
  <c r="I9" i="58"/>
  <c r="P9" i="58" s="1"/>
  <c r="W9" i="58" s="1"/>
  <c r="H9" i="58"/>
  <c r="J9" i="58" s="1"/>
  <c r="V9" i="58" s="1"/>
  <c r="B2" i="58"/>
  <c r="B2" i="57"/>
  <c r="H9" i="57"/>
  <c r="I9" i="57"/>
  <c r="J9" i="57"/>
  <c r="V9" i="57" s="1"/>
  <c r="K9" i="57"/>
  <c r="L9" i="57"/>
  <c r="M9" i="57"/>
  <c r="P9" i="57"/>
  <c r="W9" i="57" s="1"/>
  <c r="Q9" i="57"/>
  <c r="AC9" i="57" s="1"/>
  <c r="AD9" i="57" s="1"/>
  <c r="R9" i="57"/>
  <c r="AB13" i="57" s="1"/>
  <c r="S9" i="57"/>
  <c r="U9" i="57"/>
  <c r="AA9" i="57"/>
  <c r="AB9" i="57"/>
  <c r="H10" i="57"/>
  <c r="I10" i="57"/>
  <c r="J10" i="57"/>
  <c r="V10" i="57" s="1"/>
  <c r="K10" i="57"/>
  <c r="L10" i="57"/>
  <c r="M10" i="57"/>
  <c r="P10" i="57"/>
  <c r="W10" i="57" s="1"/>
  <c r="Q10" i="57"/>
  <c r="AC10" i="57" s="1"/>
  <c r="AD10" i="57" s="1"/>
  <c r="R10" i="57"/>
  <c r="S10" i="57"/>
  <c r="U10" i="57"/>
  <c r="Z10" i="57"/>
  <c r="AA10" i="57"/>
  <c r="AB10" i="57"/>
  <c r="H11" i="57"/>
  <c r="I11" i="57"/>
  <c r="P11" i="57" s="1"/>
  <c r="W11" i="57" s="1"/>
  <c r="J11" i="57"/>
  <c r="V11" i="57" s="1"/>
  <c r="K11" i="57"/>
  <c r="L11" i="57"/>
  <c r="M11" i="57"/>
  <c r="Q11" i="57"/>
  <c r="R11" i="57"/>
  <c r="S11" i="57"/>
  <c r="U11" i="57"/>
  <c r="Z11" i="57"/>
  <c r="AB11" i="57"/>
  <c r="AC11" i="57"/>
  <c r="AD11" i="57" s="1"/>
  <c r="H12" i="57"/>
  <c r="I12" i="57"/>
  <c r="P12" i="57" s="1"/>
  <c r="W12" i="57" s="1"/>
  <c r="J12" i="57"/>
  <c r="V12" i="57" s="1"/>
  <c r="K12" i="57"/>
  <c r="L12" i="57"/>
  <c r="M12" i="57"/>
  <c r="Q12" i="57"/>
  <c r="R12" i="57"/>
  <c r="S12" i="57"/>
  <c r="U12" i="57"/>
  <c r="Z12" i="57"/>
  <c r="AA12" i="57"/>
  <c r="AB12" i="57"/>
  <c r="AC12" i="57"/>
  <c r="AD12" i="57" s="1"/>
  <c r="H13" i="57"/>
  <c r="J13" i="57" s="1"/>
  <c r="V13" i="57" s="1"/>
  <c r="I13" i="57"/>
  <c r="K13" i="57"/>
  <c r="L13" i="57"/>
  <c r="M13" i="57"/>
  <c r="P13" i="57"/>
  <c r="Q13" i="57"/>
  <c r="R13" i="57"/>
  <c r="S13" i="57"/>
  <c r="T13" i="57"/>
  <c r="U13" i="57"/>
  <c r="W13" i="57"/>
  <c r="Z13" i="57"/>
  <c r="AA13" i="57"/>
  <c r="AC13" i="57"/>
  <c r="AD13" i="57" s="1"/>
  <c r="H14" i="57"/>
  <c r="I14" i="57"/>
  <c r="J14" i="57"/>
  <c r="K14" i="57"/>
  <c r="L14" i="57"/>
  <c r="M14" i="57"/>
  <c r="P14" i="57"/>
  <c r="W14" i="57" s="1"/>
  <c r="Q14" i="57"/>
  <c r="AC14" i="57" s="1"/>
  <c r="AD14" i="57" s="1"/>
  <c r="R14" i="57"/>
  <c r="S14" i="57"/>
  <c r="U14" i="57"/>
  <c r="Z14" i="57"/>
  <c r="AA14" i="57"/>
  <c r="AB14" i="57"/>
  <c r="H15" i="57"/>
  <c r="I15" i="57"/>
  <c r="J15" i="57"/>
  <c r="V15" i="57" s="1"/>
  <c r="K15" i="57"/>
  <c r="L15" i="57"/>
  <c r="M15" i="57"/>
  <c r="P15" i="57"/>
  <c r="W15" i="57" s="1"/>
  <c r="Q15" i="57"/>
  <c r="AC15" i="57" s="1"/>
  <c r="AD15" i="57" s="1"/>
  <c r="R15" i="57"/>
  <c r="S15" i="57"/>
  <c r="U15" i="57"/>
  <c r="AA15" i="57"/>
  <c r="AB15" i="57"/>
  <c r="H16" i="57"/>
  <c r="I16" i="57"/>
  <c r="J16" i="57"/>
  <c r="V16" i="57" s="1"/>
  <c r="K16" i="57"/>
  <c r="L16" i="57"/>
  <c r="M16" i="57"/>
  <c r="P16" i="57"/>
  <c r="W16" i="57" s="1"/>
  <c r="Q16" i="57"/>
  <c r="R16" i="57"/>
  <c r="S16" i="57"/>
  <c r="T16" i="57"/>
  <c r="U16" i="57"/>
  <c r="Z16" i="57"/>
  <c r="AB16" i="57"/>
  <c r="AC16" i="57"/>
  <c r="AD16" i="57" s="1"/>
  <c r="H17" i="57"/>
  <c r="I17" i="57"/>
  <c r="P17" i="57" s="1"/>
  <c r="W17" i="57" s="1"/>
  <c r="J17" i="57"/>
  <c r="V17" i="57" s="1"/>
  <c r="K17" i="57"/>
  <c r="L17" i="57"/>
  <c r="M17" i="57"/>
  <c r="Q17" i="57"/>
  <c r="AC17" i="57" s="1"/>
  <c r="AD17" i="57" s="1"/>
  <c r="R17" i="57"/>
  <c r="S17" i="57"/>
  <c r="U17" i="57"/>
  <c r="Z17" i="57"/>
  <c r="AA17" i="57"/>
  <c r="H18" i="57"/>
  <c r="J18" i="57" s="1"/>
  <c r="V18" i="57" s="1"/>
  <c r="I18" i="57"/>
  <c r="K18" i="57"/>
  <c r="L18" i="57"/>
  <c r="M18" i="57"/>
  <c r="P18" i="57"/>
  <c r="Q18" i="57"/>
  <c r="AC18" i="57" s="1"/>
  <c r="AD18" i="57" s="1"/>
  <c r="R18" i="57"/>
  <c r="S18" i="57"/>
  <c r="U18" i="57"/>
  <c r="W18" i="57"/>
  <c r="AA18" i="57"/>
  <c r="AB18" i="57"/>
  <c r="H19" i="57"/>
  <c r="I19" i="57"/>
  <c r="J19" i="57"/>
  <c r="K19" i="57"/>
  <c r="L19" i="57"/>
  <c r="M19" i="57"/>
  <c r="P19" i="57"/>
  <c r="Q19" i="57"/>
  <c r="R19" i="57"/>
  <c r="S19" i="57"/>
  <c r="T19" i="57"/>
  <c r="U19" i="57"/>
  <c r="V19" i="57"/>
  <c r="W19" i="57"/>
  <c r="Z19" i="57"/>
  <c r="AA19" i="57"/>
  <c r="AB19" i="57"/>
  <c r="AC19" i="57"/>
  <c r="AD19" i="57" s="1"/>
  <c r="H20" i="57"/>
  <c r="I20" i="57"/>
  <c r="J20" i="57"/>
  <c r="V20" i="57" s="1"/>
  <c r="K20" i="57"/>
  <c r="L20" i="57"/>
  <c r="M20" i="57"/>
  <c r="P20" i="57"/>
  <c r="W20" i="57" s="1"/>
  <c r="Q20" i="57"/>
  <c r="AC20" i="57" s="1"/>
  <c r="AD20" i="57" s="1"/>
  <c r="R20" i="57"/>
  <c r="S20" i="57"/>
  <c r="U20" i="57"/>
  <c r="Z20" i="57"/>
  <c r="AB20" i="57"/>
  <c r="H21" i="57"/>
  <c r="I21" i="57"/>
  <c r="J21" i="57"/>
  <c r="V21" i="57" s="1"/>
  <c r="K21" i="57"/>
  <c r="L21" i="57"/>
  <c r="M21" i="57"/>
  <c r="P21" i="57"/>
  <c r="W21" i="57" s="1"/>
  <c r="Q21" i="57"/>
  <c r="R21" i="57"/>
  <c r="S21" i="57"/>
  <c r="T21" i="57"/>
  <c r="U21" i="57"/>
  <c r="Z21" i="57"/>
  <c r="AA21" i="57"/>
  <c r="AC21" i="57"/>
  <c r="AD21" i="57" s="1"/>
  <c r="H22" i="57"/>
  <c r="I22" i="57"/>
  <c r="P22" i="57" s="1"/>
  <c r="W22" i="57" s="1"/>
  <c r="J22" i="57"/>
  <c r="K22" i="57"/>
  <c r="L22" i="57"/>
  <c r="M22" i="57"/>
  <c r="Q22" i="57"/>
  <c r="AC22" i="57" s="1"/>
  <c r="AD22" i="57" s="1"/>
  <c r="R22" i="57"/>
  <c r="S22" i="57"/>
  <c r="U22" i="57"/>
  <c r="Z22" i="57"/>
  <c r="AA22" i="57"/>
  <c r="AB22" i="57"/>
  <c r="H23" i="57"/>
  <c r="J23" i="57" s="1"/>
  <c r="V23" i="57" s="1"/>
  <c r="I23" i="57"/>
  <c r="P23" i="57" s="1"/>
  <c r="W23" i="57" s="1"/>
  <c r="K23" i="57"/>
  <c r="L23" i="57"/>
  <c r="M23" i="57"/>
  <c r="Q23" i="57"/>
  <c r="AC23" i="57" s="1"/>
  <c r="AD23" i="57" s="1"/>
  <c r="R23" i="57"/>
  <c r="S23" i="57"/>
  <c r="U23" i="57"/>
  <c r="Z23" i="57"/>
  <c r="AA23" i="57"/>
  <c r="AB23" i="57"/>
  <c r="H24" i="57"/>
  <c r="I24" i="57"/>
  <c r="J24" i="57"/>
  <c r="K24" i="57"/>
  <c r="L24" i="57"/>
  <c r="M24" i="57"/>
  <c r="P24" i="57"/>
  <c r="Q24" i="57"/>
  <c r="AC24" i="57" s="1"/>
  <c r="AD24" i="57" s="1"/>
  <c r="R24" i="57"/>
  <c r="S24" i="57"/>
  <c r="U24" i="57"/>
  <c r="V24" i="57"/>
  <c r="W24" i="57"/>
  <c r="AA24" i="57"/>
  <c r="AB24" i="57"/>
  <c r="H25" i="57"/>
  <c r="I25" i="57"/>
  <c r="J25" i="57"/>
  <c r="V25" i="57" s="1"/>
  <c r="K25" i="57"/>
  <c r="L25" i="57"/>
  <c r="M25" i="57"/>
  <c r="P25" i="57"/>
  <c r="W25" i="57" s="1"/>
  <c r="Q25" i="57"/>
  <c r="R25" i="57"/>
  <c r="S25" i="57"/>
  <c r="T25" i="57"/>
  <c r="U25" i="57"/>
  <c r="Z25" i="57"/>
  <c r="AA25" i="57"/>
  <c r="AB25" i="57"/>
  <c r="AC25" i="57"/>
  <c r="AD25" i="57" s="1"/>
  <c r="H26" i="57"/>
  <c r="I26" i="57"/>
  <c r="J26" i="57"/>
  <c r="V26" i="57" s="1"/>
  <c r="K26" i="57"/>
  <c r="L26" i="57"/>
  <c r="M26" i="57"/>
  <c r="P26" i="57"/>
  <c r="W26" i="57" s="1"/>
  <c r="Q26" i="57"/>
  <c r="AC26" i="57" s="1"/>
  <c r="AD26" i="57" s="1"/>
  <c r="R26" i="57"/>
  <c r="S26" i="57"/>
  <c r="U26" i="57"/>
  <c r="Z26" i="57"/>
  <c r="AB26" i="57"/>
  <c r="H27" i="57"/>
  <c r="I27" i="57"/>
  <c r="P27" i="57" s="1"/>
  <c r="W27" i="57" s="1"/>
  <c r="J27" i="57"/>
  <c r="V27" i="57" s="1"/>
  <c r="K27" i="57"/>
  <c r="L27" i="57"/>
  <c r="M27" i="57"/>
  <c r="Q27" i="57"/>
  <c r="R27" i="57"/>
  <c r="S27" i="57"/>
  <c r="T27" i="57"/>
  <c r="U27" i="57"/>
  <c r="Z27" i="57"/>
  <c r="AA27" i="57"/>
  <c r="AC27" i="57"/>
  <c r="AD27" i="57" s="1"/>
  <c r="H28" i="57"/>
  <c r="I28" i="57"/>
  <c r="P28" i="57" s="1"/>
  <c r="W28" i="57" s="1"/>
  <c r="J28" i="57"/>
  <c r="V28" i="57" s="1"/>
  <c r="K28" i="57"/>
  <c r="L28" i="57"/>
  <c r="M28" i="57"/>
  <c r="Q28" i="57"/>
  <c r="AC28" i="57" s="1"/>
  <c r="AD28" i="57" s="1"/>
  <c r="R28" i="57"/>
  <c r="S28" i="57"/>
  <c r="U28" i="57"/>
  <c r="Z28" i="57"/>
  <c r="AA28" i="57"/>
  <c r="AB28" i="57"/>
  <c r="H29" i="57"/>
  <c r="J29" i="57" s="1"/>
  <c r="V29" i="57" s="1"/>
  <c r="I29" i="57"/>
  <c r="K29" i="57"/>
  <c r="L29" i="57"/>
  <c r="M29" i="57"/>
  <c r="P29" i="57"/>
  <c r="Q29" i="57"/>
  <c r="AC29" i="57" s="1"/>
  <c r="AD29" i="57" s="1"/>
  <c r="R29" i="57"/>
  <c r="S29" i="57"/>
  <c r="U29" i="57"/>
  <c r="W29" i="57"/>
  <c r="Z29" i="57"/>
  <c r="AA29" i="57"/>
  <c r="AB29" i="57"/>
  <c r="H30" i="57"/>
  <c r="I30" i="57"/>
  <c r="J30" i="57"/>
  <c r="K30" i="57"/>
  <c r="L30" i="57"/>
  <c r="M30" i="57"/>
  <c r="P30" i="57"/>
  <c r="W30" i="57" s="1"/>
  <c r="Q30" i="57"/>
  <c r="AC30" i="57" s="1"/>
  <c r="AD30" i="57" s="1"/>
  <c r="R30" i="57"/>
  <c r="S30" i="57"/>
  <c r="U30" i="57"/>
  <c r="V30" i="57"/>
  <c r="Z30" i="57"/>
  <c r="AA30" i="57"/>
  <c r="AB30" i="57"/>
  <c r="H31" i="57"/>
  <c r="I31" i="57"/>
  <c r="J31" i="57"/>
  <c r="V31" i="57" s="1"/>
  <c r="K31" i="57"/>
  <c r="L31" i="57"/>
  <c r="M31" i="57"/>
  <c r="P31" i="57"/>
  <c r="W31" i="57" s="1"/>
  <c r="Q31" i="57"/>
  <c r="R31" i="57"/>
  <c r="S31" i="57"/>
  <c r="T31" i="57"/>
  <c r="U31" i="57"/>
  <c r="Z31" i="57"/>
  <c r="AB31" i="57"/>
  <c r="AC31" i="57"/>
  <c r="AD31" i="57" s="1"/>
  <c r="H32" i="57"/>
  <c r="I32" i="57"/>
  <c r="J32" i="57"/>
  <c r="V32" i="57" s="1"/>
  <c r="K32" i="57"/>
  <c r="L32" i="57"/>
  <c r="M32" i="57"/>
  <c r="P32" i="57"/>
  <c r="W32" i="57" s="1"/>
  <c r="Q32" i="57"/>
  <c r="R32" i="57"/>
  <c r="S32" i="57"/>
  <c r="U32" i="57"/>
  <c r="Z32" i="57"/>
  <c r="AA32" i="57"/>
  <c r="AB32" i="57"/>
  <c r="AC32" i="57"/>
  <c r="AD32" i="57" s="1"/>
  <c r="H33" i="57"/>
  <c r="I33" i="57"/>
  <c r="P33" i="57" s="1"/>
  <c r="W33" i="57" s="1"/>
  <c r="J33" i="57"/>
  <c r="V33" i="57" s="1"/>
  <c r="K33" i="57"/>
  <c r="L33" i="57"/>
  <c r="M33" i="57"/>
  <c r="Q33" i="57"/>
  <c r="R33" i="57"/>
  <c r="S33" i="57"/>
  <c r="U33" i="57"/>
  <c r="Z33" i="57"/>
  <c r="AA33" i="57"/>
  <c r="AC33" i="57"/>
  <c r="AD33" i="57" s="1"/>
  <c r="H34" i="57"/>
  <c r="J34" i="57" s="1"/>
  <c r="I34" i="57"/>
  <c r="P34" i="57" s="1"/>
  <c r="W34" i="57" s="1"/>
  <c r="K34" i="57"/>
  <c r="L34" i="57"/>
  <c r="M34" i="57"/>
  <c r="Q34" i="57"/>
  <c r="R34" i="57"/>
  <c r="S34" i="57"/>
  <c r="U34" i="57"/>
  <c r="Z34" i="57"/>
  <c r="AA34" i="57"/>
  <c r="AB34" i="57"/>
  <c r="AC34" i="57"/>
  <c r="AD34" i="57" s="1"/>
  <c r="H35" i="57"/>
  <c r="I35" i="57"/>
  <c r="J35" i="57"/>
  <c r="K35" i="57"/>
  <c r="L35" i="57"/>
  <c r="M35" i="57"/>
  <c r="P35" i="57"/>
  <c r="Q35" i="57"/>
  <c r="AC35" i="57" s="1"/>
  <c r="AD35" i="57" s="1"/>
  <c r="R35" i="57"/>
  <c r="S35" i="57"/>
  <c r="U35" i="57"/>
  <c r="V35" i="57"/>
  <c r="W35" i="57"/>
  <c r="Z35" i="57"/>
  <c r="AA35" i="57"/>
  <c r="AB35" i="57"/>
  <c r="H36" i="57"/>
  <c r="I36" i="57"/>
  <c r="J36" i="57"/>
  <c r="V36" i="57" s="1"/>
  <c r="K36" i="57"/>
  <c r="L36" i="57"/>
  <c r="M36" i="57"/>
  <c r="P36" i="57"/>
  <c r="W36" i="57" s="1"/>
  <c r="Q36" i="57"/>
  <c r="AC36" i="57" s="1"/>
  <c r="AD36" i="57" s="1"/>
  <c r="R36" i="57"/>
  <c r="S36" i="57"/>
  <c r="U36" i="57"/>
  <c r="Z36" i="57"/>
  <c r="AA36" i="57"/>
  <c r="AB36" i="57"/>
  <c r="H37" i="57"/>
  <c r="I37" i="57"/>
  <c r="J37" i="57"/>
  <c r="V37" i="57" s="1"/>
  <c r="K37" i="57"/>
  <c r="L37" i="57"/>
  <c r="M37" i="57"/>
  <c r="P37" i="57"/>
  <c r="W37" i="57" s="1"/>
  <c r="Q37" i="57"/>
  <c r="R37" i="57"/>
  <c r="S37" i="57"/>
  <c r="T37" i="57"/>
  <c r="U37" i="57"/>
  <c r="Z37" i="57"/>
  <c r="AB37" i="57"/>
  <c r="AC37" i="57"/>
  <c r="AD37" i="57"/>
  <c r="H38" i="57"/>
  <c r="I38" i="57"/>
  <c r="P38" i="57" s="1"/>
  <c r="W38" i="57" s="1"/>
  <c r="J38" i="57"/>
  <c r="K38" i="57"/>
  <c r="L38" i="57"/>
  <c r="M38" i="57"/>
  <c r="Q38" i="57"/>
  <c r="AC38" i="57" s="1"/>
  <c r="AD38" i="57" s="1"/>
  <c r="R38" i="57"/>
  <c r="S38" i="57"/>
  <c r="U38" i="57"/>
  <c r="Z38" i="57"/>
  <c r="AA38" i="57"/>
  <c r="AB38" i="57"/>
  <c r="H39" i="57"/>
  <c r="I39" i="57"/>
  <c r="P39" i="57" s="1"/>
  <c r="W39" i="57" s="1"/>
  <c r="J39" i="57"/>
  <c r="K39" i="57"/>
  <c r="L39" i="57"/>
  <c r="M39" i="57"/>
  <c r="Q39" i="57"/>
  <c r="R39" i="57"/>
  <c r="S39" i="57"/>
  <c r="T39" i="57"/>
  <c r="U39" i="57"/>
  <c r="Z39" i="57"/>
  <c r="AA39" i="57"/>
  <c r="AC39" i="57"/>
  <c r="AD39" i="57" s="1"/>
  <c r="H40" i="57"/>
  <c r="J40" i="57" s="1"/>
  <c r="V40" i="57" s="1"/>
  <c r="I40" i="57"/>
  <c r="K40" i="57"/>
  <c r="L40" i="57"/>
  <c r="M40" i="57"/>
  <c r="P40" i="57"/>
  <c r="Q40" i="57"/>
  <c r="AC40" i="57" s="1"/>
  <c r="AD40" i="57" s="1"/>
  <c r="R40" i="57"/>
  <c r="S40" i="57"/>
  <c r="U40" i="57"/>
  <c r="W40" i="57"/>
  <c r="Z40" i="57"/>
  <c r="AA40" i="57"/>
  <c r="AB40" i="57"/>
  <c r="H41" i="57"/>
  <c r="I41" i="57"/>
  <c r="J41" i="57"/>
  <c r="K41" i="57"/>
  <c r="L41" i="57"/>
  <c r="M41" i="57"/>
  <c r="P41" i="57"/>
  <c r="W41" i="57" s="1"/>
  <c r="Q41" i="57"/>
  <c r="R41" i="57"/>
  <c r="S41" i="57"/>
  <c r="T41" i="57"/>
  <c r="U41" i="57"/>
  <c r="V41" i="57"/>
  <c r="AA41" i="57"/>
  <c r="AB41" i="57"/>
  <c r="AC41" i="57"/>
  <c r="AD41" i="57" s="1"/>
  <c r="H42" i="57"/>
  <c r="I42" i="57"/>
  <c r="J42" i="57"/>
  <c r="V42" i="57" s="1"/>
  <c r="K42" i="57"/>
  <c r="L42" i="57"/>
  <c r="M42" i="57"/>
  <c r="P42" i="57"/>
  <c r="W42" i="57" s="1"/>
  <c r="Q42" i="57"/>
  <c r="AC42" i="57" s="1"/>
  <c r="AD42" i="57" s="1"/>
  <c r="R42" i="57"/>
  <c r="S42" i="57"/>
  <c r="U42" i="57"/>
  <c r="Z42" i="57"/>
  <c r="AB42" i="57"/>
  <c r="H43" i="57"/>
  <c r="I43" i="57"/>
  <c r="J43" i="57"/>
  <c r="V43" i="57" s="1"/>
  <c r="K43" i="57"/>
  <c r="L43" i="57"/>
  <c r="M43" i="57"/>
  <c r="P43" i="57"/>
  <c r="W43" i="57" s="1"/>
  <c r="Q43" i="57"/>
  <c r="R43" i="57"/>
  <c r="S43" i="57"/>
  <c r="T43" i="57"/>
  <c r="U43" i="57"/>
  <c r="Z43" i="57"/>
  <c r="AA43" i="57"/>
  <c r="AB43" i="57"/>
  <c r="AC43" i="57"/>
  <c r="AD43" i="57" s="1"/>
  <c r="H44" i="57"/>
  <c r="I44" i="57"/>
  <c r="P44" i="57" s="1"/>
  <c r="W44" i="57" s="1"/>
  <c r="J44" i="57"/>
  <c r="V44" i="57" s="1"/>
  <c r="K44" i="57"/>
  <c r="L44" i="57"/>
  <c r="M44" i="57"/>
  <c r="Q44" i="57"/>
  <c r="AC44" i="57" s="1"/>
  <c r="AD44" i="57" s="1"/>
  <c r="R44" i="57"/>
  <c r="S44" i="57"/>
  <c r="U44" i="57"/>
  <c r="Z44" i="57"/>
  <c r="AA44" i="57"/>
  <c r="H45" i="57"/>
  <c r="J45" i="57" s="1"/>
  <c r="V45" i="57" s="1"/>
  <c r="I45" i="57"/>
  <c r="K45" i="57"/>
  <c r="L45" i="57"/>
  <c r="M45" i="57"/>
  <c r="P45" i="57"/>
  <c r="Q45" i="57"/>
  <c r="R45" i="57"/>
  <c r="S45" i="57"/>
  <c r="T45" i="57"/>
  <c r="U45" i="57"/>
  <c r="W45" i="57"/>
  <c r="Z45" i="57"/>
  <c r="AA45" i="57"/>
  <c r="AB45" i="57"/>
  <c r="AC45" i="57"/>
  <c r="AD45" i="57"/>
  <c r="H46" i="57"/>
  <c r="I46" i="57"/>
  <c r="J46" i="57"/>
  <c r="K46" i="57"/>
  <c r="L46" i="57"/>
  <c r="M46" i="57"/>
  <c r="P46" i="57"/>
  <c r="Q46" i="57"/>
  <c r="AC46" i="57" s="1"/>
  <c r="AD46" i="57" s="1"/>
  <c r="R46" i="57"/>
  <c r="S46" i="57"/>
  <c r="U46" i="57"/>
  <c r="V46" i="57"/>
  <c r="W46" i="57"/>
  <c r="AA46" i="57"/>
  <c r="AB46" i="57"/>
  <c r="H47" i="57"/>
  <c r="I47" i="57"/>
  <c r="J47" i="57"/>
  <c r="V47" i="57" s="1"/>
  <c r="K47" i="57"/>
  <c r="L47" i="57"/>
  <c r="M47" i="57"/>
  <c r="P47" i="57"/>
  <c r="W47" i="57" s="1"/>
  <c r="Q47" i="57"/>
  <c r="R47" i="57"/>
  <c r="S47" i="57"/>
  <c r="T47" i="57"/>
  <c r="U47" i="57"/>
  <c r="Z47" i="57"/>
  <c r="AA47" i="57"/>
  <c r="AB47" i="57"/>
  <c r="AC47" i="57"/>
  <c r="AD47" i="57"/>
  <c r="H48" i="57"/>
  <c r="I48" i="57"/>
  <c r="J48" i="57"/>
  <c r="V48" i="57" s="1"/>
  <c r="K48" i="57"/>
  <c r="L48" i="57"/>
  <c r="M48" i="57"/>
  <c r="P48" i="57"/>
  <c r="W48" i="57" s="1"/>
  <c r="Q48" i="57"/>
  <c r="AC48" i="57" s="1"/>
  <c r="AD48" i="57" s="1"/>
  <c r="R48" i="57"/>
  <c r="S48" i="57"/>
  <c r="U48" i="57"/>
  <c r="Z48" i="57"/>
  <c r="AB48" i="57"/>
  <c r="H49" i="57"/>
  <c r="I49" i="57"/>
  <c r="P49" i="57" s="1"/>
  <c r="W49" i="57" s="1"/>
  <c r="J49" i="57"/>
  <c r="V49" i="57" s="1"/>
  <c r="K49" i="57"/>
  <c r="L49" i="57"/>
  <c r="M49" i="57"/>
  <c r="Q49" i="57"/>
  <c r="R49" i="57"/>
  <c r="S49" i="57"/>
  <c r="T49" i="57"/>
  <c r="U49" i="57"/>
  <c r="Z49" i="57"/>
  <c r="AA49" i="57"/>
  <c r="AC49" i="57"/>
  <c r="AD49" i="57" s="1"/>
  <c r="H50" i="57"/>
  <c r="J50" i="57" s="1"/>
  <c r="I50" i="57"/>
  <c r="P50" i="57" s="1"/>
  <c r="W50" i="57" s="1"/>
  <c r="K50" i="57"/>
  <c r="L50" i="57"/>
  <c r="M50" i="57"/>
  <c r="Q50" i="57"/>
  <c r="R50" i="57"/>
  <c r="S50" i="57"/>
  <c r="U50" i="57"/>
  <c r="AA50" i="57"/>
  <c r="AB50" i="57"/>
  <c r="AC50" i="57"/>
  <c r="AD50" i="57" s="1"/>
  <c r="H51" i="57"/>
  <c r="I51" i="57"/>
  <c r="J51" i="57"/>
  <c r="K51" i="57"/>
  <c r="L51" i="57"/>
  <c r="M51" i="57"/>
  <c r="P51" i="57"/>
  <c r="Q51" i="57"/>
  <c r="R51" i="57"/>
  <c r="S51" i="57"/>
  <c r="T51" i="57"/>
  <c r="U51" i="57"/>
  <c r="V51" i="57"/>
  <c r="W51" i="57"/>
  <c r="Z51" i="57"/>
  <c r="AA51" i="57"/>
  <c r="AB51" i="57"/>
  <c r="AC51" i="57"/>
  <c r="AD51" i="57" s="1"/>
  <c r="H52" i="57"/>
  <c r="I52" i="57"/>
  <c r="J52" i="57"/>
  <c r="V52" i="57" s="1"/>
  <c r="K52" i="57"/>
  <c r="L52" i="57"/>
  <c r="M52" i="57"/>
  <c r="P52" i="57"/>
  <c r="W52" i="57" s="1"/>
  <c r="Q52" i="57"/>
  <c r="AC52" i="57" s="1"/>
  <c r="AD52" i="57" s="1"/>
  <c r="R52" i="57"/>
  <c r="S52" i="57"/>
  <c r="U52" i="57"/>
  <c r="Z52" i="57"/>
  <c r="AB52" i="57"/>
  <c r="H53" i="57"/>
  <c r="I53" i="57"/>
  <c r="J53" i="57"/>
  <c r="K53" i="57"/>
  <c r="L53" i="57"/>
  <c r="M53" i="57"/>
  <c r="P53" i="57"/>
  <c r="W53" i="57" s="1"/>
  <c r="Q53" i="57"/>
  <c r="AC53" i="57" s="1"/>
  <c r="AD53" i="57" s="1"/>
  <c r="R53" i="57"/>
  <c r="S53" i="57"/>
  <c r="U53" i="57"/>
  <c r="Z53" i="57"/>
  <c r="AA53" i="57"/>
  <c r="AB53" i="57"/>
  <c r="H54" i="57"/>
  <c r="I54" i="57"/>
  <c r="P54" i="57" s="1"/>
  <c r="W54" i="57" s="1"/>
  <c r="J54" i="57"/>
  <c r="K54" i="57"/>
  <c r="L54" i="57"/>
  <c r="M54" i="57"/>
  <c r="Q54" i="57"/>
  <c r="R54" i="57"/>
  <c r="S54" i="57"/>
  <c r="T54" i="57"/>
  <c r="U54" i="57"/>
  <c r="Z54" i="57"/>
  <c r="AA54" i="57"/>
  <c r="AC54" i="57"/>
  <c r="AD54" i="57" s="1"/>
  <c r="X79" i="57"/>
  <c r="C80" i="57"/>
  <c r="C81" i="57"/>
  <c r="C82" i="57"/>
  <c r="P88" i="57"/>
  <c r="P89" i="57"/>
  <c r="P90" i="57"/>
  <c r="P91" i="57"/>
  <c r="P92" i="57"/>
  <c r="P93" i="57"/>
  <c r="P94" i="57"/>
  <c r="P95" i="57"/>
  <c r="P96" i="57"/>
  <c r="P97" i="57"/>
  <c r="P98" i="57"/>
  <c r="P99" i="57"/>
  <c r="P100" i="57"/>
  <c r="P101" i="57"/>
  <c r="P102" i="57"/>
  <c r="P103" i="57"/>
  <c r="P104" i="57"/>
  <c r="P105" i="57"/>
  <c r="P106" i="57"/>
  <c r="P107" i="57"/>
  <c r="P108" i="57"/>
  <c r="P109" i="57"/>
  <c r="P110" i="57"/>
  <c r="P111" i="57"/>
  <c r="P112" i="57"/>
  <c r="P113" i="57"/>
  <c r="P114" i="57"/>
  <c r="P115" i="57"/>
  <c r="P116" i="57"/>
  <c r="P117" i="57"/>
  <c r="P118" i="57"/>
  <c r="P119" i="57"/>
  <c r="P120" i="57"/>
  <c r="P121" i="57"/>
  <c r="P122" i="57"/>
  <c r="P123" i="57"/>
  <c r="P124" i="57"/>
  <c r="P125" i="57"/>
  <c r="P126" i="57"/>
  <c r="P127" i="57"/>
  <c r="P128" i="57"/>
  <c r="P129" i="57"/>
  <c r="P130" i="57"/>
  <c r="P131" i="57"/>
  <c r="P132" i="57"/>
  <c r="P133" i="57"/>
  <c r="P134" i="57"/>
  <c r="P135" i="57"/>
  <c r="P136" i="57"/>
  <c r="P137" i="57"/>
  <c r="P138" i="57"/>
  <c r="P139" i="57"/>
  <c r="P140" i="57"/>
  <c r="P141" i="57"/>
  <c r="P142" i="57"/>
  <c r="P143" i="57"/>
  <c r="P144" i="57"/>
  <c r="P145" i="57"/>
  <c r="P146" i="57"/>
  <c r="P147" i="57"/>
  <c r="P148" i="57"/>
  <c r="P149" i="57"/>
  <c r="P150" i="57"/>
  <c r="P151" i="57"/>
  <c r="P152" i="57"/>
  <c r="P153" i="57"/>
  <c r="P154" i="57"/>
  <c r="P155" i="57"/>
  <c r="P156" i="57"/>
  <c r="P157" i="57"/>
  <c r="P158" i="57"/>
  <c r="P159" i="57"/>
  <c r="P160" i="57"/>
  <c r="P161" i="57"/>
  <c r="P162" i="57"/>
  <c r="P163" i="57"/>
  <c r="P164" i="57"/>
  <c r="P165" i="57"/>
  <c r="P166" i="57"/>
  <c r="P167" i="57"/>
  <c r="P168" i="57"/>
  <c r="P169" i="57"/>
  <c r="P170" i="57"/>
  <c r="P171" i="57"/>
  <c r="P172" i="57"/>
  <c r="P173" i="57"/>
  <c r="P174" i="57"/>
  <c r="P175" i="57"/>
  <c r="P176" i="57"/>
  <c r="P177" i="57"/>
  <c r="P178" i="57"/>
  <c r="P179" i="57"/>
  <c r="P180" i="57"/>
  <c r="P181" i="57"/>
  <c r="P182" i="57"/>
  <c r="P183" i="57"/>
  <c r="P184" i="57"/>
  <c r="P185" i="57"/>
  <c r="P186" i="57"/>
  <c r="P187" i="57"/>
  <c r="P188" i="57"/>
  <c r="P189" i="57"/>
  <c r="P190" i="57"/>
  <c r="P191" i="57"/>
  <c r="P192" i="57"/>
  <c r="P193" i="57"/>
  <c r="P194" i="57"/>
  <c r="P195" i="57"/>
  <c r="P196" i="57"/>
  <c r="P197" i="57"/>
  <c r="P198" i="57"/>
  <c r="P199" i="57"/>
  <c r="P200" i="57"/>
  <c r="P201" i="57"/>
  <c r="P202" i="57"/>
  <c r="P203" i="57"/>
  <c r="P204" i="57"/>
  <c r="P205" i="57"/>
  <c r="P206" i="57"/>
  <c r="P207" i="57"/>
  <c r="P208" i="57"/>
  <c r="P209" i="57"/>
  <c r="P210" i="57"/>
  <c r="P211" i="57"/>
  <c r="P212" i="57"/>
  <c r="P213" i="57"/>
  <c r="P214" i="57"/>
  <c r="P215" i="57"/>
  <c r="P216" i="57"/>
  <c r="P217" i="57"/>
  <c r="P218" i="57"/>
  <c r="P219" i="57"/>
  <c r="P220" i="57"/>
  <c r="P221" i="57"/>
  <c r="P222" i="57"/>
  <c r="P223" i="57"/>
  <c r="P224" i="57"/>
  <c r="P225" i="57"/>
  <c r="P226" i="57"/>
  <c r="P227" i="57"/>
  <c r="P228" i="57"/>
  <c r="P229" i="57"/>
  <c r="P230" i="57"/>
  <c r="P231" i="57"/>
  <c r="P232" i="57"/>
  <c r="P233" i="57"/>
  <c r="P234" i="57"/>
  <c r="P235" i="57"/>
  <c r="P236" i="57"/>
  <c r="P237" i="57"/>
  <c r="P238" i="57"/>
  <c r="P239" i="57"/>
  <c r="P240" i="57"/>
  <c r="P241" i="57"/>
  <c r="P242" i="57"/>
  <c r="P243" i="57"/>
  <c r="P244" i="57"/>
  <c r="P245" i="57"/>
  <c r="P246" i="57"/>
  <c r="P247" i="57"/>
  <c r="P248" i="57"/>
  <c r="P249" i="57"/>
  <c r="P250" i="57"/>
  <c r="P251" i="57"/>
  <c r="P252" i="57"/>
  <c r="P253" i="57"/>
  <c r="P254" i="57"/>
  <c r="P255" i="57"/>
  <c r="P256" i="57"/>
  <c r="P257" i="57"/>
  <c r="P258" i="57"/>
  <c r="P259" i="57"/>
  <c r="P260" i="57"/>
  <c r="P261" i="57"/>
  <c r="P262" i="57"/>
  <c r="P263" i="57"/>
  <c r="P264" i="57"/>
  <c r="P265" i="57"/>
  <c r="P266" i="57"/>
  <c r="P267" i="57"/>
  <c r="P268" i="57"/>
  <c r="P269" i="57"/>
  <c r="P270" i="57"/>
  <c r="P271" i="57"/>
  <c r="P272" i="57"/>
  <c r="P273" i="57"/>
  <c r="P274" i="57"/>
  <c r="P275" i="57"/>
  <c r="P276" i="57"/>
  <c r="P277" i="57"/>
  <c r="P278" i="57"/>
  <c r="P279" i="57"/>
  <c r="P280" i="57"/>
  <c r="P281" i="57"/>
  <c r="P282" i="57"/>
  <c r="P283" i="57"/>
  <c r="P284" i="57"/>
  <c r="P285" i="57"/>
  <c r="P286" i="57"/>
  <c r="P287" i="57"/>
  <c r="P288" i="57"/>
  <c r="P289" i="57"/>
  <c r="P290" i="57"/>
  <c r="P291" i="57"/>
  <c r="P292" i="57"/>
  <c r="P293" i="57"/>
  <c r="P294" i="57"/>
  <c r="P295" i="57"/>
  <c r="P296" i="57"/>
  <c r="P297" i="57"/>
  <c r="P298" i="57"/>
  <c r="P299" i="57"/>
  <c r="P300" i="57"/>
  <c r="P301" i="57"/>
  <c r="P302" i="57"/>
  <c r="P303" i="57"/>
  <c r="P304" i="57"/>
  <c r="P305" i="57"/>
  <c r="P306" i="57"/>
  <c r="P307" i="57"/>
  <c r="P308" i="57"/>
  <c r="P309" i="57"/>
  <c r="P310" i="57"/>
  <c r="P311" i="57"/>
  <c r="P312" i="57"/>
  <c r="P313" i="57"/>
  <c r="P314" i="57"/>
  <c r="P315" i="57"/>
  <c r="P316" i="57"/>
  <c r="P317" i="57"/>
  <c r="P318" i="57"/>
  <c r="P319" i="57"/>
  <c r="P320" i="57"/>
  <c r="P321" i="57"/>
  <c r="P322" i="57"/>
  <c r="P323" i="57"/>
  <c r="P324" i="57"/>
  <c r="P325" i="57"/>
  <c r="P326" i="57"/>
  <c r="P327" i="57"/>
  <c r="P328" i="57"/>
  <c r="P329" i="57"/>
  <c r="P330" i="57"/>
  <c r="P331" i="57"/>
  <c r="P332" i="57"/>
  <c r="P333" i="57"/>
  <c r="P334" i="57"/>
  <c r="P335" i="57"/>
  <c r="P336" i="57"/>
  <c r="P337" i="57"/>
  <c r="P338" i="57"/>
  <c r="P339" i="57"/>
  <c r="P340" i="57"/>
  <c r="P341" i="57"/>
  <c r="P342" i="57"/>
  <c r="P343" i="57"/>
  <c r="P344" i="57"/>
  <c r="P345" i="57"/>
  <c r="P346" i="57"/>
  <c r="P347" i="57"/>
  <c r="P348" i="57"/>
  <c r="P349" i="57"/>
  <c r="P350" i="57"/>
  <c r="P351" i="57"/>
  <c r="P352" i="57"/>
  <c r="P353" i="57"/>
  <c r="P354" i="57"/>
  <c r="P355" i="57"/>
  <c r="P356" i="57"/>
  <c r="P357" i="57"/>
  <c r="P358" i="57"/>
  <c r="P359" i="57"/>
  <c r="P360" i="57"/>
  <c r="P361" i="57"/>
  <c r="P362" i="57"/>
  <c r="P363" i="57"/>
  <c r="P364" i="57"/>
  <c r="P365" i="57"/>
  <c r="P366" i="57"/>
  <c r="P367" i="57"/>
  <c r="P368" i="57"/>
  <c r="P369" i="57"/>
  <c r="P370" i="57"/>
  <c r="P371" i="57"/>
  <c r="P372" i="57"/>
  <c r="P373" i="57"/>
  <c r="P374" i="57"/>
  <c r="P375" i="57"/>
  <c r="P376" i="57"/>
  <c r="P377" i="57"/>
  <c r="P378" i="57"/>
  <c r="P379" i="57"/>
  <c r="P380" i="57"/>
  <c r="P381" i="57"/>
  <c r="P382" i="57"/>
  <c r="P383" i="57"/>
  <c r="P384" i="57"/>
  <c r="P385" i="57"/>
  <c r="P386" i="57"/>
  <c r="P387" i="57"/>
  <c r="P388" i="57"/>
  <c r="P389" i="57"/>
  <c r="P390" i="57"/>
  <c r="P391" i="57"/>
  <c r="P392" i="57"/>
  <c r="P393" i="57"/>
  <c r="P394" i="57"/>
  <c r="P395" i="57"/>
  <c r="P396" i="57"/>
  <c r="P397" i="57"/>
  <c r="P398" i="57"/>
  <c r="P399" i="57"/>
  <c r="P400" i="57"/>
  <c r="P401" i="57"/>
  <c r="P402" i="57"/>
  <c r="P403" i="57"/>
  <c r="P404" i="57"/>
  <c r="P405" i="57"/>
  <c r="P406" i="57"/>
  <c r="P407" i="57"/>
  <c r="P408" i="57"/>
  <c r="P409" i="57"/>
  <c r="P410" i="57"/>
  <c r="P411" i="57"/>
  <c r="P412" i="57"/>
  <c r="P413" i="57"/>
  <c r="P414" i="57"/>
  <c r="P415" i="57"/>
  <c r="P416" i="57"/>
  <c r="P417" i="57"/>
  <c r="P418" i="57"/>
  <c r="P419" i="57"/>
  <c r="P420" i="57"/>
  <c r="P421" i="57"/>
  <c r="P422" i="57"/>
  <c r="P423" i="57"/>
  <c r="P424" i="57"/>
  <c r="P425" i="57"/>
  <c r="P426" i="57"/>
  <c r="P427" i="57"/>
  <c r="P428" i="57"/>
  <c r="P429" i="57"/>
  <c r="P430" i="57"/>
  <c r="P431" i="57"/>
  <c r="P432" i="57"/>
  <c r="P433" i="57"/>
  <c r="P434" i="57"/>
  <c r="P435" i="57"/>
  <c r="P436" i="57"/>
  <c r="P437" i="57"/>
  <c r="P438" i="57"/>
  <c r="P439" i="57"/>
  <c r="P440" i="57"/>
  <c r="P441" i="57"/>
  <c r="P442" i="57"/>
  <c r="P443" i="57"/>
  <c r="P444" i="57"/>
  <c r="P445" i="57"/>
  <c r="P446" i="57"/>
  <c r="P447" i="57"/>
  <c r="P448" i="57"/>
  <c r="P449" i="57"/>
  <c r="P450" i="57"/>
  <c r="P451" i="57"/>
  <c r="P452" i="57"/>
  <c r="P453" i="57"/>
  <c r="P454" i="57"/>
  <c r="P455" i="57"/>
  <c r="P456" i="57"/>
  <c r="P457" i="57"/>
  <c r="P458" i="57"/>
  <c r="P459" i="57"/>
  <c r="P460" i="57"/>
  <c r="P461" i="57"/>
  <c r="P462" i="57"/>
  <c r="P463" i="57"/>
  <c r="P464" i="57"/>
  <c r="P465" i="57"/>
  <c r="P466" i="57"/>
  <c r="P467" i="57"/>
  <c r="P468" i="57"/>
  <c r="P469" i="57"/>
  <c r="P470" i="57"/>
  <c r="P471" i="57"/>
  <c r="P472" i="57"/>
  <c r="P473" i="57"/>
  <c r="P474" i="57"/>
  <c r="P475" i="57"/>
  <c r="P476" i="57"/>
  <c r="P477" i="57"/>
  <c r="P478" i="57"/>
  <c r="P479" i="57"/>
  <c r="P480" i="57"/>
  <c r="P481" i="57"/>
  <c r="P482" i="57"/>
  <c r="P483" i="57"/>
  <c r="P484" i="57"/>
  <c r="P485" i="57"/>
  <c r="P486" i="57"/>
  <c r="P487" i="57"/>
  <c r="P488" i="57"/>
  <c r="P489" i="57"/>
  <c r="P490" i="57"/>
  <c r="P491" i="57"/>
  <c r="P492" i="57"/>
  <c r="P493" i="57"/>
  <c r="P494" i="57"/>
  <c r="P495" i="57"/>
  <c r="P496" i="57"/>
  <c r="P497" i="57"/>
  <c r="P498" i="57"/>
  <c r="P499" i="57"/>
  <c r="P500" i="57"/>
  <c r="P501" i="57"/>
  <c r="P502" i="57"/>
  <c r="P503" i="57"/>
  <c r="P504" i="57"/>
  <c r="P505" i="57"/>
  <c r="P506" i="57"/>
  <c r="P507" i="57"/>
  <c r="P508" i="57"/>
  <c r="P509" i="57"/>
  <c r="P510" i="57"/>
  <c r="P511" i="57"/>
  <c r="P512" i="57"/>
  <c r="P513" i="57"/>
  <c r="P514" i="57"/>
  <c r="P515" i="57"/>
  <c r="P516" i="57"/>
  <c r="P517" i="57"/>
  <c r="P518" i="57"/>
  <c r="P519" i="57"/>
  <c r="P520" i="57"/>
  <c r="P521" i="57"/>
  <c r="P522" i="57"/>
  <c r="P523" i="57"/>
  <c r="P524" i="57"/>
  <c r="P525" i="57"/>
  <c r="P526" i="57"/>
  <c r="P527" i="57"/>
  <c r="P528" i="57"/>
  <c r="P529" i="57"/>
  <c r="P530" i="57"/>
  <c r="P531" i="57"/>
  <c r="P532" i="57"/>
  <c r="P533" i="57"/>
  <c r="P534" i="57"/>
  <c r="P535" i="57"/>
  <c r="P536" i="57"/>
  <c r="P537" i="57"/>
  <c r="P538" i="57"/>
  <c r="P539" i="57"/>
  <c r="P540" i="57"/>
  <c r="P541" i="57"/>
  <c r="P542" i="57"/>
  <c r="P543" i="57"/>
  <c r="P544" i="57"/>
  <c r="P545" i="57"/>
  <c r="P546" i="57"/>
  <c r="P547" i="57"/>
  <c r="P548" i="57"/>
  <c r="P549" i="57"/>
  <c r="P550" i="57"/>
  <c r="P551" i="57"/>
  <c r="P552" i="57"/>
  <c r="P553" i="57"/>
  <c r="P554" i="57"/>
  <c r="P555" i="57"/>
  <c r="P556" i="57"/>
  <c r="P557" i="57"/>
  <c r="P558" i="57"/>
  <c r="P559" i="57"/>
  <c r="P560" i="57"/>
  <c r="P561" i="57"/>
  <c r="P562" i="57"/>
  <c r="P563" i="57"/>
  <c r="P564" i="57"/>
  <c r="P565" i="57"/>
  <c r="P566" i="57"/>
  <c r="P567" i="57"/>
  <c r="P568" i="57"/>
  <c r="P569" i="57"/>
  <c r="P570" i="57"/>
  <c r="P571" i="57"/>
  <c r="P572" i="57"/>
  <c r="P573" i="57"/>
  <c r="P574" i="57"/>
  <c r="P575" i="57"/>
  <c r="P576" i="57"/>
  <c r="P577" i="57"/>
  <c r="P578" i="57"/>
  <c r="P579" i="57"/>
  <c r="P580" i="57"/>
  <c r="P581" i="57"/>
  <c r="P582" i="57"/>
  <c r="P583" i="57"/>
  <c r="P584" i="57"/>
  <c r="P585" i="57"/>
  <c r="P586" i="57"/>
  <c r="P587" i="57"/>
  <c r="P588" i="57"/>
  <c r="P589" i="57"/>
  <c r="P590" i="57"/>
  <c r="P591" i="57"/>
  <c r="P592" i="57"/>
  <c r="P593" i="57"/>
  <c r="P594" i="57"/>
  <c r="P595" i="57"/>
  <c r="P596" i="57"/>
  <c r="P597" i="57"/>
  <c r="P598" i="57"/>
  <c r="P599" i="57"/>
  <c r="P600" i="57"/>
  <c r="P601" i="57"/>
  <c r="P602" i="57"/>
  <c r="P603" i="57"/>
  <c r="P604" i="57"/>
  <c r="Z24" i="57" l="1"/>
  <c r="V35" i="60"/>
  <c r="W35" i="60"/>
  <c r="Z50" i="57"/>
  <c r="AB39" i="57"/>
  <c r="AB17" i="57"/>
  <c r="AB44" i="57"/>
  <c r="Z18" i="57"/>
  <c r="R61" i="60"/>
  <c r="C77" i="57"/>
  <c r="AB11" i="58"/>
  <c r="R55" i="57"/>
  <c r="X78" i="57" s="1"/>
  <c r="V20" i="58"/>
  <c r="V48" i="58"/>
  <c r="V25" i="58"/>
  <c r="V28" i="58"/>
  <c r="V33" i="58"/>
  <c r="V14" i="58"/>
  <c r="V40" i="58"/>
  <c r="V37" i="58"/>
  <c r="V54" i="58"/>
  <c r="R61" i="58"/>
  <c r="S61" i="58"/>
  <c r="AB21" i="58"/>
  <c r="AB56" i="60"/>
  <c r="AA14" i="60"/>
  <c r="Z52" i="60"/>
  <c r="AA25" i="60"/>
  <c r="AA36" i="60"/>
  <c r="Z42" i="60"/>
  <c r="Z27" i="60"/>
  <c r="AB11" i="60"/>
  <c r="Z17" i="60"/>
  <c r="AA19" i="60"/>
  <c r="Z30" i="60"/>
  <c r="AB51" i="60"/>
  <c r="Z9" i="60"/>
  <c r="AB46" i="60"/>
  <c r="AB26" i="60"/>
  <c r="AB21" i="60"/>
  <c r="AA31" i="60"/>
  <c r="C73" i="60"/>
  <c r="AA10" i="60"/>
  <c r="AB15" i="60"/>
  <c r="Z48" i="60"/>
  <c r="AA53" i="60"/>
  <c r="AB58" i="60"/>
  <c r="V15" i="60"/>
  <c r="C74" i="60"/>
  <c r="V52" i="60"/>
  <c r="V21" i="60"/>
  <c r="V43" i="60"/>
  <c r="V37" i="60"/>
  <c r="V20" i="60"/>
  <c r="V58" i="60"/>
  <c r="C76" i="60"/>
  <c r="C81" i="60" s="1"/>
  <c r="C82" i="60" s="1"/>
  <c r="V59" i="60"/>
  <c r="V26" i="60"/>
  <c r="V23" i="60"/>
  <c r="V47" i="60"/>
  <c r="V53" i="60"/>
  <c r="V32" i="60"/>
  <c r="S61" i="60"/>
  <c r="O76" i="60" s="1"/>
  <c r="V16" i="60"/>
  <c r="V10" i="60"/>
  <c r="V45" i="58"/>
  <c r="V13" i="58"/>
  <c r="W17" i="58"/>
  <c r="Z27" i="58"/>
  <c r="Z48" i="58"/>
  <c r="V10" i="58"/>
  <c r="AB15" i="58"/>
  <c r="AB26" i="58"/>
  <c r="V36" i="58"/>
  <c r="V24" i="58"/>
  <c r="V12" i="58"/>
  <c r="V22" i="58"/>
  <c r="AA19" i="58"/>
  <c r="V49" i="58"/>
  <c r="V50" i="58"/>
  <c r="AA31" i="58"/>
  <c r="V34" i="58"/>
  <c r="Z13" i="58"/>
  <c r="V15" i="58"/>
  <c r="V26" i="58"/>
  <c r="AB58" i="58"/>
  <c r="V39" i="58"/>
  <c r="V23" i="58"/>
  <c r="Z9" i="58"/>
  <c r="AA53" i="58"/>
  <c r="AA25" i="58"/>
  <c r="Z39" i="58"/>
  <c r="V55" i="58"/>
  <c r="AB33" i="58"/>
  <c r="AB38" i="58"/>
  <c r="AA44" i="58"/>
  <c r="Z42" i="58"/>
  <c r="AA10" i="58"/>
  <c r="AA36" i="58"/>
  <c r="Z17" i="58"/>
  <c r="AA14" i="58"/>
  <c r="Z30" i="58"/>
  <c r="V53" i="58"/>
  <c r="V59" i="58"/>
  <c r="V16" i="58"/>
  <c r="V27" i="58"/>
  <c r="V41" i="58"/>
  <c r="T10" i="58"/>
  <c r="T53" i="58"/>
  <c r="T26" i="58"/>
  <c r="T30" i="58"/>
  <c r="T14" i="58"/>
  <c r="V32" i="58"/>
  <c r="V47" i="58"/>
  <c r="W60" i="58"/>
  <c r="V46" i="58"/>
  <c r="W44" i="58"/>
  <c r="V44" i="58"/>
  <c r="T11" i="58"/>
  <c r="T19" i="58"/>
  <c r="T61" i="58" s="1"/>
  <c r="Z23" i="58"/>
  <c r="AA28" i="58"/>
  <c r="W45" i="58"/>
  <c r="AB60" i="58"/>
  <c r="AA50" i="58"/>
  <c r="AB55" i="58"/>
  <c r="Z35" i="58"/>
  <c r="AA40" i="58"/>
  <c r="AB56" i="58"/>
  <c r="AB51" i="58"/>
  <c r="AB46" i="58"/>
  <c r="V34" i="57"/>
  <c r="V22" i="57"/>
  <c r="V38" i="57"/>
  <c r="V50" i="57"/>
  <c r="V39" i="57"/>
  <c r="AB49" i="57"/>
  <c r="AB54" i="57"/>
  <c r="AA11" i="57"/>
  <c r="AA42" i="57"/>
  <c r="S55" i="57"/>
  <c r="O79" i="57" s="1"/>
  <c r="AB33" i="57"/>
  <c r="AB21" i="57"/>
  <c r="AA16" i="57"/>
  <c r="AA26" i="57"/>
  <c r="AA20" i="57"/>
  <c r="C76" i="57"/>
  <c r="AA52" i="57"/>
  <c r="Z9" i="57"/>
  <c r="AB27" i="57"/>
  <c r="AA48" i="57"/>
  <c r="AA31" i="57"/>
  <c r="Z15" i="57"/>
  <c r="Z41" i="57"/>
  <c r="C79" i="57"/>
  <c r="C84" i="57" s="1"/>
  <c r="C85" i="57" s="1"/>
  <c r="AA37" i="57"/>
  <c r="Z46" i="57"/>
  <c r="AA6" i="60" l="1"/>
  <c r="AB6" i="57"/>
  <c r="AB61" i="60"/>
  <c r="T79" i="60" s="1"/>
  <c r="T81" i="60" s="1"/>
  <c r="AB6" i="60"/>
  <c r="AA6" i="57"/>
  <c r="AA55" i="57"/>
  <c r="S82" i="57" s="1"/>
  <c r="S84" i="57" s="1"/>
  <c r="AB55" i="57"/>
  <c r="T82" i="57" s="1"/>
  <c r="T84" i="57" s="1"/>
  <c r="Z6" i="58"/>
  <c r="AA6" i="58"/>
  <c r="Z61" i="58"/>
  <c r="T21" i="60"/>
  <c r="T11" i="60"/>
  <c r="T27" i="60"/>
  <c r="T55" i="60"/>
  <c r="N75" i="60"/>
  <c r="T53" i="60"/>
  <c r="T48" i="60"/>
  <c r="T38" i="60"/>
  <c r="T28" i="60"/>
  <c r="T23" i="60"/>
  <c r="T50" i="60"/>
  <c r="T17" i="60"/>
  <c r="T44" i="60"/>
  <c r="T60" i="60"/>
  <c r="T39" i="60"/>
  <c r="T13" i="60"/>
  <c r="T40" i="60"/>
  <c r="T46" i="60"/>
  <c r="T35" i="60"/>
  <c r="T36" i="60"/>
  <c r="T51" i="60"/>
  <c r="T9" i="60"/>
  <c r="T19" i="60"/>
  <c r="T30" i="60"/>
  <c r="W77" i="60"/>
  <c r="T25" i="60"/>
  <c r="T52" i="60"/>
  <c r="T15" i="60"/>
  <c r="T14" i="60"/>
  <c r="T58" i="60"/>
  <c r="T10" i="60"/>
  <c r="T42" i="60"/>
  <c r="T26" i="60"/>
  <c r="Z61" i="60"/>
  <c r="R79" i="60" s="1"/>
  <c r="R81" i="60" s="1"/>
  <c r="Z6" i="60"/>
  <c r="AA61" i="60"/>
  <c r="S79" i="60" s="1"/>
  <c r="S81" i="60" s="1"/>
  <c r="AB61" i="58"/>
  <c r="AA61" i="58"/>
  <c r="AB6" i="58"/>
  <c r="T11" i="57"/>
  <c r="T44" i="57"/>
  <c r="T28" i="57"/>
  <c r="T34" i="57"/>
  <c r="T35" i="57"/>
  <c r="T46" i="57"/>
  <c r="T30" i="57"/>
  <c r="T9" i="57"/>
  <c r="T26" i="57"/>
  <c r="T53" i="57"/>
  <c r="T38" i="57"/>
  <c r="T22" i="57"/>
  <c r="T17" i="57"/>
  <c r="N78" i="57"/>
  <c r="T23" i="57"/>
  <c r="T18" i="57"/>
  <c r="T29" i="57"/>
  <c r="T40" i="57"/>
  <c r="W80" i="57"/>
  <c r="T36" i="57"/>
  <c r="T12" i="57"/>
  <c r="T50" i="57"/>
  <c r="T24" i="57"/>
  <c r="T52" i="57"/>
  <c r="T20" i="57"/>
  <c r="T32" i="57"/>
  <c r="T14" i="57"/>
  <c r="T10" i="57"/>
  <c r="T48" i="57"/>
  <c r="T15" i="57"/>
  <c r="T42" i="57"/>
  <c r="Z55" i="57"/>
  <c r="R82" i="57" s="1"/>
  <c r="R84" i="57" s="1"/>
  <c r="R85" i="57" s="1"/>
  <c r="Z6" i="57"/>
  <c r="I73" i="60" l="1"/>
  <c r="I82" i="60" s="1"/>
  <c r="T61" i="60"/>
  <c r="O75" i="60" s="1"/>
  <c r="X77" i="60" s="1"/>
  <c r="X78" i="60" s="1"/>
  <c r="R82" i="60"/>
  <c r="T55" i="57"/>
  <c r="O78" i="57" s="1"/>
  <c r="X80" i="57" s="1"/>
  <c r="X81" i="57" s="1"/>
  <c r="I76" i="57"/>
  <c r="I85" i="57" s="1"/>
  <c r="K157" i="40" l="1"/>
  <c r="K158" i="40" s="1"/>
  <c r="K159" i="40" s="1"/>
  <c r="K160" i="40" s="1"/>
  <c r="K161" i="40" s="1"/>
  <c r="K162" i="40" s="1"/>
  <c r="K163" i="40" s="1"/>
  <c r="K164" i="40" s="1"/>
  <c r="K165" i="40" s="1"/>
  <c r="K166" i="40" s="1"/>
  <c r="K167" i="40" s="1"/>
  <c r="K168" i="40" s="1"/>
  <c r="K169" i="40" s="1"/>
  <c r="K170" i="40" s="1"/>
  <c r="K171" i="40" s="1"/>
  <c r="K173" i="40"/>
  <c r="K174" i="40" s="1"/>
  <c r="K175" i="40" s="1"/>
  <c r="K176" i="40" s="1"/>
  <c r="K182" i="40"/>
  <c r="K183" i="40" s="1"/>
  <c r="K184" i="40" s="1"/>
  <c r="K185" i="40" s="1"/>
  <c r="K186" i="40" s="1"/>
  <c r="K187" i="40" s="1"/>
  <c r="K188" i="40" s="1"/>
  <c r="K189" i="40" s="1"/>
  <c r="K190" i="40" s="1"/>
  <c r="K191" i="40" s="1"/>
  <c r="K192" i="40" s="1"/>
  <c r="K193" i="40" s="1"/>
  <c r="K194" i="40" s="1"/>
  <c r="K195" i="40" s="1"/>
  <c r="K196" i="40" s="1"/>
  <c r="K198" i="40"/>
  <c r="K199" i="40" s="1"/>
  <c r="K200" i="40" s="1"/>
  <c r="K201" i="40" s="1"/>
  <c r="K219" i="55"/>
  <c r="K220" i="55" s="1"/>
  <c r="K221" i="55" s="1"/>
  <c r="K222" i="55" s="1"/>
  <c r="K203" i="55"/>
  <c r="K204" i="55" s="1"/>
  <c r="K205" i="55" s="1"/>
  <c r="K206" i="55" s="1"/>
  <c r="K207" i="55" s="1"/>
  <c r="K208" i="55" s="1"/>
  <c r="K209" i="55" s="1"/>
  <c r="K210" i="55" s="1"/>
  <c r="K211" i="55" s="1"/>
  <c r="K212" i="55" s="1"/>
  <c r="K213" i="55" s="1"/>
  <c r="K214" i="55" s="1"/>
  <c r="K215" i="55" s="1"/>
  <c r="K216" i="55" s="1"/>
  <c r="K217" i="55" s="1"/>
  <c r="K194" i="55"/>
  <c r="K195" i="55" s="1"/>
  <c r="K196" i="55" s="1"/>
  <c r="K197" i="55" s="1"/>
  <c r="K178" i="55"/>
  <c r="K179" i="55" s="1"/>
  <c r="K180" i="55" s="1"/>
  <c r="K181" i="55" s="1"/>
  <c r="K182" i="55" s="1"/>
  <c r="K183" i="55" s="1"/>
  <c r="K184" i="55" s="1"/>
  <c r="K185" i="55" s="1"/>
  <c r="K186" i="55" s="1"/>
  <c r="K187" i="55" s="1"/>
  <c r="K188" i="55" s="1"/>
  <c r="K189" i="55" s="1"/>
  <c r="K190" i="55" s="1"/>
  <c r="K191" i="55" s="1"/>
  <c r="K192" i="55" s="1"/>
  <c r="K169" i="55"/>
  <c r="K170" i="55" s="1"/>
  <c r="K171" i="55" s="1"/>
  <c r="K172" i="55" s="1"/>
  <c r="K153" i="55"/>
  <c r="K154" i="55" s="1"/>
  <c r="K155" i="55" s="1"/>
  <c r="K156" i="55" s="1"/>
  <c r="K157" i="55" s="1"/>
  <c r="K158" i="55" s="1"/>
  <c r="K159" i="55" s="1"/>
  <c r="K160" i="55" s="1"/>
  <c r="K161" i="55" s="1"/>
  <c r="K162" i="55" s="1"/>
  <c r="K163" i="55" s="1"/>
  <c r="K164" i="55" s="1"/>
  <c r="K165" i="55" s="1"/>
  <c r="K166" i="55" s="1"/>
  <c r="K167" i="55" s="1"/>
  <c r="K144" i="55"/>
  <c r="K145" i="55" s="1"/>
  <c r="K146" i="55" s="1"/>
  <c r="K147" i="55" s="1"/>
  <c r="K128" i="55"/>
  <c r="K129" i="55" s="1"/>
  <c r="K130" i="55" s="1"/>
  <c r="K131" i="55" s="1"/>
  <c r="K132" i="55" s="1"/>
  <c r="K133" i="55" s="1"/>
  <c r="K134" i="55" s="1"/>
  <c r="K135" i="55" s="1"/>
  <c r="K136" i="55" s="1"/>
  <c r="K137" i="55" s="1"/>
  <c r="K138" i="55" s="1"/>
  <c r="K139" i="55" s="1"/>
  <c r="K140" i="55" s="1"/>
  <c r="K141" i="55" s="1"/>
  <c r="K142" i="55" s="1"/>
  <c r="K97" i="55"/>
  <c r="K98" i="55" s="1"/>
  <c r="K99" i="55" s="1"/>
  <c r="K100" i="55" s="1"/>
  <c r="K101" i="55" s="1"/>
  <c r="K102" i="55" s="1"/>
  <c r="K103" i="55" s="1"/>
  <c r="K104" i="55" s="1"/>
  <c r="K105" i="55" s="1"/>
  <c r="K106" i="55" s="1"/>
  <c r="K107" i="55" s="1"/>
  <c r="K108" i="55" s="1"/>
  <c r="K81" i="55"/>
  <c r="K82" i="55" s="1"/>
  <c r="K83" i="55" s="1"/>
  <c r="K84" i="55" s="1"/>
  <c r="K85" i="55" s="1"/>
  <c r="K86" i="55" s="1"/>
  <c r="K87" i="55" s="1"/>
  <c r="K88" i="55" s="1"/>
  <c r="K89" i="55" s="1"/>
  <c r="K90" i="55" s="1"/>
  <c r="K91" i="55" s="1"/>
  <c r="K92" i="55" s="1"/>
  <c r="K93" i="55" s="1"/>
  <c r="K94" i="55" s="1"/>
  <c r="K95" i="55" s="1"/>
  <c r="K219" i="51"/>
  <c r="K220" i="51" s="1"/>
  <c r="K221" i="51" s="1"/>
  <c r="K222" i="51" s="1"/>
  <c r="K203" i="51"/>
  <c r="K204" i="51" s="1"/>
  <c r="K205" i="51" s="1"/>
  <c r="K206" i="51" s="1"/>
  <c r="K207" i="51" s="1"/>
  <c r="K208" i="51" s="1"/>
  <c r="K209" i="51" s="1"/>
  <c r="K210" i="51" s="1"/>
  <c r="K211" i="51" s="1"/>
  <c r="K212" i="51" s="1"/>
  <c r="K213" i="51" s="1"/>
  <c r="K214" i="51" s="1"/>
  <c r="K215" i="51" s="1"/>
  <c r="K216" i="51" s="1"/>
  <c r="K217" i="51" s="1"/>
  <c r="K194" i="51"/>
  <c r="K195" i="51" s="1"/>
  <c r="K196" i="51" s="1"/>
  <c r="K197" i="51" s="1"/>
  <c r="K178" i="51"/>
  <c r="K179" i="51" s="1"/>
  <c r="K180" i="51" s="1"/>
  <c r="K181" i="51" s="1"/>
  <c r="K182" i="51" s="1"/>
  <c r="K183" i="51" s="1"/>
  <c r="K184" i="51" s="1"/>
  <c r="K185" i="51" s="1"/>
  <c r="K186" i="51" s="1"/>
  <c r="K187" i="51" s="1"/>
  <c r="K188" i="51" s="1"/>
  <c r="K189" i="51" s="1"/>
  <c r="K190" i="51" s="1"/>
  <c r="K191" i="51" s="1"/>
  <c r="K192" i="51" s="1"/>
  <c r="K169" i="51"/>
  <c r="K170" i="51" s="1"/>
  <c r="K171" i="51" s="1"/>
  <c r="K172" i="51" s="1"/>
  <c r="K153" i="51"/>
  <c r="K154" i="51" s="1"/>
  <c r="K155" i="51" s="1"/>
  <c r="K156" i="51" s="1"/>
  <c r="K157" i="51" s="1"/>
  <c r="K158" i="51" s="1"/>
  <c r="K159" i="51" s="1"/>
  <c r="K160" i="51" s="1"/>
  <c r="K161" i="51" s="1"/>
  <c r="K162" i="51" s="1"/>
  <c r="K163" i="51" s="1"/>
  <c r="K164" i="51" s="1"/>
  <c r="K165" i="51" s="1"/>
  <c r="K166" i="51" s="1"/>
  <c r="K167" i="51" s="1"/>
  <c r="K144" i="51"/>
  <c r="K145" i="51" s="1"/>
  <c r="K146" i="51" s="1"/>
  <c r="K147" i="51" s="1"/>
  <c r="K128" i="51"/>
  <c r="K129" i="51" s="1"/>
  <c r="K130" i="51" s="1"/>
  <c r="K131" i="51" s="1"/>
  <c r="K132" i="51" s="1"/>
  <c r="K133" i="51" s="1"/>
  <c r="K134" i="51" s="1"/>
  <c r="K135" i="51" s="1"/>
  <c r="K136" i="51" s="1"/>
  <c r="K137" i="51" s="1"/>
  <c r="K138" i="51" s="1"/>
  <c r="K139" i="51" s="1"/>
  <c r="K140" i="51" s="1"/>
  <c r="K141" i="51" s="1"/>
  <c r="K142" i="51" s="1"/>
  <c r="K97" i="51"/>
  <c r="K98" i="51" s="1"/>
  <c r="K99" i="51" s="1"/>
  <c r="K100" i="51" s="1"/>
  <c r="K101" i="51" s="1"/>
  <c r="K102" i="51" s="1"/>
  <c r="K103" i="51" s="1"/>
  <c r="K104" i="51" s="1"/>
  <c r="K105" i="51" s="1"/>
  <c r="K106" i="51" s="1"/>
  <c r="K107" i="51" s="1"/>
  <c r="K108" i="51" s="1"/>
  <c r="K81" i="51"/>
  <c r="K82" i="51" s="1"/>
  <c r="K83" i="51" s="1"/>
  <c r="K84" i="51" s="1"/>
  <c r="K85" i="51" s="1"/>
  <c r="K86" i="51" s="1"/>
  <c r="K87" i="51" s="1"/>
  <c r="K88" i="51" s="1"/>
  <c r="K89" i="51" s="1"/>
  <c r="K90" i="51" s="1"/>
  <c r="K91" i="51" s="1"/>
  <c r="K92" i="51" s="1"/>
  <c r="K93" i="51" s="1"/>
  <c r="K94" i="51" s="1"/>
  <c r="K95" i="51" s="1"/>
  <c r="K86" i="40"/>
  <c r="K87" i="40" s="1"/>
  <c r="K88" i="40" s="1"/>
  <c r="K89" i="40" s="1"/>
  <c r="K90" i="40" s="1"/>
  <c r="K91" i="40" s="1"/>
  <c r="K92" i="40" s="1"/>
  <c r="K93" i="40" s="1"/>
  <c r="K94" i="40" s="1"/>
  <c r="K95" i="40" s="1"/>
  <c r="K96" i="40" s="1"/>
  <c r="K97" i="40" s="1"/>
  <c r="K98" i="40" s="1"/>
  <c r="K99" i="40" s="1"/>
  <c r="K100" i="40" s="1"/>
  <c r="K102" i="40"/>
  <c r="K103" i="40" s="1"/>
  <c r="K104" i="40" s="1"/>
  <c r="K105" i="40" s="1"/>
  <c r="K106" i="40" s="1"/>
  <c r="K107" i="40" s="1"/>
  <c r="K108" i="40" s="1"/>
  <c r="K109" i="40" s="1"/>
  <c r="K110" i="40" s="1"/>
  <c r="K111" i="40" s="1"/>
  <c r="K112" i="40" s="1"/>
  <c r="K113" i="40" s="1"/>
  <c r="K148" i="40"/>
  <c r="K149" i="40" s="1"/>
  <c r="K150" i="40" s="1"/>
  <c r="K151" i="40" s="1"/>
  <c r="K132" i="40"/>
  <c r="K133" i="40" s="1"/>
  <c r="K134" i="40" s="1"/>
  <c r="K135" i="40" s="1"/>
  <c r="K136" i="40" s="1"/>
  <c r="K137" i="40" s="1"/>
  <c r="K138" i="40" s="1"/>
  <c r="K139" i="40" s="1"/>
  <c r="K140" i="40" s="1"/>
  <c r="K141" i="40" s="1"/>
  <c r="K142" i="40" s="1"/>
  <c r="K143" i="40" s="1"/>
  <c r="K144" i="40" s="1"/>
  <c r="K145" i="40" s="1"/>
  <c r="K146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tnam</author>
  </authors>
  <commentList>
    <comment ref="O8" authorId="0" shapeId="0" xr:uid="{D016D4E0-5FD2-4EEB-85B7-533B56766563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S8" authorId="0" shapeId="0" xr:uid="{443B6F7F-9AE2-48D3-995B-0E767A728930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O18" authorId="0" shapeId="0" xr:uid="{CD462DCB-9502-40C2-9EF3-54BA39C35C4B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S18" authorId="0" shapeId="0" xr:uid="{E5535644-023C-468A-B051-9FC2AFA7F7D1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tnam</author>
  </authors>
  <commentList>
    <comment ref="N8" authorId="0" shapeId="0" xr:uid="{45A9D9B3-2DD2-4C70-8A29-E4368EC0177B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8" authorId="0" shapeId="0" xr:uid="{7914CD70-0181-43D9-89AF-57DF8A5BB09E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18" authorId="0" shapeId="0" xr:uid="{005EEBF3-2E4C-42C4-8D6A-23EE3A5C5638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18" authorId="0" shapeId="0" xr:uid="{348211DE-AD91-4525-A742-094665F2BE80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84" authorId="0" shapeId="0" xr:uid="{00000000-0006-0000-0400-000006000000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84" authorId="0" shapeId="0" xr:uid="{00000000-0006-0000-0400-000007000000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130" authorId="0" shapeId="0" xr:uid="{00000000-0006-0000-0400-000008000000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130" authorId="0" shapeId="0" xr:uid="{00000000-0006-0000-0400-000009000000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155" authorId="0" shapeId="0" xr:uid="{F481DCA0-3BDF-4C87-BECE-C70965541761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155" authorId="0" shapeId="0" xr:uid="{20F45D29-0846-4DDE-BACD-F36487C653BA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180" authorId="0" shapeId="0" xr:uid="{A8504E67-4966-4D52-8294-38E8F3F02491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180" authorId="0" shapeId="0" xr:uid="{B3E6E5E0-8706-44A2-8BBC-5FA29E91C509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tnam</author>
  </authors>
  <commentList>
    <comment ref="O8" authorId="0" shapeId="0" xr:uid="{F53C15AD-75D2-4457-87C2-7417CC69C5AC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S8" authorId="0" shapeId="0" xr:uid="{F5A15C08-2A0B-4D93-97FC-3DAD16C5B798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O18" authorId="0" shapeId="0" xr:uid="{BBC344F5-046E-4658-97C6-938365218B26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S18" authorId="0" shapeId="0" xr:uid="{EA56B082-6472-4FAC-8C65-09F94345A646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tnam</author>
  </authors>
  <commentList>
    <comment ref="N8" authorId="0" shapeId="0" xr:uid="{3DD94888-70C7-4A04-9B9E-96D48BD5C259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8" authorId="0" shapeId="0" xr:uid="{CEF2C993-2FCB-44D1-ADCA-26A7152E379D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18" authorId="0" shapeId="0" xr:uid="{4ED1D95F-F048-4001-9BF0-DB8C64AEDD42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18" authorId="0" shapeId="0" xr:uid="{FE703EB0-6E9A-49F4-B215-74AEE5DA73EE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79" authorId="0" shapeId="0" xr:uid="{B4F24957-625A-4BEC-ADFF-82B5F339BEF5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79" authorId="0" shapeId="0" xr:uid="{B325FEBF-3D6E-4580-A6CC-A57B29597ACB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126" authorId="0" shapeId="0" xr:uid="{91850ED4-0D63-4F6A-A0F4-AFF2865D0C1C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126" authorId="0" shapeId="0" xr:uid="{964659D5-AF51-461B-B796-625118243D8E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151" authorId="0" shapeId="0" xr:uid="{D35CC6C8-0B8B-4E32-A1AD-72A037F771AA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151" authorId="0" shapeId="0" xr:uid="{1A771BDE-7B63-405C-A543-763D8588843F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176" authorId="0" shapeId="0" xr:uid="{9EC15E90-6DB4-494E-9DDE-8FD66C6084EF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176" authorId="0" shapeId="0" xr:uid="{41CF7FE2-CD82-4CB0-BE0D-55ADCA0E3EF0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201" authorId="0" shapeId="0" xr:uid="{0DFCC16B-FF20-4B7D-9E12-5DBC64E8CDEF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201" authorId="0" shapeId="0" xr:uid="{350D929F-9254-442A-83DF-06E16CB8D276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tnam</author>
  </authors>
  <commentList>
    <comment ref="N8" authorId="0" shapeId="0" xr:uid="{BB62647A-32E2-4DB4-ACB2-2EB1ECEA3059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8" authorId="0" shapeId="0" xr:uid="{6564B56A-820B-4FDA-884A-9175176C5BC9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18" authorId="0" shapeId="0" xr:uid="{19D8DF6F-8D87-4694-BD65-A4E38E4C9163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18" authorId="0" shapeId="0" xr:uid="{E6E45513-A287-496A-94BE-1F62660941FE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79" authorId="0" shapeId="0" xr:uid="{AC5F6092-CB1D-4A8A-8493-92FA9597C5C3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79" authorId="0" shapeId="0" xr:uid="{2100F4F7-40FA-4DB1-BDD4-DFEE109EC17F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126" authorId="0" shapeId="0" xr:uid="{6FBFAF8A-68FA-4070-8F40-CD4D512024F6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126" authorId="0" shapeId="0" xr:uid="{1F0EDCEA-A796-4D32-AB4C-ADA5230B9F3D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151" authorId="0" shapeId="0" xr:uid="{DD33B63C-FC24-4FFD-B82E-FF7184E36094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151" authorId="0" shapeId="0" xr:uid="{BFCDE87E-78DF-41C1-A687-13DE133BBE8B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176" authorId="0" shapeId="0" xr:uid="{44140282-0CFC-4CE8-BB0D-ACA9A95C24FD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176" authorId="0" shapeId="0" xr:uid="{6C99F146-20E0-447C-BA87-5E3A430BD3BC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N201" authorId="0" shapeId="0" xr:uid="{0660EE33-02D1-4683-8F88-4B2844FE97B8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R201" authorId="0" shapeId="0" xr:uid="{0E22898B-11D5-4F0F-ABFD-4C45E20669E3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</commentList>
</comments>
</file>

<file path=xl/sharedStrings.xml><?xml version="1.0" encoding="utf-8"?>
<sst xmlns="http://schemas.openxmlformats.org/spreadsheetml/2006/main" count="2350" uniqueCount="742">
  <si>
    <t>발효일</t>
    <phoneticPr fontId="0"/>
  </si>
  <si>
    <t>개정 내용ㆍ사유</t>
    <phoneticPr fontId="0"/>
  </si>
  <si>
    <t>작성</t>
    <phoneticPr fontId="0"/>
  </si>
  <si>
    <t>검토</t>
    <phoneticPr fontId="0"/>
  </si>
  <si>
    <t>승인</t>
    <phoneticPr fontId="0"/>
  </si>
  <si>
    <t>배포처 및 배포일</t>
    <phoneticPr fontId="0"/>
  </si>
  <si>
    <t>비고</t>
    <phoneticPr fontId="0"/>
  </si>
  <si>
    <t>담당</t>
    <phoneticPr fontId="0"/>
  </si>
  <si>
    <t>과장</t>
    <phoneticPr fontId="0"/>
  </si>
  <si>
    <t>부장
또는 과장</t>
    <phoneticPr fontId="0"/>
  </si>
  <si>
    <t>신규작성</t>
    <phoneticPr fontId="0"/>
  </si>
  <si>
    <t>1. 표 지</t>
  </si>
  <si>
    <t>[ORDER_NO.:       ] : ORDER NO, KT NOMBER를 기록을 한다. 예) [KT-120407]</t>
  </si>
  <si>
    <t>[USER명_장치명]  : 유저명 /장치명을 기입을 한다.    예)SDC_T8Y_MPX2500</t>
  </si>
  <si>
    <t>2. 변경 이력</t>
  </si>
  <si>
    <t>2012.02.10</t>
    <phoneticPr fontId="2" type="noConversion"/>
  </si>
  <si>
    <t>I/O 변경 , 추가</t>
  </si>
  <si>
    <t>남택수</t>
    <phoneticPr fontId="2" type="noConversion"/>
  </si>
  <si>
    <t>② 확인 결과를 OK,NG,SKIP 로 구분하여 % 작성</t>
  </si>
  <si>
    <t>① ANYWIRE 국번 작성</t>
  </si>
  <si>
    <t>5. 참고</t>
  </si>
  <si>
    <t>6. 개정 이력</t>
  </si>
  <si>
    <t>① 문서 변경 및 개정 일자 작성</t>
  </si>
  <si>
    <t>② 변경 및 개정 내용,사유 작성</t>
  </si>
  <si>
    <t xml:space="preserve">③ 작성자, 변경자 확인 </t>
  </si>
  <si>
    <t>④ 검토자 승인</t>
  </si>
  <si>
    <t>⑤ 최종 승인자 승인</t>
  </si>
  <si>
    <t>⑥ 승인 완료 후 배포일 작성</t>
  </si>
  <si>
    <t>6. 문서 저장 파일명</t>
  </si>
  <si>
    <t>예)</t>
  </si>
  <si>
    <t>결  재</t>
  </si>
  <si>
    <r>
      <t>승</t>
    </r>
    <r>
      <rPr>
        <b/>
        <sz val="11"/>
        <rFont val="MS UI Gothic"/>
        <family val="2"/>
        <charset val="128"/>
      </rPr>
      <t xml:space="preserve">     </t>
    </r>
    <r>
      <rPr>
        <b/>
        <sz val="11"/>
        <rFont val="BatangChe"/>
        <family val="1"/>
        <charset val="129"/>
      </rPr>
      <t>인</t>
    </r>
  </si>
  <si>
    <r>
      <t>검</t>
    </r>
    <r>
      <rPr>
        <b/>
        <sz val="11"/>
        <rFont val="MS UI Gothic"/>
        <family val="2"/>
        <charset val="128"/>
      </rPr>
      <t xml:space="preserve">     </t>
    </r>
    <r>
      <rPr>
        <b/>
        <sz val="11"/>
        <rFont val="BatangChe"/>
        <family val="1"/>
        <charset val="129"/>
      </rPr>
      <t>토</t>
    </r>
  </si>
  <si>
    <r>
      <t>작</t>
    </r>
    <r>
      <rPr>
        <b/>
        <sz val="11"/>
        <rFont val="MS UI Gothic"/>
        <family val="2"/>
        <charset val="128"/>
      </rPr>
      <t xml:space="preserve">     </t>
    </r>
    <r>
      <rPr>
        <b/>
        <sz val="11"/>
        <rFont val="BatangChe"/>
        <family val="1"/>
        <charset val="129"/>
      </rPr>
      <t>성</t>
    </r>
  </si>
  <si>
    <t xml:space="preserve"> </t>
  </si>
  <si>
    <t>변경번호</t>
  </si>
  <si>
    <t>일시</t>
  </si>
  <si>
    <t>변경내용</t>
  </si>
  <si>
    <t>변경자</t>
  </si>
  <si>
    <t>승인자</t>
  </si>
  <si>
    <t>김필종</t>
  </si>
  <si>
    <t>① 변경 날짜 작성</t>
  </si>
  <si>
    <t>② I/O 추가 및 삭제, 수정 내용 작성</t>
  </si>
  <si>
    <t xml:space="preserve">③ 변경자 </t>
  </si>
  <si>
    <t xml:space="preserve">④ 승인자 </t>
  </si>
  <si>
    <t>3. 목 차</t>
  </si>
  <si>
    <t>각 중요 목차를 구분을 한다. 참조SHEET가 많을 경우 참조로 목차 구분도 가능하다.</t>
  </si>
  <si>
    <t xml:space="preserve">② PC 구성 작성 </t>
  </si>
  <si>
    <t>④확인 일자 작성</t>
  </si>
  <si>
    <t>⑥ NG, SKIP 사유/내용 작성</t>
  </si>
  <si>
    <t>⑤ NG, SKIP 사유/내용 작성</t>
  </si>
  <si>
    <t>① INPUT,OUTPUT  전체 I/O수량 작성</t>
  </si>
  <si>
    <t>4. 개정 이력</t>
  </si>
  <si>
    <t>OK</t>
  </si>
  <si>
    <t>NG</t>
  </si>
  <si>
    <t>SKIP</t>
  </si>
  <si>
    <t>NO</t>
  </si>
  <si>
    <t>S1</t>
  </si>
  <si>
    <t>S2</t>
  </si>
  <si>
    <t>A</t>
  </si>
  <si>
    <t>B</t>
  </si>
  <si>
    <t>C</t>
  </si>
  <si>
    <t>D</t>
  </si>
  <si>
    <t>E</t>
  </si>
  <si>
    <t>F</t>
  </si>
  <si>
    <t>Ver.0.1</t>
    <phoneticPr fontId="3"/>
  </si>
  <si>
    <t>1</t>
    <phoneticPr fontId="2" type="noConversion"/>
  </si>
  <si>
    <t>PC PORT</t>
    <phoneticPr fontId="2" type="noConversion"/>
  </si>
  <si>
    <t>1-SUB</t>
    <phoneticPr fontId="2" type="noConversion"/>
  </si>
  <si>
    <t>11-SUB</t>
    <phoneticPr fontId="2" type="noConversion"/>
  </si>
  <si>
    <t>6-SUB</t>
    <phoneticPr fontId="2" type="noConversion"/>
  </si>
  <si>
    <t>8-SUB</t>
    <phoneticPr fontId="2" type="noConversion"/>
  </si>
  <si>
    <t>구성</t>
  </si>
  <si>
    <t>기기명</t>
  </si>
  <si>
    <t>기타 사항</t>
    <phoneticPr fontId="2" type="noConversion"/>
  </si>
  <si>
    <t>명칭</t>
  </si>
  <si>
    <t>확인 일자</t>
  </si>
  <si>
    <t>결 과</t>
  </si>
  <si>
    <t>사 유 / 내용</t>
  </si>
  <si>
    <t>사 유</t>
  </si>
  <si>
    <t>설정 내용</t>
    <phoneticPr fontId="2" type="noConversion"/>
  </si>
  <si>
    <t>용도 명칭</t>
    <phoneticPr fontId="2" type="noConversion"/>
  </si>
  <si>
    <t>회선</t>
  </si>
  <si>
    <t>설정</t>
  </si>
  <si>
    <t>MP5-1</t>
    <phoneticPr fontId="2" type="noConversion"/>
  </si>
  <si>
    <t>MP5-2</t>
    <phoneticPr fontId="2" type="noConversion"/>
  </si>
  <si>
    <t>MP6-1</t>
    <phoneticPr fontId="2" type="noConversion"/>
  </si>
  <si>
    <t>MP6-2</t>
    <phoneticPr fontId="2" type="noConversion"/>
  </si>
  <si>
    <t xml:space="preserve">R7G4HML3-6-SVF4-R </t>
    <phoneticPr fontId="2" type="noConversion"/>
  </si>
  <si>
    <t>AI-AN21</t>
    <phoneticPr fontId="2" type="noConversion"/>
  </si>
  <si>
    <t>SGD7S-2R8A20A</t>
    <phoneticPr fontId="2" type="noConversion"/>
  </si>
  <si>
    <t>SGD7W-2R8A20A</t>
    <phoneticPr fontId="2" type="noConversion"/>
  </si>
  <si>
    <t>12-SUB</t>
    <phoneticPr fontId="2" type="noConversion"/>
  </si>
  <si>
    <t>SGD7S-1R6A20A</t>
    <phoneticPr fontId="2" type="noConversion"/>
  </si>
  <si>
    <t>SGD7W-5R5A20A</t>
    <phoneticPr fontId="2" type="noConversion"/>
  </si>
  <si>
    <t>SGD7W-1R6A20A</t>
    <phoneticPr fontId="2" type="noConversion"/>
  </si>
  <si>
    <t>SGD7S-120A20A</t>
    <phoneticPr fontId="2" type="noConversion"/>
  </si>
  <si>
    <t>SGD7S-R70A20A</t>
    <phoneticPr fontId="2" type="noConversion"/>
  </si>
  <si>
    <t>19-SUB</t>
    <phoneticPr fontId="2" type="noConversion"/>
  </si>
  <si>
    <t>제어설계부 6월</t>
    <phoneticPr fontId="0"/>
  </si>
  <si>
    <t>양식 재,개정/폰트 및 불합리 사항 변경</t>
    <phoneticPr fontId="3"/>
  </si>
  <si>
    <t>이상원</t>
    <phoneticPr fontId="3"/>
  </si>
  <si>
    <t>조익형</t>
    <phoneticPr fontId="3"/>
  </si>
  <si>
    <t>전장G 8월</t>
    <phoneticPr fontId="3"/>
  </si>
  <si>
    <t>전장G 9월</t>
    <phoneticPr fontId="3"/>
  </si>
  <si>
    <t>IO 타입의 SOUND 항목 추가</t>
    <phoneticPr fontId="3"/>
  </si>
  <si>
    <t>6. 작성법</t>
    <phoneticPr fontId="3"/>
  </si>
  <si>
    <t>③ PC H/W 구성 및 S/W 설치명 작성 / IP 통신 관련 체크 / 전원, 모듈, 동작 상태 체크</t>
    <phoneticPr fontId="3"/>
  </si>
  <si>
    <t>⑤ 결과 ( OK, NG, SKIP ) 작성</t>
    <phoneticPr fontId="3"/>
  </si>
  <si>
    <t>⑦ MP 구성 및 내용 기입 / 전원, 모듈, 동작 상태 체크</t>
    <phoneticPr fontId="3"/>
  </si>
  <si>
    <t>③ 통신, ORG,OT, JOG 체크 확인</t>
    <phoneticPr fontId="3"/>
  </si>
  <si>
    <t xml:space="preserve">④ 확인 일자 및 결과 ( OK, NG, SKIP ) 작성 </t>
    <phoneticPr fontId="3"/>
  </si>
  <si>
    <t>③ 체크 담당자 이름을 기입할 것</t>
    <phoneticPr fontId="3"/>
  </si>
  <si>
    <t>② ANYWIRE 형식 작성</t>
    <phoneticPr fontId="3"/>
  </si>
  <si>
    <t>③ ANYWIRE 장착 위치 작성</t>
    <phoneticPr fontId="3"/>
  </si>
  <si>
    <t>⑤ INPUT TYPE 기입</t>
    <phoneticPr fontId="3"/>
  </si>
  <si>
    <t>⑥ I/O 변경 사항 기입</t>
    <phoneticPr fontId="3"/>
  </si>
  <si>
    <t>⑦ 확인 일자 작성</t>
    <phoneticPr fontId="3"/>
  </si>
  <si>
    <t>DR No</t>
    <phoneticPr fontId="2" type="noConversion"/>
  </si>
  <si>
    <t>MP1-1</t>
    <phoneticPr fontId="2" type="noConversion"/>
  </si>
  <si>
    <t>MP1-2</t>
    <phoneticPr fontId="2" type="noConversion"/>
  </si>
  <si>
    <t>10-SUB</t>
    <phoneticPr fontId="2" type="noConversion"/>
  </si>
  <si>
    <t>DR210B</t>
    <phoneticPr fontId="2" type="noConversion"/>
  </si>
  <si>
    <t>DR2107</t>
    <phoneticPr fontId="2" type="noConversion"/>
  </si>
  <si>
    <t>DR2108</t>
    <phoneticPr fontId="2" type="noConversion"/>
  </si>
  <si>
    <t>DR210D</t>
    <phoneticPr fontId="2" type="noConversion"/>
  </si>
  <si>
    <t>DR210E</t>
    <phoneticPr fontId="2" type="noConversion"/>
  </si>
  <si>
    <t>DR2109</t>
    <phoneticPr fontId="2" type="noConversion"/>
  </si>
  <si>
    <t>DR210A</t>
    <phoneticPr fontId="2" type="noConversion"/>
  </si>
  <si>
    <t>DR2114</t>
    <phoneticPr fontId="2" type="noConversion"/>
  </si>
  <si>
    <t>DR2115</t>
    <phoneticPr fontId="2" type="noConversion"/>
  </si>
  <si>
    <t>DR2116</t>
    <phoneticPr fontId="2" type="noConversion"/>
  </si>
  <si>
    <t>DR2118</t>
    <phoneticPr fontId="2" type="noConversion"/>
  </si>
  <si>
    <t xml:space="preserve">12 CH : </t>
  </si>
  <si>
    <t xml:space="preserve">13 CH : </t>
  </si>
  <si>
    <t xml:space="preserve">14 CH : </t>
  </si>
  <si>
    <t xml:space="preserve">15 CH : </t>
  </si>
  <si>
    <t xml:space="preserve">16 CH : </t>
  </si>
  <si>
    <t>JAPMC-MC2320-E</t>
    <phoneticPr fontId="2" type="noConversion"/>
  </si>
  <si>
    <t>JAPMC-IO2303-E</t>
    <phoneticPr fontId="2" type="noConversion"/>
  </si>
  <si>
    <t>MPHLS-01</t>
    <phoneticPr fontId="2" type="noConversion"/>
  </si>
  <si>
    <t>JEPMC-OP2300</t>
    <phoneticPr fontId="2" type="noConversion"/>
  </si>
  <si>
    <t>MP3200</t>
    <phoneticPr fontId="2" type="noConversion"/>
  </si>
  <si>
    <t>CPU</t>
    <phoneticPr fontId="2" type="noConversion"/>
  </si>
  <si>
    <t>JEPMC-CP3201-E</t>
    <phoneticPr fontId="2" type="noConversion"/>
  </si>
  <si>
    <t>JEPMC-PSA3012-E</t>
  </si>
  <si>
    <t xml:space="preserve"> JEPMC-BUB3008-E</t>
    <phoneticPr fontId="2" type="noConversion"/>
  </si>
  <si>
    <t>JAPMC-CM2360-E</t>
    <phoneticPr fontId="2" type="noConversion"/>
  </si>
  <si>
    <t xml:space="preserve">9 CH : </t>
    <phoneticPr fontId="2" type="noConversion"/>
  </si>
  <si>
    <t xml:space="preserve">10 CH : </t>
    <phoneticPr fontId="2" type="noConversion"/>
  </si>
  <si>
    <t xml:space="preserve">11 CH : </t>
    <phoneticPr fontId="2" type="noConversion"/>
  </si>
  <si>
    <t xml:space="preserve">16 CH : </t>
    <phoneticPr fontId="2" type="noConversion"/>
  </si>
  <si>
    <t xml:space="preserve">3 CH : </t>
    <phoneticPr fontId="2" type="noConversion"/>
  </si>
  <si>
    <t>SGD7S-5R5A20A</t>
    <phoneticPr fontId="2" type="noConversion"/>
  </si>
  <si>
    <t>MP7-1</t>
    <phoneticPr fontId="2" type="noConversion"/>
  </si>
  <si>
    <t>MP7-2</t>
    <phoneticPr fontId="2" type="noConversion"/>
  </si>
  <si>
    <t>3-SUB</t>
    <phoneticPr fontId="2" type="noConversion"/>
  </si>
  <si>
    <t>17-SUB</t>
    <phoneticPr fontId="2" type="noConversion"/>
  </si>
  <si>
    <t>DR2119</t>
    <phoneticPr fontId="2" type="noConversion"/>
  </si>
  <si>
    <t>DR4103</t>
  </si>
  <si>
    <t>DR4105</t>
  </si>
  <si>
    <t>DR4503</t>
  </si>
  <si>
    <t>DR4504</t>
  </si>
  <si>
    <t>DR4505</t>
  </si>
  <si>
    <t>DR4506</t>
  </si>
  <si>
    <t>DR4508</t>
  </si>
  <si>
    <t>DR4509</t>
  </si>
  <si>
    <t>DR450A</t>
  </si>
  <si>
    <t>DR450D</t>
  </si>
  <si>
    <t>DR450E</t>
  </si>
  <si>
    <t>DR4603</t>
  </si>
  <si>
    <t>DR4604</t>
  </si>
  <si>
    <t>DR4605</t>
  </si>
  <si>
    <t>DR4607</t>
  </si>
  <si>
    <t>DR4608</t>
  </si>
  <si>
    <t>DR4609</t>
  </si>
  <si>
    <t>DR460B</t>
  </si>
  <si>
    <t>DR460C</t>
  </si>
  <si>
    <t>DR460D</t>
  </si>
  <si>
    <t>DR460E</t>
  </si>
  <si>
    <t>DR460F</t>
  </si>
  <si>
    <t>DR4611</t>
  </si>
  <si>
    <t>DR4612</t>
  </si>
  <si>
    <t>DR4703</t>
  </si>
  <si>
    <t>DR4705</t>
  </si>
  <si>
    <t>DR4706</t>
  </si>
  <si>
    <t>DR4708</t>
  </si>
  <si>
    <t>DR4709</t>
  </si>
  <si>
    <t xml:space="preserve">6 CH : </t>
  </si>
  <si>
    <t xml:space="preserve">7 CH : </t>
  </si>
  <si>
    <t xml:space="preserve">8 CH : </t>
  </si>
  <si>
    <t xml:space="preserve">4 CH : </t>
    <phoneticPr fontId="2" type="noConversion"/>
  </si>
  <si>
    <t xml:space="preserve">5 CH : </t>
  </si>
  <si>
    <t>DR470B</t>
  </si>
  <si>
    <t>DR470D</t>
  </si>
  <si>
    <t>MP8-1</t>
    <phoneticPr fontId="2" type="noConversion"/>
  </si>
  <si>
    <t>MP8-2</t>
    <phoneticPr fontId="2" type="noConversion"/>
  </si>
  <si>
    <t>명칭 약어
(최대 8개, - 제외)</t>
    <phoneticPr fontId="2" type="noConversion"/>
  </si>
  <si>
    <t>DR3508</t>
    <phoneticPr fontId="2" type="noConversion"/>
  </si>
  <si>
    <t>DR3509</t>
    <phoneticPr fontId="2" type="noConversion"/>
  </si>
  <si>
    <t>DR350B</t>
    <phoneticPr fontId="2" type="noConversion"/>
  </si>
  <si>
    <t>DR350D</t>
    <phoneticPr fontId="2" type="noConversion"/>
  </si>
  <si>
    <t>DR350E</t>
    <phoneticPr fontId="2" type="noConversion"/>
  </si>
  <si>
    <t>DR3606</t>
    <phoneticPr fontId="2" type="noConversion"/>
  </si>
  <si>
    <t>DR3607</t>
    <phoneticPr fontId="2" type="noConversion"/>
  </si>
  <si>
    <t>DR3608</t>
    <phoneticPr fontId="2" type="noConversion"/>
  </si>
  <si>
    <t>DR3609</t>
    <phoneticPr fontId="2" type="noConversion"/>
  </si>
  <si>
    <t>DR4606</t>
  </si>
  <si>
    <t>DR450B</t>
  </si>
  <si>
    <t>4-SUB</t>
    <phoneticPr fontId="2" type="noConversion"/>
  </si>
  <si>
    <t>DR2106</t>
    <phoneticPr fontId="2" type="noConversion"/>
  </si>
  <si>
    <t>DR2603</t>
  </si>
  <si>
    <t>DR2604</t>
  </si>
  <si>
    <t>DR2503</t>
  </si>
  <si>
    <t>DR2504</t>
  </si>
  <si>
    <t>DR2505</t>
  </si>
  <si>
    <t>DR2506</t>
  </si>
  <si>
    <t>DR2508</t>
  </si>
  <si>
    <t>DR2509</t>
  </si>
  <si>
    <t>DR250A</t>
  </si>
  <si>
    <t>DR250B</t>
  </si>
  <si>
    <t>DR2703</t>
  </si>
  <si>
    <t>DR2704</t>
  </si>
  <si>
    <t>DR2705</t>
  </si>
  <si>
    <t>DR2708</t>
  </si>
  <si>
    <t>DR2709</t>
  </si>
  <si>
    <t>DR270B</t>
  </si>
  <si>
    <t>DR270E</t>
  </si>
  <si>
    <t>DR270F</t>
  </si>
  <si>
    <t>DR3103</t>
    <phoneticPr fontId="2" type="noConversion"/>
  </si>
  <si>
    <t>DR3105</t>
    <phoneticPr fontId="2" type="noConversion"/>
  </si>
  <si>
    <t>9-SUB</t>
    <phoneticPr fontId="2" type="noConversion"/>
  </si>
  <si>
    <t>DR380D</t>
    <phoneticPr fontId="2" type="noConversion"/>
  </si>
  <si>
    <t>DR380E</t>
    <phoneticPr fontId="2" type="noConversion"/>
  </si>
  <si>
    <t>DR380B</t>
    <phoneticPr fontId="2" type="noConversion"/>
  </si>
  <si>
    <t>DR380C</t>
    <phoneticPr fontId="2" type="noConversion"/>
  </si>
  <si>
    <t>DR3810</t>
    <phoneticPr fontId="2" type="noConversion"/>
  </si>
  <si>
    <t>DR3811</t>
    <phoneticPr fontId="2" type="noConversion"/>
  </si>
  <si>
    <t>DR3808</t>
    <phoneticPr fontId="2" type="noConversion"/>
  </si>
  <si>
    <t>DR3809</t>
    <phoneticPr fontId="2" type="noConversion"/>
  </si>
  <si>
    <t>DR3807</t>
    <phoneticPr fontId="2" type="noConversion"/>
  </si>
  <si>
    <t>DR3812</t>
    <phoneticPr fontId="2" type="noConversion"/>
  </si>
  <si>
    <t>DR3803</t>
    <phoneticPr fontId="2" type="noConversion"/>
  </si>
  <si>
    <t>DR3804</t>
    <phoneticPr fontId="2" type="noConversion"/>
  </si>
  <si>
    <t>DR3805</t>
    <phoneticPr fontId="2" type="noConversion"/>
  </si>
  <si>
    <t>DR3806</t>
    <phoneticPr fontId="2" type="noConversion"/>
  </si>
  <si>
    <t>14-SUB</t>
    <phoneticPr fontId="2" type="noConversion"/>
  </si>
  <si>
    <t>DR3703</t>
    <phoneticPr fontId="2" type="noConversion"/>
  </si>
  <si>
    <t>DR3704</t>
    <phoneticPr fontId="2" type="noConversion"/>
  </si>
  <si>
    <t>DR3706</t>
    <phoneticPr fontId="2" type="noConversion"/>
  </si>
  <si>
    <t>DR3708</t>
    <phoneticPr fontId="2" type="noConversion"/>
  </si>
  <si>
    <t>DR3709</t>
    <phoneticPr fontId="2" type="noConversion"/>
  </si>
  <si>
    <t>DR370B</t>
    <phoneticPr fontId="2" type="noConversion"/>
  </si>
  <si>
    <t>DR3705</t>
    <phoneticPr fontId="2" type="noConversion"/>
  </si>
  <si>
    <t>DR370A</t>
    <phoneticPr fontId="2" type="noConversion"/>
  </si>
  <si>
    <t>DR370D</t>
    <phoneticPr fontId="2" type="noConversion"/>
  </si>
  <si>
    <t>DR370E</t>
    <phoneticPr fontId="2" type="noConversion"/>
  </si>
  <si>
    <t>DR3605</t>
    <phoneticPr fontId="2" type="noConversion"/>
  </si>
  <si>
    <t>DR3603</t>
    <phoneticPr fontId="2" type="noConversion"/>
  </si>
  <si>
    <t>DR3604</t>
    <phoneticPr fontId="2" type="noConversion"/>
  </si>
  <si>
    <t>DR360B</t>
    <phoneticPr fontId="2" type="noConversion"/>
  </si>
  <si>
    <t>DR360C</t>
    <phoneticPr fontId="2" type="noConversion"/>
  </si>
  <si>
    <t>DR360D</t>
    <phoneticPr fontId="2" type="noConversion"/>
  </si>
  <si>
    <t>DR360E</t>
    <phoneticPr fontId="2" type="noConversion"/>
  </si>
  <si>
    <t>DR360F</t>
    <phoneticPr fontId="2" type="noConversion"/>
  </si>
  <si>
    <t>DR3610</t>
    <phoneticPr fontId="2" type="noConversion"/>
  </si>
  <si>
    <t>DR3611</t>
    <phoneticPr fontId="2" type="noConversion"/>
  </si>
  <si>
    <t>DR3612</t>
    <phoneticPr fontId="2" type="noConversion"/>
  </si>
  <si>
    <t>DR3503</t>
    <phoneticPr fontId="2" type="noConversion"/>
  </si>
  <si>
    <t>DR3504</t>
    <phoneticPr fontId="2" type="noConversion"/>
  </si>
  <si>
    <t>DR3505</t>
    <phoneticPr fontId="2" type="noConversion"/>
  </si>
  <si>
    <t>DR3506</t>
    <phoneticPr fontId="2" type="noConversion"/>
  </si>
  <si>
    <t>DR350A</t>
    <phoneticPr fontId="2" type="noConversion"/>
  </si>
  <si>
    <t>DR4610</t>
  </si>
  <si>
    <t>DR4704</t>
  </si>
  <si>
    <t>DR470A</t>
  </si>
  <si>
    <t>DR470E</t>
  </si>
  <si>
    <t>DR4803</t>
  </si>
  <si>
    <t>DR4804</t>
  </si>
  <si>
    <t>DR4805</t>
  </si>
  <si>
    <t>DR4806</t>
  </si>
  <si>
    <t>DR4809</t>
  </si>
  <si>
    <t>DR480B</t>
  </si>
  <si>
    <t>DR480C</t>
  </si>
  <si>
    <t>DR480D</t>
  </si>
  <si>
    <t>DR4810</t>
  </si>
  <si>
    <t>DR4811</t>
  </si>
  <si>
    <t>DR4812</t>
  </si>
  <si>
    <t>DR270C</t>
  </si>
  <si>
    <t>DR2706</t>
  </si>
  <si>
    <t>VPH 3.3KW (M-LINK3)</t>
    <phoneticPr fontId="2" type="noConversion"/>
  </si>
  <si>
    <t>SGD7W-7R6A20A</t>
    <phoneticPr fontId="2" type="noConversion"/>
  </si>
  <si>
    <t>SGD7W-5R5A20A</t>
    <phoneticPr fontId="2" type="noConversion"/>
  </si>
  <si>
    <t>SGD7S-7R6A20A</t>
    <phoneticPr fontId="2" type="noConversion"/>
  </si>
  <si>
    <t>VPH 2.2KW (M-LINK3)</t>
    <phoneticPr fontId="2" type="noConversion"/>
  </si>
  <si>
    <t>DR210F</t>
    <phoneticPr fontId="2" type="noConversion"/>
  </si>
  <si>
    <t>1 CH : SMC05 [RS485]</t>
    <phoneticPr fontId="2" type="noConversion"/>
  </si>
  <si>
    <t>2 CH : SMC06 [RS485]</t>
    <phoneticPr fontId="2" type="noConversion"/>
  </si>
  <si>
    <t>3 CH : SMC07 [RS485]</t>
    <phoneticPr fontId="2" type="noConversion"/>
  </si>
  <si>
    <t>4 CH : SMC08 [RS485]</t>
    <phoneticPr fontId="2" type="noConversion"/>
  </si>
  <si>
    <t>DR2113</t>
    <phoneticPr fontId="2" type="noConversion"/>
  </si>
  <si>
    <t>DR380F</t>
    <phoneticPr fontId="2" type="noConversion"/>
  </si>
  <si>
    <t>DR4807</t>
  </si>
  <si>
    <t>DR4808</t>
  </si>
  <si>
    <t>DR480E</t>
  </si>
  <si>
    <t>DR480F</t>
  </si>
  <si>
    <t xml:space="preserve"> </t>
    <phoneticPr fontId="2" type="noConversion"/>
  </si>
  <si>
    <t>DR211B</t>
    <phoneticPr fontId="2" type="noConversion"/>
  </si>
  <si>
    <t>DR211C</t>
    <phoneticPr fontId="2" type="noConversion"/>
  </si>
  <si>
    <t>DR270D</t>
  </si>
  <si>
    <t>⑧ I/O Check 결과 ( OK, NG, SKIP ) 작성</t>
  </si>
  <si>
    <t xml:space="preserve">⑨ NG, SKIP시 미 Check 사유 작성 </t>
  </si>
  <si>
    <t xml:space="preserve">⑩ 1차 Check 방식과 동일하게 작성 </t>
  </si>
  <si>
    <t>PC 구성 및  I/O Check 관련 참고 자료 작성</t>
  </si>
  <si>
    <t>1. PC1_Axis Check List(CIM)</t>
  </si>
  <si>
    <t>1. PC Check List</t>
  </si>
  <si>
    <t>2. PC2_Axis Check List(SCT)</t>
  </si>
  <si>
    <t>2. Axis Check List</t>
  </si>
  <si>
    <t>3. PC3_Axis Check List(CIM2)</t>
  </si>
  <si>
    <t>4. PC4_Axis Check List(LCCT)</t>
  </si>
  <si>
    <t>5. PC5_Axis Check List(RCCT)</t>
  </si>
  <si>
    <t>문서명 : I/O Check List</t>
  </si>
  <si>
    <t xml:space="preserve">1. Axis Check List 서보모터 ORG,OT 확인, JOG동작 및 PC, PLC 상태 확인 추가 </t>
  </si>
  <si>
    <t>4. PC_Axis Check List</t>
  </si>
  <si>
    <t>1) PC Check List</t>
  </si>
  <si>
    <t xml:space="preserve">2) Axis Check List </t>
  </si>
  <si>
    <t>2. I/O Check List</t>
  </si>
  <si>
    <t>이 Page의 내용은 MDIK에서 체크 및 결과를 기록 한다.</t>
  </si>
  <si>
    <t>프로그램 &amp; Option</t>
  </si>
  <si>
    <t>Antivirus</t>
  </si>
  <si>
    <t>Windows</t>
  </si>
  <si>
    <t>Excel</t>
  </si>
  <si>
    <t>AhnLab</t>
  </si>
  <si>
    <t>Microsoft</t>
  </si>
  <si>
    <t>AhnLab V3 Internet Security 9.0</t>
  </si>
  <si>
    <t>Windows10 64Bit</t>
  </si>
  <si>
    <t>④ I/O 명칭 작성, IO는 끝에서 4자리까지 사용한다. 1 WORD, 16 Bit, [ ib1 or ib2 등의 구분은 제어와 확인 후 결정 한다.]</t>
  </si>
  <si>
    <t>Office Home &amp; Buseniss 2021</t>
  </si>
  <si>
    <t>Host Ethernet Link</t>
  </si>
  <si>
    <t>8. MP Link</t>
  </si>
  <si>
    <t>CPU Board Lan Card</t>
  </si>
  <si>
    <t>Melsec Board
(Q80BD-J71GP21S-SX)</t>
  </si>
  <si>
    <t>① PC 명칭 ( 예 : MM1 PC , Main PC)</t>
  </si>
  <si>
    <t>Port 1</t>
  </si>
  <si>
    <t>Port 2</t>
  </si>
  <si>
    <t>Port 3</t>
  </si>
  <si>
    <t>Port 4</t>
  </si>
  <si>
    <t>Moxa Card</t>
  </si>
  <si>
    <t>1차 Check</t>
  </si>
  <si>
    <t>2차 Check</t>
  </si>
  <si>
    <t>19R59_001_CSOT_T7_MPL3400wCC_IO Check_LIST_220601.xls</t>
  </si>
  <si>
    <t>1 CH : SMC01 [RS485 2 Wire]</t>
  </si>
  <si>
    <t>2 CH : SMC02 [RS485 2 Wire]</t>
  </si>
  <si>
    <t>3 CH : SMC03 [RS485 2 Wire]</t>
  </si>
  <si>
    <t>4 CH : SMC04 [RS485 2 Wire]</t>
  </si>
  <si>
    <t>Camera Board
(FG-NA24-POE 4CH)</t>
  </si>
  <si>
    <t>SCT Camera X</t>
  </si>
  <si>
    <t>LCCTL Camera X</t>
  </si>
  <si>
    <t>LCCTR Camera X</t>
  </si>
  <si>
    <t>RCCTL Camera X</t>
  </si>
  <si>
    <t>RCCTR Camera X</t>
  </si>
  <si>
    <t>SCT Left Camera Y</t>
  </si>
  <si>
    <t>SCT Left Camera Z</t>
  </si>
  <si>
    <t>LCCTL Left Camera Y1</t>
  </si>
  <si>
    <t>LCCTL Left Camera Z1</t>
  </si>
  <si>
    <t>LCCTR Left Camera Y1</t>
  </si>
  <si>
    <t>LCCTR Left Camera Z1</t>
  </si>
  <si>
    <t>RCCTL Left Camera Y1</t>
  </si>
  <si>
    <t>RCCTL Left Camera Z1</t>
  </si>
  <si>
    <t>RCCTR Left Camera Y1</t>
  </si>
  <si>
    <t>RCCTR Left Camera Z1</t>
  </si>
  <si>
    <t>SCT Scribe Align Left Camera</t>
  </si>
  <si>
    <t>LCCTL Scribe Align Left Camera</t>
  </si>
  <si>
    <t>LCCTR Scribe Align Left Camera</t>
  </si>
  <si>
    <t>RCCTL Scribe Align Left Camera</t>
  </si>
  <si>
    <t>RCCTR Scribe Align Left Camera</t>
  </si>
  <si>
    <t>SCT Main Glass MCR X</t>
  </si>
  <si>
    <t>1. Motion Board</t>
  </si>
  <si>
    <t>2. Motion Board</t>
  </si>
  <si>
    <t>3. Motion Board</t>
  </si>
  <si>
    <t>4. Motion Board</t>
  </si>
  <si>
    <t>Motion Controller</t>
  </si>
  <si>
    <t>Option 8 Slot</t>
  </si>
  <si>
    <t>Power</t>
  </si>
  <si>
    <t>Base</t>
  </si>
  <si>
    <t>4. Cover</t>
  </si>
  <si>
    <t>7. Direct IO</t>
  </si>
  <si>
    <t>Servo Controller</t>
  </si>
  <si>
    <t>① Servo MOTOR 명 작성</t>
  </si>
  <si>
    <t xml:space="preserve">② Servo MOTOR 축 명칭 작성 </t>
  </si>
  <si>
    <t>M System IO Module</t>
  </si>
  <si>
    <t>Omron Safety LIO Module</t>
  </si>
  <si>
    <t>Pendant RS232C Interface</t>
  </si>
  <si>
    <t>Lan Card
I350-T4V2 (Intel - 4 PORT)</t>
  </si>
  <si>
    <t>Lan Card
I350-T4V2 (Intel - 4Port)</t>
  </si>
  <si>
    <t>1) Main PC Install</t>
  </si>
  <si>
    <t>SCT Main Glass PreAlign Left Camera</t>
    <phoneticPr fontId="2" type="noConversion"/>
  </si>
  <si>
    <t>SCT Main Glass PreAlign Left X</t>
  </si>
  <si>
    <t>SCT Main Glass PreAlign Right Camera</t>
  </si>
  <si>
    <t>SCT Main Glass PreAlign Right X</t>
  </si>
  <si>
    <t>SCT Scribe Align Right Camera</t>
  </si>
  <si>
    <t>SCT Stick PreAlign Left Camera</t>
  </si>
  <si>
    <t>SCT Stick PreAlign Right Camera</t>
  </si>
  <si>
    <t>SCT Stick PreAlign Left X</t>
  </si>
  <si>
    <t>SCT Stick PreAlign Right X</t>
  </si>
  <si>
    <t>SCT Main Glass Transfer1 Y-1</t>
  </si>
  <si>
    <t>SCT Main Glass Transfer1 Y-2</t>
  </si>
  <si>
    <t>SCT Main Glass Transfer1 X</t>
  </si>
  <si>
    <t>SCT Main Glass Transfer1 Z-1</t>
  </si>
  <si>
    <t>SCT Main Glass Transfer1 Z-2</t>
  </si>
  <si>
    <t>SCT Main Glass Transfer1 T</t>
  </si>
  <si>
    <t>SCT Stick Transfer1 Y-1</t>
  </si>
  <si>
    <t>SCT Stick Transfer1 Y-2</t>
  </si>
  <si>
    <t>SCT Stick Transfer1 Z-1</t>
  </si>
  <si>
    <t>SCT Stick Transfer1 Z-2</t>
  </si>
  <si>
    <t>RCCT Stick Transfer2 X-1</t>
  </si>
  <si>
    <t>RCCT Stick Transfer2 Z-1</t>
  </si>
  <si>
    <t>SCT Stick Buffer Table Y</t>
  </si>
  <si>
    <t>SCT Stick Buffer Table T</t>
  </si>
  <si>
    <t>SCT Table Level</t>
  </si>
  <si>
    <t>LCCT Table Level</t>
  </si>
  <si>
    <t>RCCT Table Level</t>
  </si>
  <si>
    <t>SCT LoadCell</t>
  </si>
  <si>
    <t>LCCT LoadCell</t>
  </si>
  <si>
    <t>RCCT LoadCell</t>
  </si>
  <si>
    <t>SCT Cutter Shift</t>
  </si>
  <si>
    <t>LCCTL Cutter Shift</t>
  </si>
  <si>
    <t>LCCTR Cutter Shift</t>
  </si>
  <si>
    <t>RCCTL Cutter Shift</t>
  </si>
  <si>
    <t>RCCTR Cutter Shift</t>
  </si>
  <si>
    <t>SCT Cutter Z</t>
  </si>
  <si>
    <t>LCCTL Cutter Z</t>
  </si>
  <si>
    <t>LCCTR Cutter Z</t>
  </si>
  <si>
    <t>RCCTL Cutter Z</t>
  </si>
  <si>
    <t>RCCTR Cutter Z</t>
  </si>
  <si>
    <t>SCT Scribe Chuck Y-1</t>
  </si>
  <si>
    <t>SCT Scribe Chuck Y-2</t>
  </si>
  <si>
    <t>SCT Scribe Chuck1 Z</t>
  </si>
  <si>
    <t>SCT Scribe Chuck2 Z</t>
  </si>
  <si>
    <t>SCT Scribe Chuck3 Z</t>
  </si>
  <si>
    <t>SCT Scribe Chuck4 Z</t>
  </si>
  <si>
    <t>SCT Scribe Chuck5 Z</t>
  </si>
  <si>
    <t>SCT Scribe Chuck6 Z</t>
  </si>
  <si>
    <t>SCT Scribe Chuck7 Z</t>
  </si>
  <si>
    <t>SCT Scribe Chuck8 Z</t>
  </si>
  <si>
    <t>LCCTL Scribe Chuck Left X</t>
  </si>
  <si>
    <t>LCCTL Scribe Chuck Y-1</t>
  </si>
  <si>
    <t>LCCTL Scribe Chuck Y-2</t>
  </si>
  <si>
    <t>LCCTL Scribe Chuck Z1</t>
  </si>
  <si>
    <t>LCCTL Scribe Chuck Z2</t>
  </si>
  <si>
    <t>LCCTL Scribe Chuck Z3</t>
  </si>
  <si>
    <t>LCCTR Scribe Chuck Left X</t>
  </si>
  <si>
    <t>LCCTR Scribe Chuck Y-1</t>
  </si>
  <si>
    <t>LCCTR Scribe Chuck Y-2</t>
  </si>
  <si>
    <t>LCCTR Scribe Chuck Z1</t>
  </si>
  <si>
    <t>LCCTR Scribe Chuck Z2</t>
  </si>
  <si>
    <t>LCCTR Scribe Chuck Z3</t>
  </si>
  <si>
    <t>RCCTL Scribe Chuck Left X</t>
  </si>
  <si>
    <t>RCCTL Scribe Chuck Y-1</t>
  </si>
  <si>
    <t>RCCTL Scribe Chuck Y-2</t>
  </si>
  <si>
    <t>RCCTL Scribe Chuck Z1</t>
  </si>
  <si>
    <t>RCCTL Scribe Chuck Z2</t>
  </si>
  <si>
    <t>RCCTL Scribe Chuck Z3</t>
  </si>
  <si>
    <t>RCCTR Scribe Chuck Left X</t>
  </si>
  <si>
    <t>RCCTR Scribe Chuck Y-1</t>
  </si>
  <si>
    <t>RCCTR Scribe Chuck Y-2</t>
  </si>
  <si>
    <t>RCCTR Scribe Chuck Z1</t>
  </si>
  <si>
    <t>RCCTR Scribe Chuck Z2</t>
  </si>
  <si>
    <t>RCCTR Scribe Chuck Z3</t>
  </si>
  <si>
    <t>SCT Break Table Y-1</t>
  </si>
  <si>
    <t>SCT Break Table Y-2</t>
  </si>
  <si>
    <t>SCT Break Table Z-1</t>
  </si>
  <si>
    <t>SCT Break Table Z-2</t>
  </si>
  <si>
    <t>SCT Break Table Z-3</t>
  </si>
  <si>
    <t>LCCTL Break Table Y-1</t>
  </si>
  <si>
    <t>LCCTL Break Table Y-2</t>
  </si>
  <si>
    <t>LCCTL Break Table Z-1</t>
  </si>
  <si>
    <t>LCCTL Break Table Z-2</t>
  </si>
  <si>
    <t>LCCTL Break Table T</t>
  </si>
  <si>
    <t>LCCTR Break Table Y-1</t>
  </si>
  <si>
    <t>LCCTR Break Table Y-2</t>
  </si>
  <si>
    <t>LCCTR Break Table Z-1</t>
  </si>
  <si>
    <t>LCCTR Break Table Z-2</t>
  </si>
  <si>
    <t>LCCTR Break Table T</t>
  </si>
  <si>
    <t>RCCTL Break Table Y-1</t>
  </si>
  <si>
    <t>RCCTL Break Table Y-2</t>
  </si>
  <si>
    <t>RCCTL Break Table Z-1</t>
  </si>
  <si>
    <t>RCCTL Break Table Z-2</t>
  </si>
  <si>
    <t>RCCTL Break Table T</t>
  </si>
  <si>
    <t>RCCTR Break Table Y-1</t>
  </si>
  <si>
    <t>RCCTR Break Table Y-2</t>
  </si>
  <si>
    <t>RCCTR Break Table Z-1</t>
  </si>
  <si>
    <t>RCCTR Break Table Z-2</t>
  </si>
  <si>
    <t>RCCTR Break Table T</t>
  </si>
  <si>
    <t>SCT Break Push Bar Y-1</t>
  </si>
  <si>
    <t>SCT Break Push Bar Y-2</t>
  </si>
  <si>
    <t>SCT Break Push Bar Z-1</t>
  </si>
  <si>
    <t>SCT Break Push Bar Z-2</t>
  </si>
  <si>
    <t>LCCTL Push Bar Y-1</t>
  </si>
  <si>
    <t>LCCTL Push Bar Y-2</t>
  </si>
  <si>
    <t>LCCTL Push Bar Z</t>
  </si>
  <si>
    <t>LCCTR Push Bar Y-1</t>
  </si>
  <si>
    <t>LCCTR Push Bar Y-2</t>
  </si>
  <si>
    <t>LCCTR Push Bar Z</t>
  </si>
  <si>
    <t>RCCTL Push Bar Y-1</t>
  </si>
  <si>
    <t>RCCTL Push Bar Y-2</t>
  </si>
  <si>
    <t>RCCTL Push Bar Z</t>
  </si>
  <si>
    <t>RCCTR Push Bar Y-1</t>
  </si>
  <si>
    <t>RCCTR Push Bar Y-2</t>
  </si>
  <si>
    <t>RCCTR Push Bar Z</t>
  </si>
  <si>
    <t>SCT Break Table Tilt-1</t>
  </si>
  <si>
    <t>SCT Break Table Tilt-2</t>
  </si>
  <si>
    <t>SCT Cutter X</t>
  </si>
  <si>
    <t>LCCTL Cutter X</t>
  </si>
  <si>
    <t>LCCTR Cutter X</t>
  </si>
  <si>
    <t>RCCTL Cutter X</t>
  </si>
  <si>
    <t>RCCTR Cutter X</t>
  </si>
  <si>
    <t>CPU-201 Board 1   MechatroLink- Ⅲ   Transmission Cycle 1.0ms</t>
  </si>
  <si>
    <t>SVC-01 Board 1   MechatroLink- Ⅲ   Transmission Cycle 1.0ms</t>
  </si>
  <si>
    <t>SVC-01 Board 2   MechatroLink- Ⅲ   Transmission Cycle 1.0ms</t>
  </si>
  <si>
    <t>SCT Right Camera Y</t>
  </si>
  <si>
    <t>SCT Right Camera Z</t>
  </si>
  <si>
    <t>LCCTL Scribe Align Right Camera</t>
  </si>
  <si>
    <t>LCCTR Scribe Align Right Camera</t>
  </si>
  <si>
    <t>LCCTL Right Camera Y1</t>
  </si>
  <si>
    <t>LCCTL Right Camera Z1</t>
  </si>
  <si>
    <t>LCCTL Scribe Chuck Right X</t>
  </si>
  <si>
    <t>LCCTR Right Camera Y1</t>
  </si>
  <si>
    <t>LCCTR Right Camera Z1</t>
  </si>
  <si>
    <t>LCCTR Scribe Chuck Right X</t>
  </si>
  <si>
    <t>RCCTL Scribe Align Right Camera</t>
  </si>
  <si>
    <t>RCCTR Scribe Align Right Camera</t>
  </si>
  <si>
    <t>RCCTL Right Camera Y1</t>
  </si>
  <si>
    <t>RCCTL Right Camera Z1</t>
  </si>
  <si>
    <t>RCCTL Scribe Chuck Right X</t>
  </si>
  <si>
    <t>RCCTR Right Camera Y1</t>
  </si>
  <si>
    <t>RCCTR Right Camera Z1</t>
  </si>
  <si>
    <t>RCCTR Scribe Chuck Right X</t>
  </si>
  <si>
    <t>LCCTL Cutting Table Y1-1</t>
  </si>
  <si>
    <t>LCCTL Cutting Table Y1-2</t>
  </si>
  <si>
    <t>LCCTR Cutting Table Y1-1</t>
  </si>
  <si>
    <t>LCCTR Cutting Table Y1-2</t>
  </si>
  <si>
    <t>RCCTL Cutting Table Y1-1</t>
  </si>
  <si>
    <t>RCCTL Cutting Table Y1-2</t>
  </si>
  <si>
    <t>RCCTR Cutting Table Y1-1</t>
  </si>
  <si>
    <t>RCCTR Cutting Table Y1-2</t>
  </si>
  <si>
    <t>LCCT Stick Transfer2 X</t>
    <phoneticPr fontId="2" type="noConversion"/>
  </si>
  <si>
    <t>LCCT Stick Transfer2 Z</t>
    <phoneticPr fontId="2" type="noConversion"/>
  </si>
  <si>
    <t>MCR</t>
    <phoneticPr fontId="2" type="noConversion"/>
  </si>
  <si>
    <t>DR2606</t>
    <phoneticPr fontId="2" type="noConversion"/>
  </si>
  <si>
    <t>DR2607</t>
    <phoneticPr fontId="2" type="noConversion"/>
  </si>
  <si>
    <t>DR2608</t>
    <phoneticPr fontId="2" type="noConversion"/>
  </si>
  <si>
    <t>DR2609</t>
    <phoneticPr fontId="2" type="noConversion"/>
  </si>
  <si>
    <t>DR260A</t>
    <phoneticPr fontId="2" type="noConversion"/>
  </si>
  <si>
    <t>DR260B</t>
    <phoneticPr fontId="2" type="noConversion"/>
  </si>
  <si>
    <t>DR260C</t>
    <phoneticPr fontId="2" type="noConversion"/>
  </si>
  <si>
    <t>DR260D</t>
    <phoneticPr fontId="2" type="noConversion"/>
  </si>
  <si>
    <t>상평형율</t>
    <phoneticPr fontId="23" type="noConversion"/>
  </si>
  <si>
    <t>TOTAL</t>
    <phoneticPr fontId="23" type="noConversion"/>
  </si>
  <si>
    <t>가동율2</t>
    <phoneticPr fontId="23" type="noConversion"/>
  </si>
  <si>
    <t>150A</t>
    <phoneticPr fontId="23" type="noConversion"/>
  </si>
  <si>
    <t>NOISE FILTER</t>
    <phoneticPr fontId="23" type="noConversion"/>
  </si>
  <si>
    <t>합계</t>
    <phoneticPr fontId="23" type="noConversion"/>
  </si>
  <si>
    <t>PLC 전원</t>
    <phoneticPr fontId="23" type="noConversion"/>
  </si>
  <si>
    <t>가동율1</t>
    <phoneticPr fontId="23" type="noConversion"/>
  </si>
  <si>
    <t>MC-130a DC24V</t>
    <phoneticPr fontId="23" type="noConversion"/>
  </si>
  <si>
    <t>MC</t>
    <phoneticPr fontId="23" type="noConversion"/>
  </si>
  <si>
    <t>기타제어</t>
    <phoneticPr fontId="23" type="noConversion"/>
  </si>
  <si>
    <t>GECD SYSTEM</t>
    <phoneticPr fontId="23" type="noConversion"/>
  </si>
  <si>
    <t>부하율</t>
    <phoneticPr fontId="23" type="noConversion"/>
  </si>
  <si>
    <t>ABS103C 125A</t>
    <phoneticPr fontId="23" type="noConversion"/>
  </si>
  <si>
    <t>125A</t>
    <phoneticPr fontId="23" type="noConversion"/>
  </si>
  <si>
    <t>차단기</t>
    <phoneticPr fontId="23" type="noConversion"/>
  </si>
  <si>
    <t>제어전원</t>
    <phoneticPr fontId="23" type="noConversion"/>
  </si>
  <si>
    <t>조명 Controller</t>
    <phoneticPr fontId="23" type="noConversion"/>
  </si>
  <si>
    <t>기타 축수</t>
    <phoneticPr fontId="23" type="noConversion"/>
  </si>
  <si>
    <t>100% NFB *1.25</t>
    <phoneticPr fontId="23" type="noConversion"/>
  </si>
  <si>
    <t>RT</t>
    <phoneticPr fontId="23" type="noConversion"/>
  </si>
  <si>
    <t>ST</t>
    <phoneticPr fontId="23" type="noConversion"/>
  </si>
  <si>
    <t>RS</t>
    <phoneticPr fontId="23" type="noConversion"/>
  </si>
  <si>
    <t>단상 제어상평형</t>
    <phoneticPr fontId="23" type="noConversion"/>
  </si>
  <si>
    <t>MCR PC</t>
    <phoneticPr fontId="23" type="noConversion"/>
  </si>
  <si>
    <t>반송부축수</t>
    <phoneticPr fontId="23" type="noConversion"/>
  </si>
  <si>
    <t>SMPS</t>
    <phoneticPr fontId="23" type="noConversion"/>
  </si>
  <si>
    <t>SCRIBE 축수</t>
    <phoneticPr fontId="23" type="noConversion"/>
  </si>
  <si>
    <t>UPS기타전원</t>
    <phoneticPr fontId="23" type="noConversion"/>
  </si>
  <si>
    <t>정격전류 합계[A]</t>
    <phoneticPr fontId="23" type="noConversion"/>
  </si>
  <si>
    <t>MONITOR</t>
    <phoneticPr fontId="23" type="noConversion"/>
  </si>
  <si>
    <t>TOTAL AXIS</t>
    <phoneticPr fontId="23" type="noConversion"/>
  </si>
  <si>
    <t>제어전원합계</t>
    <phoneticPr fontId="23" type="noConversion"/>
  </si>
  <si>
    <t>PC</t>
    <phoneticPr fontId="23" type="noConversion"/>
  </si>
  <si>
    <t>MODEL</t>
    <phoneticPr fontId="23" type="noConversion"/>
  </si>
  <si>
    <t>용량</t>
    <phoneticPr fontId="23" type="noConversion"/>
  </si>
  <si>
    <t>항목</t>
    <phoneticPr fontId="23" type="noConversion"/>
  </si>
  <si>
    <t>전류</t>
    <phoneticPr fontId="23" type="noConversion"/>
  </si>
  <si>
    <t>가동율 기준</t>
    <phoneticPr fontId="23" type="noConversion"/>
  </si>
  <si>
    <t>SERVO 제어전원</t>
    <phoneticPr fontId="23" type="noConversion"/>
  </si>
  <si>
    <t>MOTOR전원</t>
    <phoneticPr fontId="23" type="noConversion"/>
  </si>
  <si>
    <t>MOTOR</t>
    <phoneticPr fontId="23" type="noConversion"/>
  </si>
  <si>
    <t>전기사용량</t>
    <phoneticPr fontId="23" type="noConversion"/>
  </si>
  <si>
    <t>SGM7J-04A7A2C</t>
  </si>
  <si>
    <t>TR</t>
    <phoneticPr fontId="23" type="noConversion"/>
  </si>
  <si>
    <t>SGD7W-2R8A20A</t>
    <phoneticPr fontId="23" type="noConversion"/>
  </si>
  <si>
    <t>SC</t>
    <phoneticPr fontId="23" type="noConversion"/>
  </si>
  <si>
    <t>SGM7J-08A7A2C</t>
  </si>
  <si>
    <t>SGD7S-5R5A20A</t>
  </si>
  <si>
    <t>SGD7W-5R5A20A</t>
    <phoneticPr fontId="23" type="noConversion"/>
  </si>
  <si>
    <t>SGM7G-09A7D61</t>
  </si>
  <si>
    <t>SGD7W-7R6A20A</t>
  </si>
  <si>
    <t>SGM7J-08A7A21</t>
  </si>
  <si>
    <t>SGD7W-5R5A20A</t>
  </si>
  <si>
    <t>SGM7J-A5A7A21</t>
  </si>
  <si>
    <t>SGD7W-1R6A20A</t>
  </si>
  <si>
    <t>SGLFW-50A380BP</t>
  </si>
  <si>
    <t>SGD7S-120A20A</t>
  </si>
  <si>
    <t xml:space="preserve"> </t>
    <phoneticPr fontId="23" type="noConversion"/>
  </si>
  <si>
    <t>SGM7M-A3A3A21</t>
  </si>
  <si>
    <t>SGD7W-1R6A20A</t>
    <phoneticPr fontId="23" type="noConversion"/>
  </si>
  <si>
    <t>SGM7A-A5A7A21</t>
  </si>
  <si>
    <t>SGD7S-R70A20A</t>
  </si>
  <si>
    <t>SGM7A-A5A7A21</t>
    <phoneticPr fontId="23" type="noConversion"/>
  </si>
  <si>
    <t>SGD7S-R70A20A</t>
    <phoneticPr fontId="23" type="noConversion"/>
  </si>
  <si>
    <t>SGLGW-60A140C</t>
  </si>
  <si>
    <t>RE</t>
    <phoneticPr fontId="23" type="noConversion"/>
  </si>
  <si>
    <t>SGM7J-01A7A21</t>
  </si>
  <si>
    <t>ND400-70LSP (ABS)
NMR-SUEJA2A-182AP</t>
    <phoneticPr fontId="23" type="noConversion"/>
  </si>
  <si>
    <t>VPH 2.2KW (Mechatrolink3)
NCR-HE2222A-A-000</t>
    <phoneticPr fontId="23" type="noConversion"/>
  </si>
  <si>
    <t>SGD7S-7R6A20A</t>
  </si>
  <si>
    <t>SGM7J-08A7A2C</t>
    <phoneticPr fontId="23" type="noConversion"/>
  </si>
  <si>
    <t>SGD7W-7R6A20A</t>
    <phoneticPr fontId="23" type="noConversion"/>
  </si>
  <si>
    <t>ND400-95LSP (ABS) 
NMR-SUFJA2A-322AP</t>
    <phoneticPr fontId="23" type="noConversion"/>
  </si>
  <si>
    <t>VPH 3.3KW(Mechatrolink3)
NCR-HE2332A-A-000</t>
    <phoneticPr fontId="23" type="noConversion"/>
  </si>
  <si>
    <t>SGM7J-04A7A21</t>
    <phoneticPr fontId="23" type="noConversion"/>
  </si>
  <si>
    <t>SGD7S-2R8A20A</t>
    <phoneticPr fontId="23" type="noConversion"/>
  </si>
  <si>
    <t>SGM7G-13A7A21</t>
    <phoneticPr fontId="23" type="noConversion"/>
  </si>
  <si>
    <t>SGD7S-120A20A</t>
    <phoneticPr fontId="23" type="noConversion"/>
  </si>
  <si>
    <t>Encoder</t>
    <phoneticPr fontId="23" type="noConversion"/>
  </si>
  <si>
    <t>Power</t>
    <phoneticPr fontId="23" type="noConversion"/>
  </si>
  <si>
    <t>회선</t>
    <phoneticPr fontId="23" type="noConversion"/>
  </si>
  <si>
    <t>S2</t>
    <phoneticPr fontId="23" type="noConversion"/>
  </si>
  <si>
    <t>S1</t>
    <phoneticPr fontId="23" type="noConversion"/>
  </si>
  <si>
    <t>회생저항</t>
    <phoneticPr fontId="23" type="noConversion"/>
  </si>
  <si>
    <t>RESISTOR</t>
    <phoneticPr fontId="23" type="noConversion"/>
  </si>
  <si>
    <t>제어
전원
번호</t>
    <phoneticPr fontId="23" type="noConversion"/>
  </si>
  <si>
    <t>ELECTRONIC
BOX NO.</t>
    <phoneticPr fontId="23" type="noConversion"/>
  </si>
  <si>
    <t>Cable</t>
    <phoneticPr fontId="23" type="noConversion"/>
  </si>
  <si>
    <t>CB
[A]</t>
    <phoneticPr fontId="23" type="noConversion"/>
  </si>
  <si>
    <t>가동율적용
[A]</t>
    <phoneticPr fontId="23" type="noConversion"/>
  </si>
  <si>
    <t>Input
Current
[A]</t>
    <phoneticPr fontId="23" type="noConversion"/>
  </si>
  <si>
    <t>CONTROL
Power
[A]</t>
    <phoneticPr fontId="23" type="noConversion"/>
  </si>
  <si>
    <t>Watt</t>
    <phoneticPr fontId="23" type="noConversion"/>
  </si>
  <si>
    <t>MOTOR SUB</t>
    <phoneticPr fontId="23" type="noConversion"/>
  </si>
  <si>
    <t>SERVO PACK</t>
    <phoneticPr fontId="23" type="noConversion"/>
  </si>
  <si>
    <t>설정</t>
    <phoneticPr fontId="23" type="noConversion"/>
  </si>
  <si>
    <t>AXIS</t>
    <phoneticPr fontId="23" type="noConversion"/>
  </si>
  <si>
    <t>MOTOR TYPE</t>
    <phoneticPr fontId="23" type="noConversion"/>
  </si>
  <si>
    <t>DT</t>
    <phoneticPr fontId="23" type="noConversion"/>
  </si>
  <si>
    <t>DR</t>
    <phoneticPr fontId="23" type="noConversion"/>
  </si>
  <si>
    <t>PROCESS</t>
    <phoneticPr fontId="23" type="noConversion"/>
  </si>
  <si>
    <t>UPS1 SERVO AXIS LIST ( SCT )</t>
    <phoneticPr fontId="23" type="noConversion"/>
  </si>
  <si>
    <t>정격전류</t>
    <phoneticPr fontId="23" type="noConversion"/>
  </si>
  <si>
    <t>SERVO_CABLE</t>
    <phoneticPr fontId="23" type="noConversion"/>
  </si>
  <si>
    <t>SGM7G-09A7A61</t>
  </si>
  <si>
    <t>SGD7S-5R5A20A</t>
    <phoneticPr fontId="23" type="noConversion"/>
  </si>
  <si>
    <t>SGLFW-35A230AP</t>
  </si>
  <si>
    <t>SGD7S-1R6A20A</t>
  </si>
  <si>
    <t>SGD7W-2R8A20A</t>
  </si>
  <si>
    <t>SGD7S-2R8A20A</t>
  </si>
  <si>
    <t>RCCT Stick Transfer2 Z</t>
  </si>
  <si>
    <t>RCCT Stick Transfer2 X</t>
  </si>
  <si>
    <t>UPS3 SERVO AXIS LIST ( RCCT )</t>
    <phoneticPr fontId="23" type="noConversion"/>
  </si>
  <si>
    <t>UPS2 SERVO AXIS LIST ( LCCT )</t>
    <phoneticPr fontId="23" type="noConversion"/>
  </si>
  <si>
    <t>5. Gateway</t>
    <phoneticPr fontId="2" type="noConversion"/>
  </si>
  <si>
    <t>6. Direct IO</t>
    <phoneticPr fontId="2" type="noConversion"/>
  </si>
  <si>
    <t>5. Gateway</t>
    <phoneticPr fontId="2" type="noConversion"/>
  </si>
  <si>
    <t>6. Direct IO</t>
    <phoneticPr fontId="2" type="noConversion"/>
  </si>
  <si>
    <t>1 CH : Light Controller 2CH [RS232C]</t>
    <phoneticPr fontId="2" type="noConversion"/>
  </si>
  <si>
    <t>2 CH : Light Controller 2CH [RS232C]</t>
    <phoneticPr fontId="2" type="noConversion"/>
  </si>
  <si>
    <t>3 CH : Light Controller 2CH [RS232C]</t>
    <phoneticPr fontId="2" type="noConversion"/>
  </si>
  <si>
    <t>CP-118EL-A / RS232</t>
    <phoneticPr fontId="2" type="noConversion"/>
  </si>
  <si>
    <t>CP-116E-A  / RS232,485</t>
    <phoneticPr fontId="2" type="noConversion"/>
  </si>
  <si>
    <t>8 CH : Temp Sensor [RS485]</t>
    <phoneticPr fontId="2" type="noConversion"/>
  </si>
  <si>
    <t>5 CH : SMC09 [RS485]</t>
    <phoneticPr fontId="2" type="noConversion"/>
  </si>
  <si>
    <t>6 CH : Dust 02 [RS485] (온도계)</t>
    <phoneticPr fontId="2" type="noConversion"/>
  </si>
  <si>
    <t>8 CH : Dust 02 [RS485] (기판)</t>
    <phoneticPr fontId="2" type="noConversion"/>
  </si>
  <si>
    <t>7 CH : Dust 02 [RS485] (압력계)</t>
    <phoneticPr fontId="2" type="noConversion"/>
  </si>
  <si>
    <t>9 CH : SCT IONAZER #1 [RS485]</t>
    <phoneticPr fontId="2" type="noConversion"/>
  </si>
  <si>
    <t>10 CH : SCT IONAZER #2 [RS485]</t>
    <phoneticPr fontId="2" type="noConversion"/>
  </si>
  <si>
    <t>11 CH : SCT IONAZER #3 [RS485]</t>
    <phoneticPr fontId="2" type="noConversion"/>
  </si>
  <si>
    <t>12 CH : SCT IONAZER #4 [RS485]</t>
    <phoneticPr fontId="2" type="noConversion"/>
  </si>
  <si>
    <t>13 CH : SCT IONAZER #5 [RS485]</t>
    <phoneticPr fontId="2" type="noConversion"/>
  </si>
  <si>
    <t>14 CH : SCT IONAZER #6 [RS485]</t>
    <phoneticPr fontId="2" type="noConversion"/>
  </si>
  <si>
    <t>15 CH : SCT IONAZER #7 [RS485]</t>
    <phoneticPr fontId="2" type="noConversion"/>
  </si>
  <si>
    <t>9 CH : LCCT IONAZER #1 [RS485]</t>
    <phoneticPr fontId="2" type="noConversion"/>
  </si>
  <si>
    <t>10 CH : LCCT IONAZER #2 [RS485]</t>
    <phoneticPr fontId="2" type="noConversion"/>
  </si>
  <si>
    <t>11 CH : LCCT IONAZER #3 [RS485]</t>
    <phoneticPr fontId="2" type="noConversion"/>
  </si>
  <si>
    <t>12 CH : LCCT IONAZER #4 [RS485]</t>
    <phoneticPr fontId="2" type="noConversion"/>
  </si>
  <si>
    <t>13 CH : LCCT IONAZER #5 [RS485]</t>
    <phoneticPr fontId="2" type="noConversion"/>
  </si>
  <si>
    <t>14 CH : LCCT IONAZER #6 [RS485]</t>
    <phoneticPr fontId="2" type="noConversion"/>
  </si>
  <si>
    <t>15 CH : LCCT IONAZER #7 [RS485]</t>
    <phoneticPr fontId="2" type="noConversion"/>
  </si>
  <si>
    <t>16 CH : LCCT IONAZER #8 [RS485]</t>
    <phoneticPr fontId="2" type="noConversion"/>
  </si>
  <si>
    <t>1 CH : SMC10 [RS485]</t>
    <phoneticPr fontId="2" type="noConversion"/>
  </si>
  <si>
    <t>2 CH : SMC11 [RS485]</t>
    <phoneticPr fontId="2" type="noConversion"/>
  </si>
  <si>
    <t>3 CH : SMC12 [RS485]</t>
    <phoneticPr fontId="2" type="noConversion"/>
  </si>
  <si>
    <t>4 CH : SMC13 [RS485]</t>
    <phoneticPr fontId="2" type="noConversion"/>
  </si>
  <si>
    <t>5 CH : SMC14 [RS485]</t>
    <phoneticPr fontId="2" type="noConversion"/>
  </si>
  <si>
    <t>6 CH : Dust 03 [RS485] (온도계)</t>
    <phoneticPr fontId="2" type="noConversion"/>
  </si>
  <si>
    <t>7 CH : Dust 03 [RS485] (압력계)</t>
    <phoneticPr fontId="2" type="noConversion"/>
  </si>
  <si>
    <t>8 CH : Dust 03 [RS485] (기판)</t>
    <phoneticPr fontId="2" type="noConversion"/>
  </si>
  <si>
    <t>9 CH : RCCT IONAZER #1 [RS485]</t>
  </si>
  <si>
    <t>10 CH : RCCT IONAZER #2 [RS485]</t>
  </si>
  <si>
    <t>11 CH : RCCT IONAZER #3 [RS485]</t>
  </si>
  <si>
    <t>12 CH : RCCT IONAZER #4 [RS485]</t>
  </si>
  <si>
    <t>13 CH : RCCT IONAZER #5 [RS485]</t>
  </si>
  <si>
    <t>14 CH : RCCT IONAZER #6 [RS485]</t>
  </si>
  <si>
    <t>15 CH : RCCT IONAZER #7 [RS485]</t>
  </si>
  <si>
    <t>16 CH : RCCT IONAZER #8 [RS485]</t>
  </si>
  <si>
    <t>7. MP Link</t>
    <phoneticPr fontId="2" type="noConversion"/>
  </si>
  <si>
    <t>Port 3</t>
    <phoneticPr fontId="2" type="noConversion"/>
  </si>
  <si>
    <t>Accura Power Meter ( UPS1 )</t>
    <phoneticPr fontId="2" type="noConversion"/>
  </si>
  <si>
    <t>Accura Power Meter ( GPS )</t>
    <phoneticPr fontId="2" type="noConversion"/>
  </si>
  <si>
    <t>ESD SENSOR ( SCT )</t>
    <phoneticPr fontId="2" type="noConversion"/>
  </si>
  <si>
    <t>Accura Power Meter ( UPS2 )</t>
    <phoneticPr fontId="2" type="noConversion"/>
  </si>
  <si>
    <t>Accura Power Meter ( UPS3 )</t>
    <phoneticPr fontId="2" type="noConversion"/>
  </si>
  <si>
    <t>ESD SENSOR ( LCCT )</t>
    <phoneticPr fontId="2" type="noConversion"/>
  </si>
  <si>
    <t>ESD SENSOR ( RCCT )</t>
    <phoneticPr fontId="2" type="noConversion"/>
  </si>
  <si>
    <t>RCCT MP3200</t>
    <phoneticPr fontId="2" type="noConversion"/>
  </si>
  <si>
    <t>SCT MP3200</t>
    <phoneticPr fontId="2" type="noConversion"/>
  </si>
  <si>
    <t>HUB#1</t>
    <phoneticPr fontId="2" type="noConversion"/>
  </si>
  <si>
    <t>HUB#2</t>
    <phoneticPr fontId="2" type="noConversion"/>
  </si>
  <si>
    <t>JZSP-CF2M20-□-E</t>
  </si>
  <si>
    <t>SCT ESD SPARE</t>
    <phoneticPr fontId="2" type="noConversion"/>
  </si>
  <si>
    <t>UPS1 PM SPARE</t>
    <phoneticPr fontId="2" type="noConversion"/>
  </si>
  <si>
    <t>GPS PM SPARE</t>
    <phoneticPr fontId="2" type="noConversion"/>
  </si>
  <si>
    <t>LCCT ESD SPARE</t>
    <phoneticPr fontId="2" type="noConversion"/>
  </si>
  <si>
    <t>UPS2 PM SPARE</t>
    <phoneticPr fontId="2" type="noConversion"/>
  </si>
  <si>
    <t>RCCT ESD SPARE</t>
    <phoneticPr fontId="2" type="noConversion"/>
  </si>
  <si>
    <t>UPS3 PM SPARE</t>
    <phoneticPr fontId="2" type="noConversion"/>
  </si>
  <si>
    <t xml:space="preserve">5 CH : </t>
    <phoneticPr fontId="2" type="noConversion"/>
  </si>
  <si>
    <t>6 CH : Dust 01 [RS485] (온도계)</t>
    <phoneticPr fontId="2" type="noConversion"/>
  </si>
  <si>
    <t>7 CH : Dust 01 [RS485] (압력계)</t>
    <phoneticPr fontId="2" type="noConversion"/>
  </si>
  <si>
    <t>8 CH : Dust 01 [RS485] (기판)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</si>
</sst>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yyyy&quot;/&quot;m&quot;/&quot;d"/>
    <numFmt numFmtId="177" formatCode="yyyy&quot;/&quot;mm&quot;/&quot;dd"/>
    <numFmt numFmtId="178" formatCode="mm&quot;월&quot;\ dd&quot;일&quot;"/>
    <numFmt numFmtId="179" formatCode="&quot;DR&quot;####"/>
    <numFmt numFmtId="180" formatCode="\ 0;\-0;"/>
    <numFmt numFmtId="181" formatCode="0_ &quot;A&quot;"/>
    <numFmt numFmtId="182" formatCode="0.00_);[Red]\(0.00\)"/>
    <numFmt numFmtId="183" formatCode="0_);[Red]\(0\)"/>
    <numFmt numFmtId="184" formatCode="0.00_ "/>
    <numFmt numFmtId="185" formatCode="0.0_);[Red]\(0.0\)&quot;A&quot;"/>
    <numFmt numFmtId="186" formatCode="0.0_);[Red]\(0.0\)"/>
    <numFmt numFmtId="187" formatCode="0.0_ "/>
    <numFmt numFmtId="188" formatCode="&quot;x 가동율&quot;\ 0%\ &quot;[A]&quot;"/>
    <numFmt numFmtId="189" formatCode="General&quot;A&quot;"/>
    <numFmt numFmtId="190" formatCode="0.0_ &quot;A&quot;"/>
  </numFmts>
  <fonts count="44">
    <font>
      <sz val="11"/>
      <name val="ＭＳ Ｐゴシック"/>
      <family val="2"/>
      <charset val="128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6"/>
      <name val="ＭＳ Ｐゴシック"/>
      <family val="2"/>
      <charset val="128"/>
    </font>
    <font>
      <sz val="10"/>
      <name val="ＭＳ Ｐゴシック"/>
      <family val="2"/>
      <charset val="128"/>
    </font>
    <font>
      <b/>
      <sz val="20"/>
      <name val="ＭＳ Ｐゴシック"/>
      <family val="2"/>
      <charset val="128"/>
    </font>
    <font>
      <b/>
      <sz val="12"/>
      <name val="ＭＳ Ｐゴシック"/>
      <family val="2"/>
      <charset val="128"/>
    </font>
    <font>
      <b/>
      <sz val="11"/>
      <name val="BatangChe"/>
      <family val="1"/>
      <charset val="129"/>
    </font>
    <font>
      <b/>
      <sz val="11"/>
      <name val="MS UI Gothic"/>
      <family val="2"/>
      <charset val="128"/>
    </font>
    <font>
      <b/>
      <sz val="11"/>
      <name val="굴림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6"/>
      <color rgb="FFFF0000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11"/>
      <name val="Arial"/>
      <family val="2"/>
    </font>
    <font>
      <b/>
      <sz val="1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ＭＳ Ｐゴシック"/>
      <family val="2"/>
      <charset val="128"/>
    </font>
    <font>
      <sz val="8"/>
      <color theme="1"/>
      <name val="맑은 고딕"/>
      <family val="2"/>
      <charset val="129"/>
      <scheme val="minor"/>
    </font>
    <font>
      <sz val="8"/>
      <color theme="1" tint="4.9989318521683403E-2"/>
      <name val="Arial"/>
      <family val="2"/>
    </font>
    <font>
      <sz val="8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2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name val="Arial Unicode MS"/>
      <family val="2"/>
      <charset val="129"/>
    </font>
    <font>
      <sz val="8"/>
      <name val="Arial"/>
      <family val="2"/>
    </font>
    <font>
      <sz val="8"/>
      <color theme="4" tint="-0.499984740745262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sz val="8"/>
      <color rgb="FFFF0000"/>
      <name val="Arial"/>
      <family val="2"/>
    </font>
    <font>
      <sz val="8"/>
      <name val="Arial"/>
      <family val="3"/>
    </font>
    <font>
      <sz val="8"/>
      <color rgb="FFFF0000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b/>
      <sz val="32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8"/>
      <color theme="1"/>
      <name val="Arial"/>
      <family val="2"/>
    </font>
    <font>
      <sz val="11"/>
      <color rgb="FFFF0000"/>
      <name val="Arial"/>
      <family val="2"/>
    </font>
    <font>
      <sz val="9"/>
      <color rgb="FFFF0000"/>
      <name val="Arial"/>
      <family val="2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8"/>
      </bottom>
      <diagonal style="thin">
        <color indexed="64"/>
      </diagonal>
    </border>
    <border diagonalUp="1">
      <left/>
      <right/>
      <top/>
      <bottom style="thin">
        <color indexed="8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8"/>
      </bottom>
      <diagonal style="thin">
        <color indexed="64"/>
      </diagonal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36" fillId="0" borderId="0" applyNumberFormat="0" applyFill="0" applyBorder="0" applyAlignment="0" applyProtection="0">
      <alignment vertical="center"/>
    </xf>
  </cellStyleXfs>
  <cellXfs count="59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 wrapText="1" shrinkToFit="1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6" xfId="0" applyFont="1" applyBorder="1" applyAlignment="1" applyProtection="1">
      <alignment horizontal="center" vertical="center"/>
      <protection locked="0"/>
    </xf>
    <xf numFmtId="179" fontId="10" fillId="0" borderId="5" xfId="0" applyNumberFormat="1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/>
    </xf>
    <xf numFmtId="0" fontId="10" fillId="5" borderId="6" xfId="0" applyFont="1" applyFill="1" applyBorder="1" applyAlignment="1" applyProtection="1">
      <alignment horizontal="center" vertical="center"/>
      <protection locked="0"/>
    </xf>
    <xf numFmtId="179" fontId="10" fillId="5" borderId="5" xfId="0" applyNumberFormat="1" applyFont="1" applyFill="1" applyBorder="1" applyAlignment="1" applyProtection="1">
      <alignment horizontal="center" vertical="center"/>
      <protection locked="0"/>
    </xf>
    <xf numFmtId="0" fontId="10" fillId="5" borderId="47" xfId="0" applyFont="1" applyFill="1" applyBorder="1" applyAlignment="1">
      <alignment vertical="center"/>
    </xf>
    <xf numFmtId="0" fontId="10" fillId="0" borderId="47" xfId="0" applyFont="1" applyBorder="1" applyAlignment="1">
      <alignment horizontal="left" vertical="center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47" xfId="0" applyFont="1" applyBorder="1" applyAlignment="1" applyProtection="1">
      <alignment horizontal="left" vertical="center"/>
      <protection locked="0"/>
    </xf>
    <xf numFmtId="0" fontId="10" fillId="0" borderId="47" xfId="0" applyFont="1" applyBorder="1" applyAlignment="1" applyProtection="1">
      <alignment horizontal="center" vertical="center"/>
      <protection locked="0"/>
    </xf>
    <xf numFmtId="179" fontId="10" fillId="0" borderId="47" xfId="0" applyNumberFormat="1" applyFont="1" applyBorder="1" applyAlignment="1" applyProtection="1">
      <alignment horizontal="center" vertical="center"/>
      <protection locked="0"/>
    </xf>
    <xf numFmtId="0" fontId="10" fillId="0" borderId="47" xfId="0" applyFont="1" applyBorder="1" applyAlignment="1">
      <alignment vertical="center"/>
    </xf>
    <xf numFmtId="0" fontId="10" fillId="0" borderId="16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5" borderId="38" xfId="0" applyFont="1" applyFill="1" applyBorder="1" applyAlignment="1" applyProtection="1">
      <alignment horizontal="center" vertical="center"/>
      <protection locked="0"/>
    </xf>
    <xf numFmtId="0" fontId="10" fillId="5" borderId="47" xfId="0" applyFont="1" applyFill="1" applyBorder="1" applyAlignment="1" applyProtection="1">
      <alignment horizontal="center" vertical="center"/>
      <protection locked="0"/>
    </xf>
    <xf numFmtId="0" fontId="10" fillId="5" borderId="38" xfId="0" applyFont="1" applyFill="1" applyBorder="1" applyAlignment="1">
      <alignment horizontal="center" vertical="center"/>
    </xf>
    <xf numFmtId="0" fontId="10" fillId="5" borderId="16" xfId="0" applyFont="1" applyFill="1" applyBorder="1" applyAlignment="1" applyProtection="1">
      <alignment horizontal="center" vertical="center"/>
      <protection locked="0"/>
    </xf>
    <xf numFmtId="0" fontId="10" fillId="5" borderId="16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5" borderId="16" xfId="0" applyFont="1" applyFill="1" applyBorder="1" applyAlignment="1" applyProtection="1">
      <alignment horizontal="left" vertical="center"/>
      <protection locked="0"/>
    </xf>
    <xf numFmtId="179" fontId="10" fillId="5" borderId="47" xfId="0" applyNumberFormat="1" applyFont="1" applyFill="1" applyBorder="1" applyAlignment="1" applyProtection="1">
      <alignment horizontal="center" vertical="center"/>
      <protection locked="0"/>
    </xf>
    <xf numFmtId="0" fontId="10" fillId="5" borderId="38" xfId="0" applyFont="1" applyFill="1" applyBorder="1" applyAlignment="1">
      <alignment horizontal="center" vertical="center" textRotation="255"/>
    </xf>
    <xf numFmtId="177" fontId="10" fillId="5" borderId="38" xfId="0" applyNumberFormat="1" applyFont="1" applyFill="1" applyBorder="1" applyAlignment="1" applyProtection="1">
      <alignment horizontal="center" vertical="center" wrapText="1"/>
      <protection locked="0"/>
    </xf>
    <xf numFmtId="177" fontId="10" fillId="0" borderId="38" xfId="0" applyNumberFormat="1" applyFont="1" applyBorder="1" applyAlignment="1" applyProtection="1">
      <alignment horizontal="center" vertical="center" wrapText="1"/>
      <protection locked="0"/>
    </xf>
    <xf numFmtId="0" fontId="10" fillId="0" borderId="38" xfId="0" applyFont="1" applyBorder="1" applyAlignment="1">
      <alignment horizontal="center" vertical="center"/>
    </xf>
    <xf numFmtId="0" fontId="10" fillId="0" borderId="37" xfId="0" applyFont="1" applyBorder="1" applyAlignment="1" applyProtection="1">
      <alignment horizontal="center" vertical="center" wrapText="1"/>
      <protection locked="0"/>
    </xf>
    <xf numFmtId="0" fontId="11" fillId="0" borderId="47" xfId="0" applyFont="1" applyBorder="1" applyAlignment="1">
      <alignment vertical="center"/>
    </xf>
    <xf numFmtId="177" fontId="11" fillId="0" borderId="38" xfId="0" applyNumberFormat="1" applyFont="1" applyBorder="1" applyAlignment="1" applyProtection="1">
      <alignment horizontal="center" vertical="center" wrapText="1"/>
      <protection locked="0"/>
    </xf>
    <xf numFmtId="177" fontId="11" fillId="0" borderId="38" xfId="0" applyNumberFormat="1" applyFont="1" applyBorder="1" applyAlignment="1" applyProtection="1">
      <alignment horizontal="left" vertical="center" wrapText="1"/>
      <protection locked="0"/>
    </xf>
    <xf numFmtId="177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17" xfId="0" applyFont="1" applyBorder="1" applyAlignment="1" applyProtection="1">
      <alignment horizontal="center" vertical="center" wrapText="1"/>
      <protection locked="0"/>
    </xf>
    <xf numFmtId="0" fontId="10" fillId="0" borderId="15" xfId="0" applyFont="1" applyBorder="1" applyAlignment="1" applyProtection="1">
      <alignment horizontal="center" vertical="center" wrapText="1"/>
      <protection locked="0"/>
    </xf>
    <xf numFmtId="177" fontId="10" fillId="5" borderId="6" xfId="0" applyNumberFormat="1" applyFont="1" applyFill="1" applyBorder="1" applyAlignment="1" applyProtection="1">
      <alignment horizontal="center" vertical="center" wrapText="1"/>
      <protection locked="0"/>
    </xf>
    <xf numFmtId="177" fontId="12" fillId="5" borderId="3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38" xfId="0" applyFont="1" applyBorder="1" applyAlignment="1" applyProtection="1">
      <alignment horizontal="center" vertical="center"/>
      <protection locked="0"/>
    </xf>
    <xf numFmtId="0" fontId="10" fillId="5" borderId="5" xfId="0" applyFont="1" applyFill="1" applyBorder="1" applyAlignment="1" applyProtection="1">
      <alignment horizontal="center" vertical="center"/>
      <protection locked="0"/>
    </xf>
    <xf numFmtId="0" fontId="10" fillId="0" borderId="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2" xfId="0" applyFont="1" applyBorder="1" applyAlignment="1" applyProtection="1">
      <alignment horizontal="center" vertical="center"/>
      <protection locked="0"/>
    </xf>
    <xf numFmtId="177" fontId="10" fillId="0" borderId="41" xfId="0" applyNumberFormat="1" applyFont="1" applyBorder="1" applyAlignment="1" applyProtection="1">
      <alignment horizontal="center" vertical="center" wrapText="1"/>
      <protection locked="0"/>
    </xf>
    <xf numFmtId="0" fontId="10" fillId="0" borderId="37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5" borderId="47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5" borderId="58" xfId="0" applyFont="1" applyFill="1" applyBorder="1" applyAlignment="1" applyProtection="1">
      <alignment horizontal="center" vertical="center"/>
      <protection locked="0"/>
    </xf>
    <xf numFmtId="0" fontId="10" fillId="5" borderId="38" xfId="0" applyFont="1" applyFill="1" applyBorder="1" applyAlignment="1">
      <alignment horizontal="center" vertical="center" shrinkToFit="1"/>
    </xf>
    <xf numFmtId="180" fontId="10" fillId="5" borderId="38" xfId="0" applyNumberFormat="1" applyFont="1" applyFill="1" applyBorder="1" applyAlignment="1">
      <alignment horizontal="left" vertical="center" shrinkToFit="1"/>
    </xf>
    <xf numFmtId="0" fontId="10" fillId="0" borderId="31" xfId="0" applyFont="1" applyBorder="1" applyAlignment="1" applyProtection="1">
      <alignment horizontal="center" vertical="center"/>
      <protection locked="0"/>
    </xf>
    <xf numFmtId="177" fontId="10" fillId="0" borderId="10" xfId="0" applyNumberFormat="1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3" borderId="46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176" fontId="10" fillId="3" borderId="16" xfId="0" applyNumberFormat="1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58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176" fontId="10" fillId="3" borderId="10" xfId="0" applyNumberFormat="1" applyFont="1" applyFill="1" applyBorder="1" applyAlignment="1">
      <alignment horizontal="center" vertical="center" wrapText="1"/>
    </xf>
    <xf numFmtId="177" fontId="10" fillId="0" borderId="0" xfId="0" applyNumberFormat="1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44" xfId="0" applyFont="1" applyBorder="1" applyAlignment="1" applyProtection="1">
      <alignment horizontal="center" vertical="center"/>
      <protection locked="0"/>
    </xf>
    <xf numFmtId="0" fontId="10" fillId="0" borderId="42" xfId="0" applyFont="1" applyBorder="1" applyAlignment="1" applyProtection="1">
      <alignment horizontal="center" vertical="center"/>
      <protection locked="0"/>
    </xf>
    <xf numFmtId="0" fontId="12" fillId="0" borderId="42" xfId="0" applyFont="1" applyBorder="1" applyAlignment="1" applyProtection="1">
      <alignment horizontal="center" vertical="center"/>
      <protection locked="0"/>
    </xf>
    <xf numFmtId="0" fontId="10" fillId="0" borderId="43" xfId="0" applyFont="1" applyBorder="1" applyAlignment="1">
      <alignment horizontal="center" vertical="center"/>
    </xf>
    <xf numFmtId="0" fontId="10" fillId="0" borderId="43" xfId="0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11" xfId="0" applyFont="1" applyBorder="1" applyAlignment="1" applyProtection="1">
      <alignment horizontal="center" vertical="center"/>
      <protection locked="0"/>
    </xf>
    <xf numFmtId="177" fontId="10" fillId="0" borderId="11" xfId="0" applyNumberFormat="1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vertical="center"/>
    </xf>
    <xf numFmtId="0" fontId="10" fillId="0" borderId="47" xfId="0" applyFont="1" applyBorder="1" applyAlignment="1" applyProtection="1">
      <alignment vertical="center"/>
      <protection locked="0"/>
    </xf>
    <xf numFmtId="0" fontId="15" fillId="5" borderId="47" xfId="0" applyFont="1" applyFill="1" applyBorder="1" applyAlignment="1" applyProtection="1">
      <alignment horizontal="center" vertical="center"/>
      <protection locked="0"/>
    </xf>
    <xf numFmtId="178" fontId="11" fillId="0" borderId="47" xfId="0" applyNumberFormat="1" applyFont="1" applyBorder="1" applyAlignment="1" applyProtection="1">
      <alignment horizontal="center" vertical="center"/>
      <protection locked="0"/>
    </xf>
    <xf numFmtId="0" fontId="15" fillId="0" borderId="47" xfId="0" applyFont="1" applyBorder="1" applyAlignment="1" applyProtection="1">
      <alignment horizontal="center" vertical="center"/>
      <protection locked="0"/>
    </xf>
    <xf numFmtId="177" fontId="10" fillId="5" borderId="47" xfId="0" applyNumberFormat="1" applyFont="1" applyFill="1" applyBorder="1" applyAlignment="1" applyProtection="1">
      <alignment horizontal="center" vertical="center" wrapText="1"/>
      <protection locked="0"/>
    </xf>
    <xf numFmtId="177" fontId="10" fillId="0" borderId="47" xfId="0" applyNumberFormat="1" applyFont="1" applyBorder="1" applyAlignment="1" applyProtection="1">
      <alignment horizontal="center" vertical="center" wrapText="1"/>
      <protection locked="0"/>
    </xf>
    <xf numFmtId="177" fontId="11" fillId="0" borderId="47" xfId="0" applyNumberFormat="1" applyFont="1" applyBorder="1" applyAlignment="1" applyProtection="1">
      <alignment horizontal="center" vertical="center" wrapText="1"/>
      <protection locked="0"/>
    </xf>
    <xf numFmtId="178" fontId="11" fillId="0" borderId="16" xfId="0" applyNumberFormat="1" applyFont="1" applyBorder="1" applyAlignment="1" applyProtection="1">
      <alignment horizontal="center" vertical="center"/>
      <protection locked="0"/>
    </xf>
    <xf numFmtId="0" fontId="10" fillId="5" borderId="46" xfId="0" applyFont="1" applyFill="1" applyBorder="1" applyAlignment="1" applyProtection="1">
      <alignment horizontal="center" vertical="center"/>
      <protection locked="0"/>
    </xf>
    <xf numFmtId="0" fontId="10" fillId="5" borderId="46" xfId="0" applyFont="1" applyFill="1" applyBorder="1" applyAlignment="1" applyProtection="1">
      <alignment vertical="center"/>
      <protection locked="0"/>
    </xf>
    <xf numFmtId="0" fontId="10" fillId="0" borderId="46" xfId="0" applyFont="1" applyBorder="1" applyAlignment="1" applyProtection="1">
      <alignment horizontal="center" vertical="center"/>
      <protection locked="0"/>
    </xf>
    <xf numFmtId="0" fontId="10" fillId="0" borderId="46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5" borderId="47" xfId="0" applyFont="1" applyFill="1" applyBorder="1" applyAlignment="1" applyProtection="1">
      <alignment vertical="center"/>
      <protection locked="0"/>
    </xf>
    <xf numFmtId="0" fontId="10" fillId="0" borderId="41" xfId="0" applyFont="1" applyBorder="1" applyAlignment="1" applyProtection="1">
      <alignment horizontal="left" vertical="center"/>
      <protection locked="0"/>
    </xf>
    <xf numFmtId="177" fontId="10" fillId="0" borderId="46" xfId="0" applyNumberFormat="1" applyFont="1" applyBorder="1" applyAlignment="1" applyProtection="1">
      <alignment horizontal="center" vertical="center" wrapText="1"/>
      <protection locked="0"/>
    </xf>
    <xf numFmtId="0" fontId="15" fillId="0" borderId="47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6" xfId="0" applyFont="1" applyBorder="1" applyAlignment="1" applyProtection="1">
      <alignment horizontal="center" vertical="center"/>
      <protection locked="0"/>
    </xf>
    <xf numFmtId="0" fontId="15" fillId="5" borderId="47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vertical="center"/>
    </xf>
    <xf numFmtId="0" fontId="10" fillId="5" borderId="6" xfId="0" applyFont="1" applyFill="1" applyBorder="1" applyAlignment="1" applyProtection="1">
      <alignment horizontal="left" vertical="center"/>
      <protection locked="0"/>
    </xf>
    <xf numFmtId="0" fontId="16" fillId="2" borderId="1" xfId="0" applyFont="1" applyFill="1" applyBorder="1"/>
    <xf numFmtId="0" fontId="10" fillId="2" borderId="1" xfId="0" applyFont="1" applyFill="1" applyBorder="1"/>
    <xf numFmtId="0" fontId="10" fillId="4" borderId="0" xfId="0" applyFont="1" applyFill="1"/>
    <xf numFmtId="0" fontId="10" fillId="4" borderId="0" xfId="0" applyFont="1" applyFill="1" applyAlignment="1">
      <alignment vertical="center"/>
    </xf>
    <xf numFmtId="0" fontId="10" fillId="2" borderId="2" xfId="0" applyFont="1" applyFill="1" applyBorder="1"/>
    <xf numFmtId="0" fontId="10" fillId="2" borderId="3" xfId="0" applyFont="1" applyFill="1" applyBorder="1"/>
    <xf numFmtId="0" fontId="10" fillId="2" borderId="0" xfId="0" applyFont="1" applyFill="1"/>
    <xf numFmtId="0" fontId="10" fillId="4" borderId="8" xfId="0" applyFont="1" applyFill="1" applyBorder="1"/>
    <xf numFmtId="0" fontId="10" fillId="4" borderId="14" xfId="0" applyFont="1" applyFill="1" applyBorder="1"/>
    <xf numFmtId="0" fontId="10" fillId="4" borderId="6" xfId="0" applyFont="1" applyFill="1" applyBorder="1"/>
    <xf numFmtId="0" fontId="18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9" fillId="2" borderId="0" xfId="0" applyFont="1" applyFill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49" fontId="10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/>
    </xf>
    <xf numFmtId="0" fontId="10" fillId="0" borderId="64" xfId="0" applyFont="1" applyBorder="1" applyAlignment="1">
      <alignment vertical="center"/>
    </xf>
    <xf numFmtId="179" fontId="10" fillId="5" borderId="34" xfId="0" applyNumberFormat="1" applyFont="1" applyFill="1" applyBorder="1" applyAlignment="1" applyProtection="1">
      <alignment horizontal="center" vertical="center"/>
      <protection locked="0"/>
    </xf>
    <xf numFmtId="0" fontId="10" fillId="0" borderId="65" xfId="0" applyFont="1" applyBorder="1" applyAlignment="1" applyProtection="1">
      <alignment horizontal="center" vertical="center"/>
      <protection locked="0"/>
    </xf>
    <xf numFmtId="0" fontId="10" fillId="5" borderId="60" xfId="0" applyFont="1" applyFill="1" applyBorder="1" applyAlignment="1" applyProtection="1">
      <alignment horizontal="left" vertical="center"/>
      <protection locked="0"/>
    </xf>
    <xf numFmtId="177" fontId="10" fillId="5" borderId="16" xfId="0" applyNumberFormat="1" applyFont="1" applyFill="1" applyBorder="1" applyAlignment="1" applyProtection="1">
      <alignment horizontal="center" vertical="center" wrapText="1"/>
      <protection locked="0"/>
    </xf>
    <xf numFmtId="0" fontId="10" fillId="5" borderId="41" xfId="0" applyFont="1" applyFill="1" applyBorder="1" applyAlignment="1" applyProtection="1">
      <alignment horizontal="left" vertical="center"/>
      <protection locked="0"/>
    </xf>
    <xf numFmtId="0" fontId="10" fillId="5" borderId="34" xfId="0" applyFont="1" applyFill="1" applyBorder="1" applyAlignment="1" applyProtection="1">
      <alignment horizontal="center" vertical="center"/>
      <protection locked="0"/>
    </xf>
    <xf numFmtId="0" fontId="10" fillId="0" borderId="40" xfId="0" applyFont="1" applyBorder="1" applyAlignment="1">
      <alignment vertical="center"/>
    </xf>
    <xf numFmtId="0" fontId="10" fillId="0" borderId="44" xfId="0" applyFont="1" applyBorder="1" applyAlignment="1">
      <alignment horizontal="left" vertical="center"/>
    </xf>
    <xf numFmtId="0" fontId="10" fillId="0" borderId="66" xfId="0" applyFont="1" applyBorder="1" applyAlignment="1">
      <alignment vertical="center"/>
    </xf>
    <xf numFmtId="0" fontId="10" fillId="0" borderId="64" xfId="0" applyFont="1" applyBorder="1" applyAlignment="1">
      <alignment horizontal="center" vertical="center"/>
    </xf>
    <xf numFmtId="0" fontId="10" fillId="0" borderId="67" xfId="0" applyFont="1" applyBorder="1" applyAlignment="1">
      <alignment vertical="center"/>
    </xf>
    <xf numFmtId="0" fontId="10" fillId="0" borderId="18" xfId="0" applyFont="1" applyBorder="1" applyAlignment="1" applyProtection="1">
      <alignment horizontal="center" vertical="center" wrapText="1"/>
      <protection locked="0"/>
    </xf>
    <xf numFmtId="0" fontId="10" fillId="5" borderId="69" xfId="0" applyFont="1" applyFill="1" applyBorder="1" applyAlignment="1">
      <alignment horizontal="center" vertical="center" textRotation="255"/>
    </xf>
    <xf numFmtId="0" fontId="10" fillId="0" borderId="69" xfId="0" applyFont="1" applyBorder="1" applyAlignment="1" applyProtection="1">
      <alignment horizontal="center" vertical="center"/>
      <protection locked="0"/>
    </xf>
    <xf numFmtId="179" fontId="10" fillId="0" borderId="69" xfId="0" applyNumberFormat="1" applyFont="1" applyBorder="1" applyAlignment="1" applyProtection="1">
      <alignment horizontal="center" vertical="center"/>
      <protection locked="0"/>
    </xf>
    <xf numFmtId="0" fontId="10" fillId="0" borderId="69" xfId="0" applyFont="1" applyBorder="1" applyAlignment="1" applyProtection="1">
      <alignment horizontal="left" vertical="center"/>
      <protection locked="0"/>
    </xf>
    <xf numFmtId="0" fontId="15" fillId="0" borderId="69" xfId="0" applyFont="1" applyBorder="1" applyAlignment="1" applyProtection="1">
      <alignment horizontal="center" vertical="center"/>
      <protection locked="0"/>
    </xf>
    <xf numFmtId="178" fontId="11" fillId="0" borderId="69" xfId="0" applyNumberFormat="1" applyFont="1" applyBorder="1" applyAlignment="1" applyProtection="1">
      <alignment horizontal="center" vertical="center"/>
      <protection locked="0"/>
    </xf>
    <xf numFmtId="177" fontId="10" fillId="5" borderId="69" xfId="0" applyNumberFormat="1" applyFont="1" applyFill="1" applyBorder="1" applyAlignment="1" applyProtection="1">
      <alignment horizontal="center" vertical="center" wrapText="1"/>
      <protection locked="0"/>
    </xf>
    <xf numFmtId="0" fontId="10" fillId="5" borderId="69" xfId="0" applyFont="1" applyFill="1" applyBorder="1" applyAlignment="1">
      <alignment horizontal="center" vertical="center"/>
    </xf>
    <xf numFmtId="177" fontId="10" fillId="0" borderId="69" xfId="0" applyNumberFormat="1" applyFont="1" applyBorder="1" applyAlignment="1" applyProtection="1">
      <alignment horizontal="center" vertical="center" wrapText="1"/>
      <protection locked="0"/>
    </xf>
    <xf numFmtId="0" fontId="10" fillId="0" borderId="69" xfId="0" applyFont="1" applyBorder="1" applyAlignment="1">
      <alignment horizontal="center" vertical="center"/>
    </xf>
    <xf numFmtId="0" fontId="10" fillId="0" borderId="70" xfId="0" applyFont="1" applyBorder="1" applyAlignment="1">
      <alignment horizontal="left" vertical="center"/>
    </xf>
    <xf numFmtId="0" fontId="10" fillId="0" borderId="64" xfId="0" applyFont="1" applyBorder="1" applyAlignment="1" applyProtection="1">
      <alignment horizontal="center" vertical="center"/>
      <protection locked="0"/>
    </xf>
    <xf numFmtId="177" fontId="10" fillId="0" borderId="64" xfId="0" applyNumberFormat="1" applyFont="1" applyBorder="1" applyAlignment="1" applyProtection="1">
      <alignment horizontal="center" vertical="center" wrapText="1"/>
      <protection locked="0"/>
    </xf>
    <xf numFmtId="0" fontId="10" fillId="0" borderId="64" xfId="0" applyFont="1" applyBorder="1" applyAlignment="1" applyProtection="1">
      <alignment horizontal="center" vertical="center" wrapText="1"/>
      <protection locked="0"/>
    </xf>
    <xf numFmtId="0" fontId="10" fillId="0" borderId="67" xfId="0" applyFont="1" applyBorder="1" applyAlignment="1" applyProtection="1">
      <alignment horizontal="center" vertical="center" wrapText="1"/>
      <protection locked="0"/>
    </xf>
    <xf numFmtId="0" fontId="10" fillId="5" borderId="69" xfId="0" applyFont="1" applyFill="1" applyBorder="1" applyAlignment="1" applyProtection="1">
      <alignment horizontal="center" vertical="center"/>
      <protection locked="0"/>
    </xf>
    <xf numFmtId="179" fontId="10" fillId="0" borderId="16" xfId="0" applyNumberFormat="1" applyFont="1" applyBorder="1" applyAlignment="1" applyProtection="1">
      <alignment horizontal="center" vertical="center"/>
      <protection locked="0"/>
    </xf>
    <xf numFmtId="0" fontId="10" fillId="5" borderId="10" xfId="0" applyFont="1" applyFill="1" applyBorder="1" applyAlignment="1" applyProtection="1">
      <alignment horizontal="left" vertical="center"/>
      <protection locked="0"/>
    </xf>
    <xf numFmtId="0" fontId="10" fillId="5" borderId="41" xfId="0" applyFont="1" applyFill="1" applyBorder="1" applyAlignment="1">
      <alignment vertical="center"/>
    </xf>
    <xf numFmtId="0" fontId="10" fillId="0" borderId="71" xfId="0" applyFont="1" applyBorder="1" applyAlignment="1" applyProtection="1">
      <alignment horizontal="center" vertical="center"/>
      <protection locked="0"/>
    </xf>
    <xf numFmtId="177" fontId="10" fillId="0" borderId="6" xfId="0" applyNumberFormat="1" applyFont="1" applyBorder="1" applyAlignment="1" applyProtection="1">
      <alignment horizontal="center" vertical="center" wrapText="1"/>
      <protection locked="0"/>
    </xf>
    <xf numFmtId="177" fontId="12" fillId="0" borderId="41" xfId="0" applyNumberFormat="1" applyFont="1" applyBorder="1" applyAlignment="1" applyProtection="1">
      <alignment horizontal="center" vertical="center" wrapText="1"/>
      <protection locked="0"/>
    </xf>
    <xf numFmtId="0" fontId="10" fillId="0" borderId="41" xfId="0" applyFont="1" applyBorder="1" applyAlignment="1" applyProtection="1">
      <alignment horizontal="center" vertical="center"/>
      <protection locked="0"/>
    </xf>
    <xf numFmtId="0" fontId="10" fillId="0" borderId="47" xfId="0" applyFont="1" applyBorder="1" applyAlignment="1" applyProtection="1">
      <alignment horizontal="left" vertical="center" wrapText="1"/>
      <protection locked="0"/>
    </xf>
    <xf numFmtId="177" fontId="12" fillId="5" borderId="47" xfId="0" applyNumberFormat="1" applyFont="1" applyFill="1" applyBorder="1" applyAlignment="1" applyProtection="1">
      <alignment horizontal="center" vertical="center" wrapText="1"/>
      <protection locked="0"/>
    </xf>
    <xf numFmtId="0" fontId="10" fillId="5" borderId="47" xfId="0" applyFont="1" applyFill="1" applyBorder="1" applyAlignment="1">
      <alignment horizontal="left" vertical="center"/>
    </xf>
    <xf numFmtId="0" fontId="10" fillId="5" borderId="5" xfId="0" applyFont="1" applyFill="1" applyBorder="1" applyAlignment="1" applyProtection="1">
      <alignment horizontal="left" vertical="center" wrapText="1"/>
      <protection locked="0"/>
    </xf>
    <xf numFmtId="0" fontId="10" fillId="5" borderId="38" xfId="0" applyFont="1" applyFill="1" applyBorder="1" applyAlignment="1">
      <alignment horizontal="left" vertical="center"/>
    </xf>
    <xf numFmtId="0" fontId="10" fillId="5" borderId="5" xfId="0" applyFont="1" applyFill="1" applyBorder="1" applyAlignment="1" applyProtection="1">
      <alignment vertical="center" wrapText="1"/>
      <protection locked="0"/>
    </xf>
    <xf numFmtId="0" fontId="10" fillId="5" borderId="38" xfId="0" applyFont="1" applyFill="1" applyBorder="1" applyAlignment="1">
      <alignment vertical="center"/>
    </xf>
    <xf numFmtId="0" fontId="10" fillId="5" borderId="38" xfId="0" applyFont="1" applyFill="1" applyBorder="1" applyAlignment="1" applyProtection="1">
      <alignment vertical="center"/>
      <protection locked="0"/>
    </xf>
    <xf numFmtId="0" fontId="10" fillId="0" borderId="38" xfId="0" applyFont="1" applyBorder="1" applyAlignment="1">
      <alignment vertical="center"/>
    </xf>
    <xf numFmtId="0" fontId="10" fillId="5" borderId="38" xfId="0" applyFont="1" applyFill="1" applyBorder="1" applyAlignment="1" applyProtection="1">
      <alignment horizontal="left" vertical="center"/>
      <protection locked="0"/>
    </xf>
    <xf numFmtId="0" fontId="10" fillId="0" borderId="38" xfId="0" applyFont="1" applyBorder="1" applyAlignment="1">
      <alignment horizontal="left" vertical="center"/>
    </xf>
    <xf numFmtId="0" fontId="10" fillId="0" borderId="38" xfId="0" applyFont="1" applyBorder="1" applyAlignment="1" applyProtection="1">
      <alignment horizontal="left" vertical="center"/>
      <protection locked="0"/>
    </xf>
    <xf numFmtId="0" fontId="10" fillId="5" borderId="69" xfId="0" applyFont="1" applyFill="1" applyBorder="1" applyAlignment="1" applyProtection="1">
      <alignment horizontal="left" vertical="center" wrapText="1"/>
      <protection locked="0"/>
    </xf>
    <xf numFmtId="180" fontId="10" fillId="5" borderId="47" xfId="0" applyNumberFormat="1" applyFont="1" applyFill="1" applyBorder="1" applyAlignment="1">
      <alignment horizontal="left" vertical="center" shrinkToFit="1"/>
    </xf>
    <xf numFmtId="0" fontId="10" fillId="5" borderId="47" xfId="0" applyFont="1" applyFill="1" applyBorder="1" applyAlignment="1" applyProtection="1">
      <alignment horizontal="left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179" fontId="12" fillId="0" borderId="69" xfId="0" applyNumberFormat="1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left" vertical="center"/>
      <protection locked="0"/>
    </xf>
    <xf numFmtId="0" fontId="21" fillId="0" borderId="0" xfId="1" applyFont="1" applyProtection="1">
      <alignment vertical="center"/>
      <protection locked="0" hidden="1"/>
    </xf>
    <xf numFmtId="181" fontId="21" fillId="0" borderId="0" xfId="1" applyNumberFormat="1" applyFont="1" applyAlignment="1" applyProtection="1">
      <alignment horizontal="center" vertical="center"/>
      <protection locked="0" hidden="1"/>
    </xf>
    <xf numFmtId="182" fontId="21" fillId="0" borderId="0" xfId="1" applyNumberFormat="1" applyFont="1" applyProtection="1">
      <alignment vertical="center"/>
      <protection locked="0" hidden="1"/>
    </xf>
    <xf numFmtId="0" fontId="21" fillId="0" borderId="0" xfId="1" applyFont="1" applyAlignment="1" applyProtection="1">
      <alignment horizontal="center" vertical="center"/>
      <protection locked="0" hidden="1"/>
    </xf>
    <xf numFmtId="183" fontId="21" fillId="0" borderId="0" xfId="1" applyNumberFormat="1" applyFont="1" applyAlignment="1" applyProtection="1">
      <alignment horizontal="center" vertical="center"/>
      <protection locked="0" hidden="1"/>
    </xf>
    <xf numFmtId="184" fontId="21" fillId="0" borderId="0" xfId="1" applyNumberFormat="1" applyFont="1" applyAlignment="1" applyProtection="1">
      <alignment horizontal="center" vertical="center"/>
      <protection locked="0" hidden="1"/>
    </xf>
    <xf numFmtId="0" fontId="21" fillId="6" borderId="0" xfId="1" applyFont="1" applyFill="1" applyAlignment="1" applyProtection="1">
      <alignment horizontal="center" vertical="center"/>
      <protection locked="0" hidden="1"/>
    </xf>
    <xf numFmtId="0" fontId="22" fillId="6" borderId="0" xfId="2" applyFont="1" applyFill="1" applyAlignment="1" applyProtection="1">
      <alignment horizontal="center" vertical="center" shrinkToFit="1"/>
      <protection locked="0" hidden="1"/>
    </xf>
    <xf numFmtId="0" fontId="22" fillId="6" borderId="69" xfId="2" applyFont="1" applyFill="1" applyBorder="1" applyAlignment="1" applyProtection="1">
      <alignment horizontal="center" vertical="center" shrinkToFit="1"/>
      <protection locked="0" hidden="1"/>
    </xf>
    <xf numFmtId="0" fontId="1" fillId="0" borderId="0" xfId="1" applyProtection="1">
      <alignment vertical="center"/>
      <protection locked="0" hidden="1"/>
    </xf>
    <xf numFmtId="0" fontId="21" fillId="0" borderId="16" xfId="1" applyFont="1" applyBorder="1" applyAlignment="1" applyProtection="1">
      <alignment horizontal="center" vertical="center"/>
      <protection locked="0" hidden="1"/>
    </xf>
    <xf numFmtId="0" fontId="21" fillId="6" borderId="16" xfId="1" applyFont="1" applyFill="1" applyBorder="1" applyAlignment="1" applyProtection="1">
      <alignment horizontal="center" vertical="center"/>
      <protection locked="0" hidden="1"/>
    </xf>
    <xf numFmtId="185" fontId="21" fillId="8" borderId="17" xfId="1" applyNumberFormat="1" applyFont="1" applyFill="1" applyBorder="1" applyAlignment="1" applyProtection="1">
      <alignment horizontal="center" vertical="center"/>
      <protection locked="0" hidden="1"/>
    </xf>
    <xf numFmtId="0" fontId="21" fillId="8" borderId="16" xfId="1" applyFont="1" applyFill="1" applyBorder="1" applyAlignment="1" applyProtection="1">
      <alignment horizontal="center" vertical="center"/>
      <protection locked="0" hidden="1"/>
    </xf>
    <xf numFmtId="0" fontId="24" fillId="8" borderId="16" xfId="1" applyFont="1" applyFill="1" applyBorder="1" applyAlignment="1" applyProtection="1">
      <alignment horizontal="center" vertical="center"/>
      <protection locked="0" hidden="1"/>
    </xf>
    <xf numFmtId="9" fontId="25" fillId="0" borderId="16" xfId="1" applyNumberFormat="1" applyFont="1" applyBorder="1" applyAlignment="1" applyProtection="1">
      <alignment horizontal="center" vertical="center"/>
      <protection locked="0" hidden="1"/>
    </xf>
    <xf numFmtId="0" fontId="21" fillId="9" borderId="21" xfId="1" applyFont="1" applyFill="1" applyBorder="1" applyAlignment="1" applyProtection="1">
      <alignment horizontal="center" vertical="center"/>
      <protection locked="0" hidden="1"/>
    </xf>
    <xf numFmtId="0" fontId="21" fillId="0" borderId="16" xfId="1" applyFont="1" applyBorder="1" applyProtection="1">
      <alignment vertical="center"/>
      <protection locked="0" hidden="1"/>
    </xf>
    <xf numFmtId="0" fontId="26" fillId="0" borderId="47" xfId="1" applyFont="1" applyBorder="1" applyAlignment="1" applyProtection="1">
      <alignment horizontal="center" vertical="center"/>
      <protection locked="0" hidden="1"/>
    </xf>
    <xf numFmtId="0" fontId="21" fillId="10" borderId="21" xfId="1" applyFont="1" applyFill="1" applyBorder="1" applyAlignment="1" applyProtection="1">
      <alignment horizontal="center" vertical="center"/>
      <protection locked="0" hidden="1"/>
    </xf>
    <xf numFmtId="186" fontId="21" fillId="11" borderId="37" xfId="1" applyNumberFormat="1" applyFont="1" applyFill="1" applyBorder="1" applyAlignment="1" applyProtection="1">
      <alignment horizontal="center" vertical="center"/>
      <protection locked="0" hidden="1"/>
    </xf>
    <xf numFmtId="186" fontId="21" fillId="11" borderId="47" xfId="1" applyNumberFormat="1" applyFont="1" applyFill="1" applyBorder="1" applyAlignment="1" applyProtection="1">
      <alignment horizontal="center" vertical="center"/>
      <protection locked="0" hidden="1"/>
    </xf>
    <xf numFmtId="0" fontId="21" fillId="6" borderId="47" xfId="1" applyFont="1" applyFill="1" applyBorder="1" applyAlignment="1" applyProtection="1">
      <alignment horizontal="center" vertical="center"/>
      <protection locked="0" hidden="1"/>
    </xf>
    <xf numFmtId="185" fontId="21" fillId="8" borderId="37" xfId="1" applyNumberFormat="1" applyFont="1" applyFill="1" applyBorder="1" applyAlignment="1" applyProtection="1">
      <alignment horizontal="center" vertical="center"/>
      <protection locked="0" hidden="1"/>
    </xf>
    <xf numFmtId="0" fontId="21" fillId="8" borderId="47" xfId="1" applyFont="1" applyFill="1" applyBorder="1" applyAlignment="1" applyProtection="1">
      <alignment horizontal="center" vertical="center"/>
      <protection locked="0" hidden="1"/>
    </xf>
    <xf numFmtId="0" fontId="24" fillId="8" borderId="47" xfId="1" applyFont="1" applyFill="1" applyBorder="1" applyAlignment="1" applyProtection="1">
      <alignment horizontal="center" vertical="center"/>
      <protection locked="0" hidden="1"/>
    </xf>
    <xf numFmtId="9" fontId="21" fillId="0" borderId="47" xfId="1" applyNumberFormat="1" applyFont="1" applyBorder="1" applyAlignment="1" applyProtection="1">
      <alignment horizontal="center" vertical="center"/>
      <protection locked="0" hidden="1"/>
    </xf>
    <xf numFmtId="0" fontId="21" fillId="9" borderId="20" xfId="1" applyFont="1" applyFill="1" applyBorder="1" applyAlignment="1" applyProtection="1">
      <alignment horizontal="center" vertical="center"/>
      <protection locked="0" hidden="1"/>
    </xf>
    <xf numFmtId="182" fontId="21" fillId="0" borderId="0" xfId="1" applyNumberFormat="1" applyFont="1" applyAlignment="1" applyProtection="1">
      <alignment horizontal="center" vertical="center"/>
      <protection locked="0" hidden="1"/>
    </xf>
    <xf numFmtId="0" fontId="21" fillId="0" borderId="47" xfId="1" applyFont="1" applyBorder="1" applyAlignment="1" applyProtection="1">
      <alignment horizontal="center" vertical="center"/>
      <protection locked="0" hidden="1"/>
    </xf>
    <xf numFmtId="0" fontId="26" fillId="0" borderId="0" xfId="1" applyFont="1" applyAlignment="1" applyProtection="1">
      <alignment horizontal="center" vertical="center"/>
      <protection locked="0" hidden="1"/>
    </xf>
    <xf numFmtId="0" fontId="21" fillId="10" borderId="20" xfId="1" applyFont="1" applyFill="1" applyBorder="1" applyAlignment="1" applyProtection="1">
      <alignment horizontal="center" vertical="center"/>
      <protection locked="0" hidden="1"/>
    </xf>
    <xf numFmtId="184" fontId="21" fillId="0" borderId="37" xfId="1" applyNumberFormat="1" applyFont="1" applyBorder="1" applyAlignment="1" applyProtection="1">
      <alignment horizontal="center" vertical="center"/>
      <protection locked="0" hidden="1"/>
    </xf>
    <xf numFmtId="186" fontId="21" fillId="0" borderId="37" xfId="1" applyNumberFormat="1" applyFont="1" applyBorder="1" applyAlignment="1" applyProtection="1">
      <alignment horizontal="center" vertical="center"/>
      <protection locked="0" hidden="1"/>
    </xf>
    <xf numFmtId="186" fontId="21" fillId="0" borderId="47" xfId="1" applyNumberFormat="1" applyFont="1" applyBorder="1" applyAlignment="1" applyProtection="1">
      <alignment horizontal="center" vertical="center"/>
      <protection locked="0" hidden="1"/>
    </xf>
    <xf numFmtId="0" fontId="21" fillId="0" borderId="47" xfId="1" applyFont="1" applyBorder="1" applyProtection="1">
      <alignment vertical="center"/>
      <protection locked="0" hidden="1"/>
    </xf>
    <xf numFmtId="187" fontId="21" fillId="0" borderId="47" xfId="1" applyNumberFormat="1" applyFont="1" applyBorder="1" applyAlignment="1" applyProtection="1">
      <alignment horizontal="center" vertical="center"/>
      <protection locked="0" hidden="1"/>
    </xf>
    <xf numFmtId="188" fontId="21" fillId="10" borderId="20" xfId="1" applyNumberFormat="1" applyFont="1" applyFill="1" applyBorder="1" applyAlignment="1" applyProtection="1">
      <alignment horizontal="center" vertical="center"/>
      <protection locked="0" hidden="1"/>
    </xf>
    <xf numFmtId="184" fontId="21" fillId="0" borderId="79" xfId="1" applyNumberFormat="1" applyFont="1" applyBorder="1" applyAlignment="1" applyProtection="1">
      <alignment horizontal="center" vertical="center"/>
      <protection locked="0" hidden="1"/>
    </xf>
    <xf numFmtId="0" fontId="21" fillId="0" borderId="80" xfId="1" applyFont="1" applyBorder="1" applyAlignment="1" applyProtection="1">
      <alignment horizontal="center" vertical="center"/>
      <protection locked="0" hidden="1"/>
    </xf>
    <xf numFmtId="187" fontId="21" fillId="6" borderId="47" xfId="1" applyNumberFormat="1" applyFont="1" applyFill="1" applyBorder="1" applyAlignment="1" applyProtection="1">
      <alignment horizontal="center" vertical="center"/>
      <protection locked="0" hidden="1"/>
    </xf>
    <xf numFmtId="0" fontId="21" fillId="0" borderId="20" xfId="1" applyFont="1" applyBorder="1" applyAlignment="1" applyProtection="1">
      <alignment horizontal="center" vertical="center"/>
      <protection locked="0" hidden="1"/>
    </xf>
    <xf numFmtId="0" fontId="21" fillId="8" borderId="37" xfId="1" applyFont="1" applyFill="1" applyBorder="1" applyAlignment="1" applyProtection="1">
      <alignment horizontal="center" vertical="center"/>
      <protection locked="0" hidden="1"/>
    </xf>
    <xf numFmtId="188" fontId="21" fillId="0" borderId="20" xfId="1" applyNumberFormat="1" applyFont="1" applyBorder="1" applyAlignment="1" applyProtection="1">
      <alignment horizontal="center" vertical="center"/>
      <protection locked="0" hidden="1"/>
    </xf>
    <xf numFmtId="189" fontId="21" fillId="0" borderId="47" xfId="1" applyNumberFormat="1" applyFont="1" applyBorder="1" applyAlignment="1" applyProtection="1">
      <alignment horizontal="center" vertical="center"/>
      <protection locked="0" hidden="1"/>
    </xf>
    <xf numFmtId="0" fontId="22" fillId="0" borderId="0" xfId="2" applyFont="1" applyAlignment="1" applyProtection="1">
      <alignment horizontal="center" vertical="center" shrinkToFit="1"/>
      <protection locked="0" hidden="1"/>
    </xf>
    <xf numFmtId="182" fontId="21" fillId="6" borderId="0" xfId="1" applyNumberFormat="1" applyFont="1" applyFill="1" applyAlignment="1" applyProtection="1">
      <alignment horizontal="center" vertical="center"/>
      <protection locked="0" hidden="1"/>
    </xf>
    <xf numFmtId="185" fontId="21" fillId="6" borderId="20" xfId="1" applyNumberFormat="1" applyFont="1" applyFill="1" applyBorder="1" applyAlignment="1" applyProtection="1">
      <alignment horizontal="center" vertical="center"/>
      <protection locked="0" hidden="1"/>
    </xf>
    <xf numFmtId="0" fontId="27" fillId="0" borderId="20" xfId="2" applyFont="1" applyBorder="1" applyAlignment="1" applyProtection="1">
      <alignment horizontal="center" vertical="center" wrapText="1" shrinkToFit="1"/>
      <protection locked="0" hidden="1"/>
    </xf>
    <xf numFmtId="0" fontId="28" fillId="0" borderId="0" xfId="3" applyFont="1" applyAlignment="1" applyProtection="1">
      <alignment horizontal="center" vertical="center" wrapText="1" shrinkToFit="1"/>
      <protection locked="0" hidden="1"/>
    </xf>
    <xf numFmtId="184" fontId="21" fillId="0" borderId="67" xfId="1" applyNumberFormat="1" applyFont="1" applyBorder="1" applyAlignment="1" applyProtection="1">
      <alignment horizontal="center" vertical="center"/>
      <protection locked="0" hidden="1"/>
    </xf>
    <xf numFmtId="0" fontId="21" fillId="0" borderId="64" xfId="1" applyFont="1" applyBorder="1" applyAlignment="1" applyProtection="1">
      <alignment horizontal="center" vertical="center"/>
      <protection locked="0" hidden="1"/>
    </xf>
    <xf numFmtId="0" fontId="21" fillId="6" borderId="64" xfId="1" applyFont="1" applyFill="1" applyBorder="1" applyAlignment="1" applyProtection="1">
      <alignment horizontal="center" vertical="center"/>
      <protection locked="0" hidden="1"/>
    </xf>
    <xf numFmtId="0" fontId="22" fillId="0" borderId="66" xfId="2" applyFont="1" applyBorder="1" applyAlignment="1" applyProtection="1">
      <alignment horizontal="center" vertical="center" shrinkToFit="1"/>
      <protection locked="0" hidden="1"/>
    </xf>
    <xf numFmtId="190" fontId="25" fillId="8" borderId="45" xfId="1" applyNumberFormat="1" applyFont="1" applyFill="1" applyBorder="1" applyAlignment="1" applyProtection="1">
      <alignment horizontal="center" vertical="center"/>
      <protection locked="0" hidden="1"/>
    </xf>
    <xf numFmtId="0" fontId="21" fillId="8" borderId="46" xfId="1" applyFont="1" applyFill="1" applyBorder="1" applyAlignment="1" applyProtection="1">
      <alignment horizontal="center" vertical="center"/>
      <protection locked="0" hidden="1"/>
    </xf>
    <xf numFmtId="0" fontId="24" fillId="8" borderId="46" xfId="1" applyFont="1" applyFill="1" applyBorder="1" applyAlignment="1" applyProtection="1">
      <alignment horizontal="center" vertical="center"/>
      <protection locked="0" hidden="1"/>
    </xf>
    <xf numFmtId="189" fontId="21" fillId="0" borderId="46" xfId="1" applyNumberFormat="1" applyFont="1" applyBorder="1" applyAlignment="1" applyProtection="1">
      <alignment horizontal="center" vertical="center"/>
      <protection locked="0" hidden="1"/>
    </xf>
    <xf numFmtId="0" fontId="21" fillId="9" borderId="36" xfId="1" applyFont="1" applyFill="1" applyBorder="1" applyAlignment="1" applyProtection="1">
      <alignment horizontal="center" vertical="center"/>
      <protection locked="0" hidden="1"/>
    </xf>
    <xf numFmtId="181" fontId="21" fillId="0" borderId="0" xfId="1" applyNumberFormat="1" applyFont="1" applyProtection="1">
      <alignment vertical="center"/>
      <protection locked="0" hidden="1"/>
    </xf>
    <xf numFmtId="182" fontId="21" fillId="7" borderId="0" xfId="1" applyNumberFormat="1" applyFont="1" applyFill="1" applyAlignment="1" applyProtection="1">
      <alignment horizontal="center" vertical="center"/>
      <protection locked="0" hidden="1"/>
    </xf>
    <xf numFmtId="0" fontId="21" fillId="7" borderId="0" xfId="1" applyFont="1" applyFill="1" applyAlignment="1" applyProtection="1">
      <alignment horizontal="center" vertical="center"/>
      <protection locked="0" hidden="1"/>
    </xf>
    <xf numFmtId="181" fontId="21" fillId="12" borderId="17" xfId="1" applyNumberFormat="1" applyFont="1" applyFill="1" applyBorder="1" applyAlignment="1" applyProtection="1">
      <alignment horizontal="center" vertical="center"/>
      <protection locked="0" hidden="1"/>
    </xf>
    <xf numFmtId="182" fontId="21" fillId="12" borderId="16" xfId="1" applyNumberFormat="1" applyFont="1" applyFill="1" applyBorder="1" applyAlignment="1" applyProtection="1">
      <alignment horizontal="center" vertical="center"/>
      <protection locked="0" hidden="1"/>
    </xf>
    <xf numFmtId="0" fontId="21" fillId="6" borderId="16" xfId="1" applyFont="1" applyFill="1" applyBorder="1" applyProtection="1">
      <alignment vertical="center"/>
      <protection locked="0" hidden="1"/>
    </xf>
    <xf numFmtId="0" fontId="21" fillId="12" borderId="16" xfId="1" applyFont="1" applyFill="1" applyBorder="1" applyAlignment="1" applyProtection="1">
      <alignment horizontal="center" vertical="center"/>
      <protection locked="0" hidden="1"/>
    </xf>
    <xf numFmtId="183" fontId="21" fillId="12" borderId="16" xfId="1" applyNumberFormat="1" applyFont="1" applyFill="1" applyBorder="1" applyAlignment="1" applyProtection="1">
      <alignment horizontal="center" vertical="center"/>
      <protection locked="0" hidden="1"/>
    </xf>
    <xf numFmtId="184" fontId="21" fillId="12" borderId="16" xfId="1" applyNumberFormat="1" applyFont="1" applyFill="1" applyBorder="1" applyAlignment="1" applyProtection="1">
      <alignment horizontal="center" vertical="center"/>
      <protection locked="0" hidden="1"/>
    </xf>
    <xf numFmtId="0" fontId="22" fillId="6" borderId="16" xfId="2" applyFont="1" applyFill="1" applyBorder="1" applyAlignment="1" applyProtection="1">
      <alignment horizontal="center" vertical="center" shrinkToFit="1"/>
      <protection locked="0" hidden="1"/>
    </xf>
    <xf numFmtId="0" fontId="22" fillId="0" borderId="16" xfId="2" applyFont="1" applyBorder="1" applyAlignment="1" applyProtection="1">
      <alignment horizontal="center" vertical="center" shrinkToFit="1"/>
      <protection locked="0" hidden="1"/>
    </xf>
    <xf numFmtId="0" fontId="29" fillId="6" borderId="16" xfId="1" applyFont="1" applyFill="1" applyBorder="1" applyAlignment="1" applyProtection="1">
      <alignment horizontal="center" vertical="center"/>
      <protection locked="0" hidden="1"/>
    </xf>
    <xf numFmtId="0" fontId="26" fillId="6" borderId="16" xfId="1" applyFont="1" applyFill="1" applyBorder="1" applyAlignment="1" applyProtection="1">
      <alignment horizontal="center" vertical="center"/>
      <protection locked="0" hidden="1"/>
    </xf>
    <xf numFmtId="0" fontId="30" fillId="7" borderId="16" xfId="1" applyFont="1" applyFill="1" applyBorder="1" applyAlignment="1">
      <alignment horizontal="left" vertical="center"/>
    </xf>
    <xf numFmtId="0" fontId="31" fillId="7" borderId="16" xfId="1" applyFont="1" applyFill="1" applyBorder="1" applyAlignment="1" applyProtection="1">
      <alignment horizontal="center" vertical="center"/>
      <protection locked="0" hidden="1"/>
    </xf>
    <xf numFmtId="179" fontId="30" fillId="0" borderId="16" xfId="1" applyNumberFormat="1" applyFont="1" applyBorder="1" applyAlignment="1" applyProtection="1">
      <alignment horizontal="center" vertical="center"/>
      <protection locked="0"/>
    </xf>
    <xf numFmtId="0" fontId="21" fillId="0" borderId="16" xfId="1" applyFont="1" applyBorder="1" applyAlignment="1" applyProtection="1">
      <alignment horizontal="center" vertical="center" wrapText="1"/>
      <protection locked="0" hidden="1"/>
    </xf>
    <xf numFmtId="0" fontId="21" fillId="0" borderId="21" xfId="1" applyFont="1" applyBorder="1" applyAlignment="1" applyProtection="1">
      <alignment horizontal="center" vertical="center"/>
      <protection locked="0" hidden="1"/>
    </xf>
    <xf numFmtId="181" fontId="21" fillId="12" borderId="37" xfId="1" applyNumberFormat="1" applyFont="1" applyFill="1" applyBorder="1" applyAlignment="1" applyProtection="1">
      <alignment horizontal="center" vertical="center"/>
      <protection locked="0" hidden="1"/>
    </xf>
    <xf numFmtId="182" fontId="21" fillId="12" borderId="47" xfId="1" applyNumberFormat="1" applyFont="1" applyFill="1" applyBorder="1" applyAlignment="1" applyProtection="1">
      <alignment horizontal="center" vertical="center"/>
      <protection locked="0" hidden="1"/>
    </xf>
    <xf numFmtId="0" fontId="21" fillId="6" borderId="47" xfId="1" applyFont="1" applyFill="1" applyBorder="1" applyProtection="1">
      <alignment vertical="center"/>
      <protection locked="0" hidden="1"/>
    </xf>
    <xf numFmtId="0" fontId="21" fillId="12" borderId="47" xfId="1" applyFont="1" applyFill="1" applyBorder="1" applyAlignment="1" applyProtection="1">
      <alignment horizontal="center" vertical="center"/>
      <protection locked="0" hidden="1"/>
    </xf>
    <xf numFmtId="183" fontId="21" fillId="12" borderId="47" xfId="1" applyNumberFormat="1" applyFont="1" applyFill="1" applyBorder="1" applyAlignment="1" applyProtection="1">
      <alignment horizontal="center" vertical="center"/>
      <protection locked="0" hidden="1"/>
    </xf>
    <xf numFmtId="184" fontId="21" fillId="12" borderId="47" xfId="1" applyNumberFormat="1" applyFont="1" applyFill="1" applyBorder="1" applyAlignment="1" applyProtection="1">
      <alignment horizontal="center" vertical="center"/>
      <protection locked="0" hidden="1"/>
    </xf>
    <xf numFmtId="0" fontId="22" fillId="6" borderId="47" xfId="2" applyFont="1" applyFill="1" applyBorder="1" applyAlignment="1" applyProtection="1">
      <alignment horizontal="center" vertical="center" shrinkToFit="1"/>
      <protection locked="0" hidden="1"/>
    </xf>
    <xf numFmtId="0" fontId="28" fillId="5" borderId="47" xfId="2" applyFont="1" applyFill="1" applyBorder="1" applyAlignment="1" applyProtection="1">
      <alignment horizontal="center" vertical="center" shrinkToFit="1"/>
      <protection locked="0" hidden="1"/>
    </xf>
    <xf numFmtId="0" fontId="22" fillId="0" borderId="47" xfId="2" applyFont="1" applyBorder="1" applyAlignment="1" applyProtection="1">
      <alignment horizontal="center" vertical="center" shrinkToFit="1"/>
      <protection locked="0" hidden="1"/>
    </xf>
    <xf numFmtId="0" fontId="29" fillId="6" borderId="47" xfId="1" applyFont="1" applyFill="1" applyBorder="1" applyAlignment="1" applyProtection="1">
      <alignment horizontal="center" vertical="center"/>
      <protection locked="0" hidden="1"/>
    </xf>
    <xf numFmtId="0" fontId="26" fillId="6" borderId="47" xfId="1" applyFont="1" applyFill="1" applyBorder="1" applyAlignment="1" applyProtection="1">
      <alignment horizontal="center" vertical="center"/>
      <protection locked="0" hidden="1"/>
    </xf>
    <xf numFmtId="0" fontId="30" fillId="7" borderId="47" xfId="1" applyFont="1" applyFill="1" applyBorder="1" applyAlignment="1">
      <alignment horizontal="left" vertical="center"/>
    </xf>
    <xf numFmtId="0" fontId="31" fillId="7" borderId="47" xfId="1" applyFont="1" applyFill="1" applyBorder="1" applyAlignment="1" applyProtection="1">
      <alignment horizontal="center" vertical="center"/>
      <protection locked="0" hidden="1"/>
    </xf>
    <xf numFmtId="179" fontId="30" fillId="0" borderId="47" xfId="1" applyNumberFormat="1" applyFont="1" applyBorder="1" applyAlignment="1" applyProtection="1">
      <alignment horizontal="center" vertical="center"/>
      <protection locked="0"/>
    </xf>
    <xf numFmtId="0" fontId="32" fillId="5" borderId="47" xfId="2" applyFont="1" applyFill="1" applyBorder="1" applyAlignment="1" applyProtection="1">
      <alignment horizontal="center" vertical="center" shrinkToFit="1"/>
      <protection locked="0" hidden="1"/>
    </xf>
    <xf numFmtId="0" fontId="33" fillId="5" borderId="47" xfId="2" applyFont="1" applyFill="1" applyBorder="1" applyAlignment="1" applyProtection="1">
      <alignment horizontal="center" vertical="center" shrinkToFit="1"/>
      <protection locked="0" hidden="1"/>
    </xf>
    <xf numFmtId="0" fontId="30" fillId="7" borderId="47" xfId="1" applyFont="1" applyFill="1" applyBorder="1">
      <alignment vertical="center"/>
    </xf>
    <xf numFmtId="0" fontId="32" fillId="5" borderId="47" xfId="4" applyFont="1" applyFill="1" applyBorder="1" applyAlignment="1" applyProtection="1">
      <alignment horizontal="center" vertical="center" wrapText="1" shrinkToFit="1"/>
      <protection locked="0" hidden="1"/>
    </xf>
    <xf numFmtId="0" fontId="32" fillId="5" borderId="47" xfId="3" applyFont="1" applyFill="1" applyBorder="1" applyAlignment="1" applyProtection="1">
      <alignment horizontal="center" vertical="center" wrapText="1" shrinkToFit="1"/>
      <protection locked="0" hidden="1"/>
    </xf>
    <xf numFmtId="0" fontId="28" fillId="5" borderId="47" xfId="4" applyFont="1" applyFill="1" applyBorder="1" applyAlignment="1" applyProtection="1">
      <alignment horizontal="center" vertical="center" wrapText="1" shrinkToFit="1"/>
      <protection locked="0" hidden="1"/>
    </xf>
    <xf numFmtId="0" fontId="30" fillId="7" borderId="47" xfId="1" applyFont="1" applyFill="1" applyBorder="1" applyAlignment="1" applyProtection="1">
      <alignment horizontal="left" vertical="center"/>
      <protection locked="0"/>
    </xf>
    <xf numFmtId="0" fontId="28" fillId="5" borderId="47" xfId="3" applyFont="1" applyFill="1" applyBorder="1" applyAlignment="1" applyProtection="1">
      <alignment horizontal="center" vertical="center" wrapText="1" shrinkToFit="1"/>
      <protection locked="0" hidden="1"/>
    </xf>
    <xf numFmtId="179" fontId="30" fillId="7" borderId="47" xfId="1" applyNumberFormat="1" applyFont="1" applyFill="1" applyBorder="1" applyAlignment="1" applyProtection="1">
      <alignment horizontal="center" vertical="center"/>
      <protection locked="0"/>
    </xf>
    <xf numFmtId="0" fontId="21" fillId="0" borderId="47" xfId="1" applyFont="1" applyBorder="1" applyAlignment="1" applyProtection="1">
      <alignment horizontal="center" vertical="center" wrapText="1"/>
      <protection locked="0" hidden="1"/>
    </xf>
    <xf numFmtId="0" fontId="32" fillId="0" borderId="47" xfId="2" applyFont="1" applyBorder="1" applyAlignment="1" applyProtection="1">
      <alignment horizontal="center" vertical="center" shrinkToFit="1"/>
      <protection locked="0" hidden="1"/>
    </xf>
    <xf numFmtId="0" fontId="34" fillId="0" borderId="47" xfId="1" applyFont="1" applyBorder="1" applyAlignment="1" applyProtection="1">
      <alignment horizontal="center" vertical="center"/>
      <protection locked="0"/>
    </xf>
    <xf numFmtId="0" fontId="21" fillId="0" borderId="20" xfId="1" applyFont="1" applyBorder="1" applyAlignment="1" applyProtection="1">
      <alignment horizontal="center" vertical="center" wrapText="1"/>
      <protection locked="0" hidden="1"/>
    </xf>
    <xf numFmtId="0" fontId="30" fillId="0" borderId="47" xfId="1" applyFont="1" applyBorder="1" applyAlignment="1" applyProtection="1">
      <alignment horizontal="center" vertical="center"/>
      <protection locked="0"/>
    </xf>
    <xf numFmtId="0" fontId="22" fillId="0" borderId="47" xfId="2" applyFont="1" applyBorder="1" applyAlignment="1" applyProtection="1">
      <alignment horizontal="center" vertical="center" wrapText="1" shrinkToFit="1"/>
      <protection locked="0" hidden="1"/>
    </xf>
    <xf numFmtId="181" fontId="21" fillId="12" borderId="45" xfId="1" applyNumberFormat="1" applyFont="1" applyFill="1" applyBorder="1" applyAlignment="1" applyProtection="1">
      <alignment horizontal="center" vertical="center"/>
      <protection locked="0" hidden="1"/>
    </xf>
    <xf numFmtId="182" fontId="21" fillId="12" borderId="46" xfId="1" applyNumberFormat="1" applyFont="1" applyFill="1" applyBorder="1" applyAlignment="1" applyProtection="1">
      <alignment horizontal="center" vertical="center"/>
      <protection locked="0" hidden="1"/>
    </xf>
    <xf numFmtId="0" fontId="21" fillId="6" borderId="46" xfId="1" applyFont="1" applyFill="1" applyBorder="1" applyProtection="1">
      <alignment vertical="center"/>
      <protection locked="0" hidden="1"/>
    </xf>
    <xf numFmtId="0" fontId="21" fillId="0" borderId="46" xfId="1" applyFont="1" applyBorder="1" applyProtection="1">
      <alignment vertical="center"/>
      <protection locked="0" hidden="1"/>
    </xf>
    <xf numFmtId="0" fontId="21" fillId="12" borderId="46" xfId="1" applyFont="1" applyFill="1" applyBorder="1" applyAlignment="1" applyProtection="1">
      <alignment horizontal="center" vertical="center"/>
      <protection locked="0" hidden="1"/>
    </xf>
    <xf numFmtId="183" fontId="21" fillId="12" borderId="46" xfId="1" applyNumberFormat="1" applyFont="1" applyFill="1" applyBorder="1" applyAlignment="1" applyProtection="1">
      <alignment horizontal="center" vertical="center"/>
      <protection locked="0" hidden="1"/>
    </xf>
    <xf numFmtId="184" fontId="21" fillId="12" borderId="46" xfId="1" applyNumberFormat="1" applyFont="1" applyFill="1" applyBorder="1" applyAlignment="1" applyProtection="1">
      <alignment horizontal="center" vertical="center"/>
      <protection locked="0" hidden="1"/>
    </xf>
    <xf numFmtId="0" fontId="22" fillId="6" borderId="46" xfId="2" applyFont="1" applyFill="1" applyBorder="1" applyAlignment="1" applyProtection="1">
      <alignment horizontal="center" vertical="center" shrinkToFit="1"/>
      <protection locked="0" hidden="1"/>
    </xf>
    <xf numFmtId="0" fontId="22" fillId="0" borderId="46" xfId="2" applyFont="1" applyBorder="1" applyAlignment="1" applyProtection="1">
      <alignment horizontal="center" vertical="center" shrinkToFit="1"/>
      <protection locked="0" hidden="1"/>
    </xf>
    <xf numFmtId="0" fontId="29" fillId="6" borderId="46" xfId="1" applyFont="1" applyFill="1" applyBorder="1" applyAlignment="1" applyProtection="1">
      <alignment horizontal="center" vertical="center"/>
      <protection locked="0" hidden="1"/>
    </xf>
    <xf numFmtId="0" fontId="26" fillId="6" borderId="46" xfId="1" applyFont="1" applyFill="1" applyBorder="1" applyAlignment="1" applyProtection="1">
      <alignment horizontal="center" vertical="center"/>
      <protection locked="0" hidden="1"/>
    </xf>
    <xf numFmtId="0" fontId="21" fillId="6" borderId="46" xfId="1" applyFont="1" applyFill="1" applyBorder="1" applyAlignment="1" applyProtection="1">
      <alignment horizontal="center" vertical="center"/>
      <protection locked="0" hidden="1"/>
    </xf>
    <xf numFmtId="0" fontId="21" fillId="0" borderId="46" xfId="1" applyFont="1" applyBorder="1" applyAlignment="1" applyProtection="1">
      <alignment horizontal="center" vertical="center"/>
      <protection locked="0" hidden="1"/>
    </xf>
    <xf numFmtId="0" fontId="30" fillId="7" borderId="46" xfId="1" applyFont="1" applyFill="1" applyBorder="1" applyAlignment="1" applyProtection="1">
      <alignment horizontal="left" vertical="center"/>
      <protection locked="0"/>
    </xf>
    <xf numFmtId="179" fontId="30" fillId="7" borderId="46" xfId="1" applyNumberFormat="1" applyFont="1" applyFill="1" applyBorder="1" applyAlignment="1" applyProtection="1">
      <alignment horizontal="center" vertical="center"/>
      <protection locked="0"/>
    </xf>
    <xf numFmtId="179" fontId="30" fillId="0" borderId="46" xfId="1" applyNumberFormat="1" applyFont="1" applyBorder="1" applyAlignment="1" applyProtection="1">
      <alignment horizontal="center" vertical="center"/>
      <protection locked="0"/>
    </xf>
    <xf numFmtId="0" fontId="21" fillId="0" borderId="46" xfId="1" applyFont="1" applyBorder="1" applyAlignment="1" applyProtection="1">
      <alignment horizontal="center" vertical="center" wrapText="1"/>
      <protection locked="0" hidden="1"/>
    </xf>
    <xf numFmtId="0" fontId="21" fillId="0" borderId="36" xfId="1" applyFont="1" applyBorder="1" applyAlignment="1" applyProtection="1">
      <alignment horizontal="center" vertical="center"/>
      <protection locked="0" hidden="1"/>
    </xf>
    <xf numFmtId="0" fontId="21" fillId="13" borderId="81" xfId="1" applyFont="1" applyFill="1" applyBorder="1" applyAlignment="1" applyProtection="1">
      <alignment horizontal="center" vertical="center"/>
      <protection locked="0" hidden="1"/>
    </xf>
    <xf numFmtId="0" fontId="21" fillId="13" borderId="82" xfId="1" applyFont="1" applyFill="1" applyBorder="1" applyAlignment="1" applyProtection="1">
      <alignment horizontal="center" vertical="center"/>
      <protection locked="0" hidden="1"/>
    </xf>
    <xf numFmtId="0" fontId="21" fillId="8" borderId="82" xfId="1" applyFont="1" applyFill="1" applyBorder="1" applyProtection="1">
      <alignment vertical="center"/>
      <protection locked="0" hidden="1"/>
    </xf>
    <xf numFmtId="0" fontId="35" fillId="0" borderId="0" xfId="1" applyFont="1" applyAlignment="1" applyProtection="1">
      <alignment horizontal="left" vertical="center"/>
      <protection locked="0" hidden="1"/>
    </xf>
    <xf numFmtId="9" fontId="37" fillId="7" borderId="0" xfId="5" applyNumberFormat="1" applyFont="1" applyFill="1" applyAlignment="1" applyProtection="1">
      <alignment horizontal="center" vertical="center"/>
      <protection locked="0" hidden="1"/>
    </xf>
    <xf numFmtId="0" fontId="37" fillId="7" borderId="0" xfId="5" applyFont="1" applyFill="1" applyAlignment="1" applyProtection="1">
      <alignment horizontal="center" vertical="center"/>
      <protection locked="0" hidden="1"/>
    </xf>
    <xf numFmtId="182" fontId="38" fillId="0" borderId="0" xfId="1" applyNumberFormat="1" applyFont="1" applyAlignment="1">
      <alignment horizontal="center" vertical="center"/>
    </xf>
    <xf numFmtId="0" fontId="28" fillId="0" borderId="0" xfId="2" applyFont="1" applyAlignment="1" applyProtection="1">
      <alignment horizontal="center" vertical="center" wrapText="1" shrinkToFit="1"/>
      <protection locked="0" hidden="1"/>
    </xf>
    <xf numFmtId="9" fontId="25" fillId="0" borderId="0" xfId="1" applyNumberFormat="1" applyFont="1" applyAlignment="1" applyProtection="1">
      <alignment horizontal="center" vertical="center"/>
      <protection locked="0" hidden="1"/>
    </xf>
    <xf numFmtId="0" fontId="21" fillId="13" borderId="16" xfId="1" applyFont="1" applyFill="1" applyBorder="1" applyAlignment="1" applyProtection="1">
      <alignment horizontal="center" vertical="center"/>
      <protection locked="0" hidden="1"/>
    </xf>
    <xf numFmtId="0" fontId="21" fillId="13" borderId="17" xfId="1" applyFont="1" applyFill="1" applyBorder="1" applyAlignment="1" applyProtection="1">
      <alignment horizontal="center" vertical="center"/>
      <protection locked="0" hidden="1"/>
    </xf>
    <xf numFmtId="0" fontId="21" fillId="0" borderId="69" xfId="1" applyFont="1" applyBorder="1" applyAlignment="1" applyProtection="1">
      <alignment horizontal="center" vertical="center"/>
      <protection locked="0" hidden="1"/>
    </xf>
    <xf numFmtId="0" fontId="21" fillId="0" borderId="69" xfId="1" applyFont="1" applyBorder="1" applyAlignment="1" applyProtection="1">
      <alignment horizontal="center" vertical="center" wrapText="1"/>
      <protection locked="0" hidden="1"/>
    </xf>
    <xf numFmtId="179" fontId="30" fillId="0" borderId="69" xfId="1" applyNumberFormat="1" applyFont="1" applyBorder="1" applyAlignment="1" applyProtection="1">
      <alignment horizontal="center" vertical="center"/>
      <protection locked="0"/>
    </xf>
    <xf numFmtId="0" fontId="31" fillId="15" borderId="69" xfId="1" applyFont="1" applyFill="1" applyBorder="1" applyAlignment="1" applyProtection="1">
      <alignment horizontal="center" vertical="center"/>
      <protection locked="0" hidden="1"/>
    </xf>
    <xf numFmtId="0" fontId="30" fillId="16" borderId="69" xfId="1" applyFont="1" applyFill="1" applyBorder="1" applyAlignment="1" applyProtection="1">
      <alignment horizontal="left" vertical="center"/>
      <protection locked="0"/>
    </xf>
    <xf numFmtId="0" fontId="21" fillId="6" borderId="69" xfId="1" applyFont="1" applyFill="1" applyBorder="1" applyAlignment="1" applyProtection="1">
      <alignment horizontal="center" vertical="center"/>
      <protection locked="0" hidden="1"/>
    </xf>
    <xf numFmtId="0" fontId="26" fillId="6" borderId="69" xfId="1" applyFont="1" applyFill="1" applyBorder="1" applyAlignment="1" applyProtection="1">
      <alignment horizontal="center" vertical="center"/>
      <protection locked="0" hidden="1"/>
    </xf>
    <xf numFmtId="0" fontId="29" fillId="6" borderId="69" xfId="1" applyFont="1" applyFill="1" applyBorder="1" applyAlignment="1" applyProtection="1">
      <alignment horizontal="center" vertical="center"/>
      <protection locked="0" hidden="1"/>
    </xf>
    <xf numFmtId="0" fontId="32" fillId="0" borderId="69" xfId="2" applyFont="1" applyBorder="1" applyAlignment="1" applyProtection="1">
      <alignment horizontal="center" vertical="center" shrinkToFit="1"/>
      <protection locked="0" hidden="1"/>
    </xf>
    <xf numFmtId="0" fontId="21" fillId="12" borderId="69" xfId="1" applyFont="1" applyFill="1" applyBorder="1" applyAlignment="1" applyProtection="1">
      <alignment horizontal="center" vertical="center"/>
      <protection locked="0" hidden="1"/>
    </xf>
    <xf numFmtId="184" fontId="21" fillId="12" borderId="69" xfId="1" applyNumberFormat="1" applyFont="1" applyFill="1" applyBorder="1" applyAlignment="1" applyProtection="1">
      <alignment horizontal="center" vertical="center"/>
      <protection locked="0" hidden="1"/>
    </xf>
    <xf numFmtId="183" fontId="21" fillId="12" borderId="69" xfId="1" applyNumberFormat="1" applyFont="1" applyFill="1" applyBorder="1" applyAlignment="1" applyProtection="1">
      <alignment horizontal="center" vertical="center"/>
      <protection locked="0" hidden="1"/>
    </xf>
    <xf numFmtId="0" fontId="21" fillId="0" borderId="69" xfId="1" applyFont="1" applyBorder="1" applyProtection="1">
      <alignment vertical="center"/>
      <protection locked="0" hidden="1"/>
    </xf>
    <xf numFmtId="0" fontId="21" fillId="6" borderId="69" xfId="1" applyFont="1" applyFill="1" applyBorder="1" applyProtection="1">
      <alignment vertical="center"/>
      <protection locked="0" hidden="1"/>
    </xf>
    <xf numFmtId="182" fontId="21" fillId="12" borderId="69" xfId="1" applyNumberFormat="1" applyFont="1" applyFill="1" applyBorder="1" applyAlignment="1" applyProtection="1">
      <alignment horizontal="center" vertical="center"/>
      <protection locked="0" hidden="1"/>
    </xf>
    <xf numFmtId="181" fontId="21" fillId="12" borderId="69" xfId="1" applyNumberFormat="1" applyFont="1" applyFill="1" applyBorder="1" applyAlignment="1" applyProtection="1">
      <alignment horizontal="center" vertical="center"/>
      <protection locked="0" hidden="1"/>
    </xf>
    <xf numFmtId="0" fontId="31" fillId="15" borderId="47" xfId="1" applyFont="1" applyFill="1" applyBorder="1" applyAlignment="1" applyProtection="1">
      <alignment horizontal="center" vertical="center"/>
      <protection locked="0" hidden="1"/>
    </xf>
    <xf numFmtId="0" fontId="30" fillId="16" borderId="47" xfId="1" applyFont="1" applyFill="1" applyBorder="1" applyAlignment="1" applyProtection="1">
      <alignment horizontal="left" vertical="center"/>
      <protection locked="0"/>
    </xf>
    <xf numFmtId="181" fontId="21" fillId="12" borderId="47" xfId="1" applyNumberFormat="1" applyFont="1" applyFill="1" applyBorder="1" applyAlignment="1" applyProtection="1">
      <alignment horizontal="center" vertical="center"/>
      <protection locked="0" hidden="1"/>
    </xf>
    <xf numFmtId="0" fontId="39" fillId="0" borderId="47" xfId="1" applyFont="1" applyBorder="1" applyAlignment="1" applyProtection="1">
      <alignment horizontal="center" vertical="center"/>
      <protection locked="0"/>
    </xf>
    <xf numFmtId="0" fontId="40" fillId="0" borderId="47" xfId="2" applyFont="1" applyBorder="1" applyAlignment="1" applyProtection="1">
      <alignment horizontal="center" vertical="center" shrinkToFit="1"/>
      <protection locked="0" hidden="1"/>
    </xf>
    <xf numFmtId="179" fontId="30" fillId="5" borderId="47" xfId="1" applyNumberFormat="1" applyFont="1" applyFill="1" applyBorder="1" applyAlignment="1" applyProtection="1">
      <alignment horizontal="center" vertical="center"/>
      <protection locked="0"/>
    </xf>
    <xf numFmtId="0" fontId="30" fillId="16" borderId="47" xfId="1" applyFont="1" applyFill="1" applyBorder="1">
      <alignment vertical="center"/>
    </xf>
    <xf numFmtId="0" fontId="30" fillId="16" borderId="47" xfId="1" applyFont="1" applyFill="1" applyBorder="1" applyAlignment="1">
      <alignment horizontal="left" vertical="center"/>
    </xf>
    <xf numFmtId="179" fontId="30" fillId="0" borderId="0" xfId="1" applyNumberFormat="1" applyFont="1" applyAlignment="1" applyProtection="1">
      <alignment horizontal="center" vertical="center"/>
      <protection locked="0"/>
    </xf>
    <xf numFmtId="0" fontId="31" fillId="0" borderId="0" xfId="1" applyFont="1" applyAlignment="1" applyProtection="1">
      <alignment horizontal="center" vertical="center"/>
      <protection locked="0" hidden="1"/>
    </xf>
    <xf numFmtId="0" fontId="30" fillId="0" borderId="0" xfId="1" applyFont="1" applyAlignment="1" applyProtection="1">
      <alignment horizontal="left" vertical="center"/>
      <protection locked="0"/>
    </xf>
    <xf numFmtId="0" fontId="41" fillId="0" borderId="69" xfId="2" applyFont="1" applyBorder="1" applyAlignment="1" applyProtection="1">
      <alignment horizontal="center" vertical="center" shrinkToFit="1"/>
      <protection locked="0" hidden="1"/>
    </xf>
    <xf numFmtId="0" fontId="42" fillId="0" borderId="46" xfId="2" applyFont="1" applyBorder="1" applyAlignment="1" applyProtection="1">
      <alignment horizontal="center" vertical="center" shrinkToFit="1"/>
      <protection locked="0" hidden="1"/>
    </xf>
    <xf numFmtId="0" fontId="11" fillId="0" borderId="47" xfId="1" applyFont="1" applyBorder="1" applyAlignment="1" applyProtection="1">
      <alignment horizontal="center" vertical="center"/>
      <protection locked="0"/>
    </xf>
    <xf numFmtId="0" fontId="43" fillId="5" borderId="47" xfId="3" applyFont="1" applyFill="1" applyBorder="1" applyAlignment="1" applyProtection="1">
      <alignment horizontal="center" vertical="center" wrapText="1" shrinkToFit="1"/>
      <protection locked="0" hidden="1"/>
    </xf>
    <xf numFmtId="0" fontId="11" fillId="0" borderId="6" xfId="0" applyFont="1" applyBorder="1" applyAlignment="1" applyProtection="1">
      <alignment horizontal="center" vertical="center"/>
      <protection locked="0"/>
    </xf>
    <xf numFmtId="0" fontId="10" fillId="0" borderId="47" xfId="0" applyFont="1" applyBorder="1" applyAlignment="1" applyProtection="1">
      <alignment horizontal="center" vertical="center" wrapText="1"/>
      <protection locked="0"/>
    </xf>
    <xf numFmtId="0" fontId="11" fillId="0" borderId="47" xfId="0" applyFont="1" applyBorder="1" applyAlignment="1" applyProtection="1">
      <alignment vertical="center"/>
      <protection locked="0"/>
    </xf>
    <xf numFmtId="0" fontId="12" fillId="0" borderId="47" xfId="0" applyFont="1" applyBorder="1" applyAlignment="1">
      <alignment vertical="center"/>
    </xf>
    <xf numFmtId="0" fontId="11" fillId="0" borderId="47" xfId="0" applyFont="1" applyBorder="1" applyAlignment="1" applyProtection="1">
      <alignment horizontal="left" vertical="center" wrapText="1"/>
      <protection locked="0"/>
    </xf>
    <xf numFmtId="0" fontId="11" fillId="0" borderId="47" xfId="0" applyFont="1" applyBorder="1" applyAlignment="1" applyProtection="1">
      <alignment horizontal="left" vertical="center"/>
      <protection locked="0"/>
    </xf>
    <xf numFmtId="0" fontId="6" fillId="0" borderId="0" xfId="0" applyFont="1" applyAlignment="1">
      <alignment horizontal="center" vertical="center" wrapText="1" shrinkToFit="1"/>
    </xf>
    <xf numFmtId="0" fontId="7" fillId="0" borderId="28" xfId="0" applyFont="1" applyBorder="1" applyAlignment="1">
      <alignment horizontal="center" vertical="center" textRotation="255" wrapText="1"/>
    </xf>
    <xf numFmtId="0" fontId="7" fillId="0" borderId="9" xfId="0" applyFont="1" applyBorder="1" applyAlignment="1">
      <alignment horizontal="center" vertical="center" textRotation="255" wrapText="1"/>
    </xf>
    <xf numFmtId="0" fontId="7" fillId="0" borderId="7" xfId="0" applyFont="1" applyBorder="1" applyAlignment="1">
      <alignment horizontal="center" vertical="center" textRotation="255" wrapText="1"/>
    </xf>
    <xf numFmtId="0" fontId="7" fillId="0" borderId="13" xfId="0" applyFont="1" applyBorder="1" applyAlignment="1">
      <alignment horizontal="center" vertical="center" textRotation="255" wrapText="1"/>
    </xf>
    <xf numFmtId="0" fontId="7" fillId="0" borderId="0" xfId="0" applyFont="1" applyAlignment="1">
      <alignment horizontal="center" vertical="center" textRotation="255" wrapText="1"/>
    </xf>
    <xf numFmtId="0" fontId="7" fillId="0" borderId="4" xfId="0" applyFont="1" applyBorder="1" applyAlignment="1">
      <alignment horizontal="center" vertical="center" textRotation="255" wrapText="1"/>
    </xf>
    <xf numFmtId="0" fontId="7" fillId="0" borderId="24" xfId="0" applyFont="1" applyBorder="1" applyAlignment="1">
      <alignment horizontal="center" vertical="center" textRotation="255" wrapText="1"/>
    </xf>
    <xf numFmtId="0" fontId="7" fillId="0" borderId="25" xfId="0" applyFont="1" applyBorder="1" applyAlignment="1">
      <alignment horizontal="center" vertical="center" textRotation="255" wrapText="1"/>
    </xf>
    <xf numFmtId="0" fontId="7" fillId="0" borderId="29" xfId="0" applyFont="1" applyBorder="1" applyAlignment="1">
      <alignment horizontal="center" vertical="center" textRotation="255" wrapText="1"/>
    </xf>
    <xf numFmtId="0" fontId="7" fillId="0" borderId="2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3" borderId="59" xfId="0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0" borderId="47" xfId="0" applyFont="1" applyBorder="1" applyAlignment="1" applyProtection="1">
      <alignment horizontal="center" vertical="center" wrapText="1"/>
      <protection locked="0"/>
    </xf>
    <xf numFmtId="49" fontId="10" fillId="0" borderId="70" xfId="0" applyNumberFormat="1" applyFont="1" applyBorder="1" applyAlignment="1">
      <alignment horizontal="center" vertical="center"/>
    </xf>
    <xf numFmtId="49" fontId="10" fillId="0" borderId="72" xfId="0" applyNumberFormat="1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 textRotation="90" wrapText="1"/>
    </xf>
    <xf numFmtId="0" fontId="10" fillId="0" borderId="73" xfId="0" applyFont="1" applyBorder="1" applyAlignment="1">
      <alignment horizontal="center" vertical="center" textRotation="90" wrapText="1"/>
    </xf>
    <xf numFmtId="0" fontId="10" fillId="0" borderId="83" xfId="0" applyFont="1" applyBorder="1" applyAlignment="1">
      <alignment horizontal="center" vertical="center" textRotation="90" wrapText="1"/>
    </xf>
    <xf numFmtId="0" fontId="10" fillId="0" borderId="46" xfId="0" applyFont="1" applyBorder="1" applyAlignment="1" applyProtection="1">
      <alignment horizontal="center" vertical="center" wrapText="1"/>
      <protection locked="0"/>
    </xf>
    <xf numFmtId="0" fontId="10" fillId="5" borderId="44" xfId="0" applyFont="1" applyFill="1" applyBorder="1" applyAlignment="1" applyProtection="1">
      <alignment horizontal="center" vertical="center"/>
      <protection locked="0"/>
    </xf>
    <xf numFmtId="0" fontId="10" fillId="5" borderId="83" xfId="0" applyFont="1" applyFill="1" applyBorder="1" applyAlignment="1" applyProtection="1">
      <alignment horizontal="center" vertical="center"/>
      <protection locked="0"/>
    </xf>
    <xf numFmtId="0" fontId="10" fillId="5" borderId="69" xfId="0" applyFont="1" applyFill="1" applyBorder="1" applyAlignment="1" applyProtection="1">
      <alignment horizontal="center" vertical="center"/>
      <protection locked="0"/>
    </xf>
    <xf numFmtId="0" fontId="10" fillId="5" borderId="47" xfId="0" applyFont="1" applyFill="1" applyBorder="1" applyAlignment="1" applyProtection="1">
      <alignment horizontal="center" vertical="center" wrapText="1"/>
      <protection locked="0"/>
    </xf>
    <xf numFmtId="0" fontId="10" fillId="5" borderId="47" xfId="0" applyFont="1" applyFill="1" applyBorder="1" applyAlignment="1" applyProtection="1">
      <alignment horizontal="center" vertical="center"/>
      <protection locked="0"/>
    </xf>
    <xf numFmtId="0" fontId="10" fillId="3" borderId="36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46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 textRotation="90" wrapText="1"/>
    </xf>
    <xf numFmtId="0" fontId="10" fillId="0" borderId="34" xfId="0" applyFont="1" applyBorder="1" applyAlignment="1">
      <alignment horizontal="center" vertical="center" textRotation="90" wrapText="1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38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 applyProtection="1">
      <alignment horizontal="center" vertical="center" wrapText="1"/>
      <protection locked="0"/>
    </xf>
    <xf numFmtId="0" fontId="13" fillId="0" borderId="3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3" borderId="44" xfId="0" applyFont="1" applyFill="1" applyBorder="1" applyAlignment="1">
      <alignment horizontal="center" vertical="center"/>
    </xf>
    <xf numFmtId="0" fontId="10" fillId="3" borderId="70" xfId="0" applyFont="1" applyFill="1" applyBorder="1" applyAlignment="1">
      <alignment horizontal="center" vertical="center"/>
    </xf>
    <xf numFmtId="0" fontId="10" fillId="3" borderId="77" xfId="0" applyFont="1" applyFill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3" borderId="76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75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10" fillId="3" borderId="75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horizontal="center" vertical="center"/>
    </xf>
    <xf numFmtId="0" fontId="10" fillId="3" borderId="59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0" borderId="75" xfId="0" applyFont="1" applyBorder="1" applyAlignment="1" applyProtection="1">
      <alignment horizontal="center" vertical="center" wrapText="1"/>
      <protection locked="0"/>
    </xf>
    <xf numFmtId="0" fontId="10" fillId="0" borderId="59" xfId="0" applyFont="1" applyBorder="1" applyAlignment="1" applyProtection="1">
      <alignment horizontal="center" vertical="center" wrapText="1"/>
      <protection locked="0"/>
    </xf>
    <xf numFmtId="0" fontId="10" fillId="0" borderId="39" xfId="0" applyFont="1" applyBorder="1" applyAlignment="1" applyProtection="1">
      <alignment horizontal="center" vertical="center" wrapText="1"/>
      <protection locked="0"/>
    </xf>
    <xf numFmtId="0" fontId="10" fillId="0" borderId="41" xfId="0" applyFont="1" applyBorder="1" applyAlignment="1" applyProtection="1">
      <alignment horizontal="center" vertical="center" wrapText="1"/>
      <protection locked="0"/>
    </xf>
    <xf numFmtId="0" fontId="10" fillId="0" borderId="76" xfId="0" applyFont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0" fontId="10" fillId="0" borderId="74" xfId="0" applyFont="1" applyBorder="1" applyAlignment="1" applyProtection="1">
      <alignment horizontal="center" vertical="center"/>
      <protection locked="0"/>
    </xf>
    <xf numFmtId="0" fontId="10" fillId="0" borderId="73" xfId="0" applyFont="1" applyBorder="1" applyAlignment="1" applyProtection="1">
      <alignment horizontal="center" vertical="center"/>
      <protection locked="0"/>
    </xf>
    <xf numFmtId="0" fontId="10" fillId="0" borderId="83" xfId="0" applyFont="1" applyBorder="1" applyAlignment="1" applyProtection="1">
      <alignment horizontal="center" vertical="center"/>
      <protection locked="0"/>
    </xf>
    <xf numFmtId="0" fontId="10" fillId="0" borderId="69" xfId="0" applyFont="1" applyBorder="1" applyAlignment="1" applyProtection="1">
      <alignment horizontal="center" vertical="center"/>
      <protection locked="0"/>
    </xf>
    <xf numFmtId="0" fontId="10" fillId="5" borderId="38" xfId="0" applyFont="1" applyFill="1" applyBorder="1" applyAlignment="1" applyProtection="1">
      <alignment horizontal="center" vertical="center" wrapText="1"/>
      <protection locked="0"/>
    </xf>
    <xf numFmtId="0" fontId="10" fillId="0" borderId="74" xfId="0" applyFont="1" applyBorder="1" applyAlignment="1" applyProtection="1">
      <alignment horizontal="center" vertical="center" wrapText="1"/>
      <protection locked="0"/>
    </xf>
    <xf numFmtId="0" fontId="10" fillId="0" borderId="34" xfId="0" applyFont="1" applyBorder="1" applyAlignment="1" applyProtection="1">
      <alignment horizontal="center" vertical="center"/>
      <protection locked="0"/>
    </xf>
    <xf numFmtId="0" fontId="10" fillId="5" borderId="39" xfId="0" applyFont="1" applyFill="1" applyBorder="1" applyAlignment="1" applyProtection="1">
      <alignment horizontal="center" vertical="center" wrapText="1"/>
      <protection locked="0"/>
    </xf>
    <xf numFmtId="0" fontId="10" fillId="5" borderId="41" xfId="0" applyFont="1" applyFill="1" applyBorder="1" applyAlignment="1" applyProtection="1">
      <alignment horizontal="center" vertical="center" wrapText="1"/>
      <protection locked="0"/>
    </xf>
    <xf numFmtId="0" fontId="10" fillId="5" borderId="75" xfId="0" applyFont="1" applyFill="1" applyBorder="1" applyAlignment="1" applyProtection="1">
      <alignment horizontal="center" vertical="center" wrapText="1"/>
      <protection locked="0"/>
    </xf>
    <xf numFmtId="0" fontId="10" fillId="5" borderId="59" xfId="0" applyFont="1" applyFill="1" applyBorder="1" applyAlignment="1" applyProtection="1">
      <alignment horizontal="center" vertical="center" wrapText="1"/>
      <protection locked="0"/>
    </xf>
    <xf numFmtId="0" fontId="10" fillId="5" borderId="38" xfId="0" applyFont="1" applyFill="1" applyBorder="1" applyAlignment="1" applyProtection="1">
      <alignment horizontal="left" vertical="center" wrapText="1"/>
      <protection locked="0"/>
    </xf>
    <xf numFmtId="0" fontId="10" fillId="0" borderId="69" xfId="0" applyFont="1" applyBorder="1" applyAlignment="1" applyProtection="1">
      <alignment horizontal="center" vertical="center" wrapText="1"/>
      <protection locked="0"/>
    </xf>
    <xf numFmtId="0" fontId="10" fillId="0" borderId="74" xfId="0" applyFont="1" applyBorder="1" applyAlignment="1">
      <alignment horizontal="center" vertical="center" textRotation="90" wrapText="1"/>
    </xf>
    <xf numFmtId="0" fontId="10" fillId="0" borderId="78" xfId="0" applyFont="1" applyBorder="1" applyAlignment="1">
      <alignment horizontal="center" vertical="center"/>
    </xf>
    <xf numFmtId="0" fontId="10" fillId="0" borderId="44" xfId="0" applyFont="1" applyBorder="1" applyAlignment="1" applyProtection="1">
      <alignment horizontal="center" vertical="center"/>
      <protection locked="0"/>
    </xf>
    <xf numFmtId="0" fontId="21" fillId="13" borderId="46" xfId="1" applyFont="1" applyFill="1" applyBorder="1" applyAlignment="1" applyProtection="1">
      <alignment horizontal="center" vertical="center"/>
      <protection locked="0" hidden="1"/>
    </xf>
    <xf numFmtId="0" fontId="21" fillId="13" borderId="82" xfId="1" applyFont="1" applyFill="1" applyBorder="1" applyAlignment="1" applyProtection="1">
      <alignment horizontal="center" vertical="center"/>
      <protection locked="0" hidden="1"/>
    </xf>
    <xf numFmtId="0" fontId="21" fillId="0" borderId="47" xfId="1" applyFont="1" applyBorder="1" applyProtection="1">
      <alignment vertical="center"/>
      <protection locked="0" hidden="1"/>
    </xf>
    <xf numFmtId="0" fontId="21" fillId="0" borderId="37" xfId="1" applyFont="1" applyBorder="1" applyProtection="1">
      <alignment vertical="center"/>
      <protection locked="0" hidden="1"/>
    </xf>
    <xf numFmtId="182" fontId="21" fillId="13" borderId="66" xfId="1" applyNumberFormat="1" applyFont="1" applyFill="1" applyBorder="1" applyAlignment="1" applyProtection="1">
      <alignment horizontal="center" vertical="center"/>
      <protection locked="0" hidden="1"/>
    </xf>
    <xf numFmtId="182" fontId="21" fillId="13" borderId="80" xfId="1" applyNumberFormat="1" applyFont="1" applyFill="1" applyBorder="1" applyAlignment="1" applyProtection="1">
      <alignment horizontal="center" vertical="center"/>
      <protection locked="0" hidden="1"/>
    </xf>
    <xf numFmtId="0" fontId="21" fillId="13" borderId="46" xfId="1" applyFont="1" applyFill="1" applyBorder="1" applyAlignment="1" applyProtection="1">
      <alignment horizontal="center" vertical="center" wrapText="1"/>
      <protection locked="0" hidden="1"/>
    </xf>
    <xf numFmtId="0" fontId="21" fillId="13" borderId="82" xfId="1" applyFont="1" applyFill="1" applyBorder="1" applyAlignment="1" applyProtection="1">
      <alignment horizontal="center" vertical="center" wrapText="1"/>
      <protection locked="0" hidden="1"/>
    </xf>
    <xf numFmtId="187" fontId="21" fillId="0" borderId="66" xfId="1" applyNumberFormat="1" applyFont="1" applyBorder="1" applyAlignment="1" applyProtection="1">
      <alignment horizontal="center" vertical="center"/>
      <protection locked="0" hidden="1"/>
    </xf>
    <xf numFmtId="187" fontId="21" fillId="0" borderId="64" xfId="1" applyNumberFormat="1" applyFont="1" applyBorder="1" applyAlignment="1" applyProtection="1">
      <alignment horizontal="center" vertical="center"/>
      <protection locked="0" hidden="1"/>
    </xf>
    <xf numFmtId="187" fontId="21" fillId="0" borderId="67" xfId="1" applyNumberFormat="1" applyFont="1" applyBorder="1" applyAlignment="1" applyProtection="1">
      <alignment horizontal="center" vertical="center"/>
      <protection locked="0" hidden="1"/>
    </xf>
    <xf numFmtId="0" fontId="38" fillId="0" borderId="66" xfId="1" applyFont="1" applyBorder="1" applyAlignment="1">
      <alignment horizontal="center" vertical="center"/>
    </xf>
    <xf numFmtId="0" fontId="38" fillId="0" borderId="64" xfId="1" applyFont="1" applyBorder="1" applyAlignment="1">
      <alignment horizontal="center" vertical="center"/>
    </xf>
    <xf numFmtId="0" fontId="38" fillId="0" borderId="67" xfId="1" applyFont="1" applyBorder="1" applyAlignment="1">
      <alignment horizontal="center" vertical="center"/>
    </xf>
    <xf numFmtId="0" fontId="38" fillId="0" borderId="80" xfId="1" applyFont="1" applyBorder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8" fillId="0" borderId="79" xfId="1" applyFont="1" applyBorder="1" applyAlignment="1">
      <alignment horizontal="center" vertical="center"/>
    </xf>
    <xf numFmtId="0" fontId="38" fillId="0" borderId="86" xfId="1" applyFont="1" applyBorder="1" applyAlignment="1">
      <alignment horizontal="center" vertical="center"/>
    </xf>
    <xf numFmtId="0" fontId="38" fillId="0" borderId="11" xfId="1" applyFont="1" applyBorder="1" applyAlignment="1">
      <alignment horizontal="center" vertical="center"/>
    </xf>
    <xf numFmtId="0" fontId="38" fillId="0" borderId="85" xfId="1" applyFont="1" applyBorder="1" applyAlignment="1">
      <alignment horizontal="center" vertical="center"/>
    </xf>
    <xf numFmtId="183" fontId="21" fillId="13" borderId="44" xfId="1" applyNumberFormat="1" applyFont="1" applyFill="1" applyBorder="1" applyAlignment="1" applyProtection="1">
      <alignment horizontal="center" vertical="center" wrapText="1"/>
      <protection locked="0" hidden="1"/>
    </xf>
    <xf numFmtId="183" fontId="21" fillId="13" borderId="83" xfId="1" applyNumberFormat="1" applyFont="1" applyFill="1" applyBorder="1" applyAlignment="1" applyProtection="1">
      <alignment horizontal="center" vertical="center" wrapText="1"/>
      <protection locked="0" hidden="1"/>
    </xf>
    <xf numFmtId="0" fontId="21" fillId="7" borderId="20" xfId="1" applyFont="1" applyFill="1" applyBorder="1" applyAlignment="1" applyProtection="1">
      <alignment horizontal="center" vertical="center"/>
      <protection locked="0" hidden="1"/>
    </xf>
    <xf numFmtId="0" fontId="21" fillId="7" borderId="47" xfId="1" applyFont="1" applyFill="1" applyBorder="1" applyAlignment="1" applyProtection="1">
      <alignment horizontal="center" vertical="center"/>
      <protection locked="0" hidden="1"/>
    </xf>
    <xf numFmtId="0" fontId="21" fillId="13" borderId="66" xfId="1" applyFont="1" applyFill="1" applyBorder="1" applyAlignment="1" applyProtection="1">
      <alignment horizontal="center" vertical="center"/>
      <protection locked="0" hidden="1"/>
    </xf>
    <xf numFmtId="0" fontId="21" fillId="13" borderId="84" xfId="1" applyFont="1" applyFill="1" applyBorder="1" applyAlignment="1" applyProtection="1">
      <alignment horizontal="center" vertical="center"/>
      <protection locked="0" hidden="1"/>
    </xf>
    <xf numFmtId="0" fontId="21" fillId="13" borderId="80" xfId="1" applyFont="1" applyFill="1" applyBorder="1" applyAlignment="1" applyProtection="1">
      <alignment horizontal="center" vertical="center"/>
      <protection locked="0" hidden="1"/>
    </xf>
    <xf numFmtId="0" fontId="21" fillId="13" borderId="4" xfId="1" applyFont="1" applyFill="1" applyBorder="1" applyAlignment="1" applyProtection="1">
      <alignment horizontal="center" vertical="center"/>
      <protection locked="0" hidden="1"/>
    </xf>
    <xf numFmtId="0" fontId="21" fillId="13" borderId="44" xfId="1" applyFont="1" applyFill="1" applyBorder="1" applyAlignment="1" applyProtection="1">
      <alignment horizontal="center" vertical="center"/>
      <protection locked="0" hidden="1"/>
    </xf>
    <xf numFmtId="0" fontId="21" fillId="13" borderId="83" xfId="1" applyFont="1" applyFill="1" applyBorder="1" applyAlignment="1" applyProtection="1">
      <alignment horizontal="center" vertical="center"/>
      <protection locked="0" hidden="1"/>
    </xf>
    <xf numFmtId="0" fontId="21" fillId="6" borderId="44" xfId="1" applyFont="1" applyFill="1" applyBorder="1" applyAlignment="1" applyProtection="1">
      <alignment horizontal="center" vertical="center"/>
      <protection locked="0" hidden="1"/>
    </xf>
    <xf numFmtId="0" fontId="21" fillId="6" borderId="83" xfId="1" applyFont="1" applyFill="1" applyBorder="1" applyAlignment="1" applyProtection="1">
      <alignment horizontal="center" vertical="center"/>
      <protection locked="0" hidden="1"/>
    </xf>
    <xf numFmtId="0" fontId="21" fillId="6" borderId="47" xfId="1" applyFont="1" applyFill="1" applyBorder="1" applyAlignment="1" applyProtection="1">
      <alignment horizontal="center" vertical="center"/>
      <protection locked="0" hidden="1"/>
    </xf>
    <xf numFmtId="0" fontId="21" fillId="6" borderId="37" xfId="1" applyFont="1" applyFill="1" applyBorder="1" applyAlignment="1" applyProtection="1">
      <alignment horizontal="center" vertical="center"/>
      <protection locked="0" hidden="1"/>
    </xf>
    <xf numFmtId="0" fontId="21" fillId="13" borderId="75" xfId="1" applyFont="1" applyFill="1" applyBorder="1" applyAlignment="1" applyProtection="1">
      <alignment horizontal="center" vertical="center"/>
      <protection locked="0" hidden="1"/>
    </xf>
    <xf numFmtId="0" fontId="21" fillId="13" borderId="43" xfId="1" applyFont="1" applyFill="1" applyBorder="1" applyAlignment="1" applyProtection="1">
      <alignment horizontal="center" vertical="center"/>
      <protection locked="0" hidden="1"/>
    </xf>
    <xf numFmtId="0" fontId="21" fillId="13" borderId="59" xfId="1" applyFont="1" applyFill="1" applyBorder="1" applyAlignment="1" applyProtection="1">
      <alignment horizontal="center" vertical="center"/>
      <protection locked="0" hidden="1"/>
    </xf>
    <xf numFmtId="0" fontId="21" fillId="13" borderId="66" xfId="1" applyFont="1" applyFill="1" applyBorder="1" applyAlignment="1" applyProtection="1">
      <alignment horizontal="center" vertical="center" wrapText="1"/>
      <protection locked="0" hidden="1"/>
    </xf>
    <xf numFmtId="184" fontId="21" fillId="13" borderId="44" xfId="1" applyNumberFormat="1" applyFont="1" applyFill="1" applyBorder="1" applyAlignment="1" applyProtection="1">
      <alignment horizontal="center" vertical="center" wrapText="1"/>
      <protection locked="0" hidden="1"/>
    </xf>
    <xf numFmtId="184" fontId="21" fillId="13" borderId="83" xfId="1" applyNumberFormat="1" applyFont="1" applyFill="1" applyBorder="1" applyAlignment="1" applyProtection="1">
      <alignment horizontal="center" vertical="center" wrapText="1"/>
      <protection locked="0" hidden="1"/>
    </xf>
    <xf numFmtId="0" fontId="21" fillId="14" borderId="46" xfId="1" applyFont="1" applyFill="1" applyBorder="1" applyAlignment="1" applyProtection="1">
      <alignment horizontal="center" vertical="center"/>
      <protection locked="0" hidden="1"/>
    </xf>
    <xf numFmtId="0" fontId="21" fillId="14" borderId="82" xfId="1" applyFont="1" applyFill="1" applyBorder="1" applyAlignment="1" applyProtection="1">
      <alignment horizontal="center" vertical="center"/>
      <protection locked="0" hidden="1"/>
    </xf>
    <xf numFmtId="0" fontId="21" fillId="7" borderId="21" xfId="1" applyFont="1" applyFill="1" applyBorder="1" applyAlignment="1" applyProtection="1">
      <alignment horizontal="center" vertical="center"/>
      <protection locked="0" hidden="1"/>
    </xf>
    <xf numFmtId="0" fontId="21" fillId="7" borderId="16" xfId="1" applyFont="1" applyFill="1" applyBorder="1" applyAlignment="1" applyProtection="1">
      <alignment horizontal="center" vertical="center"/>
      <protection locked="0" hidden="1"/>
    </xf>
    <xf numFmtId="0" fontId="21" fillId="0" borderId="16" xfId="1" applyFont="1" applyBorder="1" applyAlignment="1" applyProtection="1">
      <alignment horizontal="center" vertical="center"/>
      <protection locked="0" hidden="1"/>
    </xf>
    <xf numFmtId="0" fontId="21" fillId="0" borderId="17" xfId="1" applyFont="1" applyBorder="1" applyAlignment="1" applyProtection="1">
      <alignment horizontal="center" vertical="center"/>
      <protection locked="0" hidden="1"/>
    </xf>
    <xf numFmtId="181" fontId="21" fillId="12" borderId="67" xfId="1" applyNumberFormat="1" applyFont="1" applyFill="1" applyBorder="1" applyAlignment="1" applyProtection="1">
      <alignment horizontal="center" vertical="center"/>
      <protection locked="0" hidden="1"/>
    </xf>
    <xf numFmtId="181" fontId="21" fillId="12" borderId="79" xfId="1" applyNumberFormat="1" applyFont="1" applyFill="1" applyBorder="1" applyAlignment="1" applyProtection="1">
      <alignment horizontal="center" vertical="center"/>
      <protection locked="0" hidden="1"/>
    </xf>
    <xf numFmtId="0" fontId="21" fillId="14" borderId="45" xfId="1" applyFont="1" applyFill="1" applyBorder="1" applyAlignment="1" applyProtection="1">
      <alignment horizontal="center" vertical="center"/>
      <protection locked="0" hidden="1"/>
    </xf>
    <xf numFmtId="0" fontId="21" fillId="14" borderId="81" xfId="1" applyFont="1" applyFill="1" applyBorder="1" applyAlignment="1" applyProtection="1">
      <alignment horizontal="center" vertical="center"/>
      <protection locked="0" hidden="1"/>
    </xf>
    <xf numFmtId="0" fontId="21" fillId="13" borderId="84" xfId="1" applyFont="1" applyFill="1" applyBorder="1" applyAlignment="1" applyProtection="1">
      <alignment horizontal="center" vertical="center" wrapText="1"/>
      <protection locked="0" hidden="1"/>
    </xf>
    <xf numFmtId="0" fontId="21" fillId="13" borderId="4" xfId="1" applyFont="1" applyFill="1" applyBorder="1" applyAlignment="1" applyProtection="1">
      <alignment horizontal="center" vertical="center" wrapText="1"/>
      <protection locked="0" hidden="1"/>
    </xf>
    <xf numFmtId="0" fontId="21" fillId="13" borderId="45" xfId="1" applyFont="1" applyFill="1" applyBorder="1" applyAlignment="1" applyProtection="1">
      <alignment horizontal="center" vertical="center"/>
      <protection locked="0" hidden="1"/>
    </xf>
    <xf numFmtId="0" fontId="21" fillId="0" borderId="47" xfId="1" applyFont="1" applyBorder="1" applyAlignment="1" applyProtection="1">
      <alignment horizontal="center" vertical="center"/>
      <protection locked="0" hidden="1"/>
    </xf>
    <xf numFmtId="0" fontId="21" fillId="0" borderId="37" xfId="1" applyFont="1" applyBorder="1" applyAlignment="1" applyProtection="1">
      <alignment horizontal="center" vertical="center"/>
      <protection locked="0" hidden="1"/>
    </xf>
    <xf numFmtId="0" fontId="21" fillId="0" borderId="16" xfId="1" applyFont="1" applyBorder="1" applyProtection="1">
      <alignment vertical="center"/>
      <protection locked="0" hidden="1"/>
    </xf>
    <xf numFmtId="0" fontId="21" fillId="0" borderId="17" xfId="1" applyFont="1" applyBorder="1" applyProtection="1">
      <alignment vertical="center"/>
      <protection locked="0" hidden="1"/>
    </xf>
    <xf numFmtId="0" fontId="10" fillId="5" borderId="69" xfId="0" applyFont="1" applyFill="1" applyBorder="1" applyAlignment="1" applyProtection="1">
      <alignment horizontal="center" vertical="center" wrapText="1"/>
      <protection locked="0"/>
    </xf>
    <xf numFmtId="0" fontId="10" fillId="5" borderId="47" xfId="0" applyFont="1" applyFill="1" applyBorder="1" applyAlignment="1" applyProtection="1">
      <alignment horizontal="left" vertical="center" wrapText="1"/>
      <protection locked="0"/>
    </xf>
    <xf numFmtId="0" fontId="10" fillId="5" borderId="16" xfId="0" applyFont="1" applyFill="1" applyBorder="1" applyAlignment="1" applyProtection="1">
      <alignment horizontal="left" vertical="center" wrapText="1"/>
      <protection locked="0"/>
    </xf>
    <xf numFmtId="178" fontId="10" fillId="0" borderId="38" xfId="0" applyNumberFormat="1" applyFont="1" applyBorder="1" applyAlignment="1" applyProtection="1">
      <alignment horizontal="center" vertical="center" wrapText="1"/>
      <protection locked="0"/>
    </xf>
    <xf numFmtId="0" fontId="21" fillId="14" borderId="16" xfId="1" applyFont="1" applyFill="1" applyBorder="1" applyAlignment="1" applyProtection="1">
      <alignment horizontal="center" vertical="center"/>
      <protection locked="0" hidden="1"/>
    </xf>
    <xf numFmtId="0" fontId="21" fillId="14" borderId="17" xfId="1" applyFont="1" applyFill="1" applyBorder="1" applyAlignment="1" applyProtection="1">
      <alignment horizontal="center" vertical="center"/>
      <protection locked="0" hidden="1"/>
    </xf>
    <xf numFmtId="182" fontId="21" fillId="13" borderId="86" xfId="1" applyNumberFormat="1" applyFont="1" applyFill="1" applyBorder="1" applyAlignment="1" applyProtection="1">
      <alignment horizontal="center" vertical="center"/>
      <protection locked="0" hidden="1"/>
    </xf>
    <xf numFmtId="181" fontId="21" fillId="12" borderId="85" xfId="1" applyNumberFormat="1" applyFont="1" applyFill="1" applyBorder="1" applyAlignment="1" applyProtection="1">
      <alignment horizontal="center" vertical="center"/>
      <protection locked="0" hidden="1"/>
    </xf>
    <xf numFmtId="184" fontId="21" fillId="13" borderId="34" xfId="1" applyNumberFormat="1" applyFont="1" applyFill="1" applyBorder="1" applyAlignment="1" applyProtection="1">
      <alignment horizontal="center" vertical="center" wrapText="1"/>
      <protection locked="0" hidden="1"/>
    </xf>
    <xf numFmtId="183" fontId="21" fillId="13" borderId="34" xfId="1" applyNumberFormat="1" applyFont="1" applyFill="1" applyBorder="1" applyAlignment="1" applyProtection="1">
      <alignment horizontal="center" vertical="center" wrapText="1"/>
      <protection locked="0" hidden="1"/>
    </xf>
    <xf numFmtId="0" fontId="21" fillId="13" borderId="86" xfId="1" applyFont="1" applyFill="1" applyBorder="1" applyAlignment="1" applyProtection="1">
      <alignment horizontal="center" vertical="center"/>
      <protection locked="0" hidden="1"/>
    </xf>
    <xf numFmtId="0" fontId="21" fillId="13" borderId="60" xfId="1" applyFont="1" applyFill="1" applyBorder="1" applyAlignment="1" applyProtection="1">
      <alignment horizontal="center" vertical="center" wrapText="1"/>
      <protection locked="0" hidden="1"/>
    </xf>
    <xf numFmtId="0" fontId="21" fillId="13" borderId="16" xfId="1" applyFont="1" applyFill="1" applyBorder="1" applyAlignment="1" applyProtection="1">
      <alignment horizontal="center" vertical="center" wrapText="1"/>
      <protection locked="0" hidden="1"/>
    </xf>
    <xf numFmtId="0" fontId="21" fillId="13" borderId="60" xfId="1" applyFont="1" applyFill="1" applyBorder="1" applyAlignment="1" applyProtection="1">
      <alignment horizontal="center" vertical="center"/>
      <protection locked="0" hidden="1"/>
    </xf>
    <xf numFmtId="0" fontId="21" fillId="13" borderId="16" xfId="1" applyFont="1" applyFill="1" applyBorder="1" applyAlignment="1" applyProtection="1">
      <alignment horizontal="center" vertical="center"/>
      <protection locked="0" hidden="1"/>
    </xf>
    <xf numFmtId="0" fontId="21" fillId="13" borderId="34" xfId="1" applyFont="1" applyFill="1" applyBorder="1" applyAlignment="1" applyProtection="1">
      <alignment horizontal="center" vertical="center"/>
      <protection locked="0" hidden="1"/>
    </xf>
    <xf numFmtId="0" fontId="21" fillId="6" borderId="34" xfId="1" applyFont="1" applyFill="1" applyBorder="1" applyAlignment="1" applyProtection="1">
      <alignment horizontal="center" vertical="center"/>
      <protection locked="0" hidden="1"/>
    </xf>
    <xf numFmtId="0" fontId="10" fillId="0" borderId="47" xfId="0" applyFont="1" applyBorder="1" applyAlignment="1" applyProtection="1">
      <alignment horizontal="center" vertical="center"/>
      <protection locked="0"/>
    </xf>
    <xf numFmtId="0" fontId="10" fillId="4" borderId="62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4" borderId="41" xfId="0" applyFont="1" applyFill="1" applyBorder="1" applyAlignment="1">
      <alignment horizontal="center"/>
    </xf>
    <xf numFmtId="14" fontId="10" fillId="4" borderId="39" xfId="0" applyNumberFormat="1" applyFont="1" applyFill="1" applyBorder="1" applyAlignment="1">
      <alignment horizontal="center" vertical="center" wrapText="1"/>
    </xf>
    <xf numFmtId="14" fontId="10" fillId="4" borderId="12" xfId="0" applyNumberFormat="1" applyFont="1" applyFill="1" applyBorder="1" applyAlignment="1">
      <alignment horizontal="center" vertical="center" wrapText="1"/>
    </xf>
    <xf numFmtId="14" fontId="10" fillId="4" borderId="41" xfId="0" applyNumberFormat="1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9" xfId="0" applyFont="1" applyFill="1" applyBorder="1" applyAlignment="1">
      <alignment horizontal="left" vertical="center"/>
    </xf>
    <xf numFmtId="0" fontId="17" fillId="4" borderId="62" xfId="0" applyFont="1" applyFill="1" applyBorder="1" applyAlignment="1">
      <alignment vertical="center"/>
    </xf>
    <xf numFmtId="0" fontId="17" fillId="4" borderId="12" xfId="0" applyFont="1" applyFill="1" applyBorder="1" applyAlignment="1">
      <alignment vertical="center"/>
    </xf>
    <xf numFmtId="0" fontId="17" fillId="4" borderId="41" xfId="0" applyFont="1" applyFill="1" applyBorder="1" applyAlignment="1">
      <alignment vertical="center"/>
    </xf>
    <xf numFmtId="0" fontId="17" fillId="4" borderId="62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41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0" fillId="4" borderId="19" xfId="0" applyFont="1" applyFill="1" applyBorder="1" applyAlignment="1">
      <alignment horizontal="left" vertical="center" wrapText="1"/>
    </xf>
    <xf numFmtId="0" fontId="10" fillId="4" borderId="61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61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63" xfId="0" applyFont="1" applyFill="1" applyBorder="1" applyAlignment="1">
      <alignment horizontal="center" vertical="center" wrapText="1"/>
    </xf>
    <xf numFmtId="0" fontId="10" fillId="4" borderId="32" xfId="0" applyFont="1" applyFill="1" applyBorder="1" applyAlignment="1">
      <alignment horizontal="center" vertical="center" wrapText="1"/>
    </xf>
    <xf numFmtId="0" fontId="10" fillId="4" borderId="33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62" xfId="0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62" xfId="0" applyFont="1" applyFill="1" applyBorder="1" applyAlignment="1">
      <alignment horizontal="center" vertical="center"/>
    </xf>
    <xf numFmtId="0" fontId="10" fillId="2" borderId="62" xfId="0" applyFont="1" applyFill="1" applyBorder="1" applyAlignment="1">
      <alignment vertical="center"/>
    </xf>
    <xf numFmtId="0" fontId="10" fillId="2" borderId="12" xfId="0" applyFont="1" applyFill="1" applyBorder="1" applyAlignment="1">
      <alignment vertical="center"/>
    </xf>
    <xf numFmtId="0" fontId="10" fillId="2" borderId="19" xfId="0" applyFont="1" applyFill="1" applyBorder="1" applyAlignment="1">
      <alignment vertical="center"/>
    </xf>
    <xf numFmtId="0" fontId="11" fillId="5" borderId="47" xfId="0" applyFont="1" applyFill="1" applyBorder="1" applyAlignment="1" applyProtection="1">
      <alignment vertical="center"/>
      <protection locked="0"/>
    </xf>
    <xf numFmtId="0" fontId="12" fillId="0" borderId="47" xfId="0" applyFont="1" applyBorder="1" applyAlignment="1" applyProtection="1">
      <alignment horizontal="center" vertical="center"/>
      <protection locked="0"/>
    </xf>
  </cellXfs>
  <cellStyles count="6">
    <cellStyle name="표준" xfId="0" builtinId="0"/>
    <cellStyle name="표준 2" xfId="1" xr:uid="{DE3845C2-E16E-4E4E-B173-D1A6299AA4C6}"/>
    <cellStyle name="표준 3" xfId="3" xr:uid="{2E4ED8E4-91DD-4F11-8F43-66D281865F07}"/>
    <cellStyle name="표준 4" xfId="2" xr:uid="{2625C574-4267-42D3-AB38-903F339D1A77}"/>
    <cellStyle name="표준 8" xfId="4" xr:uid="{59598AFD-2959-46D8-A456-4850D006D9F9}"/>
    <cellStyle name="하이퍼링크" xfId="5" builtinId="8"/>
  </cellStyles>
  <dxfs count="16">
    <dxf>
      <fill>
        <patternFill>
          <bgColor theme="4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4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CC"/>
      <color rgb="FFFFFF66"/>
      <color rgb="FF0000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100854</xdr:colOff>
      <xdr:row>7</xdr:row>
      <xdr:rowOff>66675</xdr:rowOff>
    </xdr:from>
    <xdr:to>
      <xdr:col>44</xdr:col>
      <xdr:colOff>78442</xdr:colOff>
      <xdr:row>22</xdr:row>
      <xdr:rowOff>28575</xdr:rowOff>
    </xdr:to>
    <xdr:sp macro="" textlink="">
      <xdr:nvSpPr>
        <xdr:cNvPr id="45083" name="Text Box 1">
          <a:extLst>
            <a:ext uri="{FF2B5EF4-FFF2-40B4-BE49-F238E27FC236}">
              <a16:creationId xmlns:a16="http://schemas.microsoft.com/office/drawing/2014/main" id="{00000000-0008-0000-0000-00001BB00000}"/>
            </a:ext>
          </a:extLst>
        </xdr:cNvPr>
        <xdr:cNvSpPr txBox="1">
          <a:spLocks noChangeArrowheads="1"/>
        </xdr:cNvSpPr>
      </xdr:nvSpPr>
      <xdr:spPr bwMode="auto">
        <a:xfrm>
          <a:off x="1512795" y="1164851"/>
          <a:ext cx="7440706" cy="2315136"/>
        </a:xfrm>
        <a:prstGeom prst="rect">
          <a:avLst/>
        </a:prstGeom>
        <a:solidFill>
          <a:srgbClr val="FFFFFF"/>
        </a:solidFill>
        <a:ln w="57150" cmpd="thickThin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64008" tIns="45720" rIns="64008" bIns="45720" anchor="ctr"/>
        <a:lstStyle/>
        <a:p>
          <a:pPr algn="ctr" rtl="0">
            <a:lnSpc>
              <a:spcPts val="4100"/>
            </a:lnSpc>
            <a:defRPr sz="1000"/>
          </a:pPr>
          <a:r>
            <a:rPr lang="en-US" altLang="ko-KR" sz="3200" b="1" i="0" u="none" strike="noStrike" baseline="0">
              <a:solidFill>
                <a:srgbClr val="000000"/>
              </a:solidFill>
              <a:latin typeface="BatangChe"/>
              <a:ea typeface="BatangChe"/>
            </a:rPr>
            <a:t>MACHINE AXIS CHECK LIST</a:t>
          </a:r>
        </a:p>
        <a:p>
          <a:pPr algn="ctr" rtl="0">
            <a:defRPr sz="1000"/>
          </a:pPr>
          <a:r>
            <a:rPr lang="en-US" altLang="ko-KR" sz="3200" b="1" i="0" u="none" strike="noStrike" baseline="0">
              <a:solidFill>
                <a:srgbClr val="000000"/>
              </a:solidFill>
              <a:latin typeface="BatangChe"/>
              <a:ea typeface="BatangChe"/>
            </a:rPr>
            <a:t>[ORDER_NO.:-]</a:t>
          </a:r>
        </a:p>
        <a:p>
          <a:pPr algn="ctr" rtl="0">
            <a:defRPr sz="1000"/>
          </a:pPr>
          <a:r>
            <a:rPr lang="en-US" altLang="ko-KR" sz="3200" b="1" i="0" u="none" strike="noStrike" baseline="0">
              <a:solidFill>
                <a:srgbClr val="000000"/>
              </a:solidFill>
              <a:latin typeface="BatangChe"/>
              <a:ea typeface="BatangChe"/>
            </a:rPr>
            <a:t>[</a:t>
          </a:r>
          <a:r>
            <a:rPr lang="ko-KR" altLang="en-US" sz="3200" b="1" i="0" u="none" strike="noStrike" baseline="0">
              <a:solidFill>
                <a:srgbClr val="000000"/>
              </a:solidFill>
              <a:latin typeface="BatangChe"/>
              <a:ea typeface="BatangChe"/>
            </a:rPr>
            <a:t>장치명</a:t>
          </a:r>
          <a:r>
            <a:rPr lang="en-US" altLang="ko-KR" sz="3200" b="1" i="0" u="none" strike="noStrike" baseline="0">
              <a:solidFill>
                <a:srgbClr val="000000"/>
              </a:solidFill>
              <a:latin typeface="BatangChe"/>
              <a:ea typeface="BatangChe"/>
            </a:rPr>
            <a:t>:SISW-OLED2300-4]</a:t>
          </a:r>
        </a:p>
      </xdr:txBody>
    </xdr:sp>
    <xdr:clientData/>
  </xdr:twoCellAnchor>
  <xdr:twoCellAnchor editAs="oneCell">
    <xdr:from>
      <xdr:col>21</xdr:col>
      <xdr:colOff>152400</xdr:colOff>
      <xdr:row>35</xdr:row>
      <xdr:rowOff>95250</xdr:rowOff>
    </xdr:from>
    <xdr:to>
      <xdr:col>28</xdr:col>
      <xdr:colOff>152400</xdr:colOff>
      <xdr:row>42</xdr:row>
      <xdr:rowOff>114300</xdr:rowOff>
    </xdr:to>
    <xdr:pic>
      <xdr:nvPicPr>
        <xdr:cNvPr id="45084" name="Picture 2" descr="MDIK 로고(양식)">
          <a:extLst>
            <a:ext uri="{FF2B5EF4-FFF2-40B4-BE49-F238E27FC236}">
              <a16:creationId xmlns:a16="http://schemas.microsoft.com/office/drawing/2014/main" id="{00000000-0008-0000-0000-00001CB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5562600"/>
          <a:ext cx="1400175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44823</xdr:colOff>
      <xdr:row>30</xdr:row>
      <xdr:rowOff>53788</xdr:rowOff>
    </xdr:from>
    <xdr:to>
      <xdr:col>35</xdr:col>
      <xdr:colOff>23196</xdr:colOff>
      <xdr:row>33</xdr:row>
      <xdr:rowOff>129988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F9A6D8B-A34A-4922-9C5D-7FED85C53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2235" y="4625788"/>
          <a:ext cx="51625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" name="AutoShape 1">
          <a:extLst>
            <a:ext uri="{FF2B5EF4-FFF2-40B4-BE49-F238E27FC236}">
              <a16:creationId xmlns:a16="http://schemas.microsoft.com/office/drawing/2014/main" id="{A5C8F326-523F-49EB-AB72-A38CE24CE8D9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3" name="AutoShape 2">
          <a:extLst>
            <a:ext uri="{FF2B5EF4-FFF2-40B4-BE49-F238E27FC236}">
              <a16:creationId xmlns:a16="http://schemas.microsoft.com/office/drawing/2014/main" id="{313B7B7E-E91D-4026-ACF1-F01A47949855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4" name="AutoShape 3">
          <a:extLst>
            <a:ext uri="{FF2B5EF4-FFF2-40B4-BE49-F238E27FC236}">
              <a16:creationId xmlns:a16="http://schemas.microsoft.com/office/drawing/2014/main" id="{6E0C618F-1BE2-4AB2-B569-300A4FFEF0F4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5" name="AutoShape 4">
          <a:extLst>
            <a:ext uri="{FF2B5EF4-FFF2-40B4-BE49-F238E27FC236}">
              <a16:creationId xmlns:a16="http://schemas.microsoft.com/office/drawing/2014/main" id="{7435A6C4-9098-42E7-AFDB-C4015292BD7D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6" name="AutoShape 5">
          <a:extLst>
            <a:ext uri="{FF2B5EF4-FFF2-40B4-BE49-F238E27FC236}">
              <a16:creationId xmlns:a16="http://schemas.microsoft.com/office/drawing/2014/main" id="{EC2B2F85-DE67-4323-BFEB-A11F670754FC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7" name="AutoShape 6">
          <a:extLst>
            <a:ext uri="{FF2B5EF4-FFF2-40B4-BE49-F238E27FC236}">
              <a16:creationId xmlns:a16="http://schemas.microsoft.com/office/drawing/2014/main" id="{B4B4D302-683A-452B-BDB0-FED548D92D78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8" name="AutoShape 7">
          <a:extLst>
            <a:ext uri="{FF2B5EF4-FFF2-40B4-BE49-F238E27FC236}">
              <a16:creationId xmlns:a16="http://schemas.microsoft.com/office/drawing/2014/main" id="{036135BE-4C7B-4F5F-B7C0-506A55A333CB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9" name="AutoShape 8">
          <a:extLst>
            <a:ext uri="{FF2B5EF4-FFF2-40B4-BE49-F238E27FC236}">
              <a16:creationId xmlns:a16="http://schemas.microsoft.com/office/drawing/2014/main" id="{52983973-13AB-4721-9685-9F1808730389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0" name="AutoShape 9">
          <a:extLst>
            <a:ext uri="{FF2B5EF4-FFF2-40B4-BE49-F238E27FC236}">
              <a16:creationId xmlns:a16="http://schemas.microsoft.com/office/drawing/2014/main" id="{0A3EA316-8996-4C6E-88F9-A31818AB29DF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1" name="AutoShape 10">
          <a:extLst>
            <a:ext uri="{FF2B5EF4-FFF2-40B4-BE49-F238E27FC236}">
              <a16:creationId xmlns:a16="http://schemas.microsoft.com/office/drawing/2014/main" id="{6CC742A6-2284-45E6-A0DC-B74BBA409EFF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2" name="AutoShape 11">
          <a:extLst>
            <a:ext uri="{FF2B5EF4-FFF2-40B4-BE49-F238E27FC236}">
              <a16:creationId xmlns:a16="http://schemas.microsoft.com/office/drawing/2014/main" id="{5187A409-8D7E-4923-B497-D8FD226343A3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3" name="AutoShape 12">
          <a:extLst>
            <a:ext uri="{FF2B5EF4-FFF2-40B4-BE49-F238E27FC236}">
              <a16:creationId xmlns:a16="http://schemas.microsoft.com/office/drawing/2014/main" id="{70379B9B-D2EB-40A3-8C65-F88F3ABDEF0A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4" name="AutoShape 13">
          <a:extLst>
            <a:ext uri="{FF2B5EF4-FFF2-40B4-BE49-F238E27FC236}">
              <a16:creationId xmlns:a16="http://schemas.microsoft.com/office/drawing/2014/main" id="{97963B7C-2A0E-447B-BDB5-D67C1D587963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5" name="AutoShape 14">
          <a:extLst>
            <a:ext uri="{FF2B5EF4-FFF2-40B4-BE49-F238E27FC236}">
              <a16:creationId xmlns:a16="http://schemas.microsoft.com/office/drawing/2014/main" id="{5198F4D4-A4EA-4BE9-8BCB-3C6B5EA91171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6" name="AutoShape 15">
          <a:extLst>
            <a:ext uri="{FF2B5EF4-FFF2-40B4-BE49-F238E27FC236}">
              <a16:creationId xmlns:a16="http://schemas.microsoft.com/office/drawing/2014/main" id="{EF44E31A-F80B-49F4-A0AF-3443045EA050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7" name="AutoShape 16">
          <a:extLst>
            <a:ext uri="{FF2B5EF4-FFF2-40B4-BE49-F238E27FC236}">
              <a16:creationId xmlns:a16="http://schemas.microsoft.com/office/drawing/2014/main" id="{A319F1F6-7A36-4563-9C89-C3B9BD1AE620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8" name="AutoShape 17">
          <a:extLst>
            <a:ext uri="{FF2B5EF4-FFF2-40B4-BE49-F238E27FC236}">
              <a16:creationId xmlns:a16="http://schemas.microsoft.com/office/drawing/2014/main" id="{117E46AB-CAA2-4CEC-A7B6-54BDD6FF5D61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9" name="AutoShape 18">
          <a:extLst>
            <a:ext uri="{FF2B5EF4-FFF2-40B4-BE49-F238E27FC236}">
              <a16:creationId xmlns:a16="http://schemas.microsoft.com/office/drawing/2014/main" id="{CFE051E4-E213-41B2-9495-EC03C8F10702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0" name="AutoShape 19">
          <a:extLst>
            <a:ext uri="{FF2B5EF4-FFF2-40B4-BE49-F238E27FC236}">
              <a16:creationId xmlns:a16="http://schemas.microsoft.com/office/drawing/2014/main" id="{0C082B17-521C-4E18-989D-6B9A52BB5367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1" name="AutoShape 20">
          <a:extLst>
            <a:ext uri="{FF2B5EF4-FFF2-40B4-BE49-F238E27FC236}">
              <a16:creationId xmlns:a16="http://schemas.microsoft.com/office/drawing/2014/main" id="{9EC6BC77-9447-4DE0-BF65-3E5453449BA7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" name="AutoShape 1">
          <a:extLst>
            <a:ext uri="{FF2B5EF4-FFF2-40B4-BE49-F238E27FC236}">
              <a16:creationId xmlns:a16="http://schemas.microsoft.com/office/drawing/2014/main" id="{741212F0-E2A3-4FFF-82EA-F7FEDC9844D8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3" name="AutoShape 2">
          <a:extLst>
            <a:ext uri="{FF2B5EF4-FFF2-40B4-BE49-F238E27FC236}">
              <a16:creationId xmlns:a16="http://schemas.microsoft.com/office/drawing/2014/main" id="{D75B68BF-762A-424A-B378-9A2DE02625F2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4" name="AutoShape 3">
          <a:extLst>
            <a:ext uri="{FF2B5EF4-FFF2-40B4-BE49-F238E27FC236}">
              <a16:creationId xmlns:a16="http://schemas.microsoft.com/office/drawing/2014/main" id="{19DDADC5-AB5B-4964-8869-8CE1E6EEE81E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5" name="AutoShape 4">
          <a:extLst>
            <a:ext uri="{FF2B5EF4-FFF2-40B4-BE49-F238E27FC236}">
              <a16:creationId xmlns:a16="http://schemas.microsoft.com/office/drawing/2014/main" id="{672A457D-2DE6-4371-8C5D-01A1EDB2D4A7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6" name="AutoShape 5">
          <a:extLst>
            <a:ext uri="{FF2B5EF4-FFF2-40B4-BE49-F238E27FC236}">
              <a16:creationId xmlns:a16="http://schemas.microsoft.com/office/drawing/2014/main" id="{C6B578C6-57C9-4716-982D-C739D3D40F68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7" name="AutoShape 6">
          <a:extLst>
            <a:ext uri="{FF2B5EF4-FFF2-40B4-BE49-F238E27FC236}">
              <a16:creationId xmlns:a16="http://schemas.microsoft.com/office/drawing/2014/main" id="{F85BBE20-A7BE-4C79-B8FE-6AFC32BA49D9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8" name="AutoShape 7">
          <a:extLst>
            <a:ext uri="{FF2B5EF4-FFF2-40B4-BE49-F238E27FC236}">
              <a16:creationId xmlns:a16="http://schemas.microsoft.com/office/drawing/2014/main" id="{D9C0B526-E3F2-4BAF-9946-C9FFB6B675CD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9" name="AutoShape 8">
          <a:extLst>
            <a:ext uri="{FF2B5EF4-FFF2-40B4-BE49-F238E27FC236}">
              <a16:creationId xmlns:a16="http://schemas.microsoft.com/office/drawing/2014/main" id="{910E874E-75B5-46FC-988E-1CB631F5F0DA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0" name="AutoShape 9">
          <a:extLst>
            <a:ext uri="{FF2B5EF4-FFF2-40B4-BE49-F238E27FC236}">
              <a16:creationId xmlns:a16="http://schemas.microsoft.com/office/drawing/2014/main" id="{30315A63-19E9-4932-AAF4-F836AC8B5D24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1" name="AutoShape 10">
          <a:extLst>
            <a:ext uri="{FF2B5EF4-FFF2-40B4-BE49-F238E27FC236}">
              <a16:creationId xmlns:a16="http://schemas.microsoft.com/office/drawing/2014/main" id="{3C2E4901-C371-4C9E-92E1-13C805B0E230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2" name="AutoShape 11">
          <a:extLst>
            <a:ext uri="{FF2B5EF4-FFF2-40B4-BE49-F238E27FC236}">
              <a16:creationId xmlns:a16="http://schemas.microsoft.com/office/drawing/2014/main" id="{E7994BC1-1F8C-4614-838B-367A16DA570E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3" name="AutoShape 12">
          <a:extLst>
            <a:ext uri="{FF2B5EF4-FFF2-40B4-BE49-F238E27FC236}">
              <a16:creationId xmlns:a16="http://schemas.microsoft.com/office/drawing/2014/main" id="{3ECBE770-F6CB-46B8-9F4F-8A3A4F893BA3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4" name="AutoShape 13">
          <a:extLst>
            <a:ext uri="{FF2B5EF4-FFF2-40B4-BE49-F238E27FC236}">
              <a16:creationId xmlns:a16="http://schemas.microsoft.com/office/drawing/2014/main" id="{AE29CC37-61E4-4AF5-9590-4BB4C9526D03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5" name="AutoShape 14">
          <a:extLst>
            <a:ext uri="{FF2B5EF4-FFF2-40B4-BE49-F238E27FC236}">
              <a16:creationId xmlns:a16="http://schemas.microsoft.com/office/drawing/2014/main" id="{3CA83BA1-B28E-455A-928B-A129423DB3B4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6" name="AutoShape 15">
          <a:extLst>
            <a:ext uri="{FF2B5EF4-FFF2-40B4-BE49-F238E27FC236}">
              <a16:creationId xmlns:a16="http://schemas.microsoft.com/office/drawing/2014/main" id="{701730A4-7A10-4392-A79B-11AF053FC61A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7" name="AutoShape 16">
          <a:extLst>
            <a:ext uri="{FF2B5EF4-FFF2-40B4-BE49-F238E27FC236}">
              <a16:creationId xmlns:a16="http://schemas.microsoft.com/office/drawing/2014/main" id="{9E0C539F-A073-4B4D-958F-A2D15E716CD7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8" name="AutoShape 17">
          <a:extLst>
            <a:ext uri="{FF2B5EF4-FFF2-40B4-BE49-F238E27FC236}">
              <a16:creationId xmlns:a16="http://schemas.microsoft.com/office/drawing/2014/main" id="{619342E4-15DF-4D20-B5E7-5B58CB54B3DF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9" name="AutoShape 18">
          <a:extLst>
            <a:ext uri="{FF2B5EF4-FFF2-40B4-BE49-F238E27FC236}">
              <a16:creationId xmlns:a16="http://schemas.microsoft.com/office/drawing/2014/main" id="{BB379A6B-A183-4514-A784-055F65765512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0" name="AutoShape 19">
          <a:extLst>
            <a:ext uri="{FF2B5EF4-FFF2-40B4-BE49-F238E27FC236}">
              <a16:creationId xmlns:a16="http://schemas.microsoft.com/office/drawing/2014/main" id="{5AC4CD9A-D922-49C9-A111-E2BCC05A3A49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1" name="AutoShape 20">
          <a:extLst>
            <a:ext uri="{FF2B5EF4-FFF2-40B4-BE49-F238E27FC236}">
              <a16:creationId xmlns:a16="http://schemas.microsoft.com/office/drawing/2014/main" id="{EBF88940-5C91-4618-942C-67B692C7EA88}"/>
            </a:ext>
          </a:extLst>
        </xdr:cNvPr>
        <xdr:cNvCxnSpPr>
          <a:cxnSpLocks noChangeShapeType="1"/>
        </xdr:cNvCxnSpPr>
      </xdr:nvCxnSpPr>
      <xdr:spPr bwMode="auto">
        <a:xfrm>
          <a:off x="580072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" name="AutoShape 1">
          <a:extLst>
            <a:ext uri="{FF2B5EF4-FFF2-40B4-BE49-F238E27FC236}">
              <a16:creationId xmlns:a16="http://schemas.microsoft.com/office/drawing/2014/main" id="{257BAB1E-7F05-4420-88EF-0B5ACA026B4B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3" name="AutoShape 2">
          <a:extLst>
            <a:ext uri="{FF2B5EF4-FFF2-40B4-BE49-F238E27FC236}">
              <a16:creationId xmlns:a16="http://schemas.microsoft.com/office/drawing/2014/main" id="{7F8C852F-57D4-4F36-B459-1AD1F273EE6D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4" name="AutoShape 3">
          <a:extLst>
            <a:ext uri="{FF2B5EF4-FFF2-40B4-BE49-F238E27FC236}">
              <a16:creationId xmlns:a16="http://schemas.microsoft.com/office/drawing/2014/main" id="{C02C7992-E1C2-47E1-8718-FB277968283A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5" name="AutoShape 4">
          <a:extLst>
            <a:ext uri="{FF2B5EF4-FFF2-40B4-BE49-F238E27FC236}">
              <a16:creationId xmlns:a16="http://schemas.microsoft.com/office/drawing/2014/main" id="{0DB2D79A-63C4-4B81-B73B-2B8E6102D0D9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6" name="AutoShape 5">
          <a:extLst>
            <a:ext uri="{FF2B5EF4-FFF2-40B4-BE49-F238E27FC236}">
              <a16:creationId xmlns:a16="http://schemas.microsoft.com/office/drawing/2014/main" id="{8C2A4714-39E5-4261-9FAA-0D677182623A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7" name="AutoShape 6">
          <a:extLst>
            <a:ext uri="{FF2B5EF4-FFF2-40B4-BE49-F238E27FC236}">
              <a16:creationId xmlns:a16="http://schemas.microsoft.com/office/drawing/2014/main" id="{FECFA556-2857-4A04-9659-B7F0B59C052C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8" name="AutoShape 7">
          <a:extLst>
            <a:ext uri="{FF2B5EF4-FFF2-40B4-BE49-F238E27FC236}">
              <a16:creationId xmlns:a16="http://schemas.microsoft.com/office/drawing/2014/main" id="{01A47F70-E7A1-4DD4-808C-E6527B21424A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9" name="AutoShape 8">
          <a:extLst>
            <a:ext uri="{FF2B5EF4-FFF2-40B4-BE49-F238E27FC236}">
              <a16:creationId xmlns:a16="http://schemas.microsoft.com/office/drawing/2014/main" id="{C9A73A4E-C56D-43EE-BF0C-B60BD0775FF6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0" name="AutoShape 9">
          <a:extLst>
            <a:ext uri="{FF2B5EF4-FFF2-40B4-BE49-F238E27FC236}">
              <a16:creationId xmlns:a16="http://schemas.microsoft.com/office/drawing/2014/main" id="{E929A3C4-BF14-48E7-B674-3D518FCA6464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1" name="AutoShape 10">
          <a:extLst>
            <a:ext uri="{FF2B5EF4-FFF2-40B4-BE49-F238E27FC236}">
              <a16:creationId xmlns:a16="http://schemas.microsoft.com/office/drawing/2014/main" id="{9055D07D-EC5A-4D98-868E-57542F1B335E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2" name="AutoShape 11">
          <a:extLst>
            <a:ext uri="{FF2B5EF4-FFF2-40B4-BE49-F238E27FC236}">
              <a16:creationId xmlns:a16="http://schemas.microsoft.com/office/drawing/2014/main" id="{3991CE30-5C4B-4107-A689-651970A097F2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3" name="AutoShape 12">
          <a:extLst>
            <a:ext uri="{FF2B5EF4-FFF2-40B4-BE49-F238E27FC236}">
              <a16:creationId xmlns:a16="http://schemas.microsoft.com/office/drawing/2014/main" id="{4A43E967-EA59-4ADD-8FB0-E373D17E7C74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4" name="AutoShape 13">
          <a:extLst>
            <a:ext uri="{FF2B5EF4-FFF2-40B4-BE49-F238E27FC236}">
              <a16:creationId xmlns:a16="http://schemas.microsoft.com/office/drawing/2014/main" id="{FE546CAB-96E4-4997-A3E2-FAF0FA0E1373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5" name="AutoShape 14">
          <a:extLst>
            <a:ext uri="{FF2B5EF4-FFF2-40B4-BE49-F238E27FC236}">
              <a16:creationId xmlns:a16="http://schemas.microsoft.com/office/drawing/2014/main" id="{30703229-A442-4827-BE6B-48C972721770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6" name="AutoShape 15">
          <a:extLst>
            <a:ext uri="{FF2B5EF4-FFF2-40B4-BE49-F238E27FC236}">
              <a16:creationId xmlns:a16="http://schemas.microsoft.com/office/drawing/2014/main" id="{4BE57F84-82A4-41EB-9216-91B155EDD787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7" name="AutoShape 16">
          <a:extLst>
            <a:ext uri="{FF2B5EF4-FFF2-40B4-BE49-F238E27FC236}">
              <a16:creationId xmlns:a16="http://schemas.microsoft.com/office/drawing/2014/main" id="{09EA7F83-A4B1-4453-979C-FA4B06066915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8" name="AutoShape 17">
          <a:extLst>
            <a:ext uri="{FF2B5EF4-FFF2-40B4-BE49-F238E27FC236}">
              <a16:creationId xmlns:a16="http://schemas.microsoft.com/office/drawing/2014/main" id="{C18E8B5A-311F-42B4-802A-965CF1256A75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9" name="AutoShape 18">
          <a:extLst>
            <a:ext uri="{FF2B5EF4-FFF2-40B4-BE49-F238E27FC236}">
              <a16:creationId xmlns:a16="http://schemas.microsoft.com/office/drawing/2014/main" id="{2B66F732-8F62-4D9F-AFEE-729CE9F7BB9E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0" name="AutoShape 19">
          <a:extLst>
            <a:ext uri="{FF2B5EF4-FFF2-40B4-BE49-F238E27FC236}">
              <a16:creationId xmlns:a16="http://schemas.microsoft.com/office/drawing/2014/main" id="{F15A3AC0-5B4C-41C7-BA96-6639421BC73B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1" name="AutoShape 20">
          <a:extLst>
            <a:ext uri="{FF2B5EF4-FFF2-40B4-BE49-F238E27FC236}">
              <a16:creationId xmlns:a16="http://schemas.microsoft.com/office/drawing/2014/main" id="{B7D69441-9F60-40CD-AF87-B22C13450859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" name="AutoShape 1">
          <a:extLst>
            <a:ext uri="{FF2B5EF4-FFF2-40B4-BE49-F238E27FC236}">
              <a16:creationId xmlns:a16="http://schemas.microsoft.com/office/drawing/2014/main" id="{1BB6C327-DFA7-430B-9CC4-9C7D9713E632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3" name="AutoShape 2">
          <a:extLst>
            <a:ext uri="{FF2B5EF4-FFF2-40B4-BE49-F238E27FC236}">
              <a16:creationId xmlns:a16="http://schemas.microsoft.com/office/drawing/2014/main" id="{DF6A3263-E4B5-4A33-8E81-F66C6DC5380A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4" name="AutoShape 3">
          <a:extLst>
            <a:ext uri="{FF2B5EF4-FFF2-40B4-BE49-F238E27FC236}">
              <a16:creationId xmlns:a16="http://schemas.microsoft.com/office/drawing/2014/main" id="{01E4F004-14F9-4D70-A93C-0274A950E9A4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5" name="AutoShape 4">
          <a:extLst>
            <a:ext uri="{FF2B5EF4-FFF2-40B4-BE49-F238E27FC236}">
              <a16:creationId xmlns:a16="http://schemas.microsoft.com/office/drawing/2014/main" id="{E7D582DE-977E-45CD-BC95-6DD47BABBC37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6" name="AutoShape 5">
          <a:extLst>
            <a:ext uri="{FF2B5EF4-FFF2-40B4-BE49-F238E27FC236}">
              <a16:creationId xmlns:a16="http://schemas.microsoft.com/office/drawing/2014/main" id="{F20EBEA5-8769-425E-BF80-74FF1A91FF47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7" name="AutoShape 6">
          <a:extLst>
            <a:ext uri="{FF2B5EF4-FFF2-40B4-BE49-F238E27FC236}">
              <a16:creationId xmlns:a16="http://schemas.microsoft.com/office/drawing/2014/main" id="{6414EBF8-7CFA-4B94-BF10-C98F4108541D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8" name="AutoShape 7">
          <a:extLst>
            <a:ext uri="{FF2B5EF4-FFF2-40B4-BE49-F238E27FC236}">
              <a16:creationId xmlns:a16="http://schemas.microsoft.com/office/drawing/2014/main" id="{210968AD-515F-4652-9C9C-E4EAE20B64C9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9" name="AutoShape 8">
          <a:extLst>
            <a:ext uri="{FF2B5EF4-FFF2-40B4-BE49-F238E27FC236}">
              <a16:creationId xmlns:a16="http://schemas.microsoft.com/office/drawing/2014/main" id="{A0DB0ADF-BBD8-4F43-981A-08E8EF1B9095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0" name="AutoShape 9">
          <a:extLst>
            <a:ext uri="{FF2B5EF4-FFF2-40B4-BE49-F238E27FC236}">
              <a16:creationId xmlns:a16="http://schemas.microsoft.com/office/drawing/2014/main" id="{51A7CF4B-A796-4476-8164-E874C970F6D2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1" name="AutoShape 10">
          <a:extLst>
            <a:ext uri="{FF2B5EF4-FFF2-40B4-BE49-F238E27FC236}">
              <a16:creationId xmlns:a16="http://schemas.microsoft.com/office/drawing/2014/main" id="{97C0700F-BE38-4ECD-AF88-249EDA8DBD81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2" name="AutoShape 11">
          <a:extLst>
            <a:ext uri="{FF2B5EF4-FFF2-40B4-BE49-F238E27FC236}">
              <a16:creationId xmlns:a16="http://schemas.microsoft.com/office/drawing/2014/main" id="{94FB81A5-F1C8-4F09-A203-2674E8DD15A0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3" name="AutoShape 12">
          <a:extLst>
            <a:ext uri="{FF2B5EF4-FFF2-40B4-BE49-F238E27FC236}">
              <a16:creationId xmlns:a16="http://schemas.microsoft.com/office/drawing/2014/main" id="{7D9A2C59-5E0B-4739-A12A-83CD03710A04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4" name="AutoShape 13">
          <a:extLst>
            <a:ext uri="{FF2B5EF4-FFF2-40B4-BE49-F238E27FC236}">
              <a16:creationId xmlns:a16="http://schemas.microsoft.com/office/drawing/2014/main" id="{C62EBE73-AAA0-4637-B3E1-696E9E001ECF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5" name="AutoShape 14">
          <a:extLst>
            <a:ext uri="{FF2B5EF4-FFF2-40B4-BE49-F238E27FC236}">
              <a16:creationId xmlns:a16="http://schemas.microsoft.com/office/drawing/2014/main" id="{CA835444-A697-49A4-8043-B5FB3ED03452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6" name="AutoShape 15">
          <a:extLst>
            <a:ext uri="{FF2B5EF4-FFF2-40B4-BE49-F238E27FC236}">
              <a16:creationId xmlns:a16="http://schemas.microsoft.com/office/drawing/2014/main" id="{363E00F7-45AF-41A1-ACB8-D128C82E4136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7" name="AutoShape 16">
          <a:extLst>
            <a:ext uri="{FF2B5EF4-FFF2-40B4-BE49-F238E27FC236}">
              <a16:creationId xmlns:a16="http://schemas.microsoft.com/office/drawing/2014/main" id="{FF73FC3B-4A87-4C27-A140-A4B4783666D3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8" name="AutoShape 17">
          <a:extLst>
            <a:ext uri="{FF2B5EF4-FFF2-40B4-BE49-F238E27FC236}">
              <a16:creationId xmlns:a16="http://schemas.microsoft.com/office/drawing/2014/main" id="{A2B7EFB0-E495-4275-B88C-E7F96C57EDA8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9" name="AutoShape 18">
          <a:extLst>
            <a:ext uri="{FF2B5EF4-FFF2-40B4-BE49-F238E27FC236}">
              <a16:creationId xmlns:a16="http://schemas.microsoft.com/office/drawing/2014/main" id="{0C808298-3FA6-41BC-B60B-AD209DE50673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0" name="AutoShape 19">
          <a:extLst>
            <a:ext uri="{FF2B5EF4-FFF2-40B4-BE49-F238E27FC236}">
              <a16:creationId xmlns:a16="http://schemas.microsoft.com/office/drawing/2014/main" id="{1F1065AB-DB35-49EF-BE2C-BBD5E2524C7E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1" name="AutoShape 20">
          <a:extLst>
            <a:ext uri="{FF2B5EF4-FFF2-40B4-BE49-F238E27FC236}">
              <a16:creationId xmlns:a16="http://schemas.microsoft.com/office/drawing/2014/main" id="{2BAFA74B-6CC4-4C96-BB1B-9ED9EE74211E}"/>
            </a:ext>
          </a:extLst>
        </xdr:cNvPr>
        <xdr:cNvCxnSpPr>
          <a:cxnSpLocks noChangeShapeType="1"/>
        </xdr:cNvCxnSpPr>
      </xdr:nvCxnSpPr>
      <xdr:spPr bwMode="auto">
        <a:xfrm>
          <a:off x="5362575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" name="AutoShape 1">
          <a:extLst>
            <a:ext uri="{FF2B5EF4-FFF2-40B4-BE49-F238E27FC236}">
              <a16:creationId xmlns:a16="http://schemas.microsoft.com/office/drawing/2014/main" id="{BB6A23F5-A9AF-408E-84FD-984B93397B36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3" name="AutoShape 2">
          <a:extLst>
            <a:ext uri="{FF2B5EF4-FFF2-40B4-BE49-F238E27FC236}">
              <a16:creationId xmlns:a16="http://schemas.microsoft.com/office/drawing/2014/main" id="{8419B64D-C8CA-4A8F-9087-6524F697A9B7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4" name="AutoShape 3">
          <a:extLst>
            <a:ext uri="{FF2B5EF4-FFF2-40B4-BE49-F238E27FC236}">
              <a16:creationId xmlns:a16="http://schemas.microsoft.com/office/drawing/2014/main" id="{EBB8FF21-5DDB-46F7-B12B-5247EA1F74BC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5" name="AutoShape 4">
          <a:extLst>
            <a:ext uri="{FF2B5EF4-FFF2-40B4-BE49-F238E27FC236}">
              <a16:creationId xmlns:a16="http://schemas.microsoft.com/office/drawing/2014/main" id="{F72B51D4-8DB4-4A1D-BA8A-828CE307BA60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6" name="AutoShape 5">
          <a:extLst>
            <a:ext uri="{FF2B5EF4-FFF2-40B4-BE49-F238E27FC236}">
              <a16:creationId xmlns:a16="http://schemas.microsoft.com/office/drawing/2014/main" id="{9004A16F-8BB4-4979-AC8E-9547BE20585E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7" name="AutoShape 6">
          <a:extLst>
            <a:ext uri="{FF2B5EF4-FFF2-40B4-BE49-F238E27FC236}">
              <a16:creationId xmlns:a16="http://schemas.microsoft.com/office/drawing/2014/main" id="{42414D67-5F92-445B-9836-2015A21FD736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8" name="AutoShape 7">
          <a:extLst>
            <a:ext uri="{FF2B5EF4-FFF2-40B4-BE49-F238E27FC236}">
              <a16:creationId xmlns:a16="http://schemas.microsoft.com/office/drawing/2014/main" id="{D36F8CBF-B94B-4D53-B91D-F23349F8A46E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9" name="AutoShape 8">
          <a:extLst>
            <a:ext uri="{FF2B5EF4-FFF2-40B4-BE49-F238E27FC236}">
              <a16:creationId xmlns:a16="http://schemas.microsoft.com/office/drawing/2014/main" id="{A21593EA-3183-426C-A149-0EA0F22672CA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0" name="AutoShape 9">
          <a:extLst>
            <a:ext uri="{FF2B5EF4-FFF2-40B4-BE49-F238E27FC236}">
              <a16:creationId xmlns:a16="http://schemas.microsoft.com/office/drawing/2014/main" id="{C60A394A-5DDA-4C37-93F9-B3F9C2FA9770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1" name="AutoShape 10">
          <a:extLst>
            <a:ext uri="{FF2B5EF4-FFF2-40B4-BE49-F238E27FC236}">
              <a16:creationId xmlns:a16="http://schemas.microsoft.com/office/drawing/2014/main" id="{33BBEF9D-1257-4EA5-B94A-3D5FC9D4B2CB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2" name="AutoShape 11">
          <a:extLst>
            <a:ext uri="{FF2B5EF4-FFF2-40B4-BE49-F238E27FC236}">
              <a16:creationId xmlns:a16="http://schemas.microsoft.com/office/drawing/2014/main" id="{2DC79624-EE5A-4BB3-BDE0-5385652E4DA0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3" name="AutoShape 12">
          <a:extLst>
            <a:ext uri="{FF2B5EF4-FFF2-40B4-BE49-F238E27FC236}">
              <a16:creationId xmlns:a16="http://schemas.microsoft.com/office/drawing/2014/main" id="{3F38FD0E-C163-4376-AC7D-F306F1F6CC84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4" name="AutoShape 13">
          <a:extLst>
            <a:ext uri="{FF2B5EF4-FFF2-40B4-BE49-F238E27FC236}">
              <a16:creationId xmlns:a16="http://schemas.microsoft.com/office/drawing/2014/main" id="{3BD917A0-E390-46D1-89EB-CC98C8932C9D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5" name="AutoShape 14">
          <a:extLst>
            <a:ext uri="{FF2B5EF4-FFF2-40B4-BE49-F238E27FC236}">
              <a16:creationId xmlns:a16="http://schemas.microsoft.com/office/drawing/2014/main" id="{BC7833C6-B5F7-416A-99D9-70791121ABD2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6" name="AutoShape 15">
          <a:extLst>
            <a:ext uri="{FF2B5EF4-FFF2-40B4-BE49-F238E27FC236}">
              <a16:creationId xmlns:a16="http://schemas.microsoft.com/office/drawing/2014/main" id="{68798025-03B9-41E5-995B-05347E97B10B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7" name="AutoShape 16">
          <a:extLst>
            <a:ext uri="{FF2B5EF4-FFF2-40B4-BE49-F238E27FC236}">
              <a16:creationId xmlns:a16="http://schemas.microsoft.com/office/drawing/2014/main" id="{D49A1691-7F92-4274-B908-1091FE4C06AE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8" name="AutoShape 17">
          <a:extLst>
            <a:ext uri="{FF2B5EF4-FFF2-40B4-BE49-F238E27FC236}">
              <a16:creationId xmlns:a16="http://schemas.microsoft.com/office/drawing/2014/main" id="{CDDC12A5-AE46-4A23-9F9F-61AA940BABD4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19" name="AutoShape 18">
          <a:extLst>
            <a:ext uri="{FF2B5EF4-FFF2-40B4-BE49-F238E27FC236}">
              <a16:creationId xmlns:a16="http://schemas.microsoft.com/office/drawing/2014/main" id="{59B9F9C8-0C0B-4DEA-B5A7-BF0363866192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0" name="AutoShape 19">
          <a:extLst>
            <a:ext uri="{FF2B5EF4-FFF2-40B4-BE49-F238E27FC236}">
              <a16:creationId xmlns:a16="http://schemas.microsoft.com/office/drawing/2014/main" id="{51C87863-AF78-4D0B-94CD-1E505196BC7F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cxnSp macro="">
      <xdr:nvCxnSpPr>
        <xdr:cNvPr id="21" name="AutoShape 20">
          <a:extLst>
            <a:ext uri="{FF2B5EF4-FFF2-40B4-BE49-F238E27FC236}">
              <a16:creationId xmlns:a16="http://schemas.microsoft.com/office/drawing/2014/main" id="{007BC96B-D5DA-4B41-A10E-85D51A505241}"/>
            </a:ext>
          </a:extLst>
        </xdr:cNvPr>
        <xdr:cNvCxnSpPr>
          <a:cxnSpLocks noChangeShapeType="1"/>
        </xdr:cNvCxnSpPr>
      </xdr:nvCxnSpPr>
      <xdr:spPr bwMode="auto">
        <a:xfrm>
          <a:off x="5341620" y="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28575</xdr:colOff>
      <xdr:row>8</xdr:row>
      <xdr:rowOff>47625</xdr:rowOff>
    </xdr:from>
    <xdr:to>
      <xdr:col>40</xdr:col>
      <xdr:colOff>114300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03052-559C-41AC-9708-5A089FDF0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1820" y="1811655"/>
          <a:ext cx="316230" cy="179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85725</xdr:colOff>
      <xdr:row>8</xdr:row>
      <xdr:rowOff>57151</xdr:rowOff>
    </xdr:from>
    <xdr:to>
      <xdr:col>46</xdr:col>
      <xdr:colOff>59055</xdr:colOff>
      <xdr:row>8</xdr:row>
      <xdr:rowOff>210504</xdr:rowOff>
    </xdr:to>
    <xdr:pic>
      <xdr:nvPicPr>
        <xdr:cNvPr id="3" name="Picture 2" descr="도장">
          <a:extLst>
            <a:ext uri="{FF2B5EF4-FFF2-40B4-BE49-F238E27FC236}">
              <a16:creationId xmlns:a16="http://schemas.microsoft.com/office/drawing/2014/main" id="{ABE63D76-A8C5-4DC0-88BF-EFB61409D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8580" y="1815466"/>
          <a:ext cx="205740" cy="157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54</xdr:row>
      <xdr:rowOff>11207</xdr:rowOff>
    </xdr:from>
    <xdr:to>
      <xdr:col>58</xdr:col>
      <xdr:colOff>60342</xdr:colOff>
      <xdr:row>76</xdr:row>
      <xdr:rowOff>132342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6FEC52-06FE-4E64-BF20-96089E41C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3387" y="13471937"/>
          <a:ext cx="10769020" cy="5578960"/>
        </a:xfrm>
        <a:prstGeom prst="rect">
          <a:avLst/>
        </a:prstGeom>
      </xdr:spPr>
    </xdr:pic>
    <xdr:clientData/>
  </xdr:twoCellAnchor>
  <xdr:twoCellAnchor editAs="oneCell">
    <xdr:from>
      <xdr:col>1</xdr:col>
      <xdr:colOff>67236</xdr:colOff>
      <xdr:row>24</xdr:row>
      <xdr:rowOff>212912</xdr:rowOff>
    </xdr:from>
    <xdr:to>
      <xdr:col>50</xdr:col>
      <xdr:colOff>73008</xdr:colOff>
      <xdr:row>44</xdr:row>
      <xdr:rowOff>130886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D521384-B000-49F4-B9D4-55611B408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406" y="6238427"/>
          <a:ext cx="10742352" cy="4869069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98</xdr:row>
      <xdr:rowOff>179295</xdr:rowOff>
    </xdr:from>
    <xdr:to>
      <xdr:col>61</xdr:col>
      <xdr:colOff>134244</xdr:colOff>
      <xdr:row>117</xdr:row>
      <xdr:rowOff>38093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34B247-AA8B-41CB-B341-44750C3B7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2555" y="24532815"/>
          <a:ext cx="12775264" cy="4566053"/>
        </a:xfrm>
        <a:prstGeom prst="rect">
          <a:avLst/>
        </a:prstGeom>
      </xdr:spPr>
    </xdr:pic>
    <xdr:clientData/>
  </xdr:twoCellAnchor>
  <xdr:twoCellAnchor editAs="oneCell">
    <xdr:from>
      <xdr:col>3</xdr:col>
      <xdr:colOff>224117</xdr:colOff>
      <xdr:row>85</xdr:row>
      <xdr:rowOff>0</xdr:rowOff>
    </xdr:from>
    <xdr:to>
      <xdr:col>61</xdr:col>
      <xdr:colOff>96841</xdr:colOff>
      <xdr:row>90</xdr:row>
      <xdr:rowOff>174971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BCC2C31-269A-4BCE-A1AD-ADA2042B4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9437" y="21135975"/>
          <a:ext cx="12573359" cy="1422746"/>
        </a:xfrm>
        <a:prstGeom prst="rect">
          <a:avLst/>
        </a:prstGeom>
      </xdr:spPr>
    </xdr:pic>
    <xdr:clientData/>
  </xdr:twoCellAnchor>
  <xdr:twoCellAnchor>
    <xdr:from>
      <xdr:col>3</xdr:col>
      <xdr:colOff>133897</xdr:colOff>
      <xdr:row>82</xdr:row>
      <xdr:rowOff>231405</xdr:rowOff>
    </xdr:from>
    <xdr:to>
      <xdr:col>37</xdr:col>
      <xdr:colOff>154797</xdr:colOff>
      <xdr:row>91</xdr:row>
      <xdr:rowOff>139124</xdr:rowOff>
    </xdr:to>
    <xdr:grpSp>
      <xdr:nvGrpSpPr>
        <xdr:cNvPr id="6" name="Group 372">
          <a:extLst>
            <a:ext uri="{FF2B5EF4-FFF2-40B4-BE49-F238E27FC236}">
              <a16:creationId xmlns:a16="http://schemas.microsoft.com/office/drawing/2014/main" id="{2694E91C-6DC6-4DBF-82F1-28C0425E6802}"/>
            </a:ext>
          </a:extLst>
        </xdr:cNvPr>
        <xdr:cNvGrpSpPr>
          <a:grpSpLocks/>
        </xdr:cNvGrpSpPr>
      </xdr:nvGrpSpPr>
      <xdr:grpSpPr bwMode="auto">
        <a:xfrm>
          <a:off x="833144" y="21137099"/>
          <a:ext cx="7945700" cy="2207166"/>
          <a:chOff x="205" y="3849"/>
          <a:chExt cx="818" cy="285"/>
        </a:xfrm>
      </xdr:grpSpPr>
      <xdr:sp macro="" textlink="">
        <xdr:nvSpPr>
          <xdr:cNvPr id="7" name="Rectangle 278">
            <a:extLst>
              <a:ext uri="{FF2B5EF4-FFF2-40B4-BE49-F238E27FC236}">
                <a16:creationId xmlns:a16="http://schemas.microsoft.com/office/drawing/2014/main" id="{32CE9F9D-0526-AEAD-43B3-F829A2C3C1A3}"/>
              </a:ext>
            </a:extLst>
          </xdr:cNvPr>
          <xdr:cNvSpPr>
            <a:spLocks noChangeArrowheads="1"/>
          </xdr:cNvSpPr>
        </xdr:nvSpPr>
        <xdr:spPr bwMode="auto">
          <a:xfrm>
            <a:off x="205" y="3892"/>
            <a:ext cx="219" cy="241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8" name="Rectangle 279">
            <a:extLst>
              <a:ext uri="{FF2B5EF4-FFF2-40B4-BE49-F238E27FC236}">
                <a16:creationId xmlns:a16="http://schemas.microsoft.com/office/drawing/2014/main" id="{9CB46072-E6B1-A9CB-0970-898B95F41B38}"/>
              </a:ext>
            </a:extLst>
          </xdr:cNvPr>
          <xdr:cNvSpPr>
            <a:spLocks noChangeArrowheads="1"/>
          </xdr:cNvSpPr>
        </xdr:nvSpPr>
        <xdr:spPr bwMode="auto">
          <a:xfrm>
            <a:off x="434" y="3892"/>
            <a:ext cx="589" cy="242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9" name="Oval 299">
            <a:extLst>
              <a:ext uri="{FF2B5EF4-FFF2-40B4-BE49-F238E27FC236}">
                <a16:creationId xmlns:a16="http://schemas.microsoft.com/office/drawing/2014/main" id="{C61BD3A2-08A3-C168-E4D3-7857B6852B58}"/>
              </a:ext>
            </a:extLst>
          </xdr:cNvPr>
          <xdr:cNvSpPr>
            <a:spLocks noChangeArrowheads="1"/>
          </xdr:cNvSpPr>
        </xdr:nvSpPr>
        <xdr:spPr bwMode="auto">
          <a:xfrm>
            <a:off x="315" y="3849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</a:t>
            </a:r>
          </a:p>
        </xdr:txBody>
      </xdr:sp>
      <xdr:sp macro="" textlink="">
        <xdr:nvSpPr>
          <xdr:cNvPr id="10" name="Oval 300">
            <a:extLst>
              <a:ext uri="{FF2B5EF4-FFF2-40B4-BE49-F238E27FC236}">
                <a16:creationId xmlns:a16="http://schemas.microsoft.com/office/drawing/2014/main" id="{032F7EB8-D474-63EC-BC92-A0F5A36970F1}"/>
              </a:ext>
            </a:extLst>
          </xdr:cNvPr>
          <xdr:cNvSpPr>
            <a:spLocks noChangeArrowheads="1"/>
          </xdr:cNvSpPr>
        </xdr:nvSpPr>
        <xdr:spPr bwMode="auto">
          <a:xfrm>
            <a:off x="721" y="3849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</a:t>
            </a:r>
          </a:p>
        </xdr:txBody>
      </xdr:sp>
    </xdr:grpSp>
    <xdr:clientData/>
  </xdr:twoCellAnchor>
  <xdr:twoCellAnchor>
    <xdr:from>
      <xdr:col>3</xdr:col>
      <xdr:colOff>93648</xdr:colOff>
      <xdr:row>97</xdr:row>
      <xdr:rowOff>76206</xdr:rowOff>
    </xdr:from>
    <xdr:to>
      <xdr:col>50</xdr:col>
      <xdr:colOff>98200</xdr:colOff>
      <xdr:row>118</xdr:row>
      <xdr:rowOff>153912</xdr:rowOff>
    </xdr:to>
    <xdr:grpSp>
      <xdr:nvGrpSpPr>
        <xdr:cNvPr id="11" name="Group 371">
          <a:extLst>
            <a:ext uri="{FF2B5EF4-FFF2-40B4-BE49-F238E27FC236}">
              <a16:creationId xmlns:a16="http://schemas.microsoft.com/office/drawing/2014/main" id="{BDDBB0C7-658C-4AA9-8E2B-4CCD146F8B94}"/>
            </a:ext>
          </a:extLst>
        </xdr:cNvPr>
        <xdr:cNvGrpSpPr>
          <a:grpSpLocks/>
        </xdr:cNvGrpSpPr>
      </xdr:nvGrpSpPr>
      <xdr:grpSpPr bwMode="auto">
        <a:xfrm>
          <a:off x="792895" y="24814312"/>
          <a:ext cx="10959423" cy="5443082"/>
          <a:chOff x="82" y="4277"/>
          <a:chExt cx="1128" cy="680"/>
        </a:xfrm>
      </xdr:grpSpPr>
      <xdr:sp macro="" textlink="">
        <xdr:nvSpPr>
          <xdr:cNvPr id="12" name="Rectangle 283">
            <a:extLst>
              <a:ext uri="{FF2B5EF4-FFF2-40B4-BE49-F238E27FC236}">
                <a16:creationId xmlns:a16="http://schemas.microsoft.com/office/drawing/2014/main" id="{8CFC01A1-9648-8082-6B04-22F8BB2BE027}"/>
              </a:ext>
            </a:extLst>
          </xdr:cNvPr>
          <xdr:cNvSpPr>
            <a:spLocks noChangeArrowheads="1"/>
          </xdr:cNvSpPr>
        </xdr:nvSpPr>
        <xdr:spPr bwMode="auto">
          <a:xfrm>
            <a:off x="84" y="4331"/>
            <a:ext cx="35" cy="599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3" name="Rectangle 284">
            <a:extLst>
              <a:ext uri="{FF2B5EF4-FFF2-40B4-BE49-F238E27FC236}">
                <a16:creationId xmlns:a16="http://schemas.microsoft.com/office/drawing/2014/main" id="{6A0C1E5E-626A-46AB-0024-8215943028F3}"/>
              </a:ext>
            </a:extLst>
          </xdr:cNvPr>
          <xdr:cNvSpPr>
            <a:spLocks noChangeArrowheads="1"/>
          </xdr:cNvSpPr>
        </xdr:nvSpPr>
        <xdr:spPr bwMode="auto">
          <a:xfrm>
            <a:off x="131" y="4331"/>
            <a:ext cx="32" cy="597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4" name="Rectangle 286">
            <a:extLst>
              <a:ext uri="{FF2B5EF4-FFF2-40B4-BE49-F238E27FC236}">
                <a16:creationId xmlns:a16="http://schemas.microsoft.com/office/drawing/2014/main" id="{1520CD06-1C19-7395-7ED7-B4B99C7272E1}"/>
              </a:ext>
            </a:extLst>
          </xdr:cNvPr>
          <xdr:cNvSpPr>
            <a:spLocks noChangeArrowheads="1"/>
          </xdr:cNvSpPr>
        </xdr:nvSpPr>
        <xdr:spPr bwMode="auto">
          <a:xfrm>
            <a:off x="863" y="4324"/>
            <a:ext cx="97" cy="633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5" name="Rectangle 287">
            <a:extLst>
              <a:ext uri="{FF2B5EF4-FFF2-40B4-BE49-F238E27FC236}">
                <a16:creationId xmlns:a16="http://schemas.microsoft.com/office/drawing/2014/main" id="{02FA875B-8274-F769-4AC0-A601CCC96721}"/>
              </a:ext>
            </a:extLst>
          </xdr:cNvPr>
          <xdr:cNvSpPr>
            <a:spLocks noChangeArrowheads="1"/>
          </xdr:cNvSpPr>
        </xdr:nvSpPr>
        <xdr:spPr bwMode="auto">
          <a:xfrm>
            <a:off x="187" y="4332"/>
            <a:ext cx="50" cy="598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6" name="Rectangle 288">
            <a:extLst>
              <a:ext uri="{FF2B5EF4-FFF2-40B4-BE49-F238E27FC236}">
                <a16:creationId xmlns:a16="http://schemas.microsoft.com/office/drawing/2014/main" id="{8E8B2780-426A-903A-FA81-975B1EFDBA1A}"/>
              </a:ext>
            </a:extLst>
          </xdr:cNvPr>
          <xdr:cNvSpPr>
            <a:spLocks noChangeArrowheads="1"/>
          </xdr:cNvSpPr>
        </xdr:nvSpPr>
        <xdr:spPr bwMode="auto">
          <a:xfrm>
            <a:off x="1021" y="4323"/>
            <a:ext cx="47" cy="631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7" name="Rectangle 289">
            <a:extLst>
              <a:ext uri="{FF2B5EF4-FFF2-40B4-BE49-F238E27FC236}">
                <a16:creationId xmlns:a16="http://schemas.microsoft.com/office/drawing/2014/main" id="{C6EA3D20-3EE4-CF17-3C98-565D2E6CD605}"/>
              </a:ext>
            </a:extLst>
          </xdr:cNvPr>
          <xdr:cNvSpPr>
            <a:spLocks noChangeArrowheads="1"/>
          </xdr:cNvSpPr>
        </xdr:nvSpPr>
        <xdr:spPr bwMode="auto">
          <a:xfrm>
            <a:off x="964" y="4324"/>
            <a:ext cx="52" cy="633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8" name="Rectangle 290">
            <a:extLst>
              <a:ext uri="{FF2B5EF4-FFF2-40B4-BE49-F238E27FC236}">
                <a16:creationId xmlns:a16="http://schemas.microsoft.com/office/drawing/2014/main" id="{A8F9BDFE-5488-8000-83A3-EC604F98642A}"/>
              </a:ext>
            </a:extLst>
          </xdr:cNvPr>
          <xdr:cNvSpPr>
            <a:spLocks noChangeArrowheads="1"/>
          </xdr:cNvSpPr>
        </xdr:nvSpPr>
        <xdr:spPr bwMode="auto">
          <a:xfrm>
            <a:off x="781" y="4325"/>
            <a:ext cx="82" cy="632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9" name="Oval 291">
            <a:extLst>
              <a:ext uri="{FF2B5EF4-FFF2-40B4-BE49-F238E27FC236}">
                <a16:creationId xmlns:a16="http://schemas.microsoft.com/office/drawing/2014/main" id="{6EBCC10E-3D0D-5D54-08B3-EBA4F56D770B}"/>
              </a:ext>
            </a:extLst>
          </xdr:cNvPr>
          <xdr:cNvSpPr>
            <a:spLocks noChangeArrowheads="1"/>
          </xdr:cNvSpPr>
        </xdr:nvSpPr>
        <xdr:spPr bwMode="auto">
          <a:xfrm>
            <a:off x="82" y="4277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</a:t>
            </a:r>
          </a:p>
        </xdr:txBody>
      </xdr:sp>
      <xdr:sp macro="" textlink="">
        <xdr:nvSpPr>
          <xdr:cNvPr id="20" name="Oval 292">
            <a:extLst>
              <a:ext uri="{FF2B5EF4-FFF2-40B4-BE49-F238E27FC236}">
                <a16:creationId xmlns:a16="http://schemas.microsoft.com/office/drawing/2014/main" id="{C086C559-1A5B-C227-52B4-A7B8C902C55E}"/>
              </a:ext>
            </a:extLst>
          </xdr:cNvPr>
          <xdr:cNvSpPr>
            <a:spLocks noChangeArrowheads="1"/>
          </xdr:cNvSpPr>
        </xdr:nvSpPr>
        <xdr:spPr bwMode="auto">
          <a:xfrm>
            <a:off x="130" y="4277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</a:t>
            </a:r>
          </a:p>
        </xdr:txBody>
      </xdr:sp>
      <xdr:sp macro="" textlink="">
        <xdr:nvSpPr>
          <xdr:cNvPr id="21" name="Oval 293">
            <a:extLst>
              <a:ext uri="{FF2B5EF4-FFF2-40B4-BE49-F238E27FC236}">
                <a16:creationId xmlns:a16="http://schemas.microsoft.com/office/drawing/2014/main" id="{1A2299E8-266C-5A00-AA64-2FF62DCD08C3}"/>
              </a:ext>
            </a:extLst>
          </xdr:cNvPr>
          <xdr:cNvSpPr>
            <a:spLocks noChangeArrowheads="1"/>
          </xdr:cNvSpPr>
        </xdr:nvSpPr>
        <xdr:spPr bwMode="auto">
          <a:xfrm>
            <a:off x="192" y="4278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3</a:t>
            </a:r>
          </a:p>
        </xdr:txBody>
      </xdr:sp>
      <xdr:sp macro="" textlink="">
        <xdr:nvSpPr>
          <xdr:cNvPr id="22" name="Oval 294">
            <a:extLst>
              <a:ext uri="{FF2B5EF4-FFF2-40B4-BE49-F238E27FC236}">
                <a16:creationId xmlns:a16="http://schemas.microsoft.com/office/drawing/2014/main" id="{65993CA7-2AF1-CB1A-AFD6-7A692A896217}"/>
              </a:ext>
            </a:extLst>
          </xdr:cNvPr>
          <xdr:cNvSpPr>
            <a:spLocks noChangeArrowheads="1"/>
          </xdr:cNvSpPr>
        </xdr:nvSpPr>
        <xdr:spPr bwMode="auto">
          <a:xfrm>
            <a:off x="317" y="4279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4</a:t>
            </a:r>
          </a:p>
        </xdr:txBody>
      </xdr:sp>
      <xdr:sp macro="" textlink="">
        <xdr:nvSpPr>
          <xdr:cNvPr id="23" name="Oval 295">
            <a:extLst>
              <a:ext uri="{FF2B5EF4-FFF2-40B4-BE49-F238E27FC236}">
                <a16:creationId xmlns:a16="http://schemas.microsoft.com/office/drawing/2014/main" id="{79CFAAE9-ECF8-7018-2275-FA4C58E7BADF}"/>
              </a:ext>
            </a:extLst>
          </xdr:cNvPr>
          <xdr:cNvSpPr>
            <a:spLocks noChangeArrowheads="1"/>
          </xdr:cNvSpPr>
        </xdr:nvSpPr>
        <xdr:spPr bwMode="auto">
          <a:xfrm>
            <a:off x="799" y="4280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5</a:t>
            </a:r>
          </a:p>
        </xdr:txBody>
      </xdr:sp>
      <xdr:sp macro="" textlink="">
        <xdr:nvSpPr>
          <xdr:cNvPr id="24" name="Oval 296">
            <a:extLst>
              <a:ext uri="{FF2B5EF4-FFF2-40B4-BE49-F238E27FC236}">
                <a16:creationId xmlns:a16="http://schemas.microsoft.com/office/drawing/2014/main" id="{FAB7A074-DB7B-56F7-CCBF-A6FEA17581C3}"/>
              </a:ext>
            </a:extLst>
          </xdr:cNvPr>
          <xdr:cNvSpPr>
            <a:spLocks noChangeArrowheads="1"/>
          </xdr:cNvSpPr>
        </xdr:nvSpPr>
        <xdr:spPr bwMode="auto">
          <a:xfrm>
            <a:off x="886" y="4278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6</a:t>
            </a:r>
          </a:p>
        </xdr:txBody>
      </xdr:sp>
      <xdr:sp macro="" textlink="">
        <xdr:nvSpPr>
          <xdr:cNvPr id="25" name="Oval 297">
            <a:extLst>
              <a:ext uri="{FF2B5EF4-FFF2-40B4-BE49-F238E27FC236}">
                <a16:creationId xmlns:a16="http://schemas.microsoft.com/office/drawing/2014/main" id="{B6257CC3-BDD0-D86B-274E-20CE69FE9020}"/>
              </a:ext>
            </a:extLst>
          </xdr:cNvPr>
          <xdr:cNvSpPr>
            <a:spLocks noChangeArrowheads="1"/>
          </xdr:cNvSpPr>
        </xdr:nvSpPr>
        <xdr:spPr bwMode="auto">
          <a:xfrm>
            <a:off x="966" y="4278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7</a:t>
            </a:r>
          </a:p>
        </xdr:txBody>
      </xdr:sp>
      <xdr:sp macro="" textlink="">
        <xdr:nvSpPr>
          <xdr:cNvPr id="26" name="Oval 298">
            <a:extLst>
              <a:ext uri="{FF2B5EF4-FFF2-40B4-BE49-F238E27FC236}">
                <a16:creationId xmlns:a16="http://schemas.microsoft.com/office/drawing/2014/main" id="{4F7E2262-3E78-812A-4F6C-8120754E0447}"/>
              </a:ext>
            </a:extLst>
          </xdr:cNvPr>
          <xdr:cNvSpPr>
            <a:spLocks noChangeArrowheads="1"/>
          </xdr:cNvSpPr>
        </xdr:nvSpPr>
        <xdr:spPr bwMode="auto">
          <a:xfrm>
            <a:off x="1018" y="4279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8</a:t>
            </a:r>
          </a:p>
        </xdr:txBody>
      </xdr:sp>
      <xdr:sp macro="" textlink="">
        <xdr:nvSpPr>
          <xdr:cNvPr id="27" name="Rectangle 329">
            <a:extLst>
              <a:ext uri="{FF2B5EF4-FFF2-40B4-BE49-F238E27FC236}">
                <a16:creationId xmlns:a16="http://schemas.microsoft.com/office/drawing/2014/main" id="{B4BCBDDC-7FB3-9BB1-F2C6-D622F09B2ACF}"/>
              </a:ext>
            </a:extLst>
          </xdr:cNvPr>
          <xdr:cNvSpPr>
            <a:spLocks noChangeArrowheads="1"/>
          </xdr:cNvSpPr>
        </xdr:nvSpPr>
        <xdr:spPr bwMode="auto">
          <a:xfrm>
            <a:off x="1074" y="4324"/>
            <a:ext cx="136" cy="630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28" name="Oval 330">
            <a:extLst>
              <a:ext uri="{FF2B5EF4-FFF2-40B4-BE49-F238E27FC236}">
                <a16:creationId xmlns:a16="http://schemas.microsoft.com/office/drawing/2014/main" id="{147351ED-443A-CA75-082E-894A38A09D6D}"/>
              </a:ext>
            </a:extLst>
          </xdr:cNvPr>
          <xdr:cNvSpPr>
            <a:spLocks noChangeArrowheads="1"/>
          </xdr:cNvSpPr>
        </xdr:nvSpPr>
        <xdr:spPr bwMode="auto">
          <a:xfrm>
            <a:off x="1115" y="4279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9</a:t>
            </a:r>
          </a:p>
        </xdr:txBody>
      </xdr:sp>
    </xdr:grpSp>
    <xdr:clientData/>
  </xdr:twoCellAnchor>
  <xdr:twoCellAnchor>
    <xdr:from>
      <xdr:col>5</xdr:col>
      <xdr:colOff>9525</xdr:colOff>
      <xdr:row>9</xdr:row>
      <xdr:rowOff>219075</xdr:rowOff>
    </xdr:from>
    <xdr:to>
      <xdr:col>8</xdr:col>
      <xdr:colOff>238125</xdr:colOff>
      <xdr:row>13</xdr:row>
      <xdr:rowOff>123825</xdr:rowOff>
    </xdr:to>
    <xdr:sp macro="" textlink="">
      <xdr:nvSpPr>
        <xdr:cNvPr id="29" name="Rectangle 331">
          <a:extLst>
            <a:ext uri="{FF2B5EF4-FFF2-40B4-BE49-F238E27FC236}">
              <a16:creationId xmlns:a16="http://schemas.microsoft.com/office/drawing/2014/main" id="{25840516-BD94-4B68-92CF-50027AE27B27}"/>
            </a:ext>
          </a:extLst>
        </xdr:cNvPr>
        <xdr:cNvSpPr>
          <a:spLocks noChangeArrowheads="1"/>
        </xdr:cNvSpPr>
      </xdr:nvSpPr>
      <xdr:spPr bwMode="auto">
        <a:xfrm>
          <a:off x="1106805" y="2531745"/>
          <a:ext cx="866775" cy="899160"/>
        </a:xfrm>
        <a:prstGeom prst="rect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</xdr:col>
      <xdr:colOff>95250</xdr:colOff>
      <xdr:row>9</xdr:row>
      <xdr:rowOff>219075</xdr:rowOff>
    </xdr:from>
    <xdr:to>
      <xdr:col>38</xdr:col>
      <xdr:colOff>9525</xdr:colOff>
      <xdr:row>13</xdr:row>
      <xdr:rowOff>123825</xdr:rowOff>
    </xdr:to>
    <xdr:sp macro="" textlink="">
      <xdr:nvSpPr>
        <xdr:cNvPr id="30" name="Rectangle 332">
          <a:extLst>
            <a:ext uri="{FF2B5EF4-FFF2-40B4-BE49-F238E27FC236}">
              <a16:creationId xmlns:a16="http://schemas.microsoft.com/office/drawing/2014/main" id="{CF35CF1D-F046-4AD4-9B7A-CE70B029D399}"/>
            </a:ext>
          </a:extLst>
        </xdr:cNvPr>
        <xdr:cNvSpPr>
          <a:spLocks noChangeArrowheads="1"/>
        </xdr:cNvSpPr>
      </xdr:nvSpPr>
      <xdr:spPr bwMode="auto">
        <a:xfrm>
          <a:off x="2063115" y="2531745"/>
          <a:ext cx="6273165" cy="899160"/>
        </a:xfrm>
        <a:prstGeom prst="rect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9</xdr:row>
      <xdr:rowOff>219075</xdr:rowOff>
    </xdr:from>
    <xdr:to>
      <xdr:col>42</xdr:col>
      <xdr:colOff>190500</xdr:colOff>
      <xdr:row>13</xdr:row>
      <xdr:rowOff>123825</xdr:rowOff>
    </xdr:to>
    <xdr:sp macro="" textlink="">
      <xdr:nvSpPr>
        <xdr:cNvPr id="31" name="Rectangle 333">
          <a:extLst>
            <a:ext uri="{FF2B5EF4-FFF2-40B4-BE49-F238E27FC236}">
              <a16:creationId xmlns:a16="http://schemas.microsoft.com/office/drawing/2014/main" id="{55180A86-D2B7-4523-A50C-72F68C10E0AB}"/>
            </a:ext>
          </a:extLst>
        </xdr:cNvPr>
        <xdr:cNvSpPr>
          <a:spLocks noChangeArrowheads="1"/>
        </xdr:cNvSpPr>
      </xdr:nvSpPr>
      <xdr:spPr bwMode="auto">
        <a:xfrm>
          <a:off x="8608695" y="2531745"/>
          <a:ext cx="782955" cy="899160"/>
        </a:xfrm>
        <a:prstGeom prst="rect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43</xdr:col>
      <xdr:colOff>95250</xdr:colOff>
      <xdr:row>9</xdr:row>
      <xdr:rowOff>219075</xdr:rowOff>
    </xdr:from>
    <xdr:to>
      <xdr:col>46</xdr:col>
      <xdr:colOff>200025</xdr:colOff>
      <xdr:row>13</xdr:row>
      <xdr:rowOff>123825</xdr:rowOff>
    </xdr:to>
    <xdr:sp macro="" textlink="">
      <xdr:nvSpPr>
        <xdr:cNvPr id="32" name="Rectangle 334">
          <a:extLst>
            <a:ext uri="{FF2B5EF4-FFF2-40B4-BE49-F238E27FC236}">
              <a16:creationId xmlns:a16="http://schemas.microsoft.com/office/drawing/2014/main" id="{3D224536-68BC-4245-8BBC-C5AE869447A5}"/>
            </a:ext>
          </a:extLst>
        </xdr:cNvPr>
        <xdr:cNvSpPr>
          <a:spLocks noChangeArrowheads="1"/>
        </xdr:cNvSpPr>
      </xdr:nvSpPr>
      <xdr:spPr bwMode="auto">
        <a:xfrm>
          <a:off x="9511665" y="2531745"/>
          <a:ext cx="767715" cy="899160"/>
        </a:xfrm>
        <a:prstGeom prst="rect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95250</xdr:colOff>
      <xdr:row>8</xdr:row>
      <xdr:rowOff>28575</xdr:rowOff>
    </xdr:from>
    <xdr:to>
      <xdr:col>8</xdr:col>
      <xdr:colOff>0</xdr:colOff>
      <xdr:row>9</xdr:row>
      <xdr:rowOff>66675</xdr:rowOff>
    </xdr:to>
    <xdr:sp macro="" textlink="">
      <xdr:nvSpPr>
        <xdr:cNvPr id="33" name="Oval 335">
          <a:extLst>
            <a:ext uri="{FF2B5EF4-FFF2-40B4-BE49-F238E27FC236}">
              <a16:creationId xmlns:a16="http://schemas.microsoft.com/office/drawing/2014/main" id="{B501A90A-5178-4A61-B76C-B56CC8A30DA0}"/>
            </a:ext>
          </a:extLst>
        </xdr:cNvPr>
        <xdr:cNvSpPr>
          <a:spLocks noChangeArrowheads="1"/>
        </xdr:cNvSpPr>
      </xdr:nvSpPr>
      <xdr:spPr bwMode="auto">
        <a:xfrm>
          <a:off x="1405890" y="2093595"/>
          <a:ext cx="346710" cy="285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22</xdr:col>
      <xdr:colOff>200025</xdr:colOff>
      <xdr:row>8</xdr:row>
      <xdr:rowOff>28575</xdr:rowOff>
    </xdr:from>
    <xdr:to>
      <xdr:col>24</xdr:col>
      <xdr:colOff>104775</xdr:colOff>
      <xdr:row>9</xdr:row>
      <xdr:rowOff>66675</xdr:rowOff>
    </xdr:to>
    <xdr:sp macro="" textlink="">
      <xdr:nvSpPr>
        <xdr:cNvPr id="34" name="Oval 336">
          <a:extLst>
            <a:ext uri="{FF2B5EF4-FFF2-40B4-BE49-F238E27FC236}">
              <a16:creationId xmlns:a16="http://schemas.microsoft.com/office/drawing/2014/main" id="{2EA268D5-774C-4EC2-8F20-71A1C9EDF071}"/>
            </a:ext>
          </a:extLst>
        </xdr:cNvPr>
        <xdr:cNvSpPr>
          <a:spLocks noChangeArrowheads="1"/>
        </xdr:cNvSpPr>
      </xdr:nvSpPr>
      <xdr:spPr bwMode="auto">
        <a:xfrm>
          <a:off x="5021580" y="2093595"/>
          <a:ext cx="339090" cy="285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</a:p>
      </xdr:txBody>
    </xdr:sp>
    <xdr:clientData/>
  </xdr:twoCellAnchor>
  <xdr:twoCellAnchor>
    <xdr:from>
      <xdr:col>40</xdr:col>
      <xdr:colOff>95250</xdr:colOff>
      <xdr:row>8</xdr:row>
      <xdr:rowOff>47625</xdr:rowOff>
    </xdr:from>
    <xdr:to>
      <xdr:col>42</xdr:col>
      <xdr:colOff>0</xdr:colOff>
      <xdr:row>9</xdr:row>
      <xdr:rowOff>85725</xdr:rowOff>
    </xdr:to>
    <xdr:sp macro="" textlink="">
      <xdr:nvSpPr>
        <xdr:cNvPr id="35" name="Oval 337">
          <a:extLst>
            <a:ext uri="{FF2B5EF4-FFF2-40B4-BE49-F238E27FC236}">
              <a16:creationId xmlns:a16="http://schemas.microsoft.com/office/drawing/2014/main" id="{3B288D17-B68C-4667-9CF7-C45AAC56F6FC}"/>
            </a:ext>
          </a:extLst>
        </xdr:cNvPr>
        <xdr:cNvSpPr>
          <a:spLocks noChangeArrowheads="1"/>
        </xdr:cNvSpPr>
      </xdr:nvSpPr>
      <xdr:spPr bwMode="auto">
        <a:xfrm>
          <a:off x="8854440" y="2116455"/>
          <a:ext cx="346710" cy="285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</a:t>
          </a:r>
        </a:p>
      </xdr:txBody>
    </xdr:sp>
    <xdr:clientData/>
  </xdr:twoCellAnchor>
  <xdr:twoCellAnchor>
    <xdr:from>
      <xdr:col>44</xdr:col>
      <xdr:colOff>57150</xdr:colOff>
      <xdr:row>8</xdr:row>
      <xdr:rowOff>66675</xdr:rowOff>
    </xdr:from>
    <xdr:to>
      <xdr:col>45</xdr:col>
      <xdr:colOff>209550</xdr:colOff>
      <xdr:row>9</xdr:row>
      <xdr:rowOff>104775</xdr:rowOff>
    </xdr:to>
    <xdr:sp macro="" textlink="">
      <xdr:nvSpPr>
        <xdr:cNvPr id="36" name="Oval 338">
          <a:extLst>
            <a:ext uri="{FF2B5EF4-FFF2-40B4-BE49-F238E27FC236}">
              <a16:creationId xmlns:a16="http://schemas.microsoft.com/office/drawing/2014/main" id="{0E4F290A-0491-4E23-817D-413819FA003E}"/>
            </a:ext>
          </a:extLst>
        </xdr:cNvPr>
        <xdr:cNvSpPr>
          <a:spLocks noChangeArrowheads="1"/>
        </xdr:cNvSpPr>
      </xdr:nvSpPr>
      <xdr:spPr bwMode="auto">
        <a:xfrm>
          <a:off x="9692640" y="2131695"/>
          <a:ext cx="371475" cy="285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</a:t>
          </a:r>
        </a:p>
      </xdr:txBody>
    </xdr:sp>
    <xdr:clientData/>
  </xdr:twoCellAnchor>
  <xdr:twoCellAnchor>
    <xdr:from>
      <xdr:col>1</xdr:col>
      <xdr:colOff>29697</xdr:colOff>
      <xdr:row>25</xdr:row>
      <xdr:rowOff>236443</xdr:rowOff>
    </xdr:from>
    <xdr:to>
      <xdr:col>3</xdr:col>
      <xdr:colOff>78442</xdr:colOff>
      <xdr:row>39</xdr:row>
      <xdr:rowOff>0</xdr:rowOff>
    </xdr:to>
    <xdr:sp macro="" textlink="">
      <xdr:nvSpPr>
        <xdr:cNvPr id="37" name="Rectangle 341">
          <a:extLst>
            <a:ext uri="{FF2B5EF4-FFF2-40B4-BE49-F238E27FC236}">
              <a16:creationId xmlns:a16="http://schemas.microsoft.com/office/drawing/2014/main" id="{88507FE3-0039-440B-BE80-5DD2F5903058}"/>
            </a:ext>
          </a:extLst>
        </xdr:cNvPr>
        <xdr:cNvSpPr>
          <a:spLocks noChangeArrowheads="1"/>
        </xdr:cNvSpPr>
      </xdr:nvSpPr>
      <xdr:spPr bwMode="auto">
        <a:xfrm>
          <a:off x="246867" y="6515323"/>
          <a:ext cx="488800" cy="3228752"/>
        </a:xfrm>
        <a:prstGeom prst="rect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25214</xdr:colOff>
      <xdr:row>24</xdr:row>
      <xdr:rowOff>81803</xdr:rowOff>
    </xdr:from>
    <xdr:to>
      <xdr:col>3</xdr:col>
      <xdr:colOff>177614</xdr:colOff>
      <xdr:row>25</xdr:row>
      <xdr:rowOff>119903</xdr:rowOff>
    </xdr:to>
    <xdr:sp macro="" textlink="">
      <xdr:nvSpPr>
        <xdr:cNvPr id="38" name="Oval 342">
          <a:extLst>
            <a:ext uri="{FF2B5EF4-FFF2-40B4-BE49-F238E27FC236}">
              <a16:creationId xmlns:a16="http://schemas.microsoft.com/office/drawing/2014/main" id="{74DD0E6A-6114-421D-9474-B3A2FBB85AF2}"/>
            </a:ext>
          </a:extLst>
        </xdr:cNvPr>
        <xdr:cNvSpPr>
          <a:spLocks noChangeArrowheads="1"/>
        </xdr:cNvSpPr>
      </xdr:nvSpPr>
      <xdr:spPr bwMode="auto">
        <a:xfrm>
          <a:off x="459554" y="6113033"/>
          <a:ext cx="371475" cy="285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3</xdr:col>
      <xdr:colOff>123265</xdr:colOff>
      <xdr:row>26</xdr:row>
      <xdr:rowOff>145676</xdr:rowOff>
    </xdr:from>
    <xdr:to>
      <xdr:col>23</xdr:col>
      <xdr:colOff>67236</xdr:colOff>
      <xdr:row>44</xdr:row>
      <xdr:rowOff>112059</xdr:rowOff>
    </xdr:to>
    <xdr:sp macro="" textlink="">
      <xdr:nvSpPr>
        <xdr:cNvPr id="39" name="Rectangle 343">
          <a:extLst>
            <a:ext uri="{FF2B5EF4-FFF2-40B4-BE49-F238E27FC236}">
              <a16:creationId xmlns:a16="http://schemas.microsoft.com/office/drawing/2014/main" id="{B149B76F-896F-4639-A838-6D1C24A4A21F}"/>
            </a:ext>
          </a:extLst>
        </xdr:cNvPr>
        <xdr:cNvSpPr>
          <a:spLocks noChangeArrowheads="1"/>
        </xdr:cNvSpPr>
      </xdr:nvSpPr>
      <xdr:spPr bwMode="auto">
        <a:xfrm>
          <a:off x="782395" y="6668396"/>
          <a:ext cx="4321661" cy="4425988"/>
        </a:xfrm>
        <a:prstGeom prst="rect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23</xdr:col>
      <xdr:colOff>123264</xdr:colOff>
      <xdr:row>26</xdr:row>
      <xdr:rowOff>156883</xdr:rowOff>
    </xdr:from>
    <xdr:to>
      <xdr:col>34</xdr:col>
      <xdr:colOff>212911</xdr:colOff>
      <xdr:row>44</xdr:row>
      <xdr:rowOff>100854</xdr:rowOff>
    </xdr:to>
    <xdr:sp macro="" textlink="">
      <xdr:nvSpPr>
        <xdr:cNvPr id="40" name="Rectangle 344">
          <a:extLst>
            <a:ext uri="{FF2B5EF4-FFF2-40B4-BE49-F238E27FC236}">
              <a16:creationId xmlns:a16="http://schemas.microsoft.com/office/drawing/2014/main" id="{4BA4E43D-5374-440F-8187-BA76797C5497}"/>
            </a:ext>
          </a:extLst>
        </xdr:cNvPr>
        <xdr:cNvSpPr>
          <a:spLocks noChangeArrowheads="1"/>
        </xdr:cNvSpPr>
      </xdr:nvSpPr>
      <xdr:spPr bwMode="auto">
        <a:xfrm>
          <a:off x="5163894" y="6683413"/>
          <a:ext cx="2493757" cy="4395956"/>
        </a:xfrm>
        <a:prstGeom prst="rect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34</xdr:col>
      <xdr:colOff>198344</xdr:colOff>
      <xdr:row>26</xdr:row>
      <xdr:rowOff>138950</xdr:rowOff>
    </xdr:from>
    <xdr:to>
      <xdr:col>37</xdr:col>
      <xdr:colOff>22412</xdr:colOff>
      <xdr:row>44</xdr:row>
      <xdr:rowOff>78440</xdr:rowOff>
    </xdr:to>
    <xdr:sp macro="" textlink="">
      <xdr:nvSpPr>
        <xdr:cNvPr id="41" name="Rectangle 345">
          <a:extLst>
            <a:ext uri="{FF2B5EF4-FFF2-40B4-BE49-F238E27FC236}">
              <a16:creationId xmlns:a16="http://schemas.microsoft.com/office/drawing/2014/main" id="{59EA579A-F07A-43ED-9592-CB08F9894826}"/>
            </a:ext>
          </a:extLst>
        </xdr:cNvPr>
        <xdr:cNvSpPr>
          <a:spLocks noChangeArrowheads="1"/>
        </xdr:cNvSpPr>
      </xdr:nvSpPr>
      <xdr:spPr bwMode="auto">
        <a:xfrm>
          <a:off x="7648799" y="6659765"/>
          <a:ext cx="475578" cy="4401000"/>
        </a:xfrm>
        <a:prstGeom prst="rect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37</xdr:col>
      <xdr:colOff>1</xdr:colOff>
      <xdr:row>26</xdr:row>
      <xdr:rowOff>114859</xdr:rowOff>
    </xdr:from>
    <xdr:to>
      <xdr:col>38</xdr:col>
      <xdr:colOff>168089</xdr:colOff>
      <xdr:row>44</xdr:row>
      <xdr:rowOff>56029</xdr:rowOff>
    </xdr:to>
    <xdr:sp macro="" textlink="">
      <xdr:nvSpPr>
        <xdr:cNvPr id="42" name="Rectangle 349">
          <a:extLst>
            <a:ext uri="{FF2B5EF4-FFF2-40B4-BE49-F238E27FC236}">
              <a16:creationId xmlns:a16="http://schemas.microsoft.com/office/drawing/2014/main" id="{A47732E2-2B18-48C5-A189-DF1DA4976AD2}"/>
            </a:ext>
          </a:extLst>
        </xdr:cNvPr>
        <xdr:cNvSpPr>
          <a:spLocks noChangeArrowheads="1"/>
        </xdr:cNvSpPr>
      </xdr:nvSpPr>
      <xdr:spPr bwMode="auto">
        <a:xfrm>
          <a:off x="8105776" y="6639484"/>
          <a:ext cx="390973" cy="4402680"/>
        </a:xfrm>
        <a:prstGeom prst="rect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231400</xdr:colOff>
      <xdr:row>39</xdr:row>
      <xdr:rowOff>112058</xdr:rowOff>
    </xdr:from>
    <xdr:to>
      <xdr:col>51</xdr:col>
      <xdr:colOff>112059</xdr:colOff>
      <xdr:row>44</xdr:row>
      <xdr:rowOff>89647</xdr:rowOff>
    </xdr:to>
    <xdr:sp macro="" textlink="">
      <xdr:nvSpPr>
        <xdr:cNvPr id="43" name="Rectangle 350">
          <a:extLst>
            <a:ext uri="{FF2B5EF4-FFF2-40B4-BE49-F238E27FC236}">
              <a16:creationId xmlns:a16="http://schemas.microsoft.com/office/drawing/2014/main" id="{8ECFC714-8226-4308-B1FB-1B05090593A7}"/>
            </a:ext>
          </a:extLst>
        </xdr:cNvPr>
        <xdr:cNvSpPr>
          <a:spLocks noChangeArrowheads="1"/>
        </xdr:cNvSpPr>
      </xdr:nvSpPr>
      <xdr:spPr bwMode="auto">
        <a:xfrm>
          <a:off x="221875" y="9856133"/>
          <a:ext cx="11063009" cy="1219649"/>
        </a:xfrm>
        <a:prstGeom prst="rect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</xdr:col>
      <xdr:colOff>72278</xdr:colOff>
      <xdr:row>24</xdr:row>
      <xdr:rowOff>13446</xdr:rowOff>
    </xdr:from>
    <xdr:to>
      <xdr:col>11</xdr:col>
      <xdr:colOff>223557</xdr:colOff>
      <xdr:row>25</xdr:row>
      <xdr:rowOff>51546</xdr:rowOff>
    </xdr:to>
    <xdr:sp macro="" textlink="">
      <xdr:nvSpPr>
        <xdr:cNvPr id="44" name="Oval 351">
          <a:extLst>
            <a:ext uri="{FF2B5EF4-FFF2-40B4-BE49-F238E27FC236}">
              <a16:creationId xmlns:a16="http://schemas.microsoft.com/office/drawing/2014/main" id="{7FE79ECA-C8D3-4DB6-945B-1FAD8E2765E9}"/>
            </a:ext>
          </a:extLst>
        </xdr:cNvPr>
        <xdr:cNvSpPr>
          <a:spLocks noChangeArrowheads="1"/>
        </xdr:cNvSpPr>
      </xdr:nvSpPr>
      <xdr:spPr bwMode="auto">
        <a:xfrm>
          <a:off x="2261123" y="6046581"/>
          <a:ext cx="370354" cy="285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</a:p>
      </xdr:txBody>
    </xdr:sp>
    <xdr:clientData/>
  </xdr:twoCellAnchor>
  <xdr:twoCellAnchor>
    <xdr:from>
      <xdr:col>23</xdr:col>
      <xdr:colOff>49867</xdr:colOff>
      <xdr:row>24</xdr:row>
      <xdr:rowOff>32496</xdr:rowOff>
    </xdr:from>
    <xdr:to>
      <xdr:col>24</xdr:col>
      <xdr:colOff>201146</xdr:colOff>
      <xdr:row>25</xdr:row>
      <xdr:rowOff>61071</xdr:rowOff>
    </xdr:to>
    <xdr:sp macro="" textlink="">
      <xdr:nvSpPr>
        <xdr:cNvPr id="45" name="Oval 352">
          <a:extLst>
            <a:ext uri="{FF2B5EF4-FFF2-40B4-BE49-F238E27FC236}">
              <a16:creationId xmlns:a16="http://schemas.microsoft.com/office/drawing/2014/main" id="{D8E93987-1387-4651-A5BF-76E8ED0A4E77}"/>
            </a:ext>
          </a:extLst>
        </xdr:cNvPr>
        <xdr:cNvSpPr>
          <a:spLocks noChangeArrowheads="1"/>
        </xdr:cNvSpPr>
      </xdr:nvSpPr>
      <xdr:spPr bwMode="auto">
        <a:xfrm>
          <a:off x="5092402" y="6059916"/>
          <a:ext cx="368449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</a:t>
          </a:r>
        </a:p>
      </xdr:txBody>
    </xdr:sp>
    <xdr:clientData/>
  </xdr:twoCellAnchor>
  <xdr:twoCellAnchor>
    <xdr:from>
      <xdr:col>35</xdr:col>
      <xdr:colOff>80683</xdr:colOff>
      <xdr:row>24</xdr:row>
      <xdr:rowOff>32495</xdr:rowOff>
    </xdr:from>
    <xdr:to>
      <xdr:col>36</xdr:col>
      <xdr:colOff>231962</xdr:colOff>
      <xdr:row>25</xdr:row>
      <xdr:rowOff>70595</xdr:rowOff>
    </xdr:to>
    <xdr:sp macro="" textlink="">
      <xdr:nvSpPr>
        <xdr:cNvPr id="46" name="Oval 353">
          <a:extLst>
            <a:ext uri="{FF2B5EF4-FFF2-40B4-BE49-F238E27FC236}">
              <a16:creationId xmlns:a16="http://schemas.microsoft.com/office/drawing/2014/main" id="{8FF1E52D-1830-4102-A5ED-7AA20B6D767E}"/>
            </a:ext>
          </a:extLst>
        </xdr:cNvPr>
        <xdr:cNvSpPr>
          <a:spLocks noChangeArrowheads="1"/>
        </xdr:cNvSpPr>
      </xdr:nvSpPr>
      <xdr:spPr bwMode="auto">
        <a:xfrm>
          <a:off x="7750213" y="6059915"/>
          <a:ext cx="358924" cy="285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</a:t>
          </a:r>
        </a:p>
      </xdr:txBody>
    </xdr:sp>
    <xdr:clientData/>
  </xdr:twoCellAnchor>
  <xdr:twoCellAnchor>
    <xdr:from>
      <xdr:col>37</xdr:col>
      <xdr:colOff>178174</xdr:colOff>
      <xdr:row>24</xdr:row>
      <xdr:rowOff>32497</xdr:rowOff>
    </xdr:from>
    <xdr:to>
      <xdr:col>39</xdr:col>
      <xdr:colOff>82924</xdr:colOff>
      <xdr:row>25</xdr:row>
      <xdr:rowOff>70597</xdr:rowOff>
    </xdr:to>
    <xdr:sp macro="" textlink="">
      <xdr:nvSpPr>
        <xdr:cNvPr id="47" name="Oval 354">
          <a:extLst>
            <a:ext uri="{FF2B5EF4-FFF2-40B4-BE49-F238E27FC236}">
              <a16:creationId xmlns:a16="http://schemas.microsoft.com/office/drawing/2014/main" id="{7CEA5EF6-7334-4348-B3B0-172754056152}"/>
            </a:ext>
          </a:extLst>
        </xdr:cNvPr>
        <xdr:cNvSpPr>
          <a:spLocks noChangeArrowheads="1"/>
        </xdr:cNvSpPr>
      </xdr:nvSpPr>
      <xdr:spPr bwMode="auto">
        <a:xfrm>
          <a:off x="8280139" y="6059917"/>
          <a:ext cx="348615" cy="285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</a:t>
          </a:r>
        </a:p>
      </xdr:txBody>
    </xdr:sp>
    <xdr:clientData/>
  </xdr:twoCellAnchor>
  <xdr:twoCellAnchor>
    <xdr:from>
      <xdr:col>40</xdr:col>
      <xdr:colOff>49866</xdr:colOff>
      <xdr:row>24</xdr:row>
      <xdr:rowOff>38660</xdr:rowOff>
    </xdr:from>
    <xdr:to>
      <xdr:col>41</xdr:col>
      <xdr:colOff>201145</xdr:colOff>
      <xdr:row>25</xdr:row>
      <xdr:rowOff>76760</xdr:rowOff>
    </xdr:to>
    <xdr:sp macro="" textlink="">
      <xdr:nvSpPr>
        <xdr:cNvPr id="48" name="Oval 355">
          <a:extLst>
            <a:ext uri="{FF2B5EF4-FFF2-40B4-BE49-F238E27FC236}">
              <a16:creationId xmlns:a16="http://schemas.microsoft.com/office/drawing/2014/main" id="{FA396B2D-C995-4F9C-AF0E-48FF3708EAD7}"/>
            </a:ext>
          </a:extLst>
        </xdr:cNvPr>
        <xdr:cNvSpPr>
          <a:spLocks noChangeArrowheads="1"/>
        </xdr:cNvSpPr>
      </xdr:nvSpPr>
      <xdr:spPr bwMode="auto">
        <a:xfrm>
          <a:off x="8816676" y="6067985"/>
          <a:ext cx="368449" cy="285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6</a:t>
          </a:r>
        </a:p>
      </xdr:txBody>
    </xdr:sp>
    <xdr:clientData/>
  </xdr:twoCellAnchor>
  <xdr:twoCellAnchor>
    <xdr:from>
      <xdr:col>2</xdr:col>
      <xdr:colOff>179070</xdr:colOff>
      <xdr:row>136</xdr:row>
      <xdr:rowOff>49530</xdr:rowOff>
    </xdr:from>
    <xdr:to>
      <xdr:col>46</xdr:col>
      <xdr:colOff>0</xdr:colOff>
      <xdr:row>147</xdr:row>
      <xdr:rowOff>129540</xdr:rowOff>
    </xdr:to>
    <xdr:grpSp>
      <xdr:nvGrpSpPr>
        <xdr:cNvPr id="49" name="Group 370">
          <a:extLst>
            <a:ext uri="{FF2B5EF4-FFF2-40B4-BE49-F238E27FC236}">
              <a16:creationId xmlns:a16="http://schemas.microsoft.com/office/drawing/2014/main" id="{EB1481F8-F553-48F0-9251-A17C9791EB73}"/>
            </a:ext>
          </a:extLst>
        </xdr:cNvPr>
        <xdr:cNvGrpSpPr>
          <a:grpSpLocks/>
        </xdr:cNvGrpSpPr>
      </xdr:nvGrpSpPr>
      <xdr:grpSpPr bwMode="auto">
        <a:xfrm>
          <a:off x="645235" y="34751906"/>
          <a:ext cx="10076553" cy="2890446"/>
          <a:chOff x="65" y="5494"/>
          <a:chExt cx="1039" cy="375"/>
        </a:xfrm>
      </xdr:grpSpPr>
      <xdr:pic>
        <xdr:nvPicPr>
          <xdr:cNvPr id="50" name="Picture 369" descr="변경이력">
            <a:extLst>
              <a:ext uri="{FF2B5EF4-FFF2-40B4-BE49-F238E27FC236}">
                <a16:creationId xmlns:a16="http://schemas.microsoft.com/office/drawing/2014/main" id="{5B8D5CD4-6064-4270-0C74-B79BD460F33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5" y="5524"/>
            <a:ext cx="1039" cy="34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1" name="Rectangle 357">
            <a:extLst>
              <a:ext uri="{FF2B5EF4-FFF2-40B4-BE49-F238E27FC236}">
                <a16:creationId xmlns:a16="http://schemas.microsoft.com/office/drawing/2014/main" id="{E2A44EDA-32B5-7269-B80D-B40DE81AA0ED}"/>
              </a:ext>
            </a:extLst>
          </xdr:cNvPr>
          <xdr:cNvSpPr>
            <a:spLocks noChangeArrowheads="1"/>
          </xdr:cNvSpPr>
        </xdr:nvSpPr>
        <xdr:spPr bwMode="auto">
          <a:xfrm>
            <a:off x="75" y="5564"/>
            <a:ext cx="118" cy="291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52" name="Rectangle 358">
            <a:extLst>
              <a:ext uri="{FF2B5EF4-FFF2-40B4-BE49-F238E27FC236}">
                <a16:creationId xmlns:a16="http://schemas.microsoft.com/office/drawing/2014/main" id="{1ACDDA94-EAE6-202E-D8BE-EA5AD234F17F}"/>
              </a:ext>
            </a:extLst>
          </xdr:cNvPr>
          <xdr:cNvSpPr>
            <a:spLocks noChangeArrowheads="1"/>
          </xdr:cNvSpPr>
        </xdr:nvSpPr>
        <xdr:spPr bwMode="auto">
          <a:xfrm>
            <a:off x="226" y="5566"/>
            <a:ext cx="408" cy="290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53" name="Rectangle 359">
            <a:extLst>
              <a:ext uri="{FF2B5EF4-FFF2-40B4-BE49-F238E27FC236}">
                <a16:creationId xmlns:a16="http://schemas.microsoft.com/office/drawing/2014/main" id="{F97E55B4-BCC3-7492-923E-948E62A020BF}"/>
              </a:ext>
            </a:extLst>
          </xdr:cNvPr>
          <xdr:cNvSpPr>
            <a:spLocks noChangeArrowheads="1"/>
          </xdr:cNvSpPr>
        </xdr:nvSpPr>
        <xdr:spPr bwMode="auto">
          <a:xfrm>
            <a:off x="673" y="5561"/>
            <a:ext cx="41" cy="295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54" name="Rectangle 360">
            <a:extLst>
              <a:ext uri="{FF2B5EF4-FFF2-40B4-BE49-F238E27FC236}">
                <a16:creationId xmlns:a16="http://schemas.microsoft.com/office/drawing/2014/main" id="{00C7BD71-1BF0-BEFE-6A26-341C2DA42913}"/>
              </a:ext>
            </a:extLst>
          </xdr:cNvPr>
          <xdr:cNvSpPr>
            <a:spLocks noChangeArrowheads="1"/>
          </xdr:cNvSpPr>
        </xdr:nvSpPr>
        <xdr:spPr bwMode="auto">
          <a:xfrm>
            <a:off x="730" y="5561"/>
            <a:ext cx="41" cy="295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55" name="Rectangle 361">
            <a:extLst>
              <a:ext uri="{FF2B5EF4-FFF2-40B4-BE49-F238E27FC236}">
                <a16:creationId xmlns:a16="http://schemas.microsoft.com/office/drawing/2014/main" id="{A1D1B8D0-1BC9-EE4A-AF4B-FABAA00ED59A}"/>
              </a:ext>
            </a:extLst>
          </xdr:cNvPr>
          <xdr:cNvSpPr>
            <a:spLocks noChangeArrowheads="1"/>
          </xdr:cNvSpPr>
        </xdr:nvSpPr>
        <xdr:spPr bwMode="auto">
          <a:xfrm>
            <a:off x="785" y="5562"/>
            <a:ext cx="41" cy="295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56" name="Rectangle 362">
            <a:extLst>
              <a:ext uri="{FF2B5EF4-FFF2-40B4-BE49-F238E27FC236}">
                <a16:creationId xmlns:a16="http://schemas.microsoft.com/office/drawing/2014/main" id="{E24E6C0B-9024-4BC7-9DCD-53295F3D802F}"/>
              </a:ext>
            </a:extLst>
          </xdr:cNvPr>
          <xdr:cNvSpPr>
            <a:spLocks noChangeArrowheads="1"/>
          </xdr:cNvSpPr>
        </xdr:nvSpPr>
        <xdr:spPr bwMode="auto">
          <a:xfrm>
            <a:off x="845" y="5562"/>
            <a:ext cx="150" cy="294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57" name="Oval 363">
            <a:extLst>
              <a:ext uri="{FF2B5EF4-FFF2-40B4-BE49-F238E27FC236}">
                <a16:creationId xmlns:a16="http://schemas.microsoft.com/office/drawing/2014/main" id="{7E28662D-4069-6F35-9619-D40C56A16D4B}"/>
              </a:ext>
            </a:extLst>
          </xdr:cNvPr>
          <xdr:cNvSpPr>
            <a:spLocks noChangeArrowheads="1"/>
          </xdr:cNvSpPr>
        </xdr:nvSpPr>
        <xdr:spPr bwMode="auto">
          <a:xfrm>
            <a:off x="121" y="5495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</a:t>
            </a:r>
          </a:p>
        </xdr:txBody>
      </xdr:sp>
      <xdr:sp macro="" textlink="">
        <xdr:nvSpPr>
          <xdr:cNvPr id="58" name="Oval 364">
            <a:extLst>
              <a:ext uri="{FF2B5EF4-FFF2-40B4-BE49-F238E27FC236}">
                <a16:creationId xmlns:a16="http://schemas.microsoft.com/office/drawing/2014/main" id="{81A7F776-D3FE-D6CA-8D28-DFE6E767E8F9}"/>
              </a:ext>
            </a:extLst>
          </xdr:cNvPr>
          <xdr:cNvSpPr>
            <a:spLocks noChangeArrowheads="1"/>
          </xdr:cNvSpPr>
        </xdr:nvSpPr>
        <xdr:spPr bwMode="auto">
          <a:xfrm>
            <a:off x="418" y="5494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</a:t>
            </a:r>
          </a:p>
        </xdr:txBody>
      </xdr:sp>
      <xdr:sp macro="" textlink="">
        <xdr:nvSpPr>
          <xdr:cNvPr id="59" name="Oval 365">
            <a:extLst>
              <a:ext uri="{FF2B5EF4-FFF2-40B4-BE49-F238E27FC236}">
                <a16:creationId xmlns:a16="http://schemas.microsoft.com/office/drawing/2014/main" id="{35544262-3C53-FCD5-68D9-022AE9A88179}"/>
              </a:ext>
            </a:extLst>
          </xdr:cNvPr>
          <xdr:cNvSpPr>
            <a:spLocks noChangeArrowheads="1"/>
          </xdr:cNvSpPr>
        </xdr:nvSpPr>
        <xdr:spPr bwMode="auto">
          <a:xfrm>
            <a:off x="678" y="5495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3</a:t>
            </a:r>
          </a:p>
        </xdr:txBody>
      </xdr:sp>
      <xdr:sp macro="" textlink="">
        <xdr:nvSpPr>
          <xdr:cNvPr id="60" name="Oval 366">
            <a:extLst>
              <a:ext uri="{FF2B5EF4-FFF2-40B4-BE49-F238E27FC236}">
                <a16:creationId xmlns:a16="http://schemas.microsoft.com/office/drawing/2014/main" id="{E587B135-6CE0-B258-831A-D044D439DC04}"/>
              </a:ext>
            </a:extLst>
          </xdr:cNvPr>
          <xdr:cNvSpPr>
            <a:spLocks noChangeArrowheads="1"/>
          </xdr:cNvSpPr>
        </xdr:nvSpPr>
        <xdr:spPr bwMode="auto">
          <a:xfrm>
            <a:off x="735" y="5496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4</a:t>
            </a:r>
          </a:p>
        </xdr:txBody>
      </xdr:sp>
      <xdr:sp macro="" textlink="">
        <xdr:nvSpPr>
          <xdr:cNvPr id="61" name="Oval 367">
            <a:extLst>
              <a:ext uri="{FF2B5EF4-FFF2-40B4-BE49-F238E27FC236}">
                <a16:creationId xmlns:a16="http://schemas.microsoft.com/office/drawing/2014/main" id="{AB687544-9275-36ED-5B69-5C3C70C34524}"/>
              </a:ext>
            </a:extLst>
          </xdr:cNvPr>
          <xdr:cNvSpPr>
            <a:spLocks noChangeArrowheads="1"/>
          </xdr:cNvSpPr>
        </xdr:nvSpPr>
        <xdr:spPr bwMode="auto">
          <a:xfrm>
            <a:off x="791" y="5495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5</a:t>
            </a:r>
          </a:p>
        </xdr:txBody>
      </xdr:sp>
      <xdr:sp macro="" textlink="">
        <xdr:nvSpPr>
          <xdr:cNvPr id="62" name="Oval 368">
            <a:extLst>
              <a:ext uri="{FF2B5EF4-FFF2-40B4-BE49-F238E27FC236}">
                <a16:creationId xmlns:a16="http://schemas.microsoft.com/office/drawing/2014/main" id="{13DF61B0-20F2-0851-6E5D-7455E8AE618A}"/>
              </a:ext>
            </a:extLst>
          </xdr:cNvPr>
          <xdr:cNvSpPr>
            <a:spLocks noChangeArrowheads="1"/>
          </xdr:cNvSpPr>
        </xdr:nvSpPr>
        <xdr:spPr bwMode="auto">
          <a:xfrm>
            <a:off x="913" y="5496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6</a:t>
            </a:r>
          </a:p>
        </xdr:txBody>
      </xdr:sp>
    </xdr:grpSp>
    <xdr:clientData/>
  </xdr:twoCellAnchor>
  <xdr:twoCellAnchor>
    <xdr:from>
      <xdr:col>10</xdr:col>
      <xdr:colOff>83714</xdr:colOff>
      <xdr:row>52</xdr:row>
      <xdr:rowOff>212438</xdr:rowOff>
    </xdr:from>
    <xdr:to>
      <xdr:col>50</xdr:col>
      <xdr:colOff>162474</xdr:colOff>
      <xdr:row>76</xdr:row>
      <xdr:rowOff>173591</xdr:rowOff>
    </xdr:to>
    <xdr:grpSp>
      <xdr:nvGrpSpPr>
        <xdr:cNvPr id="63" name="Group 388">
          <a:extLst>
            <a:ext uri="{FF2B5EF4-FFF2-40B4-BE49-F238E27FC236}">
              <a16:creationId xmlns:a16="http://schemas.microsoft.com/office/drawing/2014/main" id="{916A81BD-3766-4C72-BFD3-41B2F4DF7308}"/>
            </a:ext>
          </a:extLst>
        </xdr:cNvPr>
        <xdr:cNvGrpSpPr>
          <a:grpSpLocks/>
        </xdr:cNvGrpSpPr>
      </xdr:nvGrpSpPr>
      <xdr:grpSpPr bwMode="auto">
        <a:xfrm>
          <a:off x="2414538" y="13453309"/>
          <a:ext cx="9402054" cy="6093011"/>
          <a:chOff x="248" y="1655"/>
          <a:chExt cx="968" cy="787"/>
        </a:xfrm>
      </xdr:grpSpPr>
      <xdr:sp macro="" textlink="">
        <xdr:nvSpPr>
          <xdr:cNvPr id="64" name="Rectangle 377">
            <a:extLst>
              <a:ext uri="{FF2B5EF4-FFF2-40B4-BE49-F238E27FC236}">
                <a16:creationId xmlns:a16="http://schemas.microsoft.com/office/drawing/2014/main" id="{A003404A-9268-B146-BA09-6A6A11BADC26}"/>
              </a:ext>
            </a:extLst>
          </xdr:cNvPr>
          <xdr:cNvSpPr>
            <a:spLocks noChangeArrowheads="1"/>
          </xdr:cNvSpPr>
        </xdr:nvSpPr>
        <xdr:spPr bwMode="auto">
          <a:xfrm>
            <a:off x="248" y="1717"/>
            <a:ext cx="145" cy="710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65" name="Oval 378">
            <a:extLst>
              <a:ext uri="{FF2B5EF4-FFF2-40B4-BE49-F238E27FC236}">
                <a16:creationId xmlns:a16="http://schemas.microsoft.com/office/drawing/2014/main" id="{17546BC7-1EA8-D8F4-72B0-32EA09E0861C}"/>
              </a:ext>
            </a:extLst>
          </xdr:cNvPr>
          <xdr:cNvSpPr>
            <a:spLocks noChangeArrowheads="1"/>
          </xdr:cNvSpPr>
        </xdr:nvSpPr>
        <xdr:spPr bwMode="auto">
          <a:xfrm>
            <a:off x="312" y="1659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</a:t>
            </a:r>
          </a:p>
        </xdr:txBody>
      </xdr:sp>
      <xdr:sp macro="" textlink="">
        <xdr:nvSpPr>
          <xdr:cNvPr id="66" name="Rectangle 379">
            <a:extLst>
              <a:ext uri="{FF2B5EF4-FFF2-40B4-BE49-F238E27FC236}">
                <a16:creationId xmlns:a16="http://schemas.microsoft.com/office/drawing/2014/main" id="{3BFD15C8-74E0-8F9B-6775-BC1F88064E06}"/>
              </a:ext>
            </a:extLst>
          </xdr:cNvPr>
          <xdr:cNvSpPr>
            <a:spLocks noChangeArrowheads="1"/>
          </xdr:cNvSpPr>
        </xdr:nvSpPr>
        <xdr:spPr bwMode="auto">
          <a:xfrm>
            <a:off x="399" y="1718"/>
            <a:ext cx="108" cy="711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67" name="Oval 380">
            <a:extLst>
              <a:ext uri="{FF2B5EF4-FFF2-40B4-BE49-F238E27FC236}">
                <a16:creationId xmlns:a16="http://schemas.microsoft.com/office/drawing/2014/main" id="{82FE6808-8790-BA03-EEC5-477F1D1C710F}"/>
              </a:ext>
            </a:extLst>
          </xdr:cNvPr>
          <xdr:cNvSpPr>
            <a:spLocks noChangeArrowheads="1"/>
          </xdr:cNvSpPr>
        </xdr:nvSpPr>
        <xdr:spPr bwMode="auto">
          <a:xfrm>
            <a:off x="432" y="1660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</a:t>
            </a:r>
          </a:p>
        </xdr:txBody>
      </xdr:sp>
      <xdr:sp macro="" textlink="">
        <xdr:nvSpPr>
          <xdr:cNvPr id="68" name="Oval 382">
            <a:extLst>
              <a:ext uri="{FF2B5EF4-FFF2-40B4-BE49-F238E27FC236}">
                <a16:creationId xmlns:a16="http://schemas.microsoft.com/office/drawing/2014/main" id="{12C44C03-977F-800E-2165-8B8D9E42BBFF}"/>
              </a:ext>
            </a:extLst>
          </xdr:cNvPr>
          <xdr:cNvSpPr>
            <a:spLocks noChangeArrowheads="1"/>
          </xdr:cNvSpPr>
        </xdr:nvSpPr>
        <xdr:spPr bwMode="auto">
          <a:xfrm>
            <a:off x="1063" y="1655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4</a:t>
            </a:r>
          </a:p>
        </xdr:txBody>
      </xdr:sp>
      <xdr:sp macro="" textlink="">
        <xdr:nvSpPr>
          <xdr:cNvPr id="69" name="Rectangle 383">
            <a:extLst>
              <a:ext uri="{FF2B5EF4-FFF2-40B4-BE49-F238E27FC236}">
                <a16:creationId xmlns:a16="http://schemas.microsoft.com/office/drawing/2014/main" id="{69A1E52B-885D-AEA0-3DD8-D907592D2AED}"/>
              </a:ext>
            </a:extLst>
          </xdr:cNvPr>
          <xdr:cNvSpPr>
            <a:spLocks noChangeArrowheads="1"/>
          </xdr:cNvSpPr>
        </xdr:nvSpPr>
        <xdr:spPr bwMode="auto">
          <a:xfrm>
            <a:off x="1033" y="1725"/>
            <a:ext cx="89" cy="717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70" name="Oval 384">
            <a:extLst>
              <a:ext uri="{FF2B5EF4-FFF2-40B4-BE49-F238E27FC236}">
                <a16:creationId xmlns:a16="http://schemas.microsoft.com/office/drawing/2014/main" id="{D6CC4178-E07B-2952-9ADE-F111717F3DAC}"/>
              </a:ext>
            </a:extLst>
          </xdr:cNvPr>
          <xdr:cNvSpPr>
            <a:spLocks noChangeArrowheads="1"/>
          </xdr:cNvSpPr>
        </xdr:nvSpPr>
        <xdr:spPr bwMode="auto">
          <a:xfrm>
            <a:off x="939" y="1657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3</a:t>
            </a:r>
          </a:p>
        </xdr:txBody>
      </xdr:sp>
      <xdr:sp macro="" textlink="">
        <xdr:nvSpPr>
          <xdr:cNvPr id="71" name="Rectangle 385">
            <a:extLst>
              <a:ext uri="{FF2B5EF4-FFF2-40B4-BE49-F238E27FC236}">
                <a16:creationId xmlns:a16="http://schemas.microsoft.com/office/drawing/2014/main" id="{0027087B-5520-F15C-9271-60633E89A980}"/>
              </a:ext>
            </a:extLst>
          </xdr:cNvPr>
          <xdr:cNvSpPr>
            <a:spLocks noChangeArrowheads="1"/>
          </xdr:cNvSpPr>
        </xdr:nvSpPr>
        <xdr:spPr bwMode="auto">
          <a:xfrm>
            <a:off x="901" y="1724"/>
            <a:ext cx="129" cy="718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72" name="Rectangle 386">
            <a:extLst>
              <a:ext uri="{FF2B5EF4-FFF2-40B4-BE49-F238E27FC236}">
                <a16:creationId xmlns:a16="http://schemas.microsoft.com/office/drawing/2014/main" id="{BD071FE8-B145-AE98-4AC6-589BF673FCFC}"/>
              </a:ext>
            </a:extLst>
          </xdr:cNvPr>
          <xdr:cNvSpPr>
            <a:spLocks noChangeArrowheads="1"/>
          </xdr:cNvSpPr>
        </xdr:nvSpPr>
        <xdr:spPr bwMode="auto">
          <a:xfrm>
            <a:off x="1124" y="1721"/>
            <a:ext cx="92" cy="717"/>
          </a:xfrm>
          <a:prstGeom prst="rect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73" name="Oval 387">
            <a:extLst>
              <a:ext uri="{FF2B5EF4-FFF2-40B4-BE49-F238E27FC236}">
                <a16:creationId xmlns:a16="http://schemas.microsoft.com/office/drawing/2014/main" id="{6E819A0C-A0C2-40BC-D0E9-ACFC95250BD3}"/>
              </a:ext>
            </a:extLst>
          </xdr:cNvPr>
          <xdr:cNvSpPr>
            <a:spLocks noChangeArrowheads="1"/>
          </xdr:cNvSpPr>
        </xdr:nvSpPr>
        <xdr:spPr bwMode="auto">
          <a:xfrm>
            <a:off x="1153" y="1657"/>
            <a:ext cx="39" cy="3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5</a:t>
            </a:r>
          </a:p>
        </xdr:txBody>
      </xdr:sp>
    </xdr:grpSp>
    <xdr:clientData/>
  </xdr:twoCellAnchor>
  <xdr:twoCellAnchor>
    <xdr:from>
      <xdr:col>3</xdr:col>
      <xdr:colOff>200025</xdr:colOff>
      <xdr:row>160</xdr:row>
      <xdr:rowOff>47625</xdr:rowOff>
    </xdr:from>
    <xdr:to>
      <xdr:col>7</xdr:col>
      <xdr:colOff>47625</xdr:colOff>
      <xdr:row>160</xdr:row>
      <xdr:rowOff>47625</xdr:rowOff>
    </xdr:to>
    <xdr:sp macro="" textlink="">
      <xdr:nvSpPr>
        <xdr:cNvPr id="74" name="Line 389">
          <a:extLst>
            <a:ext uri="{FF2B5EF4-FFF2-40B4-BE49-F238E27FC236}">
              <a16:creationId xmlns:a16="http://schemas.microsoft.com/office/drawing/2014/main" id="{5FFDF31A-CC4B-4AC7-8906-EFB3DDC265F2}"/>
            </a:ext>
          </a:extLst>
        </xdr:cNvPr>
        <xdr:cNvSpPr>
          <a:spLocks noChangeShapeType="1"/>
        </xdr:cNvSpPr>
      </xdr:nvSpPr>
      <xdr:spPr bwMode="auto">
        <a:xfrm>
          <a:off x="859155" y="39759255"/>
          <a:ext cx="7239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209550</xdr:colOff>
      <xdr:row>160</xdr:row>
      <xdr:rowOff>47625</xdr:rowOff>
    </xdr:from>
    <xdr:to>
      <xdr:col>15</xdr:col>
      <xdr:colOff>47625</xdr:colOff>
      <xdr:row>160</xdr:row>
      <xdr:rowOff>47625</xdr:rowOff>
    </xdr:to>
    <xdr:sp macro="" textlink="">
      <xdr:nvSpPr>
        <xdr:cNvPr id="75" name="Line 390">
          <a:extLst>
            <a:ext uri="{FF2B5EF4-FFF2-40B4-BE49-F238E27FC236}">
              <a16:creationId xmlns:a16="http://schemas.microsoft.com/office/drawing/2014/main" id="{439293D3-4C28-4070-A87C-A41F6EF24F88}"/>
            </a:ext>
          </a:extLst>
        </xdr:cNvPr>
        <xdr:cNvSpPr>
          <a:spLocks noChangeShapeType="1"/>
        </xdr:cNvSpPr>
      </xdr:nvSpPr>
      <xdr:spPr bwMode="auto">
        <a:xfrm>
          <a:off x="1739265" y="39759255"/>
          <a:ext cx="159639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83483</xdr:colOff>
      <xdr:row>160</xdr:row>
      <xdr:rowOff>49306</xdr:rowOff>
    </xdr:from>
    <xdr:to>
      <xdr:col>19</xdr:col>
      <xdr:colOff>177612</xdr:colOff>
      <xdr:row>160</xdr:row>
      <xdr:rowOff>49306</xdr:rowOff>
    </xdr:to>
    <xdr:sp macro="" textlink="">
      <xdr:nvSpPr>
        <xdr:cNvPr id="76" name="Line 391">
          <a:extLst>
            <a:ext uri="{FF2B5EF4-FFF2-40B4-BE49-F238E27FC236}">
              <a16:creationId xmlns:a16="http://schemas.microsoft.com/office/drawing/2014/main" id="{CA1060F4-61FE-4781-AB0B-1F1930DC9B19}"/>
            </a:ext>
          </a:extLst>
        </xdr:cNvPr>
        <xdr:cNvSpPr>
          <a:spLocks noChangeShapeType="1"/>
        </xdr:cNvSpPr>
      </xdr:nvSpPr>
      <xdr:spPr bwMode="auto">
        <a:xfrm>
          <a:off x="3590588" y="39760936"/>
          <a:ext cx="745639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75639</xdr:colOff>
      <xdr:row>161</xdr:row>
      <xdr:rowOff>144556</xdr:rowOff>
    </xdr:from>
    <xdr:to>
      <xdr:col>8</xdr:col>
      <xdr:colOff>47065</xdr:colOff>
      <xdr:row>162</xdr:row>
      <xdr:rowOff>87406</xdr:rowOff>
    </xdr:to>
    <xdr:sp macro="" textlink="">
      <xdr:nvSpPr>
        <xdr:cNvPr id="77" name="Rectangle 392">
          <a:extLst>
            <a:ext uri="{FF2B5EF4-FFF2-40B4-BE49-F238E27FC236}">
              <a16:creationId xmlns:a16="http://schemas.microsoft.com/office/drawing/2014/main" id="{01611F1A-FBC2-4910-B48F-750BB737EA06}"/>
            </a:ext>
          </a:extLst>
        </xdr:cNvPr>
        <xdr:cNvSpPr>
          <a:spLocks noChangeArrowheads="1"/>
        </xdr:cNvSpPr>
      </xdr:nvSpPr>
      <xdr:spPr bwMode="auto">
        <a:xfrm>
          <a:off x="513789" y="40100026"/>
          <a:ext cx="1287781" cy="1943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Order No</a:t>
          </a:r>
        </a:p>
      </xdr:txBody>
    </xdr:sp>
    <xdr:clientData/>
  </xdr:twoCellAnchor>
  <xdr:twoCellAnchor>
    <xdr:from>
      <xdr:col>8</xdr:col>
      <xdr:colOff>142875</xdr:colOff>
      <xdr:row>161</xdr:row>
      <xdr:rowOff>133350</xdr:rowOff>
    </xdr:from>
    <xdr:to>
      <xdr:col>14</xdr:col>
      <xdr:colOff>114300</xdr:colOff>
      <xdr:row>162</xdr:row>
      <xdr:rowOff>76200</xdr:rowOff>
    </xdr:to>
    <xdr:sp macro="" textlink="">
      <xdr:nvSpPr>
        <xdr:cNvPr id="78" name="Rectangle 393">
          <a:extLst>
            <a:ext uri="{FF2B5EF4-FFF2-40B4-BE49-F238E27FC236}">
              <a16:creationId xmlns:a16="http://schemas.microsoft.com/office/drawing/2014/main" id="{12DD6370-2AFA-4B12-B9B5-F29648CAF034}"/>
            </a:ext>
          </a:extLst>
        </xdr:cNvPr>
        <xdr:cNvSpPr>
          <a:spLocks noChangeArrowheads="1"/>
        </xdr:cNvSpPr>
      </xdr:nvSpPr>
      <xdr:spPr bwMode="auto">
        <a:xfrm>
          <a:off x="1893570" y="40086915"/>
          <a:ext cx="1287780" cy="1943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ＭＳ Ｐゴシック"/>
            </a:rPr>
            <a:t>장치명</a:t>
          </a:r>
        </a:p>
      </xdr:txBody>
    </xdr:sp>
    <xdr:clientData/>
  </xdr:twoCellAnchor>
  <xdr:twoCellAnchor>
    <xdr:from>
      <xdr:col>14</xdr:col>
      <xdr:colOff>244287</xdr:colOff>
      <xdr:row>161</xdr:row>
      <xdr:rowOff>173131</xdr:rowOff>
    </xdr:from>
    <xdr:to>
      <xdr:col>20</xdr:col>
      <xdr:colOff>215713</xdr:colOff>
      <xdr:row>162</xdr:row>
      <xdr:rowOff>106456</xdr:rowOff>
    </xdr:to>
    <xdr:sp macro="" textlink="">
      <xdr:nvSpPr>
        <xdr:cNvPr id="79" name="Rectangle 394">
          <a:extLst>
            <a:ext uri="{FF2B5EF4-FFF2-40B4-BE49-F238E27FC236}">
              <a16:creationId xmlns:a16="http://schemas.microsoft.com/office/drawing/2014/main" id="{0C3EF07B-87F3-40AA-B90C-13EDF2727829}"/>
            </a:ext>
          </a:extLst>
        </xdr:cNvPr>
        <xdr:cNvSpPr>
          <a:spLocks noChangeArrowheads="1"/>
        </xdr:cNvSpPr>
      </xdr:nvSpPr>
      <xdr:spPr bwMode="auto">
        <a:xfrm>
          <a:off x="3286572" y="40126696"/>
          <a:ext cx="1306831" cy="1828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ＭＳ Ｐゴシック"/>
            </a:rPr>
            <a:t>작성 날짜</a:t>
          </a:r>
        </a:p>
      </xdr:txBody>
    </xdr:sp>
    <xdr:clientData/>
  </xdr:twoCellAnchor>
  <xdr:twoCellAnchor>
    <xdr:from>
      <xdr:col>5</xdr:col>
      <xdr:colOff>114300</xdr:colOff>
      <xdr:row>160</xdr:row>
      <xdr:rowOff>38100</xdr:rowOff>
    </xdr:from>
    <xdr:to>
      <xdr:col>5</xdr:col>
      <xdr:colOff>114300</xdr:colOff>
      <xdr:row>161</xdr:row>
      <xdr:rowOff>152400</xdr:rowOff>
    </xdr:to>
    <xdr:sp macro="" textlink="">
      <xdr:nvSpPr>
        <xdr:cNvPr id="80" name="Line 395">
          <a:extLst>
            <a:ext uri="{FF2B5EF4-FFF2-40B4-BE49-F238E27FC236}">
              <a16:creationId xmlns:a16="http://schemas.microsoft.com/office/drawing/2014/main" id="{333D5E2B-9D92-41F7-B4CA-A2F5150D1658}"/>
            </a:ext>
          </a:extLst>
        </xdr:cNvPr>
        <xdr:cNvSpPr>
          <a:spLocks noChangeShapeType="1"/>
        </xdr:cNvSpPr>
      </xdr:nvSpPr>
      <xdr:spPr bwMode="auto">
        <a:xfrm>
          <a:off x="1209675" y="39747825"/>
          <a:ext cx="0" cy="36195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85725</xdr:colOff>
      <xdr:row>160</xdr:row>
      <xdr:rowOff>28575</xdr:rowOff>
    </xdr:from>
    <xdr:to>
      <xdr:col>11</xdr:col>
      <xdr:colOff>85725</xdr:colOff>
      <xdr:row>161</xdr:row>
      <xdr:rowOff>142875</xdr:rowOff>
    </xdr:to>
    <xdr:sp macro="" textlink="">
      <xdr:nvSpPr>
        <xdr:cNvPr id="81" name="Line 396">
          <a:extLst>
            <a:ext uri="{FF2B5EF4-FFF2-40B4-BE49-F238E27FC236}">
              <a16:creationId xmlns:a16="http://schemas.microsoft.com/office/drawing/2014/main" id="{358B0E3C-E9EC-4B1B-BC7B-410DE14C3DE1}"/>
            </a:ext>
          </a:extLst>
        </xdr:cNvPr>
        <xdr:cNvSpPr>
          <a:spLocks noChangeShapeType="1"/>
        </xdr:cNvSpPr>
      </xdr:nvSpPr>
      <xdr:spPr bwMode="auto">
        <a:xfrm>
          <a:off x="2497455" y="39736395"/>
          <a:ext cx="0" cy="36195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234763</xdr:colOff>
      <xdr:row>160</xdr:row>
      <xdr:rowOff>30256</xdr:rowOff>
    </xdr:from>
    <xdr:to>
      <xdr:col>17</xdr:col>
      <xdr:colOff>234763</xdr:colOff>
      <xdr:row>161</xdr:row>
      <xdr:rowOff>144556</xdr:rowOff>
    </xdr:to>
    <xdr:sp macro="" textlink="">
      <xdr:nvSpPr>
        <xdr:cNvPr id="82" name="Line 397">
          <a:extLst>
            <a:ext uri="{FF2B5EF4-FFF2-40B4-BE49-F238E27FC236}">
              <a16:creationId xmlns:a16="http://schemas.microsoft.com/office/drawing/2014/main" id="{FE8477CE-0022-4A16-83D0-A04B1759BA82}"/>
            </a:ext>
          </a:extLst>
        </xdr:cNvPr>
        <xdr:cNvSpPr>
          <a:spLocks noChangeShapeType="1"/>
        </xdr:cNvSpPr>
      </xdr:nvSpPr>
      <xdr:spPr bwMode="auto">
        <a:xfrm>
          <a:off x="3941893" y="39738076"/>
          <a:ext cx="0" cy="36195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201706</xdr:colOff>
      <xdr:row>41</xdr:row>
      <xdr:rowOff>123264</xdr:rowOff>
    </xdr:from>
    <xdr:to>
      <xdr:col>53</xdr:col>
      <xdr:colOff>106456</xdr:colOff>
      <xdr:row>42</xdr:row>
      <xdr:rowOff>161364</xdr:rowOff>
    </xdr:to>
    <xdr:sp macro="" textlink="">
      <xdr:nvSpPr>
        <xdr:cNvPr id="83" name="Oval 355">
          <a:extLst>
            <a:ext uri="{FF2B5EF4-FFF2-40B4-BE49-F238E27FC236}">
              <a16:creationId xmlns:a16="http://schemas.microsoft.com/office/drawing/2014/main" id="{F95E2E02-A02A-4274-A6CA-EB279767F8C9}"/>
            </a:ext>
          </a:extLst>
        </xdr:cNvPr>
        <xdr:cNvSpPr>
          <a:spLocks noChangeArrowheads="1"/>
        </xdr:cNvSpPr>
      </xdr:nvSpPr>
      <xdr:spPr bwMode="auto">
        <a:xfrm>
          <a:off x="11376436" y="10364544"/>
          <a:ext cx="339090" cy="285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</a:t>
          </a:r>
        </a:p>
        <a:p>
          <a:pPr algn="ctr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54</xdr:col>
      <xdr:colOff>224118</xdr:colOff>
      <xdr:row>82</xdr:row>
      <xdr:rowOff>134471</xdr:rowOff>
    </xdr:from>
    <xdr:to>
      <xdr:col>56</xdr:col>
      <xdr:colOff>128868</xdr:colOff>
      <xdr:row>83</xdr:row>
      <xdr:rowOff>172570</xdr:rowOff>
    </xdr:to>
    <xdr:sp macro="" textlink="">
      <xdr:nvSpPr>
        <xdr:cNvPr id="84" name="Oval 355">
          <a:extLst>
            <a:ext uri="{FF2B5EF4-FFF2-40B4-BE49-F238E27FC236}">
              <a16:creationId xmlns:a16="http://schemas.microsoft.com/office/drawing/2014/main" id="{9C961348-A2DA-4916-94D6-E954560AA282}"/>
            </a:ext>
          </a:extLst>
        </xdr:cNvPr>
        <xdr:cNvSpPr>
          <a:spLocks noChangeArrowheads="1"/>
        </xdr:cNvSpPr>
      </xdr:nvSpPr>
      <xdr:spPr bwMode="auto">
        <a:xfrm>
          <a:off x="12052263" y="20523686"/>
          <a:ext cx="348615" cy="285749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</a:t>
          </a:r>
        </a:p>
        <a:p>
          <a:pPr algn="ctr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49</xdr:col>
      <xdr:colOff>201706</xdr:colOff>
      <xdr:row>84</xdr:row>
      <xdr:rowOff>78442</xdr:rowOff>
    </xdr:from>
    <xdr:to>
      <xdr:col>62</xdr:col>
      <xdr:colOff>122465</xdr:colOff>
      <xdr:row>87</xdr:row>
      <xdr:rowOff>231322</xdr:rowOff>
    </xdr:to>
    <xdr:sp macro="" textlink="">
      <xdr:nvSpPr>
        <xdr:cNvPr id="85" name="Rectangle 350">
          <a:extLst>
            <a:ext uri="{FF2B5EF4-FFF2-40B4-BE49-F238E27FC236}">
              <a16:creationId xmlns:a16="http://schemas.microsoft.com/office/drawing/2014/main" id="{11654BC8-EA3C-485C-AC45-852420AAD08A}"/>
            </a:ext>
          </a:extLst>
        </xdr:cNvPr>
        <xdr:cNvSpPr>
          <a:spLocks noChangeArrowheads="1"/>
        </xdr:cNvSpPr>
      </xdr:nvSpPr>
      <xdr:spPr bwMode="auto">
        <a:xfrm>
          <a:off x="10938286" y="20966767"/>
          <a:ext cx="2768734" cy="895830"/>
        </a:xfrm>
        <a:prstGeom prst="rect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89646</xdr:colOff>
      <xdr:row>98</xdr:row>
      <xdr:rowOff>212912</xdr:rowOff>
    </xdr:from>
    <xdr:to>
      <xdr:col>15</xdr:col>
      <xdr:colOff>168087</xdr:colOff>
      <xdr:row>117</xdr:row>
      <xdr:rowOff>212912</xdr:rowOff>
    </xdr:to>
    <xdr:sp macro="" textlink="">
      <xdr:nvSpPr>
        <xdr:cNvPr id="86" name="Rectangle 286">
          <a:extLst>
            <a:ext uri="{FF2B5EF4-FFF2-40B4-BE49-F238E27FC236}">
              <a16:creationId xmlns:a16="http://schemas.microsoft.com/office/drawing/2014/main" id="{76D9168D-23CD-4B6A-9F65-42AB94B0886A}"/>
            </a:ext>
          </a:extLst>
        </xdr:cNvPr>
        <xdr:cNvSpPr>
          <a:spLocks noChangeArrowheads="1"/>
        </xdr:cNvSpPr>
      </xdr:nvSpPr>
      <xdr:spPr bwMode="auto">
        <a:xfrm>
          <a:off x="2722356" y="24564527"/>
          <a:ext cx="735666" cy="4705350"/>
        </a:xfrm>
        <a:prstGeom prst="rect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54</xdr:col>
      <xdr:colOff>33618</xdr:colOff>
      <xdr:row>97</xdr:row>
      <xdr:rowOff>56029</xdr:rowOff>
    </xdr:from>
    <xdr:to>
      <xdr:col>55</xdr:col>
      <xdr:colOff>187856</xdr:colOff>
      <xdr:row>98</xdr:row>
      <xdr:rowOff>93393</xdr:rowOff>
    </xdr:to>
    <xdr:sp macro="" textlink="">
      <xdr:nvSpPr>
        <xdr:cNvPr id="87" name="Oval 330">
          <a:extLst>
            <a:ext uri="{FF2B5EF4-FFF2-40B4-BE49-F238E27FC236}">
              <a16:creationId xmlns:a16="http://schemas.microsoft.com/office/drawing/2014/main" id="{768D9647-0D41-473C-AD45-3DFAC14D585F}"/>
            </a:ext>
          </a:extLst>
        </xdr:cNvPr>
        <xdr:cNvSpPr>
          <a:spLocks noChangeArrowheads="1"/>
        </xdr:cNvSpPr>
      </xdr:nvSpPr>
      <xdr:spPr bwMode="auto">
        <a:xfrm>
          <a:off x="11861763" y="24167614"/>
          <a:ext cx="375218" cy="285014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10</a:t>
          </a:r>
        </a:p>
      </xdr:txBody>
    </xdr:sp>
    <xdr:clientData/>
  </xdr:twoCellAnchor>
  <xdr:twoCellAnchor>
    <xdr:from>
      <xdr:col>50</xdr:col>
      <xdr:colOff>123264</xdr:colOff>
      <xdr:row>98</xdr:row>
      <xdr:rowOff>201706</xdr:rowOff>
    </xdr:from>
    <xdr:to>
      <xdr:col>60</xdr:col>
      <xdr:colOff>212911</xdr:colOff>
      <xdr:row>118</xdr:row>
      <xdr:rowOff>139557</xdr:rowOff>
    </xdr:to>
    <xdr:sp macro="" textlink="">
      <xdr:nvSpPr>
        <xdr:cNvPr id="88" name="Rectangle 329">
          <a:extLst>
            <a:ext uri="{FF2B5EF4-FFF2-40B4-BE49-F238E27FC236}">
              <a16:creationId xmlns:a16="http://schemas.microsoft.com/office/drawing/2014/main" id="{A0EA1A2A-453B-4902-8058-4BE4324D6211}"/>
            </a:ext>
          </a:extLst>
        </xdr:cNvPr>
        <xdr:cNvSpPr>
          <a:spLocks noChangeArrowheads="1"/>
        </xdr:cNvSpPr>
      </xdr:nvSpPr>
      <xdr:spPr bwMode="auto">
        <a:xfrm>
          <a:off x="11078919" y="24559036"/>
          <a:ext cx="2274682" cy="4885136"/>
        </a:xfrm>
        <a:prstGeom prst="rect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&#50629;&#47924;&#51088;&#47308;\01.%20PROJECT\00.%20SDC\02.%20SDV%20SISW-OLED1500-4-AOI-C%20%20(8.4inch)%20-%2022R57-003\A%20-%20&#49444;&#44228;&#44288;&#47144;\98.%20DOC\21.%20AXIS%20LIST\SDC%20SISW-OLED1500-4-AOI-C%20AXIS%20LIST_20240722_R03.xlsx" TargetMode="External"/><Relationship Id="rId1" Type="http://schemas.openxmlformats.org/officeDocument/2006/relationships/externalLinkPath" Target="https://mitsuboshidia-my.sharepoint.com/01.%20&#50629;&#47924;&#51088;&#47308;/01.%20PROJECT/00.%20SDC/02.%20SDV%20SISW-OLED1500-4-AOI-C%20%20(8.4inch)%20-%2022R57-003/A%20-%20&#49444;&#44228;&#44288;&#47144;/98.%20DOC/21.%20AXIS%20LIST/SDC%20SISW-OLED1500-4-AOI-C%20AXIS%20LIST_20240722_R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-1\&#12450;&#12471;&#12473;&#12479;&#12531;&#12488;\My%20Documents\&#26032;&#30041;\&#32013;&#20837;&#20181;&#27096;&#26360;&#19968;&#3523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68.3.13/&#26989;&#21209;&#65420;&#65387;&#65433;&#65408;&#65438;/&#35413;&#20385;&#36039;&#26009;/&#20995;&#20808;&#35519;&#26619;/TMD&#28145;&#35895;Penett&#174;&#35519;&#26619;/DR32-435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&#50629;&#47924;&#51088;&#47308;\01.%20PROJECT\00.%20SDC\01.%20SDC%20SISW-OLED2300-4(8.6G)%20-%2022R57-001\A%20-%20&#49444;&#44228;&#44288;&#47144;\01.%20&#49444;&#44228;&#50857;&#47049;%20&#44228;&#49328;&#54364;\SDC%20SISW-OLED2300%20%20(8.6G)_20240727_R00.xlsx" TargetMode="External"/><Relationship Id="rId1" Type="http://schemas.openxmlformats.org/officeDocument/2006/relationships/externalLinkPath" Target="/01.%20&#50629;&#47924;&#51088;&#47308;/01.%20PROJECT/00.%20SDC/01.%20SDC%20SISW-OLED2300-4(8.6G)%20-%2022R57-001/A%20-%20&#49444;&#44228;&#44288;&#47144;/01.%20&#49444;&#44228;&#50857;&#47049;%20&#44228;&#49328;&#54364;/SDC%20SISW-OLED2300%20%20(8.6G)_20240727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0.CIM1 PC"/>
      <sheetName val="1.PC1_AXIS CHECK LIST(LOADER)"/>
      <sheetName val="2.PC2_AXIS CHECK LIST(SCT)"/>
      <sheetName val="2-1.SCT(UPS1)"/>
      <sheetName val="3.CIM2 PC"/>
      <sheetName val="4.PC3_AXIS CHECK LIST(CCTB)"/>
      <sheetName val="4-1.CCTB(UPS2)"/>
      <sheetName val="4.PC4_AXIS CHECK LIST(CCTA)"/>
      <sheetName val="4-1.CCTA(UPS5)"/>
      <sheetName val="5.PC5_AXIS CHECK LIST(ULDB)"/>
      <sheetName val="5-1.ULDB(UPS4)"/>
      <sheetName val="6.PC5_AXIS CHECK LIST(ULDA)"/>
      <sheetName val="6-1.ULDA(UPS7)"/>
      <sheetName val="7.개정 이력"/>
      <sheetName val="8.작성법"/>
    </sheetNames>
    <definedNames>
      <definedName name="_GoA1" refersTo="#REF!" sheetId="9"/>
      <definedName name="Capture.Capture" refersTo="#REF!" sheetId="9"/>
      <definedName name="LXCPK" refersTo="#REF!" sheetId="9"/>
      <definedName name="RANDR폭" refersTo="#REF!" sheetId="9"/>
      <definedName name="폭CPK" refersTo="#REF!" sheetId="9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書一覧"/>
      <sheetName val="仕様書検索"/>
      <sheetName val="提出先一覧"/>
      <sheetName val="DQ02"/>
      <sheetName val="DQ03"/>
      <sheetName val="DQ04"/>
      <sheetName val="DQ05"/>
      <sheetName val="DQ06"/>
      <sheetName val="DQ11"/>
      <sheetName val="DQ12"/>
      <sheetName val="見出し"/>
      <sheetName val="품의서"/>
      <sheetName val="納入仕様書一覧"/>
      <sheetName val="#ref"/>
    </sheetNames>
    <sheetDataSet>
      <sheetData sheetId="0"/>
      <sheetData sheetId="1"/>
      <sheetData sheetId="2" refreshError="1">
        <row r="1">
          <cell r="A1" t="str">
            <v>提出日</v>
          </cell>
          <cell r="B1" t="str">
            <v>仕様書№</v>
          </cell>
          <cell r="C1" t="str">
            <v>提出先</v>
          </cell>
          <cell r="D1" t="str">
            <v>見　出　し</v>
          </cell>
          <cell r="E1" t="str">
            <v>営業
担当者</v>
          </cell>
          <cell r="F1" t="str">
            <v>担当者</v>
          </cell>
          <cell r="G1" t="str">
            <v>発行
部数</v>
          </cell>
        </row>
        <row r="2">
          <cell r="A2" t="str">
            <v>01.11.26</v>
          </cell>
          <cell r="B2" t="str">
            <v>DQ01-001</v>
          </cell>
          <cell r="C2" t="str">
            <v>大日本印刷</v>
          </cell>
          <cell r="D2" t="str">
            <v>CW-T  Ａ研磨</v>
          </cell>
          <cell r="G2">
            <v>1</v>
          </cell>
        </row>
        <row r="3">
          <cell r="A3" t="str">
            <v>01.11.26</v>
          </cell>
          <cell r="B3" t="str">
            <v>DQ03-001</v>
          </cell>
          <cell r="C3" t="str">
            <v>三星電子</v>
          </cell>
          <cell r="D3" t="str">
            <v>ペネットSC  SC012511010AE</v>
          </cell>
          <cell r="G3">
            <v>2</v>
          </cell>
        </row>
        <row r="4">
          <cell r="A4" t="str">
            <v>01.11.26</v>
          </cell>
          <cell r="B4" t="str">
            <v>DQ05-001</v>
          </cell>
          <cell r="C4" t="str">
            <v>大日本印刷</v>
          </cell>
          <cell r="D4" t="str">
            <v>LL刃先  Ａ研磨</v>
          </cell>
          <cell r="F4" t="str">
            <v>前川</v>
          </cell>
          <cell r="G4">
            <v>3</v>
          </cell>
        </row>
        <row r="5">
          <cell r="A5" t="str">
            <v>01.11.27</v>
          </cell>
          <cell r="B5" t="str">
            <v>DQ06-001</v>
          </cell>
          <cell r="C5" t="str">
            <v>a</v>
          </cell>
          <cell r="D5" t="str">
            <v>ALF刃先  30810100</v>
          </cell>
          <cell r="G5">
            <v>4</v>
          </cell>
        </row>
        <row r="6">
          <cell r="A6" t="str">
            <v>01.11.28</v>
          </cell>
          <cell r="B6" t="str">
            <v>DQ06-001</v>
          </cell>
          <cell r="C6" t="str">
            <v>a</v>
          </cell>
          <cell r="D6" t="str">
            <v>ALF刃先  30810100</v>
          </cell>
          <cell r="G6">
            <v>5</v>
          </cell>
        </row>
        <row r="7">
          <cell r="A7" t="str">
            <v>01.11.29</v>
          </cell>
          <cell r="B7" t="str">
            <v>DQ06-001</v>
          </cell>
          <cell r="C7" t="str">
            <v>a</v>
          </cell>
          <cell r="D7" t="str">
            <v>ALF刃先  30810100</v>
          </cell>
          <cell r="G7">
            <v>5</v>
          </cell>
        </row>
        <row r="8">
          <cell r="A8" t="str">
            <v>01.11.30</v>
          </cell>
          <cell r="B8" t="str">
            <v>DQ06-001</v>
          </cell>
          <cell r="C8" t="str">
            <v>b</v>
          </cell>
          <cell r="D8" t="str">
            <v>ALF刃先  30810100</v>
          </cell>
          <cell r="G8">
            <v>5</v>
          </cell>
        </row>
        <row r="9">
          <cell r="A9" t="str">
            <v>01.11.31</v>
          </cell>
          <cell r="B9" t="str">
            <v>DQ06-001</v>
          </cell>
          <cell r="C9" t="str">
            <v>b</v>
          </cell>
          <cell r="D9" t="str">
            <v>ALF刃先  30810100</v>
          </cell>
          <cell r="G9">
            <v>5</v>
          </cell>
        </row>
        <row r="10">
          <cell r="A10" t="str">
            <v>01.11.32</v>
          </cell>
          <cell r="B10" t="str">
            <v>DQ06-001</v>
          </cell>
          <cell r="C10" t="str">
            <v>b</v>
          </cell>
          <cell r="D10" t="str">
            <v>ALF刃先  30810100</v>
          </cell>
          <cell r="G10">
            <v>5</v>
          </cell>
        </row>
        <row r="11">
          <cell r="A11" t="str">
            <v>01.11.33</v>
          </cell>
          <cell r="B11" t="str">
            <v>DQ06-001</v>
          </cell>
          <cell r="C11" t="str">
            <v>c</v>
          </cell>
          <cell r="D11" t="str">
            <v>ALF刃先  30810100</v>
          </cell>
          <cell r="G11">
            <v>5</v>
          </cell>
        </row>
        <row r="12">
          <cell r="A12" t="str">
            <v>01.11.34</v>
          </cell>
          <cell r="B12" t="str">
            <v>DQ06-001</v>
          </cell>
          <cell r="C12" t="str">
            <v>c</v>
          </cell>
          <cell r="D12" t="str">
            <v>ALF刃先  30810100</v>
          </cell>
          <cell r="G12">
            <v>5</v>
          </cell>
        </row>
        <row r="13">
          <cell r="A13" t="str">
            <v>01.11.35</v>
          </cell>
          <cell r="B13" t="str">
            <v>DQ06-001</v>
          </cell>
          <cell r="C13" t="str">
            <v>c</v>
          </cell>
          <cell r="D13" t="str">
            <v>ALF刃先  30810100</v>
          </cell>
          <cell r="G13">
            <v>5</v>
          </cell>
        </row>
        <row r="14">
          <cell r="D14" t="str">
            <v/>
          </cell>
        </row>
        <row r="15">
          <cell r="D15" t="str">
            <v/>
          </cell>
        </row>
        <row r="16">
          <cell r="D16" t="str">
            <v/>
          </cell>
        </row>
        <row r="17">
          <cell r="D17" t="str">
            <v/>
          </cell>
        </row>
        <row r="18">
          <cell r="D18" t="str">
            <v/>
          </cell>
        </row>
        <row r="19">
          <cell r="D19" t="str">
            <v/>
          </cell>
        </row>
        <row r="20">
          <cell r="D20" t="str">
            <v/>
          </cell>
        </row>
        <row r="21">
          <cell r="D21" t="str">
            <v/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8">
          <cell r="D28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書"/>
      <sheetName val="別紙 "/>
      <sheetName val="別紙2"/>
      <sheetName val="データ  (6)"/>
      <sheetName val="データ  (7)"/>
      <sheetName val="データ  (3)"/>
      <sheetName val="データ  (4)"/>
      <sheetName val="データ  (5)"/>
      <sheetName val="KMO"/>
      <sheetName val="DataSheet"/>
      <sheetName val="목록"/>
      <sheetName val="data"/>
      <sheetName val="주행"/>
    </sheetNames>
    <sheetDataSet>
      <sheetData sheetId="0" refreshError="1">
        <row r="15">
          <cell r="M15" t="str">
            <v>Penett® 調査結果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0. GPS1 기타전원 용량"/>
      <sheetName val="1-1.SCT(UPS1)"/>
      <sheetName val="1-2. UPS1 기타전원 용량"/>
      <sheetName val="2-1.LCCT(UPS2)"/>
      <sheetName val="2-2. UPS2 기타전원 용량"/>
      <sheetName val="3-1.RCCT(UPS3)"/>
      <sheetName val="3-2. UPS3 기타전원 용량"/>
      <sheetName val="10. SMPS List"/>
      <sheetName val="11. BOX FAN 수량 선정"/>
      <sheetName val="12. SMPS소비전류"/>
      <sheetName val="13. 모터선정표"/>
      <sheetName val="14. 선 굵기"/>
      <sheetName val="15.회생저항 전류용량"/>
      <sheetName val="97. GPS 전원 구성표"/>
      <sheetName val="30. SMPS LIST용량"/>
      <sheetName val="90. 축용량표"/>
      <sheetName val="91. 축용량표"/>
      <sheetName val="92. 축용량표"/>
      <sheetName val="12. 설계 용량 선정 기준시트"/>
      <sheetName val="회선정보"/>
      <sheetName val="정격용량"/>
      <sheetName val="SERVO CABLE"/>
    </sheetNames>
    <sheetDataSet>
      <sheetData sheetId="0">
        <row r="19">
          <cell r="F19" t="str">
            <v>SDV SISW-OLED2300-4</v>
          </cell>
        </row>
      </sheetData>
      <sheetData sheetId="1"/>
      <sheetData sheetId="2"/>
      <sheetData sheetId="3">
        <row r="53">
          <cell r="H53">
            <v>36.188552307692305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2"/>
          <cell r="C2"/>
          <cell r="D2">
            <v>0</v>
          </cell>
          <cell r="E2">
            <v>3</v>
          </cell>
          <cell r="F2" t="str">
            <v>MP1-1</v>
          </cell>
        </row>
        <row r="3">
          <cell r="B3"/>
          <cell r="C3"/>
          <cell r="D3">
            <v>0</v>
          </cell>
          <cell r="E3">
            <v>4</v>
          </cell>
          <cell r="F3" t="str">
            <v>MP1-1</v>
          </cell>
        </row>
        <row r="4">
          <cell r="B4"/>
          <cell r="C4"/>
          <cell r="D4">
            <v>0</v>
          </cell>
          <cell r="E4">
            <v>5</v>
          </cell>
          <cell r="F4" t="str">
            <v>MP1-1</v>
          </cell>
        </row>
        <row r="5">
          <cell r="B5" t="str">
            <v>DR2106</v>
          </cell>
          <cell r="C5" t="str">
            <v>SCT Main Glass Transfer1 Y-1</v>
          </cell>
          <cell r="D5">
            <v>0</v>
          </cell>
          <cell r="E5">
            <v>6</v>
          </cell>
          <cell r="F5" t="str">
            <v>MP1-1</v>
          </cell>
        </row>
        <row r="6">
          <cell r="B6" t="str">
            <v>DR2107</v>
          </cell>
          <cell r="C6" t="str">
            <v>SCT Main Glass Transfer1 Y-2</v>
          </cell>
          <cell r="D6">
            <v>0</v>
          </cell>
          <cell r="E6">
            <v>7</v>
          </cell>
          <cell r="F6" t="str">
            <v>MP1-1</v>
          </cell>
        </row>
        <row r="7">
          <cell r="B7" t="str">
            <v>DR2108</v>
          </cell>
          <cell r="C7" t="str">
            <v>SCT Main Glass Transfer1 X</v>
          </cell>
          <cell r="D7">
            <v>0</v>
          </cell>
          <cell r="E7">
            <v>8</v>
          </cell>
          <cell r="F7" t="str">
            <v>MP1-1</v>
          </cell>
        </row>
        <row r="8">
          <cell r="B8" t="str">
            <v>DR2109</v>
          </cell>
          <cell r="C8" t="str">
            <v>SCT Main Glass Transfer1 Z-1</v>
          </cell>
          <cell r="D8">
            <v>0</v>
          </cell>
          <cell r="E8">
            <v>9</v>
          </cell>
          <cell r="F8" t="str">
            <v>MP1-1</v>
          </cell>
        </row>
        <row r="9">
          <cell r="B9" t="str">
            <v>DR210A</v>
          </cell>
          <cell r="C9" t="str">
            <v>SCT Main Glass Transfer1 Z-2</v>
          </cell>
          <cell r="D9">
            <v>0</v>
          </cell>
          <cell r="E9" t="str">
            <v>A</v>
          </cell>
          <cell r="F9" t="str">
            <v>MP1-1</v>
          </cell>
        </row>
        <row r="10">
          <cell r="B10" t="str">
            <v>DR210B</v>
          </cell>
          <cell r="C10" t="str">
            <v>SCT Main Glass Transfer1 T</v>
          </cell>
          <cell r="D10">
            <v>0</v>
          </cell>
          <cell r="E10" t="str">
            <v>B</v>
          </cell>
          <cell r="F10" t="str">
            <v>MP1-1</v>
          </cell>
        </row>
        <row r="11">
          <cell r="B11"/>
          <cell r="C11"/>
          <cell r="D11">
            <v>0</v>
          </cell>
          <cell r="E11" t="str">
            <v>C</v>
          </cell>
          <cell r="F11" t="str">
            <v>MP1-1</v>
          </cell>
        </row>
        <row r="12">
          <cell r="B12" t="str">
            <v>DR210D</v>
          </cell>
          <cell r="C12" t="str">
            <v>SCT Main Glass PreAlign Left X</v>
          </cell>
          <cell r="D12">
            <v>0</v>
          </cell>
          <cell r="E12" t="str">
            <v>D</v>
          </cell>
          <cell r="F12" t="str">
            <v>MP1-1</v>
          </cell>
        </row>
        <row r="13">
          <cell r="B13" t="str">
            <v>DR210E</v>
          </cell>
          <cell r="C13" t="str">
            <v>SCT Main Glass PreAlign Right X</v>
          </cell>
          <cell r="D13">
            <v>0</v>
          </cell>
          <cell r="E13" t="str">
            <v>E</v>
          </cell>
          <cell r="F13" t="str">
            <v>MP1-1</v>
          </cell>
        </row>
        <row r="14">
          <cell r="B14" t="str">
            <v>DR210F</v>
          </cell>
          <cell r="C14" t="str">
            <v>SCT Main Glass MCR X</v>
          </cell>
          <cell r="D14">
            <v>0</v>
          </cell>
          <cell r="E14" t="str">
            <v>F</v>
          </cell>
          <cell r="F14" t="str">
            <v>MP1-1</v>
          </cell>
        </row>
        <row r="15">
          <cell r="B15"/>
          <cell r="C15"/>
          <cell r="D15">
            <v>1</v>
          </cell>
          <cell r="E15">
            <v>0</v>
          </cell>
          <cell r="F15" t="str">
            <v>MP1-1</v>
          </cell>
        </row>
        <row r="16">
          <cell r="B16"/>
          <cell r="C16"/>
          <cell r="D16">
            <v>1</v>
          </cell>
          <cell r="E16">
            <v>1</v>
          </cell>
          <cell r="F16" t="str">
            <v>MP1-1</v>
          </cell>
        </row>
        <row r="17">
          <cell r="B17"/>
          <cell r="C17"/>
          <cell r="D17">
            <v>1</v>
          </cell>
          <cell r="E17">
            <v>2</v>
          </cell>
          <cell r="F17" t="str">
            <v>MP1-1</v>
          </cell>
        </row>
        <row r="18">
          <cell r="B18" t="str">
            <v>DR2113</v>
          </cell>
          <cell r="C18" t="str">
            <v>SCT Stick Transfer1 Y-1</v>
          </cell>
          <cell r="D18">
            <v>1</v>
          </cell>
          <cell r="E18">
            <v>3</v>
          </cell>
          <cell r="F18" t="str">
            <v>MP1-2</v>
          </cell>
        </row>
        <row r="19">
          <cell r="B19" t="str">
            <v>DR2114</v>
          </cell>
          <cell r="C19" t="str">
            <v>SCT Stick Transfer1 Y-2</v>
          </cell>
          <cell r="D19">
            <v>1</v>
          </cell>
          <cell r="E19">
            <v>4</v>
          </cell>
          <cell r="F19" t="str">
            <v>MP1-2</v>
          </cell>
        </row>
        <row r="20">
          <cell r="B20" t="str">
            <v>DR2115</v>
          </cell>
          <cell r="C20" t="str">
            <v>SCT Stick Transfer1 Z-1</v>
          </cell>
          <cell r="D20">
            <v>1</v>
          </cell>
          <cell r="E20">
            <v>5</v>
          </cell>
          <cell r="F20" t="str">
            <v>MP1-2</v>
          </cell>
        </row>
        <row r="21">
          <cell r="B21" t="str">
            <v>DR2116</v>
          </cell>
          <cell r="C21" t="str">
            <v>SCT Stick Transfer1 Z-2</v>
          </cell>
          <cell r="D21">
            <v>1</v>
          </cell>
          <cell r="E21">
            <v>6</v>
          </cell>
          <cell r="F21" t="str">
            <v>MP1-2</v>
          </cell>
        </row>
        <row r="22">
          <cell r="B22"/>
          <cell r="C22"/>
          <cell r="D22">
            <v>1</v>
          </cell>
          <cell r="E22">
            <v>7</v>
          </cell>
          <cell r="F22" t="str">
            <v>MP1-2</v>
          </cell>
        </row>
        <row r="23">
          <cell r="B23" t="str">
            <v>DR2118</v>
          </cell>
          <cell r="C23" t="str">
            <v>SCT Stick Buffer Table Y</v>
          </cell>
          <cell r="D23">
            <v>1</v>
          </cell>
          <cell r="E23">
            <v>8</v>
          </cell>
          <cell r="F23" t="str">
            <v>MP1-2</v>
          </cell>
        </row>
        <row r="24">
          <cell r="B24" t="str">
            <v>DR2119</v>
          </cell>
          <cell r="C24" t="str">
            <v>SCT Stick Buffer Table T</v>
          </cell>
          <cell r="D24">
            <v>1</v>
          </cell>
          <cell r="E24">
            <v>9</v>
          </cell>
          <cell r="F24" t="str">
            <v>MP1-2</v>
          </cell>
        </row>
        <row r="25">
          <cell r="B25"/>
          <cell r="C25"/>
          <cell r="D25">
            <v>1</v>
          </cell>
          <cell r="E25" t="str">
            <v>A</v>
          </cell>
          <cell r="F25" t="str">
            <v>MP1-2</v>
          </cell>
        </row>
        <row r="26">
          <cell r="B26" t="str">
            <v>DR211B</v>
          </cell>
          <cell r="C26" t="str">
            <v>SCT Stick PreAlign Left X</v>
          </cell>
          <cell r="D26">
            <v>1</v>
          </cell>
          <cell r="E26" t="str">
            <v>B</v>
          </cell>
          <cell r="F26" t="str">
            <v>MP1-2</v>
          </cell>
        </row>
        <row r="27">
          <cell r="B27" t="str">
            <v>DR211C</v>
          </cell>
          <cell r="C27" t="str">
            <v>SCT Stick PreAlign Right X</v>
          </cell>
          <cell r="D27">
            <v>1</v>
          </cell>
          <cell r="E27" t="str">
            <v>C</v>
          </cell>
          <cell r="F27" t="str">
            <v>MP1-2</v>
          </cell>
        </row>
        <row r="28">
          <cell r="B28"/>
          <cell r="C28"/>
          <cell r="D28">
            <v>1</v>
          </cell>
          <cell r="E28" t="str">
            <v>D</v>
          </cell>
          <cell r="F28" t="str">
            <v>MP1-2</v>
          </cell>
        </row>
        <row r="29">
          <cell r="B29" t="str">
            <v>AI-AN21</v>
          </cell>
          <cell r="C29" t="str">
            <v>SCT Table Level</v>
          </cell>
          <cell r="D29">
            <v>1</v>
          </cell>
          <cell r="E29" t="str">
            <v>E</v>
          </cell>
          <cell r="F29" t="str">
            <v>MP1-2</v>
          </cell>
        </row>
        <row r="30">
          <cell r="B30" t="str">
            <v>AI-AN21</v>
          </cell>
          <cell r="C30" t="str">
            <v>SCT LoadCell</v>
          </cell>
          <cell r="D30">
            <v>1</v>
          </cell>
          <cell r="E30" t="str">
            <v>F</v>
          </cell>
          <cell r="F30" t="str">
            <v>MP1-2</v>
          </cell>
        </row>
        <row r="32">
          <cell r="B32" t="str">
            <v>DR2503</v>
          </cell>
          <cell r="C32" t="str">
            <v>SCT Cutter X</v>
          </cell>
          <cell r="D32">
            <v>0</v>
          </cell>
          <cell r="E32">
            <v>3</v>
          </cell>
          <cell r="F32" t="str">
            <v>MP5-1</v>
          </cell>
        </row>
        <row r="33">
          <cell r="B33" t="str">
            <v>DR2504</v>
          </cell>
          <cell r="C33" t="str">
            <v>SCT Camera X</v>
          </cell>
          <cell r="D33">
            <v>0</v>
          </cell>
          <cell r="E33">
            <v>4</v>
          </cell>
          <cell r="F33" t="str">
            <v>MP5-1</v>
          </cell>
        </row>
        <row r="34">
          <cell r="B34" t="str">
            <v>DR2505</v>
          </cell>
          <cell r="C34" t="str">
            <v>SCT Cutter Z</v>
          </cell>
          <cell r="D34">
            <v>0</v>
          </cell>
          <cell r="E34">
            <v>5</v>
          </cell>
          <cell r="F34" t="str">
            <v>MP5-1</v>
          </cell>
        </row>
        <row r="35">
          <cell r="B35" t="str">
            <v>DR2506</v>
          </cell>
          <cell r="C35" t="str">
            <v>SCT Cutter Shift</v>
          </cell>
          <cell r="D35">
            <v>0</v>
          </cell>
          <cell r="E35">
            <v>6</v>
          </cell>
          <cell r="F35" t="str">
            <v>MP5-1</v>
          </cell>
        </row>
        <row r="36">
          <cell r="B36"/>
          <cell r="C36"/>
          <cell r="D36">
            <v>0</v>
          </cell>
          <cell r="E36">
            <v>7</v>
          </cell>
          <cell r="F36" t="str">
            <v>MP5-1</v>
          </cell>
        </row>
        <row r="37">
          <cell r="B37" t="str">
            <v>DR2508</v>
          </cell>
          <cell r="C37" t="str">
            <v>SCT Left Camera Y</v>
          </cell>
          <cell r="D37">
            <v>0</v>
          </cell>
          <cell r="E37">
            <v>8</v>
          </cell>
          <cell r="F37" t="str">
            <v>MP5-1</v>
          </cell>
        </row>
        <row r="38">
          <cell r="B38" t="str">
            <v>DR2509</v>
          </cell>
          <cell r="C38" t="str">
            <v>SCT Right Camera Y</v>
          </cell>
          <cell r="D38">
            <v>0</v>
          </cell>
          <cell r="E38">
            <v>9</v>
          </cell>
          <cell r="F38" t="str">
            <v>MP5-1</v>
          </cell>
        </row>
        <row r="39">
          <cell r="B39" t="str">
            <v>DR250A</v>
          </cell>
          <cell r="C39" t="str">
            <v>SCT Left Camera Z</v>
          </cell>
          <cell r="D39">
            <v>0</v>
          </cell>
          <cell r="E39" t="str">
            <v>A</v>
          </cell>
          <cell r="F39" t="str">
            <v>MP5-1</v>
          </cell>
        </row>
        <row r="40">
          <cell r="B40" t="str">
            <v>DR250B</v>
          </cell>
          <cell r="C40" t="str">
            <v>SCT Right Camera Z</v>
          </cell>
          <cell r="D40">
            <v>0</v>
          </cell>
          <cell r="E40" t="str">
            <v>B</v>
          </cell>
          <cell r="F40" t="str">
            <v>MP5-1</v>
          </cell>
        </row>
        <row r="41">
          <cell r="B41"/>
          <cell r="C41"/>
          <cell r="D41">
            <v>0</v>
          </cell>
          <cell r="E41" t="str">
            <v>C</v>
          </cell>
          <cell r="F41" t="str">
            <v>MP5-1</v>
          </cell>
        </row>
        <row r="42">
          <cell r="B42"/>
          <cell r="C42"/>
          <cell r="D42">
            <v>0</v>
          </cell>
          <cell r="E42" t="str">
            <v>D</v>
          </cell>
          <cell r="F42" t="str">
            <v>MP5-1</v>
          </cell>
        </row>
        <row r="43">
          <cell r="B43"/>
          <cell r="C43"/>
          <cell r="D43">
            <v>0</v>
          </cell>
          <cell r="E43" t="str">
            <v>E</v>
          </cell>
          <cell r="F43" t="str">
            <v>MP5-1</v>
          </cell>
        </row>
        <row r="44">
          <cell r="B44"/>
          <cell r="C44"/>
          <cell r="D44">
            <v>0</v>
          </cell>
          <cell r="E44" t="str">
            <v>F</v>
          </cell>
          <cell r="F44" t="str">
            <v>MP5-1</v>
          </cell>
        </row>
        <row r="45">
          <cell r="B45"/>
          <cell r="C45"/>
          <cell r="D45">
            <v>1</v>
          </cell>
          <cell r="E45">
            <v>0</v>
          </cell>
          <cell r="F45" t="str">
            <v>MP5-1</v>
          </cell>
        </row>
        <row r="46">
          <cell r="B46"/>
          <cell r="C46"/>
          <cell r="D46">
            <v>1</v>
          </cell>
          <cell r="E46">
            <v>1</v>
          </cell>
          <cell r="F46" t="str">
            <v>MP5-1</v>
          </cell>
        </row>
        <row r="47">
          <cell r="B47"/>
          <cell r="C47"/>
          <cell r="D47">
            <v>1</v>
          </cell>
          <cell r="E47">
            <v>2</v>
          </cell>
          <cell r="F47" t="str">
            <v>MP5-1</v>
          </cell>
        </row>
        <row r="48">
          <cell r="B48"/>
          <cell r="C48"/>
          <cell r="D48">
            <v>1</v>
          </cell>
          <cell r="E48">
            <v>3</v>
          </cell>
          <cell r="F48" t="str">
            <v>MP5-2</v>
          </cell>
        </row>
        <row r="49">
          <cell r="B49"/>
          <cell r="C49"/>
          <cell r="D49">
            <v>1</v>
          </cell>
          <cell r="E49">
            <v>4</v>
          </cell>
          <cell r="F49" t="str">
            <v>MP5-2</v>
          </cell>
        </row>
        <row r="50">
          <cell r="B50"/>
          <cell r="C50"/>
          <cell r="D50">
            <v>1</v>
          </cell>
          <cell r="E50">
            <v>5</v>
          </cell>
          <cell r="F50" t="str">
            <v>MP5-2</v>
          </cell>
        </row>
        <row r="51">
          <cell r="B51"/>
          <cell r="C51"/>
          <cell r="D51">
            <v>1</v>
          </cell>
          <cell r="E51">
            <v>6</v>
          </cell>
          <cell r="F51" t="str">
            <v>MP5-2</v>
          </cell>
        </row>
        <row r="52">
          <cell r="B52"/>
          <cell r="C52"/>
          <cell r="D52">
            <v>1</v>
          </cell>
          <cell r="E52">
            <v>7</v>
          </cell>
          <cell r="F52" t="str">
            <v>MP5-2</v>
          </cell>
        </row>
        <row r="54">
          <cell r="B54" t="str">
            <v>DR2603</v>
          </cell>
          <cell r="C54" t="str">
            <v>SCT Scribe Chuck Y-1</v>
          </cell>
          <cell r="D54">
            <v>0</v>
          </cell>
          <cell r="E54">
            <v>3</v>
          </cell>
          <cell r="F54" t="str">
            <v>MP6-1</v>
          </cell>
        </row>
        <row r="55">
          <cell r="B55" t="str">
            <v>DR2604</v>
          </cell>
          <cell r="C55" t="str">
            <v>SCT Scribe Chuck Y-2</v>
          </cell>
          <cell r="D55">
            <v>0</v>
          </cell>
          <cell r="E55">
            <v>4</v>
          </cell>
          <cell r="F55" t="str">
            <v>MP6-1</v>
          </cell>
        </row>
        <row r="56">
          <cell r="B56"/>
          <cell r="C56"/>
          <cell r="D56">
            <v>0</v>
          </cell>
          <cell r="E56">
            <v>5</v>
          </cell>
          <cell r="F56" t="str">
            <v>MP6-1</v>
          </cell>
        </row>
        <row r="57">
          <cell r="B57" t="str">
            <v>DR2606</v>
          </cell>
          <cell r="C57" t="str">
            <v>SCT Scribe Chuck1 Z</v>
          </cell>
          <cell r="D57">
            <v>0</v>
          </cell>
          <cell r="E57">
            <v>6</v>
          </cell>
          <cell r="F57" t="str">
            <v>MP6-1</v>
          </cell>
        </row>
        <row r="58">
          <cell r="B58" t="str">
            <v>DR2607</v>
          </cell>
          <cell r="C58" t="str">
            <v>SCT Scribe Chuck2 Z</v>
          </cell>
          <cell r="D58">
            <v>0</v>
          </cell>
          <cell r="E58">
            <v>7</v>
          </cell>
          <cell r="F58" t="str">
            <v>MP6-1</v>
          </cell>
        </row>
        <row r="59">
          <cell r="B59" t="str">
            <v>DR2608</v>
          </cell>
          <cell r="C59" t="str">
            <v>SCT Scribe Chuck3 Z</v>
          </cell>
          <cell r="D59">
            <v>0</v>
          </cell>
          <cell r="E59">
            <v>8</v>
          </cell>
          <cell r="F59" t="str">
            <v>MP6-1</v>
          </cell>
        </row>
        <row r="60">
          <cell r="B60" t="str">
            <v>DR2609</v>
          </cell>
          <cell r="C60" t="str">
            <v>SCT Scribe Chuck4 Z</v>
          </cell>
          <cell r="D60">
            <v>0</v>
          </cell>
          <cell r="E60">
            <v>9</v>
          </cell>
          <cell r="F60" t="str">
            <v>MP6-1</v>
          </cell>
        </row>
        <row r="61">
          <cell r="B61" t="str">
            <v>DR260A</v>
          </cell>
          <cell r="C61" t="str">
            <v>SCT Scribe Chuck5 Z</v>
          </cell>
          <cell r="D61">
            <v>0</v>
          </cell>
          <cell r="E61" t="str">
            <v>A</v>
          </cell>
          <cell r="F61" t="str">
            <v>MP6-1</v>
          </cell>
        </row>
        <row r="62">
          <cell r="B62" t="str">
            <v>DR260B</v>
          </cell>
          <cell r="C62" t="str">
            <v>SCT Scribe Chuck6 Z</v>
          </cell>
          <cell r="D62">
            <v>0</v>
          </cell>
          <cell r="E62" t="str">
            <v>B</v>
          </cell>
          <cell r="F62" t="str">
            <v>MP6-1</v>
          </cell>
        </row>
        <row r="63">
          <cell r="B63" t="str">
            <v>DR260C</v>
          </cell>
          <cell r="C63" t="str">
            <v>SCT Scribe Chuck7 Z</v>
          </cell>
          <cell r="D63">
            <v>0</v>
          </cell>
          <cell r="E63" t="str">
            <v>C</v>
          </cell>
          <cell r="F63" t="str">
            <v>MP6-1</v>
          </cell>
        </row>
        <row r="64">
          <cell r="B64" t="str">
            <v>DR260D</v>
          </cell>
          <cell r="C64" t="str">
            <v>SCT Scribe Chuck8 Z</v>
          </cell>
          <cell r="D64">
            <v>0</v>
          </cell>
          <cell r="E64" t="str">
            <v>D</v>
          </cell>
          <cell r="F64" t="str">
            <v>MP6-1</v>
          </cell>
        </row>
        <row r="65">
          <cell r="B65"/>
          <cell r="C65"/>
          <cell r="D65">
            <v>0</v>
          </cell>
          <cell r="E65" t="str">
            <v>E</v>
          </cell>
          <cell r="F65" t="str">
            <v>MP6-1</v>
          </cell>
        </row>
        <row r="66">
          <cell r="B66"/>
          <cell r="C66"/>
          <cell r="D66">
            <v>0</v>
          </cell>
          <cell r="E66" t="str">
            <v>F</v>
          </cell>
          <cell r="F66" t="str">
            <v>MP6-1</v>
          </cell>
        </row>
        <row r="67">
          <cell r="B67"/>
          <cell r="C67"/>
          <cell r="D67">
            <v>1</v>
          </cell>
          <cell r="E67">
            <v>0</v>
          </cell>
          <cell r="F67" t="str">
            <v>MP6-1</v>
          </cell>
        </row>
        <row r="68">
          <cell r="B68"/>
          <cell r="C68"/>
          <cell r="D68">
            <v>1</v>
          </cell>
          <cell r="E68">
            <v>1</v>
          </cell>
          <cell r="F68" t="str">
            <v>MP6-1</v>
          </cell>
        </row>
        <row r="69">
          <cell r="B69"/>
          <cell r="C69"/>
          <cell r="D69">
            <v>1</v>
          </cell>
          <cell r="E69">
            <v>2</v>
          </cell>
          <cell r="F69" t="str">
            <v>MP6-1</v>
          </cell>
        </row>
        <row r="70">
          <cell r="B70"/>
          <cell r="C70"/>
          <cell r="D70">
            <v>1</v>
          </cell>
          <cell r="E70">
            <v>3</v>
          </cell>
          <cell r="F70" t="str">
            <v>MP6-2</v>
          </cell>
        </row>
        <row r="71">
          <cell r="B71"/>
          <cell r="C71"/>
          <cell r="D71">
            <v>1</v>
          </cell>
          <cell r="E71">
            <v>4</v>
          </cell>
          <cell r="F71" t="str">
            <v>MP6-2</v>
          </cell>
        </row>
        <row r="72">
          <cell r="B72"/>
          <cell r="C72"/>
          <cell r="D72">
            <v>1</v>
          </cell>
          <cell r="E72">
            <v>5</v>
          </cell>
          <cell r="F72" t="str">
            <v>MP6-2</v>
          </cell>
        </row>
        <row r="73">
          <cell r="B73"/>
          <cell r="C73"/>
          <cell r="D73">
            <v>1</v>
          </cell>
          <cell r="E73">
            <v>6</v>
          </cell>
          <cell r="F73" t="str">
            <v>MP6-2</v>
          </cell>
        </row>
        <row r="74">
          <cell r="B74"/>
          <cell r="C74"/>
          <cell r="D74">
            <v>1</v>
          </cell>
          <cell r="E74">
            <v>7</v>
          </cell>
          <cell r="F74" t="str">
            <v>MP6-2</v>
          </cell>
        </row>
        <row r="76">
          <cell r="B76" t="str">
            <v>DR2703</v>
          </cell>
          <cell r="C76" t="str">
            <v>SCT Break Push Bar Y-1</v>
          </cell>
          <cell r="D76">
            <v>0</v>
          </cell>
          <cell r="E76">
            <v>3</v>
          </cell>
          <cell r="F76" t="str">
            <v>MP7-1</v>
          </cell>
        </row>
        <row r="77">
          <cell r="B77" t="str">
            <v>DR2704</v>
          </cell>
          <cell r="C77" t="str">
            <v>SCT Break Push Bar Y-2</v>
          </cell>
          <cell r="D77">
            <v>0</v>
          </cell>
          <cell r="E77">
            <v>4</v>
          </cell>
          <cell r="F77" t="str">
            <v>MP7-1</v>
          </cell>
        </row>
        <row r="78">
          <cell r="B78" t="str">
            <v>DR2705</v>
          </cell>
          <cell r="C78" t="str">
            <v>SCT Break Push Bar Z-1</v>
          </cell>
          <cell r="D78">
            <v>0</v>
          </cell>
          <cell r="E78">
            <v>5</v>
          </cell>
          <cell r="F78" t="str">
            <v>MP7-1</v>
          </cell>
        </row>
        <row r="79">
          <cell r="B79" t="str">
            <v>DR2706</v>
          </cell>
          <cell r="C79" t="str">
            <v>SCT Break Push Bar Z-2</v>
          </cell>
          <cell r="D79">
            <v>0</v>
          </cell>
          <cell r="E79">
            <v>6</v>
          </cell>
          <cell r="F79" t="str">
            <v>MP7-1</v>
          </cell>
        </row>
        <row r="80">
          <cell r="B80"/>
          <cell r="C80"/>
          <cell r="D80">
            <v>0</v>
          </cell>
          <cell r="E80">
            <v>7</v>
          </cell>
          <cell r="F80" t="str">
            <v>MP7-1</v>
          </cell>
        </row>
        <row r="81">
          <cell r="B81" t="str">
            <v>DR2708</v>
          </cell>
          <cell r="C81" t="str">
            <v>SCT Break Table Y-1</v>
          </cell>
          <cell r="D81">
            <v>0</v>
          </cell>
          <cell r="E81">
            <v>8</v>
          </cell>
          <cell r="F81" t="str">
            <v>MP7-1</v>
          </cell>
        </row>
        <row r="82">
          <cell r="B82" t="str">
            <v>DR2709</v>
          </cell>
          <cell r="C82" t="str">
            <v>SCT Break Table Y-2</v>
          </cell>
          <cell r="D82">
            <v>0</v>
          </cell>
          <cell r="E82">
            <v>9</v>
          </cell>
          <cell r="F82" t="str">
            <v>MP7-1</v>
          </cell>
        </row>
        <row r="83">
          <cell r="B83"/>
          <cell r="C83"/>
          <cell r="D83">
            <v>0</v>
          </cell>
          <cell r="E83" t="str">
            <v>A</v>
          </cell>
          <cell r="F83" t="str">
            <v>MP7-1</v>
          </cell>
        </row>
        <row r="84">
          <cell r="B84" t="str">
            <v>DR270B</v>
          </cell>
          <cell r="C84" t="str">
            <v>SCT Break Table Z-1</v>
          </cell>
          <cell r="D84">
            <v>0</v>
          </cell>
          <cell r="E84" t="str">
            <v>B</v>
          </cell>
          <cell r="F84" t="str">
            <v>MP7-1</v>
          </cell>
        </row>
        <row r="85">
          <cell r="B85" t="str">
            <v>DR270C</v>
          </cell>
          <cell r="C85" t="str">
            <v>SCT Break Table Z-2</v>
          </cell>
          <cell r="D85">
            <v>0</v>
          </cell>
          <cell r="E85" t="str">
            <v>C</v>
          </cell>
          <cell r="F85" t="str">
            <v>MP7-1</v>
          </cell>
        </row>
        <row r="86">
          <cell r="B86" t="str">
            <v>DR270D</v>
          </cell>
          <cell r="C86" t="str">
            <v>SCT Break Table Z-3</v>
          </cell>
          <cell r="D86">
            <v>0</v>
          </cell>
          <cell r="E86" t="str">
            <v>D</v>
          </cell>
          <cell r="F86" t="str">
            <v>MP7-1</v>
          </cell>
        </row>
        <row r="87">
          <cell r="B87" t="str">
            <v>DR270E</v>
          </cell>
          <cell r="C87" t="str">
            <v>SCT Break Table Tilt-1</v>
          </cell>
          <cell r="D87">
            <v>0</v>
          </cell>
          <cell r="E87" t="str">
            <v>E</v>
          </cell>
          <cell r="F87" t="str">
            <v>MP7-1</v>
          </cell>
        </row>
        <row r="88">
          <cell r="B88" t="str">
            <v>DR270F</v>
          </cell>
          <cell r="C88" t="str">
            <v>SCT Break Table Tilt-2</v>
          </cell>
          <cell r="D88">
            <v>0</v>
          </cell>
          <cell r="E88" t="str">
            <v>F</v>
          </cell>
          <cell r="F88" t="str">
            <v>MP7-1</v>
          </cell>
        </row>
        <row r="89">
          <cell r="B89"/>
          <cell r="C89"/>
          <cell r="D89">
            <v>1</v>
          </cell>
          <cell r="E89">
            <v>0</v>
          </cell>
          <cell r="F89" t="str">
            <v>MP7-1</v>
          </cell>
        </row>
        <row r="90">
          <cell r="B90"/>
          <cell r="C90"/>
          <cell r="D90">
            <v>1</v>
          </cell>
          <cell r="E90">
            <v>1</v>
          </cell>
          <cell r="F90" t="str">
            <v>MP7-1</v>
          </cell>
        </row>
        <row r="91">
          <cell r="B91"/>
          <cell r="C91"/>
          <cell r="D91">
            <v>1</v>
          </cell>
          <cell r="E91">
            <v>2</v>
          </cell>
          <cell r="F91" t="str">
            <v>MP7-1</v>
          </cell>
        </row>
        <row r="92">
          <cell r="B92"/>
          <cell r="C92"/>
          <cell r="D92">
            <v>1</v>
          </cell>
          <cell r="E92">
            <v>3</v>
          </cell>
          <cell r="F92" t="str">
            <v>MP7-2</v>
          </cell>
        </row>
        <row r="93">
          <cell r="B93"/>
          <cell r="C93"/>
          <cell r="D93">
            <v>1</v>
          </cell>
          <cell r="E93">
            <v>4</v>
          </cell>
          <cell r="F93" t="str">
            <v>MP7-2</v>
          </cell>
        </row>
        <row r="94">
          <cell r="B94"/>
          <cell r="C94"/>
          <cell r="D94">
            <v>1</v>
          </cell>
          <cell r="E94">
            <v>5</v>
          </cell>
          <cell r="F94" t="str">
            <v>MP7-2</v>
          </cell>
        </row>
        <row r="95">
          <cell r="B95"/>
          <cell r="C95"/>
          <cell r="D95">
            <v>1</v>
          </cell>
          <cell r="E95">
            <v>6</v>
          </cell>
          <cell r="F95" t="str">
            <v>MP7-2</v>
          </cell>
        </row>
        <row r="96">
          <cell r="B96"/>
          <cell r="C96"/>
          <cell r="D96">
            <v>1</v>
          </cell>
          <cell r="E96">
            <v>7</v>
          </cell>
          <cell r="F96" t="str">
            <v>MP7-2</v>
          </cell>
        </row>
        <row r="98">
          <cell r="B98" t="str">
            <v>DR3103</v>
          </cell>
          <cell r="C98" t="str">
            <v>LCCT Stick Transfer2 X</v>
          </cell>
          <cell r="D98">
            <v>0</v>
          </cell>
          <cell r="E98">
            <v>3</v>
          </cell>
          <cell r="F98" t="str">
            <v>MP1-1</v>
          </cell>
        </row>
        <row r="99">
          <cell r="B99"/>
          <cell r="C99"/>
          <cell r="D99">
            <v>0</v>
          </cell>
          <cell r="E99">
            <v>4</v>
          </cell>
          <cell r="F99" t="str">
            <v>MP1-1</v>
          </cell>
        </row>
        <row r="100">
          <cell r="B100" t="str">
            <v>DR3105</v>
          </cell>
          <cell r="C100" t="str">
            <v>LCCT Stick Transfer2 Z</v>
          </cell>
          <cell r="D100">
            <v>0</v>
          </cell>
          <cell r="E100">
            <v>5</v>
          </cell>
          <cell r="F100" t="str">
            <v>MP1-1</v>
          </cell>
        </row>
        <row r="101">
          <cell r="B101"/>
          <cell r="C101"/>
          <cell r="D101">
            <v>0</v>
          </cell>
          <cell r="E101">
            <v>6</v>
          </cell>
          <cell r="F101" t="str">
            <v>MP1-1</v>
          </cell>
        </row>
        <row r="102">
          <cell r="B102"/>
          <cell r="C102"/>
          <cell r="D102">
            <v>0</v>
          </cell>
          <cell r="E102">
            <v>7</v>
          </cell>
          <cell r="F102" t="str">
            <v>MP1-1</v>
          </cell>
        </row>
        <row r="103">
          <cell r="B103"/>
          <cell r="C103"/>
          <cell r="D103">
            <v>0</v>
          </cell>
          <cell r="E103">
            <v>8</v>
          </cell>
          <cell r="F103" t="str">
            <v>MP1-1</v>
          </cell>
        </row>
        <row r="104">
          <cell r="B104"/>
          <cell r="C104"/>
          <cell r="D104">
            <v>0</v>
          </cell>
          <cell r="E104">
            <v>9</v>
          </cell>
          <cell r="F104" t="str">
            <v>MP1-1</v>
          </cell>
        </row>
        <row r="105">
          <cell r="B105"/>
          <cell r="C105"/>
          <cell r="D105">
            <v>0</v>
          </cell>
          <cell r="E105" t="str">
            <v>A</v>
          </cell>
          <cell r="F105" t="str">
            <v>MP1-1</v>
          </cell>
        </row>
        <row r="106">
          <cell r="B106"/>
          <cell r="C106"/>
          <cell r="D106">
            <v>0</v>
          </cell>
          <cell r="E106" t="str">
            <v>B</v>
          </cell>
          <cell r="F106" t="str">
            <v>MP1-1</v>
          </cell>
        </row>
        <row r="107">
          <cell r="B107"/>
          <cell r="C107"/>
          <cell r="D107">
            <v>0</v>
          </cell>
          <cell r="E107" t="str">
            <v>C</v>
          </cell>
          <cell r="F107" t="str">
            <v>MP1-1</v>
          </cell>
        </row>
        <row r="108">
          <cell r="B108"/>
          <cell r="C108"/>
          <cell r="D108">
            <v>0</v>
          </cell>
          <cell r="E108" t="str">
            <v>D</v>
          </cell>
          <cell r="F108" t="str">
            <v>MP1-1</v>
          </cell>
        </row>
        <row r="109">
          <cell r="B109"/>
          <cell r="C109"/>
          <cell r="D109">
            <v>0</v>
          </cell>
          <cell r="E109" t="str">
            <v>E</v>
          </cell>
          <cell r="F109" t="str">
            <v>MP1-1</v>
          </cell>
        </row>
        <row r="110">
          <cell r="B110"/>
          <cell r="C110"/>
          <cell r="D110">
            <v>0</v>
          </cell>
          <cell r="E110" t="str">
            <v>F</v>
          </cell>
          <cell r="F110" t="str">
            <v>MP1-1</v>
          </cell>
        </row>
        <row r="111">
          <cell r="B111"/>
          <cell r="C111"/>
          <cell r="D111">
            <v>1</v>
          </cell>
          <cell r="E111">
            <v>0</v>
          </cell>
          <cell r="F111" t="str">
            <v>MP1-1</v>
          </cell>
        </row>
        <row r="112">
          <cell r="B112"/>
          <cell r="C112"/>
          <cell r="D112">
            <v>1</v>
          </cell>
          <cell r="E112">
            <v>1</v>
          </cell>
          <cell r="F112" t="str">
            <v>MP1-1</v>
          </cell>
        </row>
        <row r="113">
          <cell r="B113"/>
          <cell r="C113"/>
          <cell r="D113">
            <v>1</v>
          </cell>
          <cell r="E113">
            <v>2</v>
          </cell>
          <cell r="F113" t="str">
            <v>MP1-1</v>
          </cell>
        </row>
        <row r="114">
          <cell r="B114"/>
          <cell r="C114"/>
          <cell r="D114">
            <v>1</v>
          </cell>
          <cell r="E114">
            <v>3</v>
          </cell>
          <cell r="F114" t="str">
            <v>MP1-2</v>
          </cell>
        </row>
        <row r="115">
          <cell r="B115"/>
          <cell r="C115"/>
          <cell r="D115">
            <v>1</v>
          </cell>
          <cell r="E115">
            <v>4</v>
          </cell>
          <cell r="F115" t="str">
            <v>MP1-2</v>
          </cell>
        </row>
        <row r="116">
          <cell r="B116"/>
          <cell r="C116"/>
          <cell r="D116">
            <v>1</v>
          </cell>
          <cell r="E116">
            <v>5</v>
          </cell>
          <cell r="F116" t="str">
            <v>MP1-2</v>
          </cell>
        </row>
        <row r="117">
          <cell r="B117"/>
          <cell r="C117"/>
          <cell r="D117">
            <v>1</v>
          </cell>
          <cell r="E117">
            <v>6</v>
          </cell>
          <cell r="F117" t="str">
            <v>MP1-2</v>
          </cell>
        </row>
        <row r="118">
          <cell r="B118"/>
          <cell r="C118"/>
          <cell r="D118">
            <v>1</v>
          </cell>
          <cell r="E118">
            <v>7</v>
          </cell>
          <cell r="F118" t="str">
            <v>MP1-2</v>
          </cell>
        </row>
        <row r="119">
          <cell r="B119"/>
          <cell r="C119"/>
          <cell r="D119">
            <v>1</v>
          </cell>
          <cell r="E119">
            <v>8</v>
          </cell>
          <cell r="F119" t="str">
            <v>MP1-2</v>
          </cell>
        </row>
        <row r="120">
          <cell r="B120"/>
          <cell r="C120"/>
          <cell r="D120">
            <v>1</v>
          </cell>
          <cell r="E120">
            <v>9</v>
          </cell>
          <cell r="F120" t="str">
            <v>MP1-2</v>
          </cell>
        </row>
        <row r="121">
          <cell r="B121"/>
          <cell r="C121"/>
          <cell r="D121">
            <v>1</v>
          </cell>
          <cell r="E121" t="str">
            <v>A</v>
          </cell>
          <cell r="F121" t="str">
            <v>MP1-2</v>
          </cell>
        </row>
        <row r="122">
          <cell r="B122"/>
          <cell r="C122"/>
          <cell r="D122">
            <v>1</v>
          </cell>
          <cell r="E122" t="str">
            <v>B</v>
          </cell>
          <cell r="F122" t="str">
            <v>MP1-2</v>
          </cell>
        </row>
        <row r="123">
          <cell r="B123"/>
          <cell r="C123"/>
          <cell r="D123">
            <v>1</v>
          </cell>
          <cell r="E123" t="str">
            <v>C</v>
          </cell>
          <cell r="F123" t="str">
            <v>MP1-2</v>
          </cell>
        </row>
        <row r="124">
          <cell r="B124"/>
          <cell r="C124"/>
          <cell r="D124">
            <v>1</v>
          </cell>
          <cell r="E124" t="str">
            <v>D</v>
          </cell>
          <cell r="F124" t="str">
            <v>MP1-2</v>
          </cell>
        </row>
        <row r="125">
          <cell r="B125" t="str">
            <v>AI-AN21</v>
          </cell>
          <cell r="C125" t="str">
            <v>LCCT Table Level</v>
          </cell>
          <cell r="D125">
            <v>1</v>
          </cell>
          <cell r="E125" t="str">
            <v>E</v>
          </cell>
          <cell r="F125" t="str">
            <v>MP1-2</v>
          </cell>
        </row>
        <row r="126">
          <cell r="B126" t="str">
            <v>AI-AN21</v>
          </cell>
          <cell r="C126" t="str">
            <v>LCCT LoadCell</v>
          </cell>
          <cell r="D126">
            <v>1</v>
          </cell>
          <cell r="E126" t="str">
            <v>F</v>
          </cell>
          <cell r="F126" t="str">
            <v>MP1-2</v>
          </cell>
        </row>
        <row r="127">
          <cell r="B127"/>
          <cell r="C127"/>
          <cell r="D127"/>
          <cell r="E127"/>
          <cell r="F127"/>
        </row>
        <row r="128">
          <cell r="B128"/>
          <cell r="C128"/>
          <cell r="D128"/>
          <cell r="E128"/>
          <cell r="F128"/>
        </row>
        <row r="129">
          <cell r="B129"/>
          <cell r="C129"/>
          <cell r="D129"/>
          <cell r="E129"/>
          <cell r="F129"/>
        </row>
        <row r="130">
          <cell r="B130"/>
          <cell r="C130"/>
          <cell r="D130"/>
          <cell r="E130"/>
          <cell r="F130"/>
        </row>
        <row r="131">
          <cell r="B131"/>
          <cell r="C131"/>
          <cell r="D131"/>
          <cell r="E131"/>
          <cell r="F131"/>
        </row>
        <row r="132">
          <cell r="B132"/>
          <cell r="C132"/>
          <cell r="D132"/>
          <cell r="E132"/>
          <cell r="F132"/>
        </row>
        <row r="133">
          <cell r="B133"/>
          <cell r="C133"/>
          <cell r="D133"/>
          <cell r="E133"/>
          <cell r="F133"/>
        </row>
        <row r="134">
          <cell r="B134"/>
          <cell r="C134"/>
          <cell r="D134"/>
          <cell r="E134"/>
          <cell r="F134"/>
        </row>
        <row r="135">
          <cell r="B135"/>
          <cell r="C135"/>
          <cell r="D135"/>
          <cell r="E135"/>
          <cell r="F135"/>
        </row>
        <row r="136">
          <cell r="B136"/>
          <cell r="C136"/>
          <cell r="D136"/>
          <cell r="E136"/>
          <cell r="F136"/>
        </row>
        <row r="137">
          <cell r="B137"/>
          <cell r="C137"/>
          <cell r="D137"/>
          <cell r="E137"/>
          <cell r="F137"/>
        </row>
        <row r="138">
          <cell r="B138"/>
          <cell r="C138"/>
          <cell r="D138"/>
          <cell r="E138"/>
          <cell r="F138"/>
        </row>
        <row r="139">
          <cell r="B139"/>
          <cell r="C139"/>
          <cell r="D139"/>
          <cell r="E139"/>
          <cell r="F139"/>
        </row>
        <row r="141">
          <cell r="B141" t="str">
            <v>DR3503</v>
          </cell>
          <cell r="C141" t="str">
            <v>LCCTL Cutter X</v>
          </cell>
          <cell r="D141">
            <v>0</v>
          </cell>
          <cell r="E141">
            <v>3</v>
          </cell>
          <cell r="F141" t="str">
            <v>MP5-1</v>
          </cell>
        </row>
        <row r="142">
          <cell r="B142" t="str">
            <v>DR3504</v>
          </cell>
          <cell r="C142" t="str">
            <v>LCCTL Camera X</v>
          </cell>
          <cell r="D142">
            <v>0</v>
          </cell>
          <cell r="E142">
            <v>4</v>
          </cell>
          <cell r="F142" t="str">
            <v>MP5-1</v>
          </cell>
        </row>
        <row r="143">
          <cell r="B143" t="str">
            <v>DR3505</v>
          </cell>
          <cell r="C143" t="str">
            <v>LCCTL Cutter Z</v>
          </cell>
          <cell r="D143">
            <v>0</v>
          </cell>
          <cell r="E143">
            <v>5</v>
          </cell>
          <cell r="F143" t="str">
            <v>MP5-1</v>
          </cell>
        </row>
        <row r="144">
          <cell r="B144" t="str">
            <v>DR3506</v>
          </cell>
          <cell r="C144" t="str">
            <v>LCCTL Cutter Shift</v>
          </cell>
          <cell r="D144">
            <v>0</v>
          </cell>
          <cell r="E144">
            <v>6</v>
          </cell>
          <cell r="F144" t="str">
            <v>MP5-1</v>
          </cell>
        </row>
        <row r="145">
          <cell r="B145"/>
          <cell r="C145"/>
          <cell r="D145">
            <v>0</v>
          </cell>
          <cell r="E145">
            <v>7</v>
          </cell>
          <cell r="F145" t="str">
            <v>MP5-1</v>
          </cell>
        </row>
        <row r="146">
          <cell r="B146" t="str">
            <v>DR3508</v>
          </cell>
          <cell r="C146" t="str">
            <v>LCCTL Left Camera Y1</v>
          </cell>
          <cell r="D146">
            <v>0</v>
          </cell>
          <cell r="E146">
            <v>8</v>
          </cell>
          <cell r="F146" t="str">
            <v>MP5-1</v>
          </cell>
        </row>
        <row r="147">
          <cell r="B147" t="str">
            <v>DR3509</v>
          </cell>
          <cell r="C147" t="str">
            <v>LCCTL Right Camera Y1</v>
          </cell>
          <cell r="D147">
            <v>0</v>
          </cell>
          <cell r="E147">
            <v>9</v>
          </cell>
          <cell r="F147" t="str">
            <v>MP5-1</v>
          </cell>
        </row>
        <row r="148">
          <cell r="B148" t="str">
            <v>DR350A</v>
          </cell>
          <cell r="C148" t="str">
            <v>LCCTL Left Camera Z1</v>
          </cell>
          <cell r="D148">
            <v>0</v>
          </cell>
          <cell r="E148" t="str">
            <v>A</v>
          </cell>
          <cell r="F148" t="str">
            <v>MP5-1</v>
          </cell>
        </row>
        <row r="149">
          <cell r="B149" t="str">
            <v>DR350B</v>
          </cell>
          <cell r="C149" t="str">
            <v>LCCTL Right Camera Z1</v>
          </cell>
          <cell r="D149">
            <v>0</v>
          </cell>
          <cell r="E149" t="str">
            <v>B</v>
          </cell>
          <cell r="F149" t="str">
            <v>MP5-1</v>
          </cell>
        </row>
        <row r="150">
          <cell r="B150"/>
          <cell r="C150"/>
          <cell r="D150">
            <v>0</v>
          </cell>
          <cell r="E150" t="str">
            <v>C</v>
          </cell>
          <cell r="F150" t="str">
            <v>MP5-1</v>
          </cell>
        </row>
        <row r="151">
          <cell r="B151" t="str">
            <v>DR350D</v>
          </cell>
          <cell r="C151" t="str">
            <v>LCCTL Cutting Table Y1-1</v>
          </cell>
          <cell r="D151">
            <v>0</v>
          </cell>
          <cell r="E151" t="str">
            <v>D</v>
          </cell>
          <cell r="F151" t="str">
            <v>MP5-1</v>
          </cell>
        </row>
        <row r="152">
          <cell r="B152" t="str">
            <v>DR350E</v>
          </cell>
          <cell r="C152" t="str">
            <v>LCCTL Cutting Table Y1-2</v>
          </cell>
          <cell r="D152">
            <v>0</v>
          </cell>
          <cell r="E152" t="str">
            <v>E</v>
          </cell>
          <cell r="F152" t="str">
            <v>MP5-1</v>
          </cell>
        </row>
        <row r="153">
          <cell r="B153"/>
          <cell r="C153"/>
          <cell r="D153">
            <v>0</v>
          </cell>
          <cell r="E153" t="str">
            <v>F</v>
          </cell>
          <cell r="F153" t="str">
            <v>MP5-1</v>
          </cell>
        </row>
        <row r="154">
          <cell r="B154"/>
          <cell r="C154"/>
          <cell r="D154">
            <v>1</v>
          </cell>
          <cell r="E154">
            <v>0</v>
          </cell>
          <cell r="F154" t="str">
            <v>MP5-1</v>
          </cell>
        </row>
        <row r="155">
          <cell r="B155"/>
          <cell r="C155"/>
          <cell r="D155">
            <v>1</v>
          </cell>
          <cell r="E155">
            <v>1</v>
          </cell>
          <cell r="F155" t="str">
            <v>MP5-1</v>
          </cell>
        </row>
        <row r="156">
          <cell r="B156"/>
          <cell r="C156"/>
          <cell r="D156">
            <v>1</v>
          </cell>
          <cell r="E156">
            <v>2</v>
          </cell>
          <cell r="F156" t="str">
            <v>MP5-1</v>
          </cell>
        </row>
        <row r="157">
          <cell r="B157"/>
          <cell r="C157"/>
          <cell r="D157">
            <v>1</v>
          </cell>
          <cell r="E157">
            <v>3</v>
          </cell>
          <cell r="F157" t="str">
            <v>MP5-2</v>
          </cell>
        </row>
        <row r="158">
          <cell r="B158"/>
          <cell r="C158"/>
          <cell r="D158">
            <v>1</v>
          </cell>
          <cell r="E158">
            <v>4</v>
          </cell>
          <cell r="F158" t="str">
            <v>MP5-2</v>
          </cell>
        </row>
        <row r="159">
          <cell r="B159"/>
          <cell r="C159"/>
          <cell r="D159">
            <v>1</v>
          </cell>
          <cell r="E159">
            <v>5</v>
          </cell>
          <cell r="F159" t="str">
            <v>MP5-2</v>
          </cell>
        </row>
        <row r="160">
          <cell r="B160"/>
          <cell r="C160"/>
          <cell r="D160">
            <v>1</v>
          </cell>
          <cell r="E160">
            <v>6</v>
          </cell>
          <cell r="F160" t="str">
            <v>MP5-2</v>
          </cell>
        </row>
        <row r="161">
          <cell r="B161"/>
          <cell r="C161"/>
          <cell r="D161">
            <v>1</v>
          </cell>
          <cell r="E161">
            <v>7</v>
          </cell>
          <cell r="F161" t="str">
            <v>MP5-2</v>
          </cell>
        </row>
        <row r="163">
          <cell r="B163" t="str">
            <v>DR3603</v>
          </cell>
          <cell r="C163" t="str">
            <v>LCCTL Scribe Chuck Left X</v>
          </cell>
          <cell r="D163">
            <v>0</v>
          </cell>
          <cell r="E163">
            <v>3</v>
          </cell>
          <cell r="F163" t="str">
            <v>MP6-1</v>
          </cell>
        </row>
        <row r="164">
          <cell r="B164" t="str">
            <v>DR3604</v>
          </cell>
          <cell r="C164" t="str">
            <v>LCCTL Scribe Chuck Right X</v>
          </cell>
          <cell r="D164">
            <v>0</v>
          </cell>
          <cell r="E164">
            <v>4</v>
          </cell>
          <cell r="F164" t="str">
            <v>MP6-1</v>
          </cell>
        </row>
        <row r="165">
          <cell r="B165" t="str">
            <v>DR3605</v>
          </cell>
          <cell r="C165" t="str">
            <v>LCCTL Scribe Chuck Y-1</v>
          </cell>
          <cell r="D165">
            <v>0</v>
          </cell>
          <cell r="E165">
            <v>5</v>
          </cell>
          <cell r="F165" t="str">
            <v>MP6-1</v>
          </cell>
        </row>
        <row r="166">
          <cell r="B166" t="str">
            <v>DR3606</v>
          </cell>
          <cell r="C166" t="str">
            <v>LCCTL Scribe Chuck Y-2</v>
          </cell>
          <cell r="D166">
            <v>0</v>
          </cell>
          <cell r="E166">
            <v>6</v>
          </cell>
          <cell r="F166" t="str">
            <v>MP6-1</v>
          </cell>
        </row>
        <row r="167">
          <cell r="B167" t="str">
            <v>DR3607</v>
          </cell>
          <cell r="C167" t="str">
            <v>LCCTL Scribe Chuck Z1</v>
          </cell>
          <cell r="D167">
            <v>0</v>
          </cell>
          <cell r="E167">
            <v>7</v>
          </cell>
          <cell r="F167" t="str">
            <v>MP6-1</v>
          </cell>
        </row>
        <row r="168">
          <cell r="B168" t="str">
            <v>DR3608</v>
          </cell>
          <cell r="C168" t="str">
            <v>LCCTL Scribe Chuck Z2</v>
          </cell>
          <cell r="D168">
            <v>0</v>
          </cell>
          <cell r="E168">
            <v>8</v>
          </cell>
          <cell r="F168" t="str">
            <v>MP6-1</v>
          </cell>
        </row>
        <row r="169">
          <cell r="B169" t="str">
            <v>DR3609</v>
          </cell>
          <cell r="C169" t="str">
            <v>LCCTL Scribe Chuck Z3</v>
          </cell>
          <cell r="D169">
            <v>0</v>
          </cell>
          <cell r="E169">
            <v>9</v>
          </cell>
          <cell r="F169" t="str">
            <v>MP6-1</v>
          </cell>
        </row>
        <row r="170">
          <cell r="B170"/>
          <cell r="C170"/>
          <cell r="D170">
            <v>0</v>
          </cell>
          <cell r="E170" t="str">
            <v>A</v>
          </cell>
          <cell r="F170" t="str">
            <v>MP6-1</v>
          </cell>
        </row>
        <row r="171">
          <cell r="B171" t="str">
            <v>DR360B</v>
          </cell>
          <cell r="C171" t="str">
            <v>LCCTL Push Bar Y-1</v>
          </cell>
          <cell r="D171">
            <v>0</v>
          </cell>
          <cell r="E171" t="str">
            <v>B</v>
          </cell>
          <cell r="F171" t="str">
            <v>MP6-1</v>
          </cell>
        </row>
        <row r="172">
          <cell r="B172" t="str">
            <v>DR360C</v>
          </cell>
          <cell r="C172" t="str">
            <v>LCCTL Push Bar Y-2</v>
          </cell>
          <cell r="D172">
            <v>0</v>
          </cell>
          <cell r="E172" t="str">
            <v>C</v>
          </cell>
          <cell r="F172" t="str">
            <v>MP6-1</v>
          </cell>
        </row>
        <row r="173">
          <cell r="B173" t="str">
            <v>DR360D</v>
          </cell>
          <cell r="C173" t="str">
            <v>LCCTL Push Bar Z</v>
          </cell>
          <cell r="D173">
            <v>0</v>
          </cell>
          <cell r="E173" t="str">
            <v>D</v>
          </cell>
          <cell r="F173" t="str">
            <v>MP6-1</v>
          </cell>
        </row>
        <row r="174">
          <cell r="B174" t="str">
            <v>DR360E</v>
          </cell>
          <cell r="C174" t="str">
            <v>LCCTL Break Table Y-1</v>
          </cell>
          <cell r="D174">
            <v>0</v>
          </cell>
          <cell r="E174" t="str">
            <v>E</v>
          </cell>
          <cell r="F174" t="str">
            <v>MP6-1</v>
          </cell>
        </row>
        <row r="175">
          <cell r="B175" t="str">
            <v>DR360F</v>
          </cell>
          <cell r="C175" t="str">
            <v>LCCTL Break Table Y-2</v>
          </cell>
          <cell r="D175">
            <v>0</v>
          </cell>
          <cell r="E175" t="str">
            <v>F</v>
          </cell>
          <cell r="F175" t="str">
            <v>MP6-1</v>
          </cell>
        </row>
        <row r="176">
          <cell r="B176" t="str">
            <v>DR3610</v>
          </cell>
          <cell r="C176" t="str">
            <v>LCCTL Break Table Z-1</v>
          </cell>
          <cell r="D176">
            <v>1</v>
          </cell>
          <cell r="E176">
            <v>0</v>
          </cell>
          <cell r="F176" t="str">
            <v>MP6-1</v>
          </cell>
        </row>
        <row r="177">
          <cell r="B177" t="str">
            <v>DR3611</v>
          </cell>
          <cell r="C177" t="str">
            <v>LCCTL Break Table Z-2</v>
          </cell>
          <cell r="D177">
            <v>1</v>
          </cell>
          <cell r="E177">
            <v>1</v>
          </cell>
          <cell r="F177" t="str">
            <v>MP6-1</v>
          </cell>
        </row>
        <row r="178">
          <cell r="B178" t="str">
            <v>DR3612</v>
          </cell>
          <cell r="C178" t="str">
            <v>LCCTL Break Table T</v>
          </cell>
          <cell r="D178">
            <v>1</v>
          </cell>
          <cell r="E178">
            <v>2</v>
          </cell>
          <cell r="F178" t="str">
            <v>MP6-1</v>
          </cell>
        </row>
        <row r="179">
          <cell r="B179"/>
          <cell r="C179"/>
          <cell r="D179">
            <v>1</v>
          </cell>
          <cell r="E179">
            <v>3</v>
          </cell>
          <cell r="F179" t="str">
            <v>MP6-2</v>
          </cell>
        </row>
        <row r="180">
          <cell r="B180"/>
          <cell r="C180"/>
          <cell r="D180">
            <v>1</v>
          </cell>
          <cell r="E180">
            <v>4</v>
          </cell>
          <cell r="F180" t="str">
            <v>MP6-2</v>
          </cell>
        </row>
        <row r="181">
          <cell r="B181"/>
          <cell r="C181"/>
          <cell r="D181">
            <v>1</v>
          </cell>
          <cell r="E181">
            <v>5</v>
          </cell>
          <cell r="F181" t="str">
            <v>MP6-2</v>
          </cell>
        </row>
        <row r="182">
          <cell r="B182"/>
          <cell r="C182"/>
          <cell r="D182">
            <v>1</v>
          </cell>
          <cell r="E182">
            <v>6</v>
          </cell>
          <cell r="F182" t="str">
            <v>MP6-2</v>
          </cell>
        </row>
        <row r="183">
          <cell r="B183"/>
          <cell r="C183"/>
          <cell r="D183">
            <v>1</v>
          </cell>
          <cell r="E183">
            <v>7</v>
          </cell>
          <cell r="F183" t="str">
            <v>MP6-2</v>
          </cell>
        </row>
        <row r="185">
          <cell r="B185" t="str">
            <v>DR3703</v>
          </cell>
          <cell r="C185" t="str">
            <v>LCCTR Cutter X</v>
          </cell>
          <cell r="D185">
            <v>0</v>
          </cell>
          <cell r="E185">
            <v>3</v>
          </cell>
          <cell r="F185" t="str">
            <v>MP7-1</v>
          </cell>
        </row>
        <row r="186">
          <cell r="B186" t="str">
            <v>DR3704</v>
          </cell>
          <cell r="C186" t="str">
            <v>LCCTR Camera X</v>
          </cell>
          <cell r="D186">
            <v>0</v>
          </cell>
          <cell r="E186">
            <v>4</v>
          </cell>
          <cell r="F186" t="str">
            <v>MP7-1</v>
          </cell>
        </row>
        <row r="187">
          <cell r="B187" t="str">
            <v>DR3705</v>
          </cell>
          <cell r="C187" t="str">
            <v>LCCTR Cutter Z</v>
          </cell>
          <cell r="D187">
            <v>0</v>
          </cell>
          <cell r="E187">
            <v>5</v>
          </cell>
          <cell r="F187" t="str">
            <v>MP7-1</v>
          </cell>
        </row>
        <row r="188">
          <cell r="B188" t="str">
            <v>DR3706</v>
          </cell>
          <cell r="C188" t="str">
            <v>LCCTR Cutter Shift</v>
          </cell>
          <cell r="D188">
            <v>0</v>
          </cell>
          <cell r="E188">
            <v>6</v>
          </cell>
          <cell r="F188" t="str">
            <v>MP7-1</v>
          </cell>
        </row>
        <row r="189">
          <cell r="B189"/>
          <cell r="C189"/>
          <cell r="D189">
            <v>0</v>
          </cell>
          <cell r="E189">
            <v>7</v>
          </cell>
          <cell r="F189" t="str">
            <v>MP7-1</v>
          </cell>
        </row>
        <row r="190">
          <cell r="B190" t="str">
            <v>DR3708</v>
          </cell>
          <cell r="C190" t="str">
            <v>LCCTR Left Camera Y1</v>
          </cell>
          <cell r="D190">
            <v>0</v>
          </cell>
          <cell r="E190">
            <v>8</v>
          </cell>
          <cell r="F190" t="str">
            <v>MP7-1</v>
          </cell>
        </row>
        <row r="191">
          <cell r="B191" t="str">
            <v>DR3709</v>
          </cell>
          <cell r="C191" t="str">
            <v>LCCTR Right Camera Y1</v>
          </cell>
          <cell r="D191">
            <v>0</v>
          </cell>
          <cell r="E191">
            <v>9</v>
          </cell>
          <cell r="F191" t="str">
            <v>MP7-1</v>
          </cell>
        </row>
        <row r="192">
          <cell r="B192" t="str">
            <v>DR370A</v>
          </cell>
          <cell r="C192" t="str">
            <v>LCCTR Left Camera Z1</v>
          </cell>
          <cell r="D192">
            <v>0</v>
          </cell>
          <cell r="E192" t="str">
            <v>A</v>
          </cell>
          <cell r="F192" t="str">
            <v>MP7-1</v>
          </cell>
        </row>
        <row r="193">
          <cell r="B193" t="str">
            <v>DR370B</v>
          </cell>
          <cell r="C193" t="str">
            <v>LCCTR Right Camera Z1</v>
          </cell>
          <cell r="D193">
            <v>0</v>
          </cell>
          <cell r="E193" t="str">
            <v>B</v>
          </cell>
          <cell r="F193" t="str">
            <v>MP7-1</v>
          </cell>
        </row>
        <row r="194">
          <cell r="B194"/>
          <cell r="C194"/>
          <cell r="D194">
            <v>0</v>
          </cell>
          <cell r="E194" t="str">
            <v>C</v>
          </cell>
          <cell r="F194" t="str">
            <v>MP7-1</v>
          </cell>
        </row>
        <row r="195">
          <cell r="B195" t="str">
            <v>DR370D</v>
          </cell>
          <cell r="C195" t="str">
            <v>LCCTR Cutting Table Y1-1</v>
          </cell>
          <cell r="D195">
            <v>0</v>
          </cell>
          <cell r="E195" t="str">
            <v>D</v>
          </cell>
          <cell r="F195" t="str">
            <v>MP7-1</v>
          </cell>
        </row>
        <row r="196">
          <cell r="B196" t="str">
            <v>DR370E</v>
          </cell>
          <cell r="C196" t="str">
            <v>LCCTR Cutting Table Y1-2</v>
          </cell>
          <cell r="D196">
            <v>0</v>
          </cell>
          <cell r="E196" t="str">
            <v>E</v>
          </cell>
          <cell r="F196" t="str">
            <v>MP7-1</v>
          </cell>
        </row>
        <row r="197">
          <cell r="B197"/>
          <cell r="C197"/>
          <cell r="D197">
            <v>0</v>
          </cell>
          <cell r="E197" t="str">
            <v>F</v>
          </cell>
          <cell r="F197" t="str">
            <v>MP7-1</v>
          </cell>
        </row>
        <row r="198">
          <cell r="B198"/>
          <cell r="C198"/>
          <cell r="D198">
            <v>1</v>
          </cell>
          <cell r="E198">
            <v>0</v>
          </cell>
          <cell r="F198" t="str">
            <v>MP7-1</v>
          </cell>
        </row>
        <row r="199">
          <cell r="B199"/>
          <cell r="C199"/>
          <cell r="D199">
            <v>1</v>
          </cell>
          <cell r="E199">
            <v>1</v>
          </cell>
          <cell r="F199" t="str">
            <v>MP7-1</v>
          </cell>
        </row>
        <row r="200">
          <cell r="B200"/>
          <cell r="C200"/>
          <cell r="D200">
            <v>1</v>
          </cell>
          <cell r="E200">
            <v>2</v>
          </cell>
          <cell r="F200" t="str">
            <v>MP7-1</v>
          </cell>
        </row>
        <row r="201">
          <cell r="B201"/>
          <cell r="C201"/>
          <cell r="D201">
            <v>1</v>
          </cell>
          <cell r="E201">
            <v>3</v>
          </cell>
          <cell r="F201" t="str">
            <v>MP7-2</v>
          </cell>
        </row>
        <row r="202">
          <cell r="B202"/>
          <cell r="C202"/>
          <cell r="D202">
            <v>1</v>
          </cell>
          <cell r="E202">
            <v>4</v>
          </cell>
          <cell r="F202" t="str">
            <v>MP7-2</v>
          </cell>
        </row>
        <row r="203">
          <cell r="B203"/>
          <cell r="C203"/>
          <cell r="D203">
            <v>1</v>
          </cell>
          <cell r="E203">
            <v>5</v>
          </cell>
          <cell r="F203" t="str">
            <v>MP7-2</v>
          </cell>
        </row>
        <row r="204">
          <cell r="B204"/>
          <cell r="C204"/>
          <cell r="D204">
            <v>1</v>
          </cell>
          <cell r="E204">
            <v>6</v>
          </cell>
          <cell r="F204" t="str">
            <v>MP7-2</v>
          </cell>
        </row>
        <row r="205">
          <cell r="B205"/>
          <cell r="C205"/>
          <cell r="D205">
            <v>1</v>
          </cell>
          <cell r="E205">
            <v>7</v>
          </cell>
          <cell r="F205" t="str">
            <v>MP7-2</v>
          </cell>
        </row>
        <row r="207">
          <cell r="B207" t="str">
            <v>DR3803</v>
          </cell>
          <cell r="C207" t="str">
            <v>LCCTR Scribe Chuck Left X</v>
          </cell>
          <cell r="D207">
            <v>0</v>
          </cell>
          <cell r="E207">
            <v>3</v>
          </cell>
          <cell r="F207" t="str">
            <v>MP8-1</v>
          </cell>
        </row>
        <row r="208">
          <cell r="B208" t="str">
            <v>DR3804</v>
          </cell>
          <cell r="C208" t="str">
            <v>LCCTR Scribe Chuck Right X</v>
          </cell>
          <cell r="D208">
            <v>0</v>
          </cell>
          <cell r="E208">
            <v>4</v>
          </cell>
          <cell r="F208" t="str">
            <v>MP8-1</v>
          </cell>
        </row>
        <row r="209">
          <cell r="B209" t="str">
            <v>DR3805</v>
          </cell>
          <cell r="C209" t="str">
            <v>LCCTR Scribe Chuck Y-1</v>
          </cell>
          <cell r="D209">
            <v>0</v>
          </cell>
          <cell r="E209">
            <v>5</v>
          </cell>
          <cell r="F209" t="str">
            <v>MP8-1</v>
          </cell>
        </row>
        <row r="210">
          <cell r="B210" t="str">
            <v>DR3806</v>
          </cell>
          <cell r="C210" t="str">
            <v>LCCTR Scribe Chuck Y-2</v>
          </cell>
          <cell r="D210">
            <v>0</v>
          </cell>
          <cell r="E210">
            <v>6</v>
          </cell>
          <cell r="F210" t="str">
            <v>MP8-1</v>
          </cell>
        </row>
        <row r="211">
          <cell r="B211" t="str">
            <v>DR3807</v>
          </cell>
          <cell r="C211" t="str">
            <v>LCCTR Scribe Chuck Z1</v>
          </cell>
          <cell r="D211">
            <v>0</v>
          </cell>
          <cell r="E211">
            <v>7</v>
          </cell>
          <cell r="F211" t="str">
            <v>MP8-1</v>
          </cell>
        </row>
        <row r="212">
          <cell r="B212" t="str">
            <v>DR3808</v>
          </cell>
          <cell r="C212" t="str">
            <v>LCCTR Scribe Chuck Z2</v>
          </cell>
          <cell r="D212">
            <v>0</v>
          </cell>
          <cell r="E212">
            <v>8</v>
          </cell>
          <cell r="F212" t="str">
            <v>MP8-1</v>
          </cell>
        </row>
        <row r="213">
          <cell r="B213" t="str">
            <v>DR3809</v>
          </cell>
          <cell r="C213" t="str">
            <v>LCCTR Scribe Chuck Z3</v>
          </cell>
          <cell r="D213">
            <v>0</v>
          </cell>
          <cell r="E213">
            <v>9</v>
          </cell>
          <cell r="F213" t="str">
            <v>MP8-1</v>
          </cell>
        </row>
        <row r="214">
          <cell r="B214"/>
          <cell r="C214"/>
          <cell r="D214">
            <v>0</v>
          </cell>
          <cell r="E214" t="str">
            <v>A</v>
          </cell>
          <cell r="F214" t="str">
            <v>MP8-1</v>
          </cell>
        </row>
        <row r="215">
          <cell r="B215" t="str">
            <v>DR380B</v>
          </cell>
          <cell r="C215" t="str">
            <v>LCCTR Push Bar Y-1</v>
          </cell>
          <cell r="D215">
            <v>0</v>
          </cell>
          <cell r="E215" t="str">
            <v>B</v>
          </cell>
          <cell r="F215" t="str">
            <v>MP8-1</v>
          </cell>
        </row>
        <row r="216">
          <cell r="B216" t="str">
            <v>DR380C</v>
          </cell>
          <cell r="C216" t="str">
            <v>LCCTR Push Bar Y-2</v>
          </cell>
          <cell r="D216">
            <v>0</v>
          </cell>
          <cell r="E216" t="str">
            <v>C</v>
          </cell>
          <cell r="F216" t="str">
            <v>MP8-1</v>
          </cell>
        </row>
        <row r="217">
          <cell r="B217" t="str">
            <v>DR380D</v>
          </cell>
          <cell r="C217" t="str">
            <v>LCCTR Push Bar Z</v>
          </cell>
          <cell r="D217">
            <v>0</v>
          </cell>
          <cell r="E217" t="str">
            <v>D</v>
          </cell>
          <cell r="F217" t="str">
            <v>MP8-1</v>
          </cell>
        </row>
        <row r="218">
          <cell r="B218" t="str">
            <v>DR380E</v>
          </cell>
          <cell r="C218" t="str">
            <v>LCCTR Break Table Y-1</v>
          </cell>
          <cell r="D218">
            <v>0</v>
          </cell>
          <cell r="E218" t="str">
            <v>E</v>
          </cell>
          <cell r="F218" t="str">
            <v>MP8-1</v>
          </cell>
        </row>
        <row r="219">
          <cell r="B219" t="str">
            <v>DR380F</v>
          </cell>
          <cell r="C219" t="str">
            <v>LCCTR Break Table Y-2</v>
          </cell>
          <cell r="D219">
            <v>0</v>
          </cell>
          <cell r="E219" t="str">
            <v>F</v>
          </cell>
          <cell r="F219" t="str">
            <v>MP8-1</v>
          </cell>
        </row>
        <row r="220">
          <cell r="B220" t="str">
            <v>DR3810</v>
          </cell>
          <cell r="C220" t="str">
            <v>LCCTR Break Table Z-1</v>
          </cell>
          <cell r="D220">
            <v>1</v>
          </cell>
          <cell r="E220">
            <v>0</v>
          </cell>
          <cell r="F220" t="str">
            <v>MP8-1</v>
          </cell>
        </row>
        <row r="221">
          <cell r="B221" t="str">
            <v>DR3811</v>
          </cell>
          <cell r="C221" t="str">
            <v>LCCTR Break Table Z-2</v>
          </cell>
          <cell r="D221">
            <v>1</v>
          </cell>
          <cell r="E221">
            <v>1</v>
          </cell>
          <cell r="F221" t="str">
            <v>MP8-1</v>
          </cell>
        </row>
        <row r="222">
          <cell r="B222" t="str">
            <v>DR3812</v>
          </cell>
          <cell r="C222" t="str">
            <v>LCCTR Break Table T</v>
          </cell>
          <cell r="D222">
            <v>1</v>
          </cell>
          <cell r="E222">
            <v>2</v>
          </cell>
          <cell r="F222" t="str">
            <v>MP8-1</v>
          </cell>
        </row>
        <row r="223">
          <cell r="B223"/>
          <cell r="C223"/>
          <cell r="D223">
            <v>1</v>
          </cell>
          <cell r="E223">
            <v>3</v>
          </cell>
          <cell r="F223" t="str">
            <v>MP8-2</v>
          </cell>
        </row>
        <row r="224">
          <cell r="B224"/>
          <cell r="C224"/>
          <cell r="D224">
            <v>1</v>
          </cell>
          <cell r="E224">
            <v>4</v>
          </cell>
          <cell r="F224" t="str">
            <v>MP8-2</v>
          </cell>
        </row>
        <row r="225">
          <cell r="B225"/>
          <cell r="C225"/>
          <cell r="D225">
            <v>1</v>
          </cell>
          <cell r="E225">
            <v>5</v>
          </cell>
          <cell r="F225" t="str">
            <v>MP8-2</v>
          </cell>
        </row>
        <row r="226">
          <cell r="B226"/>
          <cell r="C226"/>
          <cell r="D226">
            <v>1</v>
          </cell>
          <cell r="E226">
            <v>6</v>
          </cell>
          <cell r="F226" t="str">
            <v>MP8-2</v>
          </cell>
        </row>
        <row r="227">
          <cell r="B227"/>
          <cell r="C227"/>
          <cell r="D227">
            <v>1</v>
          </cell>
          <cell r="E227">
            <v>7</v>
          </cell>
          <cell r="F227" t="str">
            <v>MP8-2</v>
          </cell>
        </row>
        <row r="229">
          <cell r="B229" t="str">
            <v>DR4103</v>
          </cell>
          <cell r="C229" t="str">
            <v>RCCT Stick Transfer2 X-1</v>
          </cell>
          <cell r="D229">
            <v>0</v>
          </cell>
          <cell r="E229">
            <v>3</v>
          </cell>
          <cell r="F229" t="str">
            <v>MP1-1</v>
          </cell>
        </row>
        <row r="230">
          <cell r="B230"/>
          <cell r="C230"/>
          <cell r="D230">
            <v>0</v>
          </cell>
          <cell r="E230">
            <v>4</v>
          </cell>
          <cell r="F230" t="str">
            <v>MP1-1</v>
          </cell>
        </row>
        <row r="231">
          <cell r="B231" t="str">
            <v>DR4105</v>
          </cell>
          <cell r="C231" t="str">
            <v>RCCT Stick Transfer2 Z-1</v>
          </cell>
          <cell r="D231">
            <v>0</v>
          </cell>
          <cell r="E231">
            <v>5</v>
          </cell>
          <cell r="F231" t="str">
            <v>MP1-1</v>
          </cell>
        </row>
        <row r="232">
          <cell r="B232"/>
          <cell r="C232"/>
          <cell r="D232">
            <v>0</v>
          </cell>
          <cell r="E232">
            <v>6</v>
          </cell>
          <cell r="F232" t="str">
            <v>MP1-1</v>
          </cell>
        </row>
        <row r="233">
          <cell r="B233"/>
          <cell r="C233"/>
          <cell r="D233">
            <v>0</v>
          </cell>
          <cell r="E233">
            <v>7</v>
          </cell>
          <cell r="F233" t="str">
            <v>MP1-1</v>
          </cell>
        </row>
        <row r="234">
          <cell r="B234"/>
          <cell r="C234"/>
          <cell r="D234">
            <v>0</v>
          </cell>
          <cell r="E234">
            <v>8</v>
          </cell>
          <cell r="F234" t="str">
            <v>MP1-1</v>
          </cell>
        </row>
        <row r="235">
          <cell r="B235"/>
          <cell r="C235"/>
          <cell r="D235">
            <v>0</v>
          </cell>
          <cell r="E235">
            <v>9</v>
          </cell>
          <cell r="F235" t="str">
            <v>MP1-1</v>
          </cell>
        </row>
        <row r="236">
          <cell r="B236"/>
          <cell r="C236"/>
          <cell r="D236">
            <v>0</v>
          </cell>
          <cell r="E236" t="str">
            <v>A</v>
          </cell>
          <cell r="F236" t="str">
            <v>MP1-1</v>
          </cell>
        </row>
        <row r="237">
          <cell r="B237"/>
          <cell r="C237"/>
          <cell r="D237">
            <v>0</v>
          </cell>
          <cell r="E237" t="str">
            <v>B</v>
          </cell>
          <cell r="F237" t="str">
            <v>MP1-1</v>
          </cell>
        </row>
        <row r="238">
          <cell r="B238"/>
          <cell r="C238"/>
          <cell r="D238">
            <v>0</v>
          </cell>
          <cell r="E238" t="str">
            <v>C</v>
          </cell>
          <cell r="F238" t="str">
            <v>MP1-1</v>
          </cell>
        </row>
        <row r="239">
          <cell r="B239"/>
          <cell r="C239"/>
          <cell r="D239">
            <v>0</v>
          </cell>
          <cell r="E239" t="str">
            <v>D</v>
          </cell>
          <cell r="F239" t="str">
            <v>MP1-1</v>
          </cell>
        </row>
        <row r="240">
          <cell r="B240"/>
          <cell r="C240"/>
          <cell r="D240">
            <v>0</v>
          </cell>
          <cell r="E240" t="str">
            <v>E</v>
          </cell>
          <cell r="F240" t="str">
            <v>MP1-1</v>
          </cell>
        </row>
        <row r="241">
          <cell r="B241"/>
          <cell r="C241"/>
          <cell r="D241">
            <v>0</v>
          </cell>
          <cell r="E241" t="str">
            <v>F</v>
          </cell>
          <cell r="F241" t="str">
            <v>MP1-1</v>
          </cell>
        </row>
        <row r="242">
          <cell r="B242"/>
          <cell r="C242"/>
          <cell r="D242">
            <v>1</v>
          </cell>
          <cell r="E242">
            <v>0</v>
          </cell>
          <cell r="F242" t="str">
            <v>MP1-1</v>
          </cell>
        </row>
        <row r="243">
          <cell r="B243"/>
          <cell r="C243"/>
          <cell r="D243">
            <v>1</v>
          </cell>
          <cell r="E243">
            <v>1</v>
          </cell>
          <cell r="F243" t="str">
            <v>MP1-1</v>
          </cell>
        </row>
        <row r="244">
          <cell r="B244"/>
          <cell r="C244"/>
          <cell r="D244">
            <v>1</v>
          </cell>
          <cell r="E244">
            <v>2</v>
          </cell>
          <cell r="F244" t="str">
            <v>MP1-1</v>
          </cell>
        </row>
        <row r="245">
          <cell r="B245"/>
          <cell r="C245"/>
          <cell r="D245">
            <v>1</v>
          </cell>
          <cell r="E245">
            <v>3</v>
          </cell>
          <cell r="F245" t="str">
            <v>MP1-2</v>
          </cell>
        </row>
        <row r="246">
          <cell r="B246"/>
          <cell r="C246"/>
          <cell r="D246">
            <v>1</v>
          </cell>
          <cell r="E246">
            <v>4</v>
          </cell>
          <cell r="F246" t="str">
            <v>MP1-2</v>
          </cell>
        </row>
        <row r="247">
          <cell r="B247"/>
          <cell r="C247"/>
          <cell r="D247">
            <v>1</v>
          </cell>
          <cell r="E247">
            <v>5</v>
          </cell>
          <cell r="F247" t="str">
            <v>MP1-2</v>
          </cell>
        </row>
        <row r="248">
          <cell r="B248"/>
          <cell r="C248"/>
          <cell r="D248">
            <v>1</v>
          </cell>
          <cell r="E248">
            <v>6</v>
          </cell>
          <cell r="F248" t="str">
            <v>MP1-2</v>
          </cell>
        </row>
        <row r="249">
          <cell r="B249"/>
          <cell r="C249"/>
          <cell r="D249">
            <v>1</v>
          </cell>
          <cell r="E249">
            <v>7</v>
          </cell>
          <cell r="F249" t="str">
            <v>MP1-2</v>
          </cell>
        </row>
        <row r="250">
          <cell r="B250"/>
          <cell r="C250"/>
          <cell r="D250">
            <v>1</v>
          </cell>
          <cell r="E250">
            <v>8</v>
          </cell>
          <cell r="F250" t="str">
            <v>MP1-2</v>
          </cell>
        </row>
        <row r="251">
          <cell r="B251"/>
          <cell r="C251"/>
          <cell r="D251">
            <v>1</v>
          </cell>
          <cell r="E251">
            <v>9</v>
          </cell>
          <cell r="F251" t="str">
            <v>MP1-2</v>
          </cell>
        </row>
        <row r="252">
          <cell r="B252"/>
          <cell r="C252"/>
          <cell r="D252">
            <v>1</v>
          </cell>
          <cell r="E252" t="str">
            <v>A</v>
          </cell>
          <cell r="F252" t="str">
            <v>MP1-2</v>
          </cell>
        </row>
        <row r="253">
          <cell r="B253"/>
          <cell r="C253"/>
          <cell r="D253">
            <v>1</v>
          </cell>
          <cell r="E253" t="str">
            <v>B</v>
          </cell>
          <cell r="F253" t="str">
            <v>MP1-2</v>
          </cell>
        </row>
        <row r="254">
          <cell r="B254"/>
          <cell r="C254"/>
          <cell r="D254">
            <v>1</v>
          </cell>
          <cell r="E254" t="str">
            <v>C</v>
          </cell>
          <cell r="F254" t="str">
            <v>MP1-2</v>
          </cell>
        </row>
        <row r="255">
          <cell r="B255"/>
          <cell r="C255"/>
          <cell r="D255">
            <v>1</v>
          </cell>
          <cell r="E255" t="str">
            <v>D</v>
          </cell>
          <cell r="F255" t="str">
            <v>MP1-2</v>
          </cell>
        </row>
        <row r="256">
          <cell r="B256" t="str">
            <v>AI-AN21</v>
          </cell>
          <cell r="C256" t="str">
            <v>RCCT Table Level</v>
          </cell>
          <cell r="D256">
            <v>1</v>
          </cell>
          <cell r="E256" t="str">
            <v>E</v>
          </cell>
          <cell r="F256" t="str">
            <v>MP1-2</v>
          </cell>
        </row>
        <row r="257">
          <cell r="B257" t="str">
            <v>AI-AN21</v>
          </cell>
          <cell r="C257" t="str">
            <v>RCCT LoadCell</v>
          </cell>
          <cell r="D257">
            <v>1</v>
          </cell>
          <cell r="E257" t="str">
            <v>F</v>
          </cell>
          <cell r="F257" t="str">
            <v>MP1-2</v>
          </cell>
        </row>
        <row r="258">
          <cell r="B258"/>
          <cell r="C258"/>
          <cell r="D258"/>
          <cell r="E258"/>
          <cell r="F258"/>
        </row>
        <row r="259">
          <cell r="B259"/>
          <cell r="C259"/>
          <cell r="D259"/>
          <cell r="E259"/>
          <cell r="F259"/>
        </row>
        <row r="260">
          <cell r="B260"/>
          <cell r="C260"/>
          <cell r="D260"/>
          <cell r="E260"/>
          <cell r="F260"/>
        </row>
        <row r="261">
          <cell r="B261"/>
          <cell r="C261"/>
          <cell r="D261"/>
          <cell r="E261"/>
          <cell r="F261"/>
        </row>
        <row r="262">
          <cell r="B262"/>
          <cell r="C262"/>
          <cell r="D262"/>
          <cell r="E262"/>
          <cell r="F262"/>
        </row>
        <row r="263">
          <cell r="B263"/>
          <cell r="C263"/>
          <cell r="D263"/>
          <cell r="E263"/>
          <cell r="F263"/>
        </row>
        <row r="264">
          <cell r="B264"/>
          <cell r="C264"/>
          <cell r="D264"/>
          <cell r="E264"/>
          <cell r="F264"/>
        </row>
        <row r="265">
          <cell r="B265"/>
          <cell r="C265"/>
          <cell r="D265"/>
          <cell r="E265"/>
          <cell r="F265"/>
        </row>
        <row r="266">
          <cell r="B266"/>
          <cell r="C266"/>
          <cell r="D266"/>
          <cell r="E266"/>
          <cell r="F266"/>
        </row>
        <row r="267">
          <cell r="B267"/>
          <cell r="C267"/>
          <cell r="D267"/>
          <cell r="E267"/>
          <cell r="F267"/>
        </row>
        <row r="268">
          <cell r="B268"/>
          <cell r="C268"/>
          <cell r="D268"/>
          <cell r="E268"/>
          <cell r="F268"/>
        </row>
        <row r="269">
          <cell r="B269"/>
          <cell r="C269"/>
          <cell r="D269"/>
          <cell r="E269"/>
          <cell r="F269"/>
        </row>
        <row r="270">
          <cell r="B270"/>
          <cell r="C270"/>
          <cell r="D270"/>
          <cell r="E270"/>
          <cell r="F270"/>
        </row>
        <row r="272">
          <cell r="B272" t="str">
            <v>DR4503</v>
          </cell>
          <cell r="C272" t="str">
            <v>RCCTL Cutter X</v>
          </cell>
          <cell r="D272">
            <v>0</v>
          </cell>
          <cell r="E272">
            <v>3</v>
          </cell>
          <cell r="F272" t="str">
            <v>MP5-1</v>
          </cell>
        </row>
        <row r="273">
          <cell r="B273" t="str">
            <v>DR4504</v>
          </cell>
          <cell r="C273" t="str">
            <v>RCCTL Camera X</v>
          </cell>
          <cell r="D273">
            <v>0</v>
          </cell>
          <cell r="E273">
            <v>4</v>
          </cell>
          <cell r="F273" t="str">
            <v>MP5-1</v>
          </cell>
        </row>
        <row r="274">
          <cell r="B274" t="str">
            <v>DR4505</v>
          </cell>
          <cell r="C274" t="str">
            <v>RCCTL Cutter Z</v>
          </cell>
          <cell r="D274">
            <v>0</v>
          </cell>
          <cell r="E274">
            <v>5</v>
          </cell>
          <cell r="F274" t="str">
            <v>MP5-1</v>
          </cell>
        </row>
        <row r="275">
          <cell r="B275" t="str">
            <v>DR4506</v>
          </cell>
          <cell r="C275" t="str">
            <v>RCCTL Cutter Shift</v>
          </cell>
          <cell r="D275">
            <v>0</v>
          </cell>
          <cell r="E275">
            <v>6</v>
          </cell>
          <cell r="F275" t="str">
            <v>MP5-1</v>
          </cell>
        </row>
        <row r="276">
          <cell r="B276"/>
          <cell r="C276"/>
          <cell r="D276">
            <v>0</v>
          </cell>
          <cell r="E276">
            <v>7</v>
          </cell>
          <cell r="F276" t="str">
            <v>MP5-1</v>
          </cell>
        </row>
        <row r="277">
          <cell r="B277" t="str">
            <v>DR4508</v>
          </cell>
          <cell r="C277" t="str">
            <v>RCCTL Left Camera Y1</v>
          </cell>
          <cell r="D277">
            <v>0</v>
          </cell>
          <cell r="E277">
            <v>8</v>
          </cell>
          <cell r="F277" t="str">
            <v>MP5-1</v>
          </cell>
        </row>
        <row r="278">
          <cell r="B278" t="str">
            <v>DR4509</v>
          </cell>
          <cell r="C278" t="str">
            <v>RCCTL Right Camera Y1</v>
          </cell>
          <cell r="D278">
            <v>0</v>
          </cell>
          <cell r="E278">
            <v>9</v>
          </cell>
          <cell r="F278" t="str">
            <v>MP5-1</v>
          </cell>
        </row>
        <row r="279">
          <cell r="B279" t="str">
            <v>DR450A</v>
          </cell>
          <cell r="C279" t="str">
            <v>RCCTL Left Camera Z1</v>
          </cell>
          <cell r="D279">
            <v>0</v>
          </cell>
          <cell r="E279" t="str">
            <v>A</v>
          </cell>
          <cell r="F279" t="str">
            <v>MP5-1</v>
          </cell>
        </row>
        <row r="280">
          <cell r="B280" t="str">
            <v>DR450B</v>
          </cell>
          <cell r="C280" t="str">
            <v>RCCTL Right Camera Z1</v>
          </cell>
          <cell r="D280">
            <v>0</v>
          </cell>
          <cell r="E280" t="str">
            <v>B</v>
          </cell>
          <cell r="F280" t="str">
            <v>MP5-1</v>
          </cell>
        </row>
        <row r="281">
          <cell r="B281"/>
          <cell r="C281"/>
          <cell r="D281">
            <v>0</v>
          </cell>
          <cell r="E281" t="str">
            <v>C</v>
          </cell>
          <cell r="F281" t="str">
            <v>MP5-1</v>
          </cell>
        </row>
        <row r="282">
          <cell r="B282" t="str">
            <v>DR450D</v>
          </cell>
          <cell r="C282" t="str">
            <v>RCCTL Cutting Table Y1-1</v>
          </cell>
          <cell r="D282">
            <v>0</v>
          </cell>
          <cell r="E282" t="str">
            <v>D</v>
          </cell>
          <cell r="F282" t="str">
            <v>MP5-1</v>
          </cell>
        </row>
        <row r="283">
          <cell r="B283" t="str">
            <v>DR450E</v>
          </cell>
          <cell r="C283" t="str">
            <v>RCCTL Cutting Table Y1-2</v>
          </cell>
          <cell r="D283">
            <v>0</v>
          </cell>
          <cell r="E283" t="str">
            <v>E</v>
          </cell>
          <cell r="F283" t="str">
            <v>MP5-1</v>
          </cell>
        </row>
        <row r="284">
          <cell r="B284"/>
          <cell r="C284"/>
          <cell r="D284">
            <v>0</v>
          </cell>
          <cell r="E284" t="str">
            <v>F</v>
          </cell>
          <cell r="F284" t="str">
            <v>MP5-1</v>
          </cell>
        </row>
        <row r="285">
          <cell r="B285"/>
          <cell r="C285"/>
          <cell r="D285">
            <v>1</v>
          </cell>
          <cell r="E285">
            <v>0</v>
          </cell>
          <cell r="F285" t="str">
            <v>MP5-1</v>
          </cell>
        </row>
        <row r="286">
          <cell r="B286"/>
          <cell r="C286"/>
          <cell r="D286">
            <v>1</v>
          </cell>
          <cell r="E286">
            <v>1</v>
          </cell>
          <cell r="F286" t="str">
            <v>MP5-1</v>
          </cell>
        </row>
        <row r="287">
          <cell r="B287"/>
          <cell r="C287"/>
          <cell r="D287">
            <v>1</v>
          </cell>
          <cell r="E287">
            <v>2</v>
          </cell>
          <cell r="F287" t="str">
            <v>MP5-1</v>
          </cell>
        </row>
        <row r="288">
          <cell r="B288"/>
          <cell r="C288"/>
          <cell r="D288">
            <v>1</v>
          </cell>
          <cell r="E288">
            <v>3</v>
          </cell>
          <cell r="F288" t="str">
            <v>MP5-2</v>
          </cell>
        </row>
        <row r="289">
          <cell r="B289"/>
          <cell r="C289"/>
          <cell r="D289">
            <v>1</v>
          </cell>
          <cell r="E289">
            <v>4</v>
          </cell>
          <cell r="F289" t="str">
            <v>MP5-2</v>
          </cell>
        </row>
        <row r="290">
          <cell r="B290"/>
          <cell r="C290"/>
          <cell r="D290">
            <v>1</v>
          </cell>
          <cell r="E290">
            <v>5</v>
          </cell>
          <cell r="F290" t="str">
            <v>MP5-2</v>
          </cell>
        </row>
        <row r="291">
          <cell r="B291"/>
          <cell r="C291"/>
          <cell r="D291">
            <v>1</v>
          </cell>
          <cell r="E291">
            <v>6</v>
          </cell>
          <cell r="F291" t="str">
            <v>MP5-2</v>
          </cell>
        </row>
        <row r="292">
          <cell r="B292"/>
          <cell r="C292"/>
          <cell r="D292">
            <v>1</v>
          </cell>
          <cell r="E292">
            <v>7</v>
          </cell>
          <cell r="F292" t="str">
            <v>MP5-2</v>
          </cell>
        </row>
        <row r="294">
          <cell r="B294" t="str">
            <v>DR4603</v>
          </cell>
          <cell r="C294" t="str">
            <v>RCCTL Scribe Chuck Left X</v>
          </cell>
          <cell r="D294">
            <v>0</v>
          </cell>
          <cell r="E294">
            <v>3</v>
          </cell>
          <cell r="F294" t="str">
            <v>MP6-1</v>
          </cell>
        </row>
        <row r="295">
          <cell r="B295" t="str">
            <v>DR4604</v>
          </cell>
          <cell r="C295" t="str">
            <v>RCCTL Scribe Chuck Right X</v>
          </cell>
          <cell r="D295">
            <v>0</v>
          </cell>
          <cell r="E295">
            <v>4</v>
          </cell>
          <cell r="F295" t="str">
            <v>MP6-1</v>
          </cell>
        </row>
        <row r="296">
          <cell r="B296" t="str">
            <v>DR4605</v>
          </cell>
          <cell r="C296" t="str">
            <v>RCCTL Scribe Chuck Y-1</v>
          </cell>
          <cell r="D296">
            <v>0</v>
          </cell>
          <cell r="E296">
            <v>5</v>
          </cell>
          <cell r="F296" t="str">
            <v>MP6-1</v>
          </cell>
        </row>
        <row r="297">
          <cell r="B297" t="str">
            <v>DR4606</v>
          </cell>
          <cell r="C297" t="str">
            <v>RCCTL Scribe Chuck Y-2</v>
          </cell>
          <cell r="D297">
            <v>0</v>
          </cell>
          <cell r="E297">
            <v>6</v>
          </cell>
          <cell r="F297" t="str">
            <v>MP6-1</v>
          </cell>
        </row>
        <row r="298">
          <cell r="B298" t="str">
            <v>DR4607</v>
          </cell>
          <cell r="C298" t="str">
            <v>RCCTL Scribe Chuck Z1</v>
          </cell>
          <cell r="D298">
            <v>0</v>
          </cell>
          <cell r="E298">
            <v>7</v>
          </cell>
          <cell r="F298" t="str">
            <v>MP6-1</v>
          </cell>
        </row>
        <row r="299">
          <cell r="B299" t="str">
            <v>DR4608</v>
          </cell>
          <cell r="C299" t="str">
            <v>RCCTL Scribe Chuck Z2</v>
          </cell>
          <cell r="D299">
            <v>0</v>
          </cell>
          <cell r="E299">
            <v>8</v>
          </cell>
          <cell r="F299" t="str">
            <v>MP6-1</v>
          </cell>
        </row>
        <row r="300">
          <cell r="B300" t="str">
            <v>DR4609</v>
          </cell>
          <cell r="C300" t="str">
            <v>RCCTL Scribe Chuck Z3</v>
          </cell>
          <cell r="D300">
            <v>0</v>
          </cell>
          <cell r="E300">
            <v>9</v>
          </cell>
          <cell r="F300" t="str">
            <v>MP6-1</v>
          </cell>
        </row>
        <row r="301">
          <cell r="B301"/>
          <cell r="C301"/>
          <cell r="D301">
            <v>0</v>
          </cell>
          <cell r="E301" t="str">
            <v>A</v>
          </cell>
          <cell r="F301" t="str">
            <v>MP6-1</v>
          </cell>
        </row>
        <row r="302">
          <cell r="B302" t="str">
            <v>DR460B</v>
          </cell>
          <cell r="C302" t="str">
            <v>RCCTL Push Bar Y-1</v>
          </cell>
          <cell r="D302">
            <v>0</v>
          </cell>
          <cell r="E302" t="str">
            <v>B</v>
          </cell>
          <cell r="F302" t="str">
            <v>MP6-1</v>
          </cell>
        </row>
        <row r="303">
          <cell r="B303" t="str">
            <v>DR460C</v>
          </cell>
          <cell r="C303" t="str">
            <v>RCCTL Push Bar Y-2</v>
          </cell>
          <cell r="D303">
            <v>0</v>
          </cell>
          <cell r="E303" t="str">
            <v>C</v>
          </cell>
          <cell r="F303" t="str">
            <v>MP6-1</v>
          </cell>
        </row>
        <row r="304">
          <cell r="B304" t="str">
            <v>DR460D</v>
          </cell>
          <cell r="C304" t="str">
            <v>RCCTL Push Bar Z</v>
          </cell>
          <cell r="D304">
            <v>0</v>
          </cell>
          <cell r="E304" t="str">
            <v>D</v>
          </cell>
          <cell r="F304" t="str">
            <v>MP6-1</v>
          </cell>
        </row>
        <row r="305">
          <cell r="B305" t="str">
            <v>DR460E</v>
          </cell>
          <cell r="C305" t="str">
            <v>RCCTL Break Table Y-1</v>
          </cell>
          <cell r="D305">
            <v>0</v>
          </cell>
          <cell r="E305" t="str">
            <v>E</v>
          </cell>
          <cell r="F305" t="str">
            <v>MP6-1</v>
          </cell>
        </row>
        <row r="306">
          <cell r="B306" t="str">
            <v>DR460F</v>
          </cell>
          <cell r="C306" t="str">
            <v>RCCTL Break Table Y-2</v>
          </cell>
          <cell r="D306">
            <v>0</v>
          </cell>
          <cell r="E306" t="str">
            <v>F</v>
          </cell>
          <cell r="F306" t="str">
            <v>MP6-1</v>
          </cell>
        </row>
        <row r="307">
          <cell r="B307" t="str">
            <v>DR4610</v>
          </cell>
          <cell r="C307" t="str">
            <v>RCCTL Break Table Z-1</v>
          </cell>
          <cell r="D307">
            <v>1</v>
          </cell>
          <cell r="E307">
            <v>0</v>
          </cell>
          <cell r="F307" t="str">
            <v>MP6-1</v>
          </cell>
        </row>
        <row r="308">
          <cell r="B308" t="str">
            <v>DR4611</v>
          </cell>
          <cell r="C308" t="str">
            <v>RCCTL Break Table Z-2</v>
          </cell>
          <cell r="D308">
            <v>1</v>
          </cell>
          <cell r="E308">
            <v>1</v>
          </cell>
          <cell r="F308" t="str">
            <v>MP6-1</v>
          </cell>
        </row>
        <row r="309">
          <cell r="B309" t="str">
            <v>DR4612</v>
          </cell>
          <cell r="C309" t="str">
            <v>RCCTL Break Table T</v>
          </cell>
          <cell r="D309">
            <v>1</v>
          </cell>
          <cell r="E309">
            <v>2</v>
          </cell>
          <cell r="F309" t="str">
            <v>MP6-1</v>
          </cell>
        </row>
        <row r="310">
          <cell r="B310"/>
          <cell r="C310"/>
          <cell r="D310">
            <v>1</v>
          </cell>
          <cell r="E310">
            <v>3</v>
          </cell>
          <cell r="F310" t="str">
            <v>MP6-2</v>
          </cell>
        </row>
        <row r="311">
          <cell r="B311"/>
          <cell r="C311"/>
          <cell r="D311">
            <v>1</v>
          </cell>
          <cell r="E311">
            <v>4</v>
          </cell>
          <cell r="F311" t="str">
            <v>MP6-2</v>
          </cell>
        </row>
        <row r="312">
          <cell r="B312"/>
          <cell r="C312"/>
          <cell r="D312">
            <v>1</v>
          </cell>
          <cell r="E312">
            <v>5</v>
          </cell>
          <cell r="F312" t="str">
            <v>MP6-2</v>
          </cell>
        </row>
        <row r="313">
          <cell r="B313"/>
          <cell r="C313"/>
          <cell r="D313">
            <v>1</v>
          </cell>
          <cell r="E313">
            <v>6</v>
          </cell>
          <cell r="F313" t="str">
            <v>MP6-2</v>
          </cell>
        </row>
        <row r="314">
          <cell r="B314"/>
          <cell r="C314"/>
          <cell r="D314">
            <v>1</v>
          </cell>
          <cell r="E314">
            <v>7</v>
          </cell>
          <cell r="F314" t="str">
            <v>MP6-2</v>
          </cell>
        </row>
        <row r="316">
          <cell r="B316" t="str">
            <v>DR4703</v>
          </cell>
          <cell r="C316" t="str">
            <v>RCCTR Cutter X</v>
          </cell>
          <cell r="D316">
            <v>0</v>
          </cell>
          <cell r="E316">
            <v>3</v>
          </cell>
          <cell r="F316" t="str">
            <v>MP7-1</v>
          </cell>
        </row>
        <row r="317">
          <cell r="B317" t="str">
            <v>DR4704</v>
          </cell>
          <cell r="C317" t="str">
            <v>RCCTR Camera X</v>
          </cell>
          <cell r="D317">
            <v>0</v>
          </cell>
          <cell r="E317">
            <v>4</v>
          </cell>
          <cell r="F317" t="str">
            <v>MP7-1</v>
          </cell>
        </row>
        <row r="318">
          <cell r="B318" t="str">
            <v>DR4705</v>
          </cell>
          <cell r="C318" t="str">
            <v>RCCTR Cutter Z</v>
          </cell>
          <cell r="D318">
            <v>0</v>
          </cell>
          <cell r="E318">
            <v>5</v>
          </cell>
          <cell r="F318" t="str">
            <v>MP7-1</v>
          </cell>
        </row>
        <row r="319">
          <cell r="B319" t="str">
            <v>DR4706</v>
          </cell>
          <cell r="C319" t="str">
            <v>RCCTR Cutter Shift</v>
          </cell>
          <cell r="D319">
            <v>0</v>
          </cell>
          <cell r="E319">
            <v>6</v>
          </cell>
          <cell r="F319" t="str">
            <v>MP7-1</v>
          </cell>
        </row>
        <row r="320">
          <cell r="B320"/>
          <cell r="C320"/>
          <cell r="D320">
            <v>0</v>
          </cell>
          <cell r="E320">
            <v>7</v>
          </cell>
          <cell r="F320" t="str">
            <v>MP7-1</v>
          </cell>
        </row>
        <row r="321">
          <cell r="B321" t="str">
            <v>DR4708</v>
          </cell>
          <cell r="C321" t="str">
            <v>RCCTR Left Camera Y1</v>
          </cell>
          <cell r="D321">
            <v>0</v>
          </cell>
          <cell r="E321">
            <v>8</v>
          </cell>
          <cell r="F321" t="str">
            <v>MP7-1</v>
          </cell>
        </row>
        <row r="322">
          <cell r="B322" t="str">
            <v>DR4709</v>
          </cell>
          <cell r="C322" t="str">
            <v>RCCTR Right Camera Y1</v>
          </cell>
          <cell r="D322">
            <v>0</v>
          </cell>
          <cell r="E322">
            <v>9</v>
          </cell>
          <cell r="F322" t="str">
            <v>MP7-1</v>
          </cell>
        </row>
        <row r="323">
          <cell r="B323" t="str">
            <v>DR470A</v>
          </cell>
          <cell r="C323" t="str">
            <v>RCCTR Left Camera Z1</v>
          </cell>
          <cell r="D323">
            <v>0</v>
          </cell>
          <cell r="E323" t="str">
            <v>A</v>
          </cell>
          <cell r="F323" t="str">
            <v>MP7-1</v>
          </cell>
        </row>
        <row r="324">
          <cell r="B324" t="str">
            <v>DR470B</v>
          </cell>
          <cell r="C324" t="str">
            <v>RCCTR Right Camera Z1</v>
          </cell>
          <cell r="D324">
            <v>0</v>
          </cell>
          <cell r="E324" t="str">
            <v>B</v>
          </cell>
          <cell r="F324" t="str">
            <v>MP7-1</v>
          </cell>
        </row>
        <row r="325">
          <cell r="B325"/>
          <cell r="C325"/>
          <cell r="D325">
            <v>0</v>
          </cell>
          <cell r="E325" t="str">
            <v>C</v>
          </cell>
          <cell r="F325" t="str">
            <v>MP7-1</v>
          </cell>
        </row>
        <row r="326">
          <cell r="B326" t="str">
            <v>DR470D</v>
          </cell>
          <cell r="C326" t="str">
            <v>RCCTR Cutting Table Y1-1</v>
          </cell>
          <cell r="D326">
            <v>0</v>
          </cell>
          <cell r="E326" t="str">
            <v>D</v>
          </cell>
          <cell r="F326" t="str">
            <v>MP7-1</v>
          </cell>
        </row>
        <row r="327">
          <cell r="B327" t="str">
            <v>DR470E</v>
          </cell>
          <cell r="C327" t="str">
            <v>RCCTR Cutting Table Y1-2</v>
          </cell>
          <cell r="D327">
            <v>0</v>
          </cell>
          <cell r="E327" t="str">
            <v>E</v>
          </cell>
          <cell r="F327" t="str">
            <v>MP7-1</v>
          </cell>
        </row>
        <row r="328">
          <cell r="B328"/>
          <cell r="C328"/>
          <cell r="D328">
            <v>0</v>
          </cell>
          <cell r="E328" t="str">
            <v>F</v>
          </cell>
          <cell r="F328" t="str">
            <v>MP7-1</v>
          </cell>
        </row>
        <row r="329">
          <cell r="B329"/>
          <cell r="C329"/>
          <cell r="D329">
            <v>1</v>
          </cell>
          <cell r="E329">
            <v>0</v>
          </cell>
          <cell r="F329" t="str">
            <v>MP7-1</v>
          </cell>
        </row>
        <row r="330">
          <cell r="B330"/>
          <cell r="C330"/>
          <cell r="D330">
            <v>1</v>
          </cell>
          <cell r="E330">
            <v>1</v>
          </cell>
          <cell r="F330" t="str">
            <v>MP7-1</v>
          </cell>
        </row>
        <row r="331">
          <cell r="B331"/>
          <cell r="C331"/>
          <cell r="D331">
            <v>1</v>
          </cell>
          <cell r="E331">
            <v>2</v>
          </cell>
          <cell r="F331" t="str">
            <v>MP7-1</v>
          </cell>
        </row>
        <row r="332">
          <cell r="B332"/>
          <cell r="C332"/>
          <cell r="D332">
            <v>1</v>
          </cell>
          <cell r="E332">
            <v>3</v>
          </cell>
          <cell r="F332" t="str">
            <v>MP7-2</v>
          </cell>
        </row>
        <row r="333">
          <cell r="B333"/>
          <cell r="C333"/>
          <cell r="D333">
            <v>1</v>
          </cell>
          <cell r="E333">
            <v>4</v>
          </cell>
          <cell r="F333" t="str">
            <v>MP7-2</v>
          </cell>
        </row>
        <row r="334">
          <cell r="B334"/>
          <cell r="C334"/>
          <cell r="D334">
            <v>1</v>
          </cell>
          <cell r="E334">
            <v>5</v>
          </cell>
          <cell r="F334" t="str">
            <v>MP7-2</v>
          </cell>
        </row>
        <row r="335">
          <cell r="B335"/>
          <cell r="C335"/>
          <cell r="D335">
            <v>1</v>
          </cell>
          <cell r="E335">
            <v>6</v>
          </cell>
          <cell r="F335" t="str">
            <v>MP7-2</v>
          </cell>
        </row>
        <row r="336">
          <cell r="B336"/>
          <cell r="C336"/>
          <cell r="D336">
            <v>1</v>
          </cell>
          <cell r="E336">
            <v>7</v>
          </cell>
          <cell r="F336" t="str">
            <v>MP7-2</v>
          </cell>
        </row>
        <row r="338">
          <cell r="B338" t="str">
            <v>DR4803</v>
          </cell>
          <cell r="C338" t="str">
            <v>RCCTR Scribe Chuck Left X</v>
          </cell>
          <cell r="D338">
            <v>0</v>
          </cell>
          <cell r="E338">
            <v>3</v>
          </cell>
          <cell r="F338" t="str">
            <v>MP8-1</v>
          </cell>
        </row>
        <row r="339">
          <cell r="B339" t="str">
            <v>DR4804</v>
          </cell>
          <cell r="C339" t="str">
            <v>RCCTR Scribe Chuck Right X</v>
          </cell>
          <cell r="D339">
            <v>0</v>
          </cell>
          <cell r="E339">
            <v>4</v>
          </cell>
          <cell r="F339" t="str">
            <v>MP8-1</v>
          </cell>
        </row>
        <row r="340">
          <cell r="B340" t="str">
            <v>DR4805</v>
          </cell>
          <cell r="C340" t="str">
            <v>RCCTR Scribe Chuck Y-1</v>
          </cell>
          <cell r="D340">
            <v>0</v>
          </cell>
          <cell r="E340">
            <v>5</v>
          </cell>
          <cell r="F340" t="str">
            <v>MP8-1</v>
          </cell>
        </row>
        <row r="341">
          <cell r="B341" t="str">
            <v>DR4806</v>
          </cell>
          <cell r="C341" t="str">
            <v>RCCTR Scribe Chuck Y-2</v>
          </cell>
          <cell r="D341">
            <v>0</v>
          </cell>
          <cell r="E341">
            <v>6</v>
          </cell>
          <cell r="F341" t="str">
            <v>MP8-1</v>
          </cell>
        </row>
        <row r="342">
          <cell r="B342" t="str">
            <v>DR4807</v>
          </cell>
          <cell r="C342" t="str">
            <v>RCCTR Scribe Chuck Z1</v>
          </cell>
          <cell r="D342">
            <v>0</v>
          </cell>
          <cell r="E342">
            <v>7</v>
          </cell>
          <cell r="F342" t="str">
            <v>MP8-1</v>
          </cell>
        </row>
        <row r="343">
          <cell r="B343" t="str">
            <v>DR4808</v>
          </cell>
          <cell r="C343" t="str">
            <v>RCCTR Scribe Chuck Z2</v>
          </cell>
          <cell r="D343">
            <v>0</v>
          </cell>
          <cell r="E343">
            <v>8</v>
          </cell>
          <cell r="F343" t="str">
            <v>MP8-1</v>
          </cell>
        </row>
        <row r="344">
          <cell r="B344" t="str">
            <v>DR4809</v>
          </cell>
          <cell r="C344" t="str">
            <v>RCCTR Scribe Chuck Z3</v>
          </cell>
          <cell r="D344">
            <v>0</v>
          </cell>
          <cell r="E344">
            <v>9</v>
          </cell>
          <cell r="F344" t="str">
            <v>MP8-1</v>
          </cell>
        </row>
        <row r="345">
          <cell r="B345"/>
          <cell r="C345"/>
          <cell r="D345">
            <v>0</v>
          </cell>
          <cell r="E345" t="str">
            <v>A</v>
          </cell>
          <cell r="F345" t="str">
            <v>MP8-1</v>
          </cell>
        </row>
        <row r="346">
          <cell r="B346" t="str">
            <v>DR480B</v>
          </cell>
          <cell r="C346" t="str">
            <v>RCCTR Push Bar Y-1</v>
          </cell>
          <cell r="D346">
            <v>0</v>
          </cell>
          <cell r="E346" t="str">
            <v>B</v>
          </cell>
          <cell r="F346" t="str">
            <v>MP8-1</v>
          </cell>
        </row>
        <row r="347">
          <cell r="B347" t="str">
            <v>DR480C</v>
          </cell>
          <cell r="C347" t="str">
            <v>RCCTR Push Bar Y-2</v>
          </cell>
          <cell r="D347">
            <v>0</v>
          </cell>
          <cell r="E347" t="str">
            <v>C</v>
          </cell>
          <cell r="F347" t="str">
            <v>MP8-1</v>
          </cell>
        </row>
        <row r="348">
          <cell r="B348" t="str">
            <v>DR480D</v>
          </cell>
          <cell r="C348" t="str">
            <v>RCCTR Push Bar Z</v>
          </cell>
          <cell r="D348">
            <v>0</v>
          </cell>
          <cell r="E348" t="str">
            <v>D</v>
          </cell>
          <cell r="F348" t="str">
            <v>MP8-1</v>
          </cell>
        </row>
        <row r="349">
          <cell r="B349" t="str">
            <v>DR480E</v>
          </cell>
          <cell r="C349" t="str">
            <v>RCCTR Break Table Y-1</v>
          </cell>
          <cell r="D349">
            <v>0</v>
          </cell>
          <cell r="E349" t="str">
            <v>E</v>
          </cell>
          <cell r="F349" t="str">
            <v>MP8-1</v>
          </cell>
        </row>
        <row r="350">
          <cell r="B350" t="str">
            <v>DR480F</v>
          </cell>
          <cell r="C350" t="str">
            <v>RCCTR Break Table Y-2</v>
          </cell>
          <cell r="D350">
            <v>0</v>
          </cell>
          <cell r="E350" t="str">
            <v>F</v>
          </cell>
          <cell r="F350" t="str">
            <v>MP8-1</v>
          </cell>
        </row>
        <row r="351">
          <cell r="B351" t="str">
            <v>DR4810</v>
          </cell>
          <cell r="C351" t="str">
            <v>RCCTR Break Table Z-1</v>
          </cell>
          <cell r="D351">
            <v>1</v>
          </cell>
          <cell r="E351">
            <v>0</v>
          </cell>
          <cell r="F351" t="str">
            <v>MP8-1</v>
          </cell>
        </row>
        <row r="352">
          <cell r="B352" t="str">
            <v>DR4811</v>
          </cell>
          <cell r="C352" t="str">
            <v>RCCTR Break Table Z-2</v>
          </cell>
          <cell r="D352">
            <v>1</v>
          </cell>
          <cell r="E352">
            <v>1</v>
          </cell>
          <cell r="F352" t="str">
            <v>MP8-1</v>
          </cell>
        </row>
        <row r="353">
          <cell r="B353" t="str">
            <v>DR4812</v>
          </cell>
          <cell r="C353" t="str">
            <v>RCCTR Break Table T</v>
          </cell>
          <cell r="D353">
            <v>1</v>
          </cell>
          <cell r="E353">
            <v>2</v>
          </cell>
          <cell r="F353" t="str">
            <v>MP8-1</v>
          </cell>
        </row>
        <row r="354">
          <cell r="B354"/>
          <cell r="C354"/>
          <cell r="D354">
            <v>1</v>
          </cell>
          <cell r="E354">
            <v>3</v>
          </cell>
          <cell r="F354" t="str">
            <v>MP8-2</v>
          </cell>
        </row>
        <row r="355">
          <cell r="B355"/>
          <cell r="C355"/>
          <cell r="D355">
            <v>1</v>
          </cell>
          <cell r="E355">
            <v>4</v>
          </cell>
          <cell r="F355" t="str">
            <v>MP8-2</v>
          </cell>
        </row>
        <row r="356">
          <cell r="B356"/>
          <cell r="C356"/>
          <cell r="D356">
            <v>1</v>
          </cell>
          <cell r="E356">
            <v>5</v>
          </cell>
          <cell r="F356" t="str">
            <v>MP8-2</v>
          </cell>
        </row>
        <row r="357">
          <cell r="B357"/>
          <cell r="C357"/>
          <cell r="D357">
            <v>1</v>
          </cell>
          <cell r="E357">
            <v>6</v>
          </cell>
          <cell r="F357" t="str">
            <v>MP8-2</v>
          </cell>
        </row>
        <row r="358">
          <cell r="B358"/>
          <cell r="C358"/>
          <cell r="D358">
            <v>1</v>
          </cell>
          <cell r="E358">
            <v>7</v>
          </cell>
          <cell r="F358" t="str">
            <v>MP8-2</v>
          </cell>
        </row>
      </sheetData>
      <sheetData sheetId="21">
        <row r="3">
          <cell r="B3" t="str">
            <v>SGD7S-R70A20A</v>
          </cell>
          <cell r="C3" t="str">
            <v>7S-R70A20A</v>
          </cell>
          <cell r="D3">
            <v>0.2</v>
          </cell>
          <cell r="E3">
            <v>50</v>
          </cell>
          <cell r="F3">
            <v>220</v>
          </cell>
          <cell r="G3">
            <v>0.4</v>
          </cell>
          <cell r="H3"/>
          <cell r="I3">
            <v>0.5</v>
          </cell>
          <cell r="J3">
            <v>1</v>
          </cell>
        </row>
        <row r="4">
          <cell r="B4" t="str">
            <v>SGD7S-R90A20A</v>
          </cell>
          <cell r="C4" t="str">
            <v>7S-R90A20A</v>
          </cell>
          <cell r="D4">
            <v>0.2</v>
          </cell>
          <cell r="E4">
            <v>100</v>
          </cell>
          <cell r="F4">
            <v>220</v>
          </cell>
          <cell r="G4">
            <v>0.8</v>
          </cell>
          <cell r="H4"/>
          <cell r="I4">
            <v>1</v>
          </cell>
          <cell r="J4">
            <v>1</v>
          </cell>
        </row>
        <row r="5">
          <cell r="B5" t="str">
            <v>SGD7S-1R6A20A</v>
          </cell>
          <cell r="C5" t="str">
            <v>7S-1R6A20A</v>
          </cell>
          <cell r="D5">
            <v>0.2</v>
          </cell>
          <cell r="E5">
            <v>200</v>
          </cell>
          <cell r="F5">
            <v>220</v>
          </cell>
          <cell r="G5">
            <v>1.3</v>
          </cell>
          <cell r="H5"/>
          <cell r="I5">
            <v>1.625</v>
          </cell>
          <cell r="J5">
            <v>2</v>
          </cell>
        </row>
        <row r="6">
          <cell r="B6" t="str">
            <v>SGD7S-2R8A20A</v>
          </cell>
          <cell r="C6" t="str">
            <v>7S-2R8A20A</v>
          </cell>
          <cell r="D6">
            <v>0.2</v>
          </cell>
          <cell r="E6">
            <v>400</v>
          </cell>
          <cell r="F6">
            <v>220</v>
          </cell>
          <cell r="G6">
            <v>2.5</v>
          </cell>
          <cell r="H6"/>
          <cell r="I6">
            <v>3.125</v>
          </cell>
          <cell r="J6">
            <v>3</v>
          </cell>
        </row>
        <row r="7">
          <cell r="B7" t="str">
            <v>SGD7S-3R8A20A</v>
          </cell>
          <cell r="C7" t="str">
            <v>7S-3R8A20A</v>
          </cell>
          <cell r="D7">
            <v>0.2</v>
          </cell>
          <cell r="E7">
            <v>500</v>
          </cell>
          <cell r="F7">
            <v>220</v>
          </cell>
          <cell r="G7">
            <v>3</v>
          </cell>
          <cell r="H7"/>
          <cell r="I7">
            <v>3.75</v>
          </cell>
          <cell r="J7">
            <v>5</v>
          </cell>
        </row>
        <row r="8">
          <cell r="B8" t="str">
            <v>SGD7S-5R5A20A</v>
          </cell>
          <cell r="C8" t="str">
            <v>7S-5R5A20A</v>
          </cell>
          <cell r="D8">
            <v>0.2</v>
          </cell>
          <cell r="E8">
            <v>750</v>
          </cell>
          <cell r="F8">
            <v>220</v>
          </cell>
          <cell r="G8">
            <v>4.0999999999999996</v>
          </cell>
          <cell r="H8"/>
          <cell r="I8">
            <v>5.125</v>
          </cell>
          <cell r="J8">
            <v>5</v>
          </cell>
        </row>
        <row r="9">
          <cell r="B9" t="str">
            <v>SGD7S-7R6A20A</v>
          </cell>
          <cell r="C9" t="str">
            <v>7S-7R6A20A</v>
          </cell>
          <cell r="D9">
            <v>0.2</v>
          </cell>
          <cell r="E9">
            <v>1000</v>
          </cell>
          <cell r="F9">
            <v>220</v>
          </cell>
          <cell r="G9">
            <v>5.7</v>
          </cell>
          <cell r="H9"/>
          <cell r="I9">
            <v>7.125</v>
          </cell>
          <cell r="J9">
            <v>7</v>
          </cell>
        </row>
        <row r="10">
          <cell r="B10" t="str">
            <v>SGD7S-120A20A</v>
          </cell>
          <cell r="C10" t="str">
            <v>7S-120A20A</v>
          </cell>
          <cell r="D10">
            <v>0.25</v>
          </cell>
          <cell r="E10">
            <v>1500</v>
          </cell>
          <cell r="F10">
            <v>220</v>
          </cell>
          <cell r="G10">
            <v>7.3</v>
          </cell>
          <cell r="H10"/>
          <cell r="I10">
            <v>9.125</v>
          </cell>
          <cell r="J10">
            <v>10</v>
          </cell>
        </row>
        <row r="11">
          <cell r="B11" t="str">
            <v>SGD7S-180A20A</v>
          </cell>
          <cell r="C11" t="str">
            <v>7S-180A20A</v>
          </cell>
          <cell r="D11">
            <v>0.25</v>
          </cell>
          <cell r="E11">
            <v>2000</v>
          </cell>
          <cell r="F11">
            <v>220</v>
          </cell>
          <cell r="G11">
            <v>10</v>
          </cell>
          <cell r="H11"/>
          <cell r="I11">
            <v>12.5</v>
          </cell>
          <cell r="J11">
            <v>15</v>
          </cell>
        </row>
        <row r="12">
          <cell r="B12" t="str">
            <v>SGD7S-200A20A</v>
          </cell>
          <cell r="C12" t="str">
            <v>7S-200A20A</v>
          </cell>
          <cell r="D12">
            <v>0.25</v>
          </cell>
          <cell r="E12">
            <v>3000</v>
          </cell>
          <cell r="F12">
            <v>220</v>
          </cell>
          <cell r="G12">
            <v>15</v>
          </cell>
          <cell r="H12"/>
          <cell r="I12">
            <v>18.75</v>
          </cell>
          <cell r="J12">
            <v>20</v>
          </cell>
        </row>
        <row r="13">
          <cell r="B13" t="str">
            <v>SGD7S-330A20A</v>
          </cell>
          <cell r="C13" t="str">
            <v>7S-330A20A</v>
          </cell>
          <cell r="D13">
            <v>0.3</v>
          </cell>
          <cell r="E13">
            <v>5000</v>
          </cell>
          <cell r="F13">
            <v>220</v>
          </cell>
          <cell r="G13">
            <v>25</v>
          </cell>
          <cell r="H13"/>
          <cell r="I13">
            <v>31.25</v>
          </cell>
          <cell r="J13">
            <v>35</v>
          </cell>
        </row>
        <row r="14">
          <cell r="B14" t="str">
            <v>SGD7S-470A20A</v>
          </cell>
          <cell r="C14" t="str">
            <v>7S-470A20A</v>
          </cell>
          <cell r="D14">
            <v>0.4</v>
          </cell>
          <cell r="E14">
            <v>6000</v>
          </cell>
          <cell r="F14">
            <v>220</v>
          </cell>
          <cell r="G14">
            <v>29</v>
          </cell>
          <cell r="H14"/>
          <cell r="I14">
            <v>36.25</v>
          </cell>
          <cell r="J14">
            <v>40</v>
          </cell>
        </row>
        <row r="15">
          <cell r="B15" t="str">
            <v>SGD7S-550A20A</v>
          </cell>
          <cell r="C15" t="str">
            <v>7S-550A20A</v>
          </cell>
          <cell r="D15">
            <v>0.4</v>
          </cell>
          <cell r="E15">
            <v>7500</v>
          </cell>
          <cell r="F15">
            <v>220</v>
          </cell>
          <cell r="G15">
            <v>37</v>
          </cell>
          <cell r="H15"/>
          <cell r="I15">
            <v>46.25</v>
          </cell>
          <cell r="J15">
            <v>50</v>
          </cell>
        </row>
        <row r="16">
          <cell r="B16" t="str">
            <v>SGD7S-590A20A</v>
          </cell>
          <cell r="C16" t="str">
            <v>7S-590A20A</v>
          </cell>
          <cell r="D16">
            <v>0.4</v>
          </cell>
          <cell r="E16">
            <v>11000</v>
          </cell>
          <cell r="F16">
            <v>220</v>
          </cell>
          <cell r="G16">
            <v>54</v>
          </cell>
          <cell r="H16"/>
          <cell r="I16">
            <v>67.5</v>
          </cell>
          <cell r="J16">
            <v>70</v>
          </cell>
        </row>
        <row r="17">
          <cell r="B17" t="str">
            <v>SGD7S-780A20A</v>
          </cell>
          <cell r="C17" t="str">
            <v>7S-780A20A</v>
          </cell>
          <cell r="D17">
            <v>0.4</v>
          </cell>
          <cell r="E17">
            <v>15000</v>
          </cell>
          <cell r="F17">
            <v>220</v>
          </cell>
          <cell r="G17">
            <v>73</v>
          </cell>
          <cell r="H17"/>
          <cell r="I17">
            <v>91.25</v>
          </cell>
          <cell r="J17">
            <v>100</v>
          </cell>
        </row>
        <row r="18">
          <cell r="B18" t="str">
            <v>SGD7W-1R6A20A</v>
          </cell>
          <cell r="C18" t="str">
            <v>7W-1R6A20A</v>
          </cell>
          <cell r="D18">
            <v>0.3</v>
          </cell>
          <cell r="E18">
            <v>400</v>
          </cell>
          <cell r="F18">
            <v>220</v>
          </cell>
          <cell r="G18">
            <v>2.5</v>
          </cell>
          <cell r="H18"/>
          <cell r="I18">
            <v>3.125</v>
          </cell>
          <cell r="J18">
            <v>3</v>
          </cell>
        </row>
        <row r="19">
          <cell r="B19" t="str">
            <v>SGD7W-2R8A20A</v>
          </cell>
          <cell r="C19" t="str">
            <v>7W-2R8A20A</v>
          </cell>
          <cell r="D19">
            <v>0.3</v>
          </cell>
          <cell r="E19">
            <v>800</v>
          </cell>
          <cell r="F19">
            <v>220</v>
          </cell>
          <cell r="G19">
            <v>4.7</v>
          </cell>
          <cell r="H19"/>
          <cell r="I19">
            <v>5.875</v>
          </cell>
          <cell r="J19">
            <v>7</v>
          </cell>
        </row>
        <row r="20">
          <cell r="B20" t="str">
            <v>SGD7W-5R5A20A</v>
          </cell>
          <cell r="C20" t="str">
            <v>7W-5R5A20A</v>
          </cell>
          <cell r="D20">
            <v>0.3</v>
          </cell>
          <cell r="E20">
            <v>1500</v>
          </cell>
          <cell r="F20">
            <v>220</v>
          </cell>
          <cell r="G20">
            <v>7.8</v>
          </cell>
          <cell r="H20"/>
          <cell r="I20">
            <v>9.75</v>
          </cell>
          <cell r="J20">
            <v>10</v>
          </cell>
        </row>
        <row r="21">
          <cell r="B21" t="str">
            <v>SGD7W-7R6A20A</v>
          </cell>
          <cell r="C21" t="str">
            <v>7W-7R6A20A</v>
          </cell>
          <cell r="D21">
            <v>0.3</v>
          </cell>
          <cell r="E21">
            <v>2000</v>
          </cell>
          <cell r="F21">
            <v>220</v>
          </cell>
          <cell r="G21">
            <v>11</v>
          </cell>
          <cell r="H21"/>
          <cell r="I21">
            <v>13.75</v>
          </cell>
          <cell r="J21">
            <v>15</v>
          </cell>
        </row>
        <row r="22">
          <cell r="B22" t="str">
            <v>SGLFW-35A230AP</v>
          </cell>
          <cell r="C22"/>
          <cell r="D22"/>
          <cell r="E22"/>
          <cell r="F22"/>
          <cell r="G22">
            <v>2.8</v>
          </cell>
        </row>
        <row r="24">
          <cell r="B24" t="str">
            <v>VPH-800W
(MECHATROLINK-3)
NCR-HE2801A-A-000</v>
          </cell>
          <cell r="C24" t="str">
            <v>VPH-800W
(MECHATROLINK-3)
NCR-HE2801A-A-000</v>
          </cell>
          <cell r="D24">
            <v>0.12</v>
          </cell>
          <cell r="E24">
            <v>800</v>
          </cell>
          <cell r="F24">
            <v>220</v>
          </cell>
          <cell r="G24">
            <v>5.2</v>
          </cell>
          <cell r="H24"/>
        </row>
        <row r="25">
          <cell r="B25" t="str">
            <v>(MECHATROLINK-3)</v>
          </cell>
          <cell r="C25"/>
          <cell r="D25">
            <v>0.15</v>
          </cell>
          <cell r="E25">
            <v>1500</v>
          </cell>
          <cell r="F25">
            <v>220</v>
          </cell>
          <cell r="G25">
            <v>9.6</v>
          </cell>
          <cell r="H25"/>
        </row>
        <row r="26">
          <cell r="B26" t="str">
            <v>VPH 2.2KW (Mechatrolink3)
NCR-HE2222A-A-000</v>
          </cell>
          <cell r="C26" t="str">
            <v>VPH 2.2KW (Mechatrolink3)
NCR-HE2222A-A-000</v>
          </cell>
          <cell r="D26">
            <v>0.15</v>
          </cell>
          <cell r="E26">
            <v>2200</v>
          </cell>
          <cell r="F26">
            <v>220</v>
          </cell>
          <cell r="G26">
            <v>13.5</v>
          </cell>
          <cell r="H26"/>
        </row>
        <row r="27">
          <cell r="B27" t="str">
            <v>VPH 3.3KW(Mechatrolink3)
NCR-HE2332A-A-000</v>
          </cell>
          <cell r="C27" t="str">
            <v>VPH 3.3KW(Mechatrolink3)
NCR-HE2332A-A-000</v>
          </cell>
          <cell r="D27">
            <v>0.18</v>
          </cell>
          <cell r="E27">
            <v>3300</v>
          </cell>
          <cell r="F27">
            <v>220</v>
          </cell>
          <cell r="G27">
            <v>17</v>
          </cell>
          <cell r="H27"/>
        </row>
        <row r="28">
          <cell r="B28" t="str">
            <v>7KW</v>
          </cell>
          <cell r="C28"/>
          <cell r="D28">
            <v>0.4</v>
          </cell>
          <cell r="E28">
            <v>7000</v>
          </cell>
          <cell r="F28">
            <v>220</v>
          </cell>
          <cell r="G28">
            <v>44</v>
          </cell>
          <cell r="H28"/>
        </row>
        <row r="29">
          <cell r="B29" t="str">
            <v>NCR-CDA1A2A-201J</v>
          </cell>
          <cell r="C29" t="str">
            <v>NCR-CDA1A2A-201J</v>
          </cell>
          <cell r="D29">
            <v>0.1</v>
          </cell>
          <cell r="E29">
            <v>200</v>
          </cell>
          <cell r="F29">
            <v>220</v>
          </cell>
          <cell r="G29">
            <v>1.7</v>
          </cell>
          <cell r="H29"/>
        </row>
        <row r="30">
          <cell r="B30" t="str">
            <v>NCR-CDA1A2A-401J</v>
          </cell>
          <cell r="C30" t="str">
            <v>NCR-CDA1A2A-401J</v>
          </cell>
          <cell r="D30">
            <v>0.1</v>
          </cell>
          <cell r="E30">
            <v>400</v>
          </cell>
          <cell r="F30">
            <v>220</v>
          </cell>
          <cell r="G30">
            <v>3.2</v>
          </cell>
          <cell r="H30"/>
        </row>
        <row r="31">
          <cell r="B31" t="str">
            <v>NCR-CDA1A2A-801J</v>
          </cell>
          <cell r="C31" t="str">
            <v>NCR-CDA1A2A-801J</v>
          </cell>
          <cell r="D31">
            <v>0.1</v>
          </cell>
          <cell r="E31">
            <v>800</v>
          </cell>
          <cell r="F31">
            <v>220</v>
          </cell>
          <cell r="G31">
            <v>5.2</v>
          </cell>
          <cell r="H31"/>
        </row>
        <row r="32">
          <cell r="B32" t="str">
            <v>NCR-CDA1A2A-152J</v>
          </cell>
          <cell r="C32" t="str">
            <v>NCR-CDA1A2A-152J</v>
          </cell>
          <cell r="D32">
            <v>0.17</v>
          </cell>
          <cell r="E32">
            <v>1500</v>
          </cell>
          <cell r="F32">
            <v>220</v>
          </cell>
          <cell r="G32">
            <v>12.2</v>
          </cell>
          <cell r="H32"/>
        </row>
        <row r="33">
          <cell r="B33" t="str">
            <v>NCR-CDA1A2A-222J</v>
          </cell>
          <cell r="C33" t="str">
            <v>NCR-CDA1A2A-222J</v>
          </cell>
          <cell r="D33">
            <v>0.17</v>
          </cell>
          <cell r="E33">
            <v>2200</v>
          </cell>
          <cell r="F33">
            <v>220</v>
          </cell>
          <cell r="G33">
            <v>15.9</v>
          </cell>
          <cell r="H33"/>
        </row>
        <row r="34">
          <cell r="B34" t="str">
            <v>NCR-CDA1A2B-402J</v>
          </cell>
          <cell r="C34" t="str">
            <v>NCR-CDA1A2B-402J</v>
          </cell>
          <cell r="D34">
            <v>0.22</v>
          </cell>
          <cell r="E34">
            <v>4000</v>
          </cell>
          <cell r="F34">
            <v>220</v>
          </cell>
          <cell r="G34">
            <v>25</v>
          </cell>
          <cell r="H34"/>
        </row>
        <row r="35">
          <cell r="B35" t="str">
            <v>NCR-CDA1A2A-752J</v>
          </cell>
          <cell r="C35" t="str">
            <v>NCR-CDA1A2A-752J</v>
          </cell>
          <cell r="D35">
            <v>1.5</v>
          </cell>
          <cell r="E35">
            <v>7500</v>
          </cell>
          <cell r="F35">
            <v>220</v>
          </cell>
          <cell r="G35">
            <v>35</v>
          </cell>
          <cell r="H35"/>
        </row>
        <row r="36">
          <cell r="B36" t="str">
            <v>NCR-CDA1A2A-113J</v>
          </cell>
          <cell r="C36" t="str">
            <v>NCR-CDA1A2A-113J</v>
          </cell>
          <cell r="D36">
            <v>1.5</v>
          </cell>
          <cell r="E36">
            <v>11000</v>
          </cell>
          <cell r="F36">
            <v>220</v>
          </cell>
          <cell r="G36">
            <v>50</v>
          </cell>
          <cell r="H36"/>
        </row>
        <row r="37">
          <cell r="B37" t="str">
            <v>NCR-CDA1A2A-153J</v>
          </cell>
          <cell r="C37" t="str">
            <v>NCR-CDA1A2A-153J</v>
          </cell>
          <cell r="D37">
            <v>1.5</v>
          </cell>
          <cell r="E37">
            <v>15000</v>
          </cell>
          <cell r="F37">
            <v>220</v>
          </cell>
          <cell r="G37">
            <v>72.2</v>
          </cell>
          <cell r="H37"/>
        </row>
        <row r="41">
          <cell r="B41" t="str">
            <v>VPH-800W
(MECHATROLINK-3)
NCR-HE2801A-A-000</v>
          </cell>
        </row>
      </sheetData>
      <sheetData sheetId="22">
        <row r="1">
          <cell r="G1" t="str">
            <v>GPS1</v>
          </cell>
          <cell r="H1" t="str">
            <v>UPS1</v>
          </cell>
          <cell r="I1" t="str">
            <v>UPS2</v>
          </cell>
          <cell r="J1" t="str">
            <v>UPS3</v>
          </cell>
          <cell r="K1" t="str">
            <v>UPS4</v>
          </cell>
          <cell r="L1" t="str">
            <v>UPS5</v>
          </cell>
          <cell r="M1" t="str">
            <v>UPS6</v>
          </cell>
          <cell r="N1" t="str">
            <v>UPS7</v>
          </cell>
          <cell r="O1" t="str">
            <v>UPS8</v>
          </cell>
          <cell r="P1" t="str">
            <v>UPS9</v>
          </cell>
          <cell r="Q1" t="str">
            <v>UPS10</v>
          </cell>
        </row>
        <row r="2">
          <cell r="I2">
            <v>7</v>
          </cell>
          <cell r="J2">
            <v>8</v>
          </cell>
          <cell r="K2">
            <v>9</v>
          </cell>
          <cell r="L2">
            <v>10</v>
          </cell>
          <cell r="M2">
            <v>11</v>
          </cell>
          <cell r="N2">
            <v>12</v>
          </cell>
          <cell r="O2">
            <v>13</v>
          </cell>
          <cell r="P2">
            <v>14</v>
          </cell>
          <cell r="Q2">
            <v>15</v>
          </cell>
          <cell r="R2">
            <v>16</v>
          </cell>
          <cell r="S2">
            <v>17</v>
          </cell>
          <cell r="T2">
            <v>18</v>
          </cell>
          <cell r="U2">
            <v>19</v>
          </cell>
          <cell r="V2">
            <v>20</v>
          </cell>
          <cell r="W2">
            <v>21</v>
          </cell>
          <cell r="X2">
            <v>22</v>
          </cell>
          <cell r="Y2">
            <v>23</v>
          </cell>
          <cell r="Z2">
            <v>24</v>
          </cell>
          <cell r="AA2">
            <v>25</v>
          </cell>
          <cell r="AB2">
            <v>26</v>
          </cell>
          <cell r="AC2">
            <v>27</v>
          </cell>
          <cell r="AD2">
            <v>28</v>
          </cell>
        </row>
        <row r="3">
          <cell r="G3">
            <v>1</v>
          </cell>
          <cell r="H3">
            <v>2</v>
          </cell>
          <cell r="I3">
            <v>3</v>
          </cell>
          <cell r="J3">
            <v>4</v>
          </cell>
          <cell r="K3">
            <v>5</v>
          </cell>
          <cell r="L3">
            <v>6</v>
          </cell>
          <cell r="M3">
            <v>7</v>
          </cell>
          <cell r="N3">
            <v>8</v>
          </cell>
          <cell r="O3">
            <v>9</v>
          </cell>
          <cell r="P3">
            <v>10</v>
          </cell>
          <cell r="Q3">
            <v>11</v>
          </cell>
          <cell r="R3">
            <v>12</v>
          </cell>
          <cell r="S3">
            <v>13</v>
          </cell>
          <cell r="T3">
            <v>14</v>
          </cell>
          <cell r="U3">
            <v>15</v>
          </cell>
          <cell r="V3">
            <v>16</v>
          </cell>
          <cell r="W3">
            <v>17</v>
          </cell>
          <cell r="X3">
            <v>18</v>
          </cell>
          <cell r="Y3">
            <v>19</v>
          </cell>
          <cell r="Z3">
            <v>20</v>
          </cell>
          <cell r="AA3">
            <v>21</v>
          </cell>
          <cell r="AB3">
            <v>22</v>
          </cell>
          <cell r="AC3">
            <v>23</v>
          </cell>
        </row>
        <row r="4">
          <cell r="G4" t="str">
            <v>MOTOR</v>
          </cell>
          <cell r="H4" t="str">
            <v>REMARK</v>
          </cell>
          <cell r="I4" t="str">
            <v>Main Circuit Cable
None-Brakes toward load</v>
          </cell>
          <cell r="J4"/>
          <cell r="K4" t="str">
            <v>Main Circuit Cable
None-Brakes away from load</v>
          </cell>
          <cell r="L4"/>
          <cell r="M4" t="str">
            <v>Main Circuit Cable
with Brakes toward load</v>
          </cell>
          <cell r="N4"/>
          <cell r="O4" t="str">
            <v>Main Circuit Cable
with Brakes away from load</v>
          </cell>
          <cell r="P4"/>
          <cell r="Q4" t="str">
            <v>Encoder Cable</v>
          </cell>
          <cell r="R4" t="str">
            <v>Encoder Cable (of 20m or less)
None-Battery toward load</v>
          </cell>
          <cell r="S4"/>
          <cell r="T4" t="str">
            <v>Encoder Cable (of 20m or less)
None-Battery away from load</v>
          </cell>
          <cell r="U4"/>
          <cell r="V4" t="str">
            <v>Encoder Cable (of 20m or less)
with Battery case toward load</v>
          </cell>
          <cell r="W4"/>
          <cell r="X4" t="str">
            <v>Encoder Cable (of 20m or less)
with Battery case away from load</v>
          </cell>
          <cell r="Y4"/>
          <cell r="Z4" t="str">
            <v>Relay Encoder-end Cable (of 30m to 50m)
all types
toward load</v>
          </cell>
          <cell r="AA4" t="str">
            <v>Relay Encoder-end Cable (of 30m to 50m)
all types
away from load</v>
          </cell>
          <cell r="AB4" t="str">
            <v>Relay Encoder Cable (of 30m to 50m)
cable with connectors on both ends</v>
          </cell>
          <cell r="AC4" t="str">
            <v>Relay Encoder Cable (of 30m to 50m)
cable with a battery case</v>
          </cell>
          <cell r="AD4"/>
        </row>
        <row r="5">
          <cell r="G5"/>
          <cell r="H5"/>
          <cell r="I5" t="str">
            <v>Standard</v>
          </cell>
          <cell r="J5" t="str">
            <v>Flexible</v>
          </cell>
          <cell r="K5" t="str">
            <v>Standard</v>
          </cell>
          <cell r="L5" t="str">
            <v>Flexible</v>
          </cell>
          <cell r="M5" t="str">
            <v>Standard</v>
          </cell>
          <cell r="N5" t="str">
            <v>Flexible</v>
          </cell>
          <cell r="O5" t="str">
            <v>Standard</v>
          </cell>
          <cell r="P5" t="str">
            <v>Flexible</v>
          </cell>
          <cell r="Q5"/>
          <cell r="R5" t="str">
            <v>Standard</v>
          </cell>
          <cell r="S5" t="str">
            <v>Flexible</v>
          </cell>
          <cell r="T5" t="str">
            <v>Standard</v>
          </cell>
          <cell r="U5" t="str">
            <v>Flexible</v>
          </cell>
          <cell r="V5" t="str">
            <v>Standard</v>
          </cell>
          <cell r="W5" t="str">
            <v>Flexible</v>
          </cell>
          <cell r="X5" t="str">
            <v>Standard</v>
          </cell>
          <cell r="Y5" t="str">
            <v>Flexible</v>
          </cell>
          <cell r="Z5"/>
          <cell r="AA5"/>
          <cell r="AB5"/>
          <cell r="AC5"/>
          <cell r="AD5"/>
        </row>
        <row r="6"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</row>
        <row r="7">
          <cell r="G7" t="str">
            <v>SGM7J-A5A</v>
          </cell>
          <cell r="H7" t="str">
            <v>부하/반부하</v>
          </cell>
          <cell r="I7" t="str">
            <v>JZSP-C7M10F-□-E</v>
          </cell>
          <cell r="J7" t="str">
            <v>JZSP-C7M12F-□-E</v>
          </cell>
          <cell r="K7" t="str">
            <v>JZSP-C7M10G-□-E</v>
          </cell>
          <cell r="L7" t="str">
            <v>JZSP-C7M12G-□-E</v>
          </cell>
          <cell r="M7" t="str">
            <v>JZSP-C7M13F-□-E</v>
          </cell>
          <cell r="N7" t="str">
            <v>JZSP-C7M14F-□-E</v>
          </cell>
          <cell r="O7" t="str">
            <v>JZSP-C7M13G-□-E</v>
          </cell>
          <cell r="P7" t="str">
            <v>JZSP-C7M14G-□-E</v>
          </cell>
          <cell r="Q7"/>
          <cell r="R7" t="str">
            <v>JZSP-C7PI0D-□-E</v>
          </cell>
          <cell r="S7" t="str">
            <v>JZSP-C7PI2D-□-E</v>
          </cell>
          <cell r="T7" t="str">
            <v>JZSP-C7PI0E-□-E</v>
          </cell>
          <cell r="U7" t="str">
            <v>JZSP-C7PI2E-□-E</v>
          </cell>
          <cell r="V7" t="str">
            <v>JZSP-C7PA0D-□-E</v>
          </cell>
          <cell r="W7" t="str">
            <v>JZSP-C7PA2D-□-E</v>
          </cell>
          <cell r="X7" t="str">
            <v>JZSP-C7PA0E-□-E</v>
          </cell>
          <cell r="Y7" t="str">
            <v>JZSP-C7PA2E-□-E</v>
          </cell>
          <cell r="Z7"/>
          <cell r="AA7"/>
          <cell r="AB7"/>
          <cell r="AC7"/>
          <cell r="AD7"/>
        </row>
        <row r="8">
          <cell r="G8" t="str">
            <v>SGM7J-01A</v>
          </cell>
          <cell r="H8"/>
          <cell r="I8" t="str">
            <v>JZSP-C7M10F-□-E</v>
          </cell>
          <cell r="J8" t="str">
            <v>JZSP-C7M12F-□-E</v>
          </cell>
          <cell r="K8" t="str">
            <v>JZSP-C7M10G-□-E</v>
          </cell>
          <cell r="L8" t="str">
            <v>JZSP-C7M12G-□-E</v>
          </cell>
          <cell r="M8" t="str">
            <v>JZSP-C7M13F-□-E</v>
          </cell>
          <cell r="N8" t="str">
            <v>JZSP-C7M14F-□-E</v>
          </cell>
          <cell r="O8" t="str">
            <v>JZSP-C7M13G-□-E</v>
          </cell>
          <cell r="P8" t="str">
            <v>JZSP-C7M14G-□-E</v>
          </cell>
          <cell r="Q8"/>
          <cell r="R8" t="str">
            <v>JZSP-C7PI0D-□-E</v>
          </cell>
          <cell r="S8" t="str">
            <v>JZSP-C7PI2D-□-E</v>
          </cell>
          <cell r="T8" t="str">
            <v>JZSP-C7PI0E-□-E</v>
          </cell>
          <cell r="U8" t="str">
            <v>JZSP-C7PI2E-□-E</v>
          </cell>
          <cell r="V8" t="str">
            <v>JZSP-C7PA0D-□-E</v>
          </cell>
          <cell r="W8" t="str">
            <v>JZSP-C7PA2D-□-E</v>
          </cell>
          <cell r="X8" t="str">
            <v>JZSP-C7PA0E-□-E</v>
          </cell>
          <cell r="Y8" t="str">
            <v>JZSP-C7PA2E-□-E</v>
          </cell>
          <cell r="Z8"/>
          <cell r="AA8"/>
          <cell r="AB8"/>
          <cell r="AC8"/>
          <cell r="AD8"/>
        </row>
        <row r="9">
          <cell r="G9" t="str">
            <v>SGM7J-C2A</v>
          </cell>
          <cell r="H9"/>
          <cell r="I9" t="str">
            <v>JZSP-C7M10F-□-E</v>
          </cell>
          <cell r="J9" t="str">
            <v>JZSP-C7M12F-□-E</v>
          </cell>
          <cell r="K9" t="str">
            <v>JZSP-C7M10G-□-E</v>
          </cell>
          <cell r="L9" t="str">
            <v>JZSP-C7M12G-□-E</v>
          </cell>
          <cell r="M9" t="str">
            <v>JZSP-C7M13F-□-E</v>
          </cell>
          <cell r="N9" t="str">
            <v>JZSP-C7M14F-□-E</v>
          </cell>
          <cell r="O9" t="str">
            <v>JZSP-C7M13G-□-E</v>
          </cell>
          <cell r="P9" t="str">
            <v>JZSP-C7M14G-□-E</v>
          </cell>
          <cell r="Q9"/>
          <cell r="R9" t="str">
            <v>JZSP-C7PI0D-□-E</v>
          </cell>
          <cell r="S9" t="str">
            <v>JZSP-C7PI2D-□-E</v>
          </cell>
          <cell r="T9" t="str">
            <v>JZSP-C7PI0E-□-E</v>
          </cell>
          <cell r="U9" t="str">
            <v>JZSP-C7PI2E-□-E</v>
          </cell>
          <cell r="V9" t="str">
            <v>JZSP-C7PA0D-□-E</v>
          </cell>
          <cell r="W9" t="str">
            <v>JZSP-C7PA2D-□-E</v>
          </cell>
          <cell r="X9" t="str">
            <v>JZSP-C7PA0E-□-E</v>
          </cell>
          <cell r="Y9" t="str">
            <v>JZSP-C7PA2E-□-E</v>
          </cell>
          <cell r="AD9"/>
        </row>
        <row r="10">
          <cell r="G10" t="str">
            <v>SGM7J-02A</v>
          </cell>
          <cell r="H10"/>
          <cell r="I10" t="str">
            <v>JZSP-C7M20F-□-E</v>
          </cell>
          <cell r="J10" t="str">
            <v>JZSP-C7M22F-□-E</v>
          </cell>
          <cell r="K10" t="str">
            <v>JZSP-C7M20G-□-E</v>
          </cell>
          <cell r="L10" t="str">
            <v>JZSP-C7M22G-□-E</v>
          </cell>
          <cell r="M10" t="str">
            <v>JZSP-C7M23F-□-E</v>
          </cell>
          <cell r="N10" t="str">
            <v>JZSP-C7M24F-□-E</v>
          </cell>
          <cell r="O10" t="str">
            <v>JZSP-C7M23G-□-E</v>
          </cell>
          <cell r="P10" t="str">
            <v>JZSP-C7M24G-□-E</v>
          </cell>
          <cell r="Q10"/>
          <cell r="R10" t="str">
            <v>JZSP-C7PI0D-□-E</v>
          </cell>
          <cell r="S10" t="str">
            <v>JZSP-C7PI2D-□-E</v>
          </cell>
          <cell r="T10" t="str">
            <v>JZSP-C7PI0E-□-E</v>
          </cell>
          <cell r="U10" t="str">
            <v>JZSP-C7PI2E-□-E</v>
          </cell>
          <cell r="V10" t="str">
            <v>JZSP-C7PA0D-□-E</v>
          </cell>
          <cell r="W10" t="str">
            <v>JZSP-C7PA2D-□-E</v>
          </cell>
          <cell r="X10" t="str">
            <v>JZSP-C7PA0E-□-E</v>
          </cell>
          <cell r="Y10" t="str">
            <v>JZSP-C7PA2E-□-E</v>
          </cell>
          <cell r="Z10"/>
          <cell r="AA10"/>
          <cell r="AB10"/>
          <cell r="AC10"/>
          <cell r="AD10"/>
        </row>
        <row r="11">
          <cell r="G11" t="str">
            <v>SGM7J-04A</v>
          </cell>
          <cell r="H11"/>
          <cell r="I11" t="str">
            <v>JZSP-C7M20F-□-E</v>
          </cell>
          <cell r="J11" t="str">
            <v>JZSP-C7M22F-□-E</v>
          </cell>
          <cell r="K11" t="str">
            <v>JZSP-C7M20G-□-E</v>
          </cell>
          <cell r="L11" t="str">
            <v>JZSP-C7M22G-□-E</v>
          </cell>
          <cell r="M11" t="str">
            <v>JZSP-C7M23F-□-E</v>
          </cell>
          <cell r="N11" t="str">
            <v>JZSP-C7M24F-□-E</v>
          </cell>
          <cell r="O11" t="str">
            <v>JZSP-C7M23G-□-E</v>
          </cell>
          <cell r="P11" t="str">
            <v>JZSP-C7M24G-□-E</v>
          </cell>
          <cell r="Q11"/>
          <cell r="R11" t="str">
            <v>JZSP-C7PI0D-□-E</v>
          </cell>
          <cell r="S11" t="str">
            <v>JZSP-C7PI2D-□-E</v>
          </cell>
          <cell r="T11" t="str">
            <v>JZSP-C7PI0E-□-E</v>
          </cell>
          <cell r="U11" t="str">
            <v>JZSP-C7PI2E-□-E</v>
          </cell>
          <cell r="V11" t="str">
            <v>JZSP-C7PA0D-□-E</v>
          </cell>
          <cell r="W11" t="str">
            <v>JZSP-C7PA2D-□-E</v>
          </cell>
          <cell r="X11" t="str">
            <v>JZSP-C7PA0E-□-E</v>
          </cell>
          <cell r="Y11" t="str">
            <v>JZSP-C7PA2E-□-E</v>
          </cell>
          <cell r="Z11"/>
          <cell r="AA11"/>
          <cell r="AB11"/>
          <cell r="AC11"/>
          <cell r="AD11"/>
        </row>
        <row r="12">
          <cell r="G12" t="str">
            <v>SGM7J-06A</v>
          </cell>
          <cell r="H12"/>
          <cell r="I12" t="str">
            <v>JZSP-C7M20F-□-E</v>
          </cell>
          <cell r="J12" t="str">
            <v>JZSP-C7M22F-□-E</v>
          </cell>
          <cell r="K12" t="str">
            <v>JZSP-C7M20G-□-E</v>
          </cell>
          <cell r="L12" t="str">
            <v>JZSP-C7M22G-□-E</v>
          </cell>
          <cell r="M12" t="str">
            <v>JZSP-C7M23F-□-E</v>
          </cell>
          <cell r="N12" t="str">
            <v>JZSP-C7M24F-□-E</v>
          </cell>
          <cell r="O12" t="str">
            <v>JZSP-C7M23G-□-E</v>
          </cell>
          <cell r="P12" t="str">
            <v>JZSP-C7M24G-□-E</v>
          </cell>
          <cell r="Q12"/>
          <cell r="R12" t="str">
            <v>JZSP-C7PI0D-□-E</v>
          </cell>
          <cell r="S12" t="str">
            <v>JZSP-C7PI2D-□-E</v>
          </cell>
          <cell r="T12" t="str">
            <v>JZSP-C7PI0E-□-E</v>
          </cell>
          <cell r="U12" t="str">
            <v>JZSP-C7PI2E-□-E</v>
          </cell>
          <cell r="V12" t="str">
            <v>JZSP-C7PA0D-□-E</v>
          </cell>
          <cell r="W12" t="str">
            <v>JZSP-C7PA2D-□-E</v>
          </cell>
          <cell r="X12" t="str">
            <v>JZSP-C7PA0E-□-E</v>
          </cell>
          <cell r="Y12" t="str">
            <v>JZSP-C7PA2E-□-E</v>
          </cell>
          <cell r="Z12"/>
          <cell r="AA12"/>
          <cell r="AB12"/>
          <cell r="AC12"/>
          <cell r="AD12"/>
        </row>
        <row r="13">
          <cell r="G13" t="str">
            <v>SGM7J-08A</v>
          </cell>
          <cell r="H13"/>
          <cell r="I13" t="str">
            <v>JZSP-C7M30F-□-E</v>
          </cell>
          <cell r="J13" t="str">
            <v>JZSP-C7M32F-□-E</v>
          </cell>
          <cell r="K13" t="str">
            <v>JZSP-C7M30G-□-E</v>
          </cell>
          <cell r="L13" t="str">
            <v>JZSP-C7M32G-□-E</v>
          </cell>
          <cell r="M13" t="str">
            <v>JZSP-C7M33F-□-E</v>
          </cell>
          <cell r="N13" t="str">
            <v>JZSP-C7M34F-□-E</v>
          </cell>
          <cell r="O13" t="str">
            <v>JZSP-C7M33G-□-E</v>
          </cell>
          <cell r="P13" t="str">
            <v>JZSP-C7M34G-□-E</v>
          </cell>
          <cell r="Q13"/>
          <cell r="R13" t="str">
            <v>JZSP-C7PI0D-□-E</v>
          </cell>
          <cell r="S13" t="str">
            <v>JZSP-C7PI2D-□-E</v>
          </cell>
          <cell r="T13" t="str">
            <v>JZSP-C7PI0E-□-E</v>
          </cell>
          <cell r="U13" t="str">
            <v>JZSP-C7PI2E-□-E</v>
          </cell>
          <cell r="V13" t="str">
            <v>JZSP-C7PA0D-□-E</v>
          </cell>
          <cell r="W13" t="str">
            <v>JZSP-C7PA2D-□-E</v>
          </cell>
          <cell r="X13" t="str">
            <v>JZSP-C7PA0E-□-E</v>
          </cell>
          <cell r="Y13" t="str">
            <v>JZSP-C7PA2E-□-E</v>
          </cell>
          <cell r="Z13"/>
          <cell r="AA13"/>
          <cell r="AB13"/>
          <cell r="AC13"/>
          <cell r="AD13"/>
        </row>
        <row r="14">
          <cell r="G14" t="str">
            <v>SGM7J-10A</v>
          </cell>
          <cell r="H14"/>
          <cell r="I14" t="str">
            <v>JZSP-C7M30F-□-E</v>
          </cell>
          <cell r="J14" t="str">
            <v>JZSP-C7M32F-□-E</v>
          </cell>
          <cell r="K14" t="str">
            <v>JZSP-C7M30G-□-E</v>
          </cell>
          <cell r="L14" t="str">
            <v>JZSP-C7M32G-□-E</v>
          </cell>
          <cell r="M14" t="str">
            <v>JZSP-C7M33F-□-E</v>
          </cell>
          <cell r="N14" t="str">
            <v>JZSP-C7M34F-□-E</v>
          </cell>
          <cell r="O14" t="str">
            <v>JZSP-C7M33G-□-E</v>
          </cell>
          <cell r="P14" t="str">
            <v>JZSP-C7M34G-□-E</v>
          </cell>
          <cell r="Q14"/>
          <cell r="R14" t="str">
            <v>JZSP-C7PI0D-□-E</v>
          </cell>
          <cell r="S14" t="str">
            <v>JZSP-C7PI2D-□-E</v>
          </cell>
          <cell r="T14" t="str">
            <v>JZSP-C7PI0E-□-E</v>
          </cell>
          <cell r="U14" t="str">
            <v>JZSP-C7PI2E-□-E</v>
          </cell>
          <cell r="V14" t="str">
            <v>JZSP-C7PA0D-□-E</v>
          </cell>
          <cell r="W14" t="str">
            <v>JZSP-C7PA2D-□-E</v>
          </cell>
          <cell r="X14" t="str">
            <v>JZSP-C7PA0E-□-E</v>
          </cell>
          <cell r="Y14" t="str">
            <v>JZSP-C7PA2E-□-E</v>
          </cell>
          <cell r="Z14"/>
          <cell r="AA14"/>
          <cell r="AB14"/>
          <cell r="AC14"/>
          <cell r="AD14"/>
        </row>
        <row r="15">
          <cell r="G15" t="str">
            <v>SGM7A-A5A</v>
          </cell>
          <cell r="H15" t="str">
            <v>부하/반부하</v>
          </cell>
          <cell r="I15" t="str">
            <v>JZSP-C7M10F-□-E</v>
          </cell>
          <cell r="J15" t="str">
            <v>JZSP-C7M12F-□-E</v>
          </cell>
          <cell r="K15" t="str">
            <v>JZSP-C7M10G-□-E</v>
          </cell>
          <cell r="L15" t="str">
            <v>JZSP-C7M12G-□-E</v>
          </cell>
          <cell r="M15" t="str">
            <v>JZSP-C7M13F-□-E</v>
          </cell>
          <cell r="N15" t="str">
            <v>JZSP-C7M14F-□-E</v>
          </cell>
          <cell r="O15" t="str">
            <v>JZSP-C7M13G-□-E</v>
          </cell>
          <cell r="P15" t="str">
            <v>JZSP-C7M14G-□-E</v>
          </cell>
          <cell r="Q15"/>
          <cell r="R15" t="str">
            <v>JZSP-C7PI0D-□-E</v>
          </cell>
          <cell r="S15" t="str">
            <v>JZSP-C7PI2D-□-E</v>
          </cell>
          <cell r="T15" t="str">
            <v>JZSP-C7PI0E-□-E</v>
          </cell>
          <cell r="U15" t="str">
            <v>JZSP-C7PI2E-□-E</v>
          </cell>
          <cell r="V15" t="str">
            <v>JZSP-C7PA0D-□-E</v>
          </cell>
          <cell r="W15" t="str">
            <v>JZSP-C7PA2D-□-E</v>
          </cell>
          <cell r="X15" t="str">
            <v>JZSP-C7PA0E-□-E</v>
          </cell>
          <cell r="Y15" t="str">
            <v>JZSP-C7PA2E-□-E</v>
          </cell>
          <cell r="Z15"/>
          <cell r="AA15"/>
          <cell r="AB15"/>
          <cell r="AC15"/>
          <cell r="AD15"/>
        </row>
        <row r="16">
          <cell r="G16" t="str">
            <v>SGM7A-01A</v>
          </cell>
          <cell r="H16"/>
          <cell r="I16" t="str">
            <v>JZSP-C7M10F-□-E</v>
          </cell>
          <cell r="J16" t="str">
            <v>JZSP-C7M12F-□-E</v>
          </cell>
          <cell r="K16" t="str">
            <v>JZSP-C7M10G-□-E</v>
          </cell>
          <cell r="L16" t="str">
            <v>JZSP-C7M12G-□-E</v>
          </cell>
          <cell r="M16" t="str">
            <v>JZSP-C7M13F-□-E</v>
          </cell>
          <cell r="N16" t="str">
            <v>JZSP-C7M14F-□-E</v>
          </cell>
          <cell r="O16" t="str">
            <v>JZSP-C7M13G-□-E</v>
          </cell>
          <cell r="P16" t="str">
            <v>JZSP-C7M14G-□-E</v>
          </cell>
          <cell r="Q16"/>
          <cell r="R16" t="str">
            <v>JZSP-C7PI0D-□-E</v>
          </cell>
          <cell r="S16" t="str">
            <v>JZSP-C7PI2D-□-E</v>
          </cell>
          <cell r="T16" t="str">
            <v>JZSP-C7PI0E-□-E</v>
          </cell>
          <cell r="U16" t="str">
            <v>JZSP-C7PI2E-□-E</v>
          </cell>
          <cell r="V16" t="str">
            <v>JZSP-C7PA0D-□-E</v>
          </cell>
          <cell r="W16" t="str">
            <v>JZSP-C7PA2D-□-E</v>
          </cell>
          <cell r="X16" t="str">
            <v>JZSP-C7PA0E-□-E</v>
          </cell>
          <cell r="Y16" t="str">
            <v>JZSP-C7PA2E-□-E</v>
          </cell>
          <cell r="Z16"/>
          <cell r="AA16"/>
          <cell r="AB16"/>
          <cell r="AC16"/>
          <cell r="AD16"/>
        </row>
        <row r="17">
          <cell r="G17" t="str">
            <v>SGM7A-C2A</v>
          </cell>
          <cell r="H17"/>
          <cell r="I17" t="str">
            <v>JZSP-C7M10F-□-E</v>
          </cell>
          <cell r="J17" t="str">
            <v>JZSP-C7M12F-□-E</v>
          </cell>
          <cell r="K17" t="str">
            <v>JZSP-C7M10G-□-E</v>
          </cell>
          <cell r="L17" t="str">
            <v>JZSP-C7M12G-□-E</v>
          </cell>
          <cell r="M17" t="str">
            <v>JZSP-C7M13F-□-E</v>
          </cell>
          <cell r="N17" t="str">
            <v>JZSP-C7M14F-□-E</v>
          </cell>
          <cell r="O17" t="str">
            <v>JZSP-C7M13G-□-E</v>
          </cell>
          <cell r="P17" t="str">
            <v>JZSP-C7M14G-□-E</v>
          </cell>
          <cell r="Q17"/>
          <cell r="R17" t="str">
            <v>JZSP-C7PI0D-□-E</v>
          </cell>
          <cell r="S17" t="str">
            <v>JZSP-C7PI2D-□-E</v>
          </cell>
          <cell r="T17" t="str">
            <v>JZSP-C7PI0E-□-E</v>
          </cell>
          <cell r="U17" t="str">
            <v>JZSP-C7PI2E-□-E</v>
          </cell>
          <cell r="V17" t="str">
            <v>JZSP-C7PA0D-□-E</v>
          </cell>
          <cell r="W17" t="str">
            <v>JZSP-C7PA2D-□-E</v>
          </cell>
          <cell r="X17" t="str">
            <v>JZSP-C7PA0E-□-E</v>
          </cell>
          <cell r="Y17" t="str">
            <v>JZSP-C7PA2E-□-E</v>
          </cell>
          <cell r="AD17"/>
        </row>
        <row r="18">
          <cell r="G18" t="str">
            <v>SGM7A-02A</v>
          </cell>
          <cell r="H18"/>
          <cell r="I18" t="str">
            <v>JZSP-C7M20F-□-E</v>
          </cell>
          <cell r="J18" t="str">
            <v>JZSP-C7M22F-□-E</v>
          </cell>
          <cell r="K18" t="str">
            <v>JZSP-C7M20G-□-E</v>
          </cell>
          <cell r="L18" t="str">
            <v>JZSP-C7M22G-□-E</v>
          </cell>
          <cell r="M18" t="str">
            <v>JZSP-C7M23F-□-E</v>
          </cell>
          <cell r="N18" t="str">
            <v>JZSP-C7M24F-□-E</v>
          </cell>
          <cell r="O18" t="str">
            <v>JZSP-C7M23G-□-E</v>
          </cell>
          <cell r="P18" t="str">
            <v>JZSP-C7M24G-□-E</v>
          </cell>
          <cell r="Q18"/>
          <cell r="R18" t="str">
            <v>JZSP-C7PI0D-□-E</v>
          </cell>
          <cell r="S18" t="str">
            <v>JZSP-C7PI2D-□-E</v>
          </cell>
          <cell r="T18" t="str">
            <v>JZSP-C7PI0E-□-E</v>
          </cell>
          <cell r="U18" t="str">
            <v>JZSP-C7PI2E-□-E</v>
          </cell>
          <cell r="V18" t="str">
            <v>JZSP-C7PA0D-□-E</v>
          </cell>
          <cell r="W18" t="str">
            <v>JZSP-C7PA2D-□-E</v>
          </cell>
          <cell r="X18" t="str">
            <v>JZSP-C7PA0E-□-E</v>
          </cell>
          <cell r="Y18" t="str">
            <v>JZSP-C7PA2E-□-E</v>
          </cell>
          <cell r="Z18"/>
          <cell r="AA18"/>
          <cell r="AB18"/>
          <cell r="AC18"/>
          <cell r="AD18"/>
        </row>
        <row r="19">
          <cell r="G19" t="str">
            <v>SGM7A-04A</v>
          </cell>
          <cell r="H19"/>
          <cell r="I19" t="str">
            <v>JZSP-C7M20F-□-E</v>
          </cell>
          <cell r="J19" t="str">
            <v>JZSP-C7M22F-□-E</v>
          </cell>
          <cell r="K19" t="str">
            <v>JZSP-C7M20G-□-E</v>
          </cell>
          <cell r="L19" t="str">
            <v>JZSP-C7M22G-□-E</v>
          </cell>
          <cell r="M19" t="str">
            <v>JZSP-C7M23F-□-E</v>
          </cell>
          <cell r="N19" t="str">
            <v>JZSP-C7M24F-□-E</v>
          </cell>
          <cell r="O19" t="str">
            <v>JZSP-C7M23G-□-E</v>
          </cell>
          <cell r="P19" t="str">
            <v>JZSP-C7M24G-□-E</v>
          </cell>
          <cell r="Q19"/>
          <cell r="R19" t="str">
            <v>JZSP-C7PI0D-□-E</v>
          </cell>
          <cell r="S19" t="str">
            <v>JZSP-C7PI2D-□-E</v>
          </cell>
          <cell r="T19" t="str">
            <v>JZSP-C7PI0E-□-E</v>
          </cell>
          <cell r="U19" t="str">
            <v>JZSP-C7PI2E-□-E</v>
          </cell>
          <cell r="V19" t="str">
            <v>JZSP-C7PA0D-□-E</v>
          </cell>
          <cell r="W19" t="str">
            <v>JZSP-C7PA2D-□-E</v>
          </cell>
          <cell r="X19" t="str">
            <v>JZSP-C7PA0E-□-E</v>
          </cell>
          <cell r="Y19" t="str">
            <v>JZSP-C7PA2E-□-E</v>
          </cell>
          <cell r="Z19"/>
          <cell r="AA19"/>
          <cell r="AB19"/>
          <cell r="AC19"/>
          <cell r="AD19"/>
        </row>
        <row r="20">
          <cell r="G20" t="str">
            <v>SGM7A-06A</v>
          </cell>
          <cell r="H20"/>
          <cell r="I20" t="str">
            <v>JZSP-C7M20F-□-E</v>
          </cell>
          <cell r="J20" t="str">
            <v>JZSP-C7M22F-□-E</v>
          </cell>
          <cell r="K20" t="str">
            <v>JZSP-C7M20G-□-E</v>
          </cell>
          <cell r="L20" t="str">
            <v>JZSP-C7M22G-□-E</v>
          </cell>
          <cell r="M20" t="str">
            <v>JZSP-C7M23F-□-E</v>
          </cell>
          <cell r="N20" t="str">
            <v>JZSP-C7M24F-□-E</v>
          </cell>
          <cell r="O20" t="str">
            <v>JZSP-C7M23G-□-E</v>
          </cell>
          <cell r="P20" t="str">
            <v>JZSP-C7M24G-□-E</v>
          </cell>
          <cell r="Q20"/>
          <cell r="R20" t="str">
            <v>JZSP-C7PI0D-□-E</v>
          </cell>
          <cell r="S20" t="str">
            <v>JZSP-C7PI2D-□-E</v>
          </cell>
          <cell r="T20" t="str">
            <v>JZSP-C7PI0E-□-E</v>
          </cell>
          <cell r="U20" t="str">
            <v>JZSP-C7PI2E-□-E</v>
          </cell>
          <cell r="V20" t="str">
            <v>JZSP-C7PA0D-□-E</v>
          </cell>
          <cell r="W20" t="str">
            <v>JZSP-C7PA2D-□-E</v>
          </cell>
          <cell r="X20" t="str">
            <v>JZSP-C7PA0E-□-E</v>
          </cell>
          <cell r="Y20" t="str">
            <v>JZSP-C7PA2E-□-E</v>
          </cell>
          <cell r="Z20"/>
          <cell r="AA20"/>
          <cell r="AB20"/>
          <cell r="AC20"/>
          <cell r="AD20"/>
        </row>
        <row r="21">
          <cell r="G21" t="str">
            <v>SGM7A-08A</v>
          </cell>
          <cell r="H21"/>
          <cell r="I21" t="str">
            <v>JZSP-C7M30F-□-E</v>
          </cell>
          <cell r="J21" t="str">
            <v>JZSP-C7M32F-□-E</v>
          </cell>
          <cell r="K21" t="str">
            <v>JZSP-C7M30G-□-E</v>
          </cell>
          <cell r="L21" t="str">
            <v>JZSP-C7M32G-□-E</v>
          </cell>
          <cell r="M21" t="str">
            <v>JZSP-C7M33F-□-E</v>
          </cell>
          <cell r="N21" t="str">
            <v>JZSP-C7M34F-□-E</v>
          </cell>
          <cell r="O21" t="str">
            <v>JZSP-C7M33G-□-E</v>
          </cell>
          <cell r="P21" t="str">
            <v>JZSP-C7M34G-□-E</v>
          </cell>
          <cell r="Q21"/>
          <cell r="R21" t="str">
            <v>JZSP-C7PI0D-□-E</v>
          </cell>
          <cell r="S21" t="str">
            <v>JZSP-C7PI2D-□-E</v>
          </cell>
          <cell r="T21" t="str">
            <v>JZSP-C7PI0E-□-E</v>
          </cell>
          <cell r="U21" t="str">
            <v>JZSP-C7PI2E-□-E</v>
          </cell>
          <cell r="V21" t="str">
            <v>JZSP-C7PA0D-□-E</v>
          </cell>
          <cell r="W21" t="str">
            <v>JZSP-C7PA2D-□-E</v>
          </cell>
          <cell r="X21" t="str">
            <v>JZSP-C7PA0E-□-E</v>
          </cell>
          <cell r="Y21" t="str">
            <v>JZSP-C7PA2E-□-E</v>
          </cell>
          <cell r="Z21"/>
          <cell r="AA21"/>
          <cell r="AB21"/>
          <cell r="AC21"/>
          <cell r="AD21"/>
        </row>
        <row r="22">
          <cell r="G22" t="str">
            <v>SGM7A-15A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</row>
        <row r="23">
          <cell r="G23" t="str">
            <v>SGM7A-20A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</row>
        <row r="24">
          <cell r="G24" t="str">
            <v>SGM7A-25A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</row>
        <row r="25">
          <cell r="G25" t="str">
            <v>SGM7A-30A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</row>
        <row r="26">
          <cell r="G26" t="str">
            <v>SGM7A-40A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</row>
        <row r="27">
          <cell r="G27" t="str">
            <v>SGM7A-50A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</row>
        <row r="28">
          <cell r="G28" t="str">
            <v>SGM7A-70A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</row>
        <row r="29">
          <cell r="G29" t="str">
            <v>SGM7M-A1A</v>
          </cell>
          <cell r="H29"/>
          <cell r="I29" t="str">
            <v>JZSP-CF2M00-□-E</v>
          </cell>
          <cell r="J29" t="str">
            <v>JZSP-CF2M20-□-E</v>
          </cell>
          <cell r="K29"/>
          <cell r="L29"/>
          <cell r="M29" t="str">
            <v>JZSP-CF2M03-□-E</v>
          </cell>
          <cell r="N29" t="str">
            <v>JZSP-CF2M23-□-E</v>
          </cell>
          <cell r="O29"/>
          <cell r="P29"/>
          <cell r="Q29"/>
          <cell r="R29"/>
          <cell r="S29"/>
          <cell r="T29"/>
          <cell r="U29"/>
          <cell r="V29" t="str">
            <v>JZSP-C7MP19-□-E</v>
          </cell>
          <cell r="W29" t="str">
            <v>JZSP-C7MP29-□-E</v>
          </cell>
          <cell r="X29"/>
          <cell r="Y29"/>
          <cell r="Z29"/>
          <cell r="AA29"/>
          <cell r="AB29"/>
          <cell r="AC29"/>
          <cell r="AD29"/>
        </row>
        <row r="30">
          <cell r="G30" t="str">
            <v>SGM7M-A2A</v>
          </cell>
          <cell r="H30"/>
          <cell r="I30" t="str">
            <v>JZSP-CF2M00-□-E</v>
          </cell>
          <cell r="J30" t="str">
            <v>JZSP-CF2M20-□-E</v>
          </cell>
          <cell r="K30"/>
          <cell r="L30"/>
          <cell r="M30" t="str">
            <v>JZSP-CF2M03-□-E</v>
          </cell>
          <cell r="N30" t="str">
            <v>JZSP-CF2M23-□-E</v>
          </cell>
          <cell r="O30"/>
          <cell r="P30"/>
          <cell r="Q30"/>
          <cell r="R30"/>
          <cell r="S30"/>
          <cell r="T30"/>
          <cell r="U30"/>
          <cell r="V30" t="str">
            <v>JZSP-C7MP19-□-E</v>
          </cell>
          <cell r="W30" t="str">
            <v>JZSP-C7MP29-□-E</v>
          </cell>
          <cell r="X30"/>
          <cell r="Y30"/>
          <cell r="Z30"/>
          <cell r="AA30"/>
          <cell r="AB30"/>
          <cell r="AC30"/>
          <cell r="AD30"/>
        </row>
        <row r="31">
          <cell r="G31" t="str">
            <v>SGM7M-A3A</v>
          </cell>
          <cell r="H31"/>
          <cell r="I31" t="str">
            <v>JZSP-CF2M00-□-E</v>
          </cell>
          <cell r="J31" t="str">
            <v>JZSP-CF2M20-□-E</v>
          </cell>
          <cell r="K31"/>
          <cell r="L31"/>
          <cell r="M31" t="str">
            <v>JZSP-CF2M03-□-E</v>
          </cell>
          <cell r="N31" t="str">
            <v>JZSP-CF2M23-□-E</v>
          </cell>
          <cell r="O31"/>
          <cell r="P31"/>
          <cell r="Q31"/>
          <cell r="R31"/>
          <cell r="S31"/>
          <cell r="T31"/>
          <cell r="U31"/>
          <cell r="V31" t="str">
            <v>JZSP-C7MP19-□-E</v>
          </cell>
          <cell r="W31" t="str">
            <v>JZSP-C7MP29-□-E</v>
          </cell>
          <cell r="X31"/>
          <cell r="Y31"/>
          <cell r="Z31"/>
          <cell r="AA31"/>
          <cell r="AB31"/>
          <cell r="AC31"/>
          <cell r="AD31"/>
        </row>
        <row r="32">
          <cell r="G32" t="str">
            <v>SGM7M-A3</v>
          </cell>
          <cell r="H32"/>
          <cell r="I32" t="str">
            <v>JZSP-CF2M00-□-E</v>
          </cell>
          <cell r="J32" t="str">
            <v>JZSP-CF2M20-□-E</v>
          </cell>
          <cell r="K32"/>
          <cell r="L32"/>
          <cell r="M32" t="str">
            <v>JZSP-CF2M03-□-E</v>
          </cell>
          <cell r="N32" t="str">
            <v>JZSP-CF2M23-□-E</v>
          </cell>
          <cell r="O32"/>
          <cell r="P32"/>
          <cell r="Q32"/>
          <cell r="R32"/>
          <cell r="S32"/>
          <cell r="T32"/>
          <cell r="U32"/>
          <cell r="V32" t="str">
            <v>JZSP-C7MP19-□-E</v>
          </cell>
          <cell r="W32" t="str">
            <v>JZSP-C7MP29-□-E</v>
          </cell>
          <cell r="X32"/>
          <cell r="Y32"/>
          <cell r="Z32"/>
          <cell r="AA32"/>
          <cell r="AB32"/>
          <cell r="AC32"/>
          <cell r="AD32"/>
        </row>
        <row r="33"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</row>
        <row r="34"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</row>
        <row r="35">
          <cell r="G35" t="str">
            <v>SGD7S-120A20A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</row>
        <row r="37">
          <cell r="G37" t="str">
            <v>SGM7P-01A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</row>
        <row r="38">
          <cell r="G38" t="str">
            <v>SGM7P-02A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</row>
        <row r="39">
          <cell r="G39" t="str">
            <v>SGM7P-04A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</row>
        <row r="40">
          <cell r="G40" t="str">
            <v>SGM7P-08A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</row>
        <row r="41">
          <cell r="G41" t="str">
            <v>SGM7P-15A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</row>
        <row r="42">
          <cell r="G42" t="str">
            <v>SGM7G-03A</v>
          </cell>
          <cell r="H42" t="str">
            <v>엘보형</v>
          </cell>
          <cell r="I42" t="str">
            <v>JZSP-CVM21-□-E</v>
          </cell>
          <cell r="J42" t="str">
            <v>JZSP-CVM21-□-E</v>
          </cell>
          <cell r="K42"/>
          <cell r="L42"/>
          <cell r="M42" t="str">
            <v>JZSP-CVM41-□-E</v>
          </cell>
          <cell r="N42" t="str">
            <v>JZSP-CVM41-□-E</v>
          </cell>
          <cell r="O42"/>
          <cell r="P42"/>
          <cell r="Q42"/>
          <cell r="R42"/>
          <cell r="S42"/>
          <cell r="T42"/>
          <cell r="U42"/>
          <cell r="V42" t="str">
            <v>JZSP-CVP07-□-E</v>
          </cell>
          <cell r="W42" t="str">
            <v>JZSP-CVP27-□-E</v>
          </cell>
          <cell r="X42"/>
          <cell r="Y42"/>
          <cell r="Z42"/>
          <cell r="AA42"/>
          <cell r="AB42"/>
          <cell r="AC42"/>
          <cell r="AD42"/>
        </row>
        <row r="43">
          <cell r="G43" t="str">
            <v>SGM7G-05A</v>
          </cell>
          <cell r="H43" t="str">
            <v>엘보형</v>
          </cell>
          <cell r="I43" t="str">
            <v>JZSP-CVM21-□-E</v>
          </cell>
          <cell r="J43" t="str">
            <v>JZSP-CVM21-□-E</v>
          </cell>
          <cell r="K43"/>
          <cell r="L43"/>
          <cell r="M43" t="str">
            <v>JZSP-CVM41-□-E</v>
          </cell>
          <cell r="N43" t="str">
            <v>JZSP-CV41-□-E</v>
          </cell>
          <cell r="O43"/>
          <cell r="P43"/>
          <cell r="Q43"/>
          <cell r="R43"/>
          <cell r="S43"/>
          <cell r="T43"/>
          <cell r="U43"/>
          <cell r="V43" t="str">
            <v>JZSP-CVP07-□-E</v>
          </cell>
          <cell r="W43" t="str">
            <v>JZSP-CVP27-□-E</v>
          </cell>
          <cell r="X43"/>
          <cell r="Y43"/>
          <cell r="Z43"/>
          <cell r="AA43"/>
          <cell r="AB43"/>
          <cell r="AC43"/>
          <cell r="AD43"/>
        </row>
        <row r="44">
          <cell r="G44" t="str">
            <v>SGM7G-09A</v>
          </cell>
          <cell r="H44" t="str">
            <v>엘보형</v>
          </cell>
          <cell r="I44" t="str">
            <v>JZSP-UVA121-□-E</v>
          </cell>
          <cell r="J44" t="str">
            <v>JZSP-UVA122-□-E</v>
          </cell>
          <cell r="K44"/>
          <cell r="L44"/>
          <cell r="M44" t="str">
            <v>JZSP-UVA132-□-E</v>
          </cell>
          <cell r="N44" t="str">
            <v>JZSP-UVA142-□-E</v>
          </cell>
          <cell r="O44"/>
          <cell r="P44"/>
          <cell r="Q44"/>
          <cell r="R44"/>
          <cell r="S44"/>
          <cell r="T44"/>
          <cell r="U44"/>
          <cell r="V44" t="str">
            <v>JZSP-CVP07-□-E</v>
          </cell>
          <cell r="W44" t="str">
            <v>JZSP-CVP27-□-E</v>
          </cell>
          <cell r="X44"/>
          <cell r="Y44"/>
          <cell r="Z44"/>
          <cell r="AA44"/>
          <cell r="AB44"/>
          <cell r="AC44"/>
          <cell r="AD44"/>
        </row>
        <row r="45">
          <cell r="G45" t="str">
            <v>SGM7G-13A</v>
          </cell>
          <cell r="H45" t="str">
            <v>엘보형</v>
          </cell>
          <cell r="I45" t="str">
            <v>JZSP-UVA102-□-E</v>
          </cell>
          <cell r="J45" t="str">
            <v>JZSP-UVA122-□-E</v>
          </cell>
          <cell r="K45"/>
          <cell r="L45"/>
          <cell r="M45" t="str">
            <v>JZSP-UVA132-□-E</v>
          </cell>
          <cell r="N45" t="str">
            <v>JZSP-UVA142-□-E</v>
          </cell>
          <cell r="O45"/>
          <cell r="P45"/>
          <cell r="Q45"/>
          <cell r="R45"/>
          <cell r="S45"/>
          <cell r="T45"/>
          <cell r="U45"/>
          <cell r="V45" t="str">
            <v>JZSP-CVP07-□-E</v>
          </cell>
          <cell r="W45" t="str">
            <v>JZSP-CVP27-□-E</v>
          </cell>
          <cell r="X45"/>
          <cell r="Y45"/>
          <cell r="Z45"/>
          <cell r="AA45"/>
          <cell r="AB45"/>
          <cell r="AC45"/>
          <cell r="AD45"/>
        </row>
        <row r="46">
          <cell r="G46" t="str">
            <v>SGM7G-20A</v>
          </cell>
          <cell r="H46"/>
          <cell r="I46" t="str">
            <v>JZSP-UVA302-□-E</v>
          </cell>
          <cell r="J46" t="str">
            <v>JZSP-UVA322-□-E</v>
          </cell>
          <cell r="K46"/>
          <cell r="L46"/>
          <cell r="M46" t="str">
            <v>JZSP-UVA332-□-E</v>
          </cell>
          <cell r="N46" t="str">
            <v>JZSP-UVA342-□-E</v>
          </cell>
          <cell r="O46"/>
          <cell r="P46"/>
          <cell r="Q46"/>
          <cell r="R46"/>
          <cell r="S46"/>
          <cell r="T46"/>
          <cell r="U46"/>
          <cell r="V46" t="str">
            <v>JZSP-CVP07-□-E</v>
          </cell>
          <cell r="W46" t="str">
            <v>JZSP-CVP27-□-E</v>
          </cell>
          <cell r="X46"/>
          <cell r="Y46"/>
          <cell r="Z46"/>
          <cell r="AA46"/>
          <cell r="AB46"/>
          <cell r="AC46"/>
          <cell r="AD46"/>
        </row>
        <row r="47">
          <cell r="G47" t="str">
            <v>SGM7G-30A</v>
          </cell>
          <cell r="H47"/>
          <cell r="I47" t="str">
            <v>JZSP-UVA702-□-E</v>
          </cell>
          <cell r="J47" t="str">
            <v>JZSP-UVA722-□-E</v>
          </cell>
          <cell r="K47"/>
          <cell r="L47"/>
          <cell r="M47" t="str">
            <v>JZSP-UVA732-□-E</v>
          </cell>
          <cell r="N47" t="str">
            <v>JZSP-UVA742-□-E</v>
          </cell>
          <cell r="O47"/>
          <cell r="P47"/>
          <cell r="Q47"/>
          <cell r="R47"/>
          <cell r="S47"/>
          <cell r="T47"/>
          <cell r="U47"/>
          <cell r="V47" t="str">
            <v>JZSP-CVP07-□-E</v>
          </cell>
          <cell r="W47" t="str">
            <v>JZSP-CVP27-□-E</v>
          </cell>
          <cell r="X47"/>
          <cell r="Y47"/>
          <cell r="Z47"/>
          <cell r="AA47"/>
          <cell r="AB47"/>
          <cell r="AC47"/>
          <cell r="AD47"/>
        </row>
        <row r="48">
          <cell r="G48" t="str">
            <v>SGM7G-44A</v>
          </cell>
          <cell r="H48"/>
          <cell r="I48" t="str">
            <v>JZSP-UVA702-□-E</v>
          </cell>
          <cell r="J48" t="str">
            <v>JZSP-UVA722-□-E</v>
          </cell>
          <cell r="K48"/>
          <cell r="L48"/>
          <cell r="M48" t="str">
            <v>JZSP-UVA732-□-E</v>
          </cell>
          <cell r="N48" t="str">
            <v>JZSP-UVA742-□-E</v>
          </cell>
          <cell r="O48"/>
          <cell r="P48"/>
          <cell r="Q48"/>
          <cell r="R48"/>
          <cell r="S48"/>
          <cell r="T48"/>
          <cell r="U48"/>
          <cell r="V48" t="str">
            <v>JZSP-CVP07-□-E</v>
          </cell>
          <cell r="W48" t="str">
            <v>JZSP-CVP27-□-E</v>
          </cell>
          <cell r="X48"/>
          <cell r="Y48"/>
          <cell r="Z48"/>
          <cell r="AA48"/>
          <cell r="AB48"/>
          <cell r="AC48"/>
          <cell r="AD48"/>
        </row>
        <row r="49">
          <cell r="G49" t="str">
            <v>SGM7G-55A</v>
          </cell>
          <cell r="H49"/>
          <cell r="I49" t="str">
            <v>JZSP-UVAA02-□-E</v>
          </cell>
          <cell r="J49" t="str">
            <v>JZSP-UVAA22-□-E</v>
          </cell>
          <cell r="K49"/>
          <cell r="L49"/>
          <cell r="M49" t="str">
            <v>JZSP-UVAA32-□-E</v>
          </cell>
          <cell r="N49" t="str">
            <v>JZSP-UVAA42-□-E</v>
          </cell>
          <cell r="O49"/>
          <cell r="P49"/>
          <cell r="Q49"/>
          <cell r="R49"/>
          <cell r="S49"/>
          <cell r="T49"/>
          <cell r="U49"/>
          <cell r="V49" t="str">
            <v>JZSP-CVP07-□-E</v>
          </cell>
          <cell r="W49" t="str">
            <v>JZSP-CVP27-□-E</v>
          </cell>
          <cell r="X49"/>
          <cell r="Y49"/>
          <cell r="Z49"/>
          <cell r="AA49"/>
          <cell r="AB49"/>
          <cell r="AC49"/>
          <cell r="AD49"/>
        </row>
        <row r="50">
          <cell r="G50" t="str">
            <v>SGM7G-75A</v>
          </cell>
          <cell r="H50"/>
          <cell r="I50" t="str">
            <v>JZSP-UVAA02-□-E</v>
          </cell>
          <cell r="J50" t="str">
            <v>JZSP-UVAA22-□-E</v>
          </cell>
          <cell r="K50"/>
          <cell r="L50"/>
          <cell r="M50" t="str">
            <v>JZSP-UVAA32-□-E</v>
          </cell>
          <cell r="N50" t="str">
            <v>JZSP-UVAA42-□-E</v>
          </cell>
          <cell r="O50"/>
          <cell r="P50"/>
          <cell r="Q50"/>
          <cell r="R50"/>
          <cell r="S50"/>
          <cell r="T50"/>
          <cell r="U50"/>
          <cell r="V50" t="str">
            <v>JZSP-CVP07-□-E</v>
          </cell>
          <cell r="W50" t="str">
            <v>JZSP-CVP27-□-E</v>
          </cell>
          <cell r="X50"/>
          <cell r="Y50"/>
          <cell r="Z50"/>
          <cell r="AA50"/>
          <cell r="AB50"/>
          <cell r="AC50"/>
          <cell r="AD50"/>
        </row>
        <row r="51">
          <cell r="G51" t="str">
            <v>SGM7G-1AA</v>
          </cell>
          <cell r="H51"/>
          <cell r="I51" t="str">
            <v>JZSP-UVAB02-□-E</v>
          </cell>
          <cell r="J51" t="str">
            <v>JZSP-UVAB22-□-E</v>
          </cell>
          <cell r="K51"/>
          <cell r="L51"/>
          <cell r="M51" t="str">
            <v>JZSP-UVAB32-□-E</v>
          </cell>
          <cell r="N51" t="str">
            <v>JZSP-UVAB42-□-E</v>
          </cell>
          <cell r="O51"/>
          <cell r="P51"/>
          <cell r="Q51"/>
          <cell r="R51"/>
          <cell r="S51"/>
          <cell r="T51"/>
          <cell r="U51"/>
          <cell r="V51" t="str">
            <v>JZSP-CVP07-□-E</v>
          </cell>
          <cell r="W51" t="str">
            <v>JZSP-CVP27-□-E</v>
          </cell>
          <cell r="X51"/>
          <cell r="Y51"/>
          <cell r="Z51"/>
          <cell r="AA51"/>
          <cell r="AB51"/>
          <cell r="AC51"/>
          <cell r="AD51"/>
        </row>
        <row r="52">
          <cell r="G52" t="str">
            <v>SGM7G-1EA</v>
          </cell>
          <cell r="H52"/>
          <cell r="I52" t="str">
            <v>JZSP-UVAB02-□-E</v>
          </cell>
          <cell r="J52" t="str">
            <v>JZSP-UVAB22-□-E</v>
          </cell>
          <cell r="K52"/>
          <cell r="L52"/>
          <cell r="M52" t="str">
            <v>JZSP-UVAB32-□-E</v>
          </cell>
          <cell r="N52" t="str">
            <v>JZSP-UVAB42-□-E</v>
          </cell>
          <cell r="O52"/>
          <cell r="P52"/>
          <cell r="Q52"/>
          <cell r="R52"/>
          <cell r="S52"/>
          <cell r="T52"/>
          <cell r="U52"/>
          <cell r="V52" t="str">
            <v>JZSP-CVP07-□-E</v>
          </cell>
          <cell r="W52" t="str">
            <v>JZSP-CVP27-□-E</v>
          </cell>
          <cell r="X52"/>
          <cell r="Y52"/>
          <cell r="Z52"/>
          <cell r="AA52"/>
          <cell r="AB52"/>
          <cell r="AC52"/>
          <cell r="AD52"/>
        </row>
        <row r="53">
          <cell r="G53" t="str">
            <v>SGMJV-A5A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</row>
        <row r="54">
          <cell r="G54" t="str">
            <v>SGMJV-01A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</row>
        <row r="55">
          <cell r="G55" t="str">
            <v>SGMJV-02A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</row>
        <row r="56">
          <cell r="G56" t="str">
            <v>SGMJV-04A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</row>
        <row r="57">
          <cell r="G57" t="str">
            <v>SGMJV-08A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</row>
        <row r="58">
          <cell r="G58" t="str">
            <v>SGMAV-A5A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</row>
        <row r="59">
          <cell r="G59" t="str">
            <v>SGMAV-01A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</row>
        <row r="60">
          <cell r="G60" t="str">
            <v>SGMAV-C2A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</row>
        <row r="61">
          <cell r="G61" t="str">
            <v>SGMAV-02A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</row>
        <row r="62">
          <cell r="G62" t="str">
            <v>SGMAV-04A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</row>
        <row r="63">
          <cell r="G63" t="str">
            <v>SGMAV-06A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</row>
        <row r="64">
          <cell r="G64" t="str">
            <v>SGMAV-08A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</row>
        <row r="65">
          <cell r="G65" t="str">
            <v>SGMAV-10A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</row>
        <row r="66">
          <cell r="G66" t="str">
            <v>SGMPS-01A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</row>
        <row r="67">
          <cell r="G67" t="str">
            <v>SGMPS-02A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</row>
        <row r="68">
          <cell r="G68" t="str">
            <v>SGMPS-04A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</row>
        <row r="69">
          <cell r="G69" t="str">
            <v>SGMPS-08A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</row>
        <row r="70">
          <cell r="G70" t="str">
            <v>SGMPS-15A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</row>
        <row r="71">
          <cell r="G71" t="str">
            <v>SGMSV-10A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</row>
        <row r="72">
          <cell r="G72" t="str">
            <v>SGMSV-15A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</row>
        <row r="73">
          <cell r="G73" t="str">
            <v>SGMSV-20A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</row>
        <row r="74">
          <cell r="G74" t="str">
            <v>SGMSV-25A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</row>
        <row r="75">
          <cell r="G75" t="str">
            <v>SGMSV-30A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</row>
        <row r="76">
          <cell r="G76" t="str">
            <v>SGMSV-40A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</row>
        <row r="77">
          <cell r="G77" t="str">
            <v>SGMSV-50A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</row>
        <row r="78">
          <cell r="G78" t="str">
            <v>SGMSV-70A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</row>
        <row r="79">
          <cell r="G79" t="str">
            <v>SGMGV-03A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</row>
        <row r="80">
          <cell r="G80" t="str">
            <v>SGMGV-05A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</row>
        <row r="81">
          <cell r="G81" t="str">
            <v>SGMGV-09A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</row>
        <row r="82">
          <cell r="G82" t="str">
            <v>SGMGV-13A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</row>
        <row r="83">
          <cell r="G83" t="str">
            <v>SGMGV-20A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</row>
        <row r="84">
          <cell r="G84" t="str">
            <v>SGMGV-30A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</row>
        <row r="85">
          <cell r="G85" t="str">
            <v>SGMGV-44A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</row>
        <row r="86">
          <cell r="G86" t="str">
            <v>SGMGV-55A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</row>
        <row r="87">
          <cell r="G87" t="str">
            <v>SGMGV-75A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</row>
        <row r="88">
          <cell r="G88" t="str">
            <v>SGMGV-1AA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</row>
        <row r="89">
          <cell r="G89" t="str">
            <v>SGMGV-1EA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</row>
        <row r="90"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</row>
        <row r="91"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</row>
        <row r="92"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</row>
        <row r="93"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</row>
        <row r="94"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</row>
        <row r="95"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</row>
        <row r="96">
          <cell r="G96" t="str">
            <v>SGLGW-30A050C</v>
          </cell>
          <cell r="H96"/>
          <cell r="I96"/>
          <cell r="J96" t="str">
            <v>JZSP-CLN11-□</v>
          </cell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 t="str">
            <v>JZSP-CLP70-□-ER</v>
          </cell>
          <cell r="X96"/>
          <cell r="Y96"/>
          <cell r="Z96"/>
          <cell r="AA96"/>
          <cell r="AB96"/>
          <cell r="AC96"/>
          <cell r="AD96"/>
        </row>
        <row r="97">
          <cell r="G97" t="str">
            <v>SGLGW-30A080C</v>
          </cell>
          <cell r="H97"/>
          <cell r="I97"/>
          <cell r="J97" t="str">
            <v>JZSP-CLN11-□</v>
          </cell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 t="str">
            <v>JZSP-CLP70-□-ER</v>
          </cell>
          <cell r="X97"/>
          <cell r="Y97"/>
          <cell r="Z97"/>
          <cell r="AA97"/>
          <cell r="AB97"/>
          <cell r="AC97"/>
          <cell r="AD97"/>
        </row>
        <row r="98">
          <cell r="G98" t="str">
            <v>SGLGW-40A140C</v>
          </cell>
          <cell r="H98"/>
          <cell r="I98"/>
          <cell r="J98" t="str">
            <v>JZSP-CLN11-□</v>
          </cell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 t="str">
            <v>JZSP-CLP70-□-ER</v>
          </cell>
          <cell r="X98"/>
          <cell r="Y98"/>
          <cell r="Z98"/>
          <cell r="AA98"/>
          <cell r="AB98"/>
          <cell r="AC98"/>
          <cell r="AD98"/>
        </row>
        <row r="99">
          <cell r="G99" t="str">
            <v>SGLGW-40A253C</v>
          </cell>
          <cell r="H99"/>
          <cell r="I99"/>
          <cell r="J99" t="str">
            <v>JZSP-CLN11-□</v>
          </cell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 t="str">
            <v>JZSP-CLP70-□-ER</v>
          </cell>
          <cell r="X99"/>
          <cell r="Y99"/>
          <cell r="Z99"/>
          <cell r="AA99"/>
          <cell r="AB99"/>
          <cell r="AC99"/>
          <cell r="AD99"/>
        </row>
        <row r="100">
          <cell r="G100" t="str">
            <v>SGLGW-40A365C</v>
          </cell>
          <cell r="H100"/>
          <cell r="I100"/>
          <cell r="J100" t="str">
            <v>JZSP-CLN11-□</v>
          </cell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 t="str">
            <v>JZSP-CLP70-□-ER</v>
          </cell>
          <cell r="X100"/>
          <cell r="Y100"/>
          <cell r="Z100"/>
          <cell r="AA100"/>
          <cell r="AB100"/>
          <cell r="AC100"/>
          <cell r="AD100"/>
        </row>
        <row r="101">
          <cell r="G101" t="str">
            <v>SGLGW-60A140C</v>
          </cell>
          <cell r="H101"/>
          <cell r="I101"/>
          <cell r="J101" t="str">
            <v>JZSP-CLN11-□</v>
          </cell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 t="str">
            <v>JZSP-CLP70-□-ER</v>
          </cell>
          <cell r="X101"/>
          <cell r="Y101"/>
          <cell r="Z101"/>
          <cell r="AA101"/>
          <cell r="AB101"/>
          <cell r="AC101"/>
          <cell r="AD101"/>
        </row>
        <row r="102">
          <cell r="G102" t="str">
            <v>SGLGW-60A253C</v>
          </cell>
          <cell r="H102"/>
          <cell r="I102"/>
          <cell r="J102" t="str">
            <v>JZSP-CLN11-□</v>
          </cell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 t="str">
            <v>JZSP-CLP70-□-ER</v>
          </cell>
          <cell r="X102"/>
          <cell r="Y102"/>
          <cell r="Z102"/>
          <cell r="AA102"/>
          <cell r="AB102"/>
          <cell r="AC102"/>
          <cell r="AD102"/>
        </row>
        <row r="103">
          <cell r="G103" t="str">
            <v>SGLGW-60A365C</v>
          </cell>
          <cell r="H103"/>
          <cell r="I103"/>
          <cell r="J103" t="str">
            <v>JZSP-CLN11-□</v>
          </cell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 t="str">
            <v>JZSP-CLP70-□-ER</v>
          </cell>
          <cell r="X103"/>
          <cell r="Y103"/>
          <cell r="Z103"/>
          <cell r="AA103"/>
          <cell r="AB103"/>
          <cell r="AC103"/>
          <cell r="AD103"/>
        </row>
        <row r="104">
          <cell r="G104" t="str">
            <v>SGLGW-90A200C</v>
          </cell>
          <cell r="H104"/>
          <cell r="I104"/>
          <cell r="J104" t="str">
            <v>JZSP-CLN21-□</v>
          </cell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 t="str">
            <v>JZSP-CLP70-□-ER</v>
          </cell>
          <cell r="X104"/>
          <cell r="Y104"/>
          <cell r="Z104"/>
          <cell r="AA104"/>
          <cell r="AB104"/>
          <cell r="AC104"/>
          <cell r="AD104"/>
        </row>
        <row r="105">
          <cell r="G105" t="str">
            <v>SGLGW-90A370C</v>
          </cell>
          <cell r="H105"/>
          <cell r="I105"/>
          <cell r="J105" t="str">
            <v>JZSP-CLN21-□</v>
          </cell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 t="str">
            <v>JZSP-CLP70-□-ER</v>
          </cell>
          <cell r="X105"/>
          <cell r="Y105"/>
          <cell r="Z105"/>
          <cell r="AA105"/>
          <cell r="AB105"/>
          <cell r="AC105"/>
          <cell r="AD105"/>
        </row>
        <row r="106">
          <cell r="G106" t="str">
            <v>SGLGW-90A535C</v>
          </cell>
          <cell r="H106"/>
          <cell r="I106"/>
          <cell r="J106" t="str">
            <v>JZSP-CLN21-□</v>
          </cell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 t="str">
            <v>JZSP-CLP70-□-ER</v>
          </cell>
          <cell r="X106"/>
          <cell r="Y106"/>
          <cell r="Z106"/>
          <cell r="AA106"/>
          <cell r="AB106"/>
          <cell r="AC106"/>
          <cell r="AD106"/>
        </row>
        <row r="107">
          <cell r="G107" t="str">
            <v>SFLFW2-30A070A</v>
          </cell>
          <cell r="H107"/>
          <cell r="I107"/>
          <cell r="J107" t="str">
            <v>JZSP-CL2N703-□</v>
          </cell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 t="str">
            <v>JZSP-CLP70-□-ER</v>
          </cell>
          <cell r="X107"/>
          <cell r="Y107"/>
          <cell r="Z107"/>
          <cell r="AA107"/>
          <cell r="AB107"/>
          <cell r="AC107"/>
          <cell r="AD107"/>
        </row>
        <row r="108">
          <cell r="G108" t="str">
            <v>SFLFW2-30A120A</v>
          </cell>
          <cell r="H108"/>
          <cell r="I108"/>
          <cell r="J108" t="str">
            <v>JZSP-CL2N703-□</v>
          </cell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 t="str">
            <v>JZSP-CLP70-□-ER</v>
          </cell>
          <cell r="X108"/>
          <cell r="Y108"/>
          <cell r="Z108"/>
          <cell r="AA108"/>
          <cell r="AB108"/>
          <cell r="AC108"/>
          <cell r="AD108"/>
        </row>
        <row r="109">
          <cell r="G109" t="str">
            <v>SFLFW2-30A230A</v>
          </cell>
          <cell r="H109"/>
          <cell r="I109"/>
          <cell r="J109" t="str">
            <v>JZSP-CL2N703-□</v>
          </cell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 t="str">
            <v>JZSP-CLP70-□-ER</v>
          </cell>
          <cell r="X109"/>
          <cell r="Y109"/>
          <cell r="Z109"/>
          <cell r="AA109"/>
          <cell r="AB109"/>
          <cell r="AC109"/>
          <cell r="AD109"/>
        </row>
        <row r="110">
          <cell r="G110" t="str">
            <v>SFLFW2-45A200A</v>
          </cell>
          <cell r="H110"/>
          <cell r="I110"/>
          <cell r="J110" t="str">
            <v>JZSP-CL2N603-□</v>
          </cell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 t="str">
            <v>JZSP-CLP70-□-ER</v>
          </cell>
          <cell r="X110"/>
          <cell r="Y110"/>
          <cell r="Z110"/>
          <cell r="AA110"/>
          <cell r="AB110"/>
          <cell r="AC110"/>
          <cell r="AD110"/>
        </row>
        <row r="111">
          <cell r="G111" t="str">
            <v>SFLFW2-45A380A</v>
          </cell>
          <cell r="H111"/>
          <cell r="I111"/>
          <cell r="J111" t="str">
            <v>JZSP-CL2N603-□</v>
          </cell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 t="str">
            <v>JZSP-CLP70-□-ER</v>
          </cell>
          <cell r="X111"/>
          <cell r="Y111"/>
          <cell r="Z111"/>
          <cell r="AA111"/>
          <cell r="AB111"/>
          <cell r="AC111"/>
          <cell r="AD111"/>
        </row>
        <row r="112">
          <cell r="G112" t="str">
            <v>SFLFW2-90A200A</v>
          </cell>
          <cell r="H112"/>
          <cell r="I112"/>
          <cell r="J112" t="str">
            <v>JZSP-CL2N503-□</v>
          </cell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 t="str">
            <v>JZSP-CLP70-□-ER</v>
          </cell>
          <cell r="X112"/>
          <cell r="Y112"/>
          <cell r="Z112"/>
          <cell r="AA112"/>
          <cell r="AB112"/>
          <cell r="AC112"/>
          <cell r="AD112"/>
        </row>
        <row r="113">
          <cell r="G113" t="str">
            <v>SFLFW2-90A380A</v>
          </cell>
          <cell r="H113"/>
          <cell r="I113"/>
          <cell r="J113" t="str">
            <v>JZSP-CL2N503-□</v>
          </cell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 t="str">
            <v>JZSP-CLP70-□-ER</v>
          </cell>
          <cell r="X113"/>
          <cell r="Y113"/>
          <cell r="Z113"/>
          <cell r="AA113"/>
          <cell r="AB113"/>
          <cell r="AC113"/>
          <cell r="AD113"/>
        </row>
        <row r="114">
          <cell r="G114" t="str">
            <v>SFLFW2-90A560A</v>
          </cell>
          <cell r="H114"/>
          <cell r="I114"/>
          <cell r="J114" t="str">
            <v>JZSP-CL2N503-□</v>
          </cell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 t="str">
            <v>JZSP-CLP70-□-ER</v>
          </cell>
          <cell r="X114"/>
          <cell r="Y114"/>
          <cell r="Z114"/>
          <cell r="AA114"/>
          <cell r="AB114"/>
          <cell r="AC114"/>
          <cell r="AD114"/>
        </row>
        <row r="115">
          <cell r="G115" t="str">
            <v>SFLFW2-1DA380A</v>
          </cell>
          <cell r="H115"/>
          <cell r="I115"/>
          <cell r="J115" t="str">
            <v>JZSP-CL2N503-□</v>
          </cell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 t="str">
            <v>JZSP-CLP70-□-ER</v>
          </cell>
          <cell r="X115"/>
          <cell r="Y115"/>
          <cell r="Z115"/>
          <cell r="AA115"/>
          <cell r="AB115"/>
          <cell r="AC115"/>
          <cell r="AD115"/>
        </row>
        <row r="116">
          <cell r="G116" t="str">
            <v>SFLFW2-1DA560A</v>
          </cell>
          <cell r="H116"/>
          <cell r="I116"/>
          <cell r="J116" t="str">
            <v>JZSP-CL2N503-□</v>
          </cell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 t="str">
            <v>JZSP-CLP70-□-ER</v>
          </cell>
          <cell r="X116"/>
          <cell r="Y116"/>
          <cell r="Z116"/>
          <cell r="AA116"/>
          <cell r="AB116"/>
          <cell r="AC116"/>
          <cell r="AD116"/>
        </row>
        <row r="117">
          <cell r="G117" t="str">
            <v>SGLFW-20A090A</v>
          </cell>
          <cell r="H117"/>
          <cell r="I117"/>
          <cell r="J117" t="str">
            <v>JZSP-CLN11-01-E</v>
          </cell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 t="str">
            <v>JZSP-CLP70-□-ER</v>
          </cell>
          <cell r="X117"/>
          <cell r="Y117"/>
          <cell r="Z117"/>
          <cell r="AA117"/>
          <cell r="AB117"/>
          <cell r="AC117"/>
          <cell r="AD117"/>
        </row>
        <row r="118">
          <cell r="G118" t="str">
            <v>SGLFW-20A120A</v>
          </cell>
          <cell r="H118"/>
          <cell r="I118"/>
          <cell r="J118" t="str">
            <v>JZSP-CLN11-01-E</v>
          </cell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 t="str">
            <v>JZSP-CLP70-□-ER</v>
          </cell>
          <cell r="X118"/>
          <cell r="Y118"/>
          <cell r="Z118"/>
          <cell r="AA118"/>
          <cell r="AB118"/>
          <cell r="AC118"/>
          <cell r="AD118"/>
        </row>
        <row r="119">
          <cell r="G119" t="str">
            <v>SGLFW-35A120A</v>
          </cell>
          <cell r="H119"/>
          <cell r="I119"/>
          <cell r="J119" t="str">
            <v>JZSP-CLN11-01-E</v>
          </cell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 t="str">
            <v>JZSP-CLP70-□-ER</v>
          </cell>
          <cell r="X119"/>
          <cell r="Y119"/>
          <cell r="Z119"/>
          <cell r="AA119"/>
          <cell r="AB119"/>
          <cell r="AC119"/>
          <cell r="AD119"/>
        </row>
        <row r="120">
          <cell r="G120" t="str">
            <v>SGLFW-35A230AP</v>
          </cell>
          <cell r="H120"/>
          <cell r="I120"/>
          <cell r="J120" t="str">
            <v>JZSP-CLN11-01-E</v>
          </cell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 t="str">
            <v>JZSP-CLP70-□-ER</v>
          </cell>
          <cell r="X120"/>
          <cell r="Y120"/>
          <cell r="Z120"/>
          <cell r="AA120"/>
          <cell r="AB120"/>
          <cell r="AC120"/>
          <cell r="AD120"/>
        </row>
        <row r="121">
          <cell r="G121" t="str">
            <v>SGLFW-50A200BP</v>
          </cell>
          <cell r="H121"/>
          <cell r="I121"/>
          <cell r="J121" t="str">
            <v>JZSP-CLN21-01-E</v>
          </cell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 t="str">
            <v>JZSP-CLP70-□-ER</v>
          </cell>
          <cell r="X121"/>
          <cell r="Y121"/>
          <cell r="Z121"/>
          <cell r="AA121"/>
          <cell r="AB121"/>
          <cell r="AC121"/>
          <cell r="AD121"/>
        </row>
        <row r="122">
          <cell r="G122" t="str">
            <v>SGLFW-50A380BP</v>
          </cell>
          <cell r="H122"/>
          <cell r="I122"/>
          <cell r="J122" t="str">
            <v>JZSP-CLN21-01-E</v>
          </cell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 t="str">
            <v>JZSP-CLP70-□-ER</v>
          </cell>
          <cell r="X122"/>
          <cell r="Y122"/>
          <cell r="Z122"/>
          <cell r="AA122"/>
          <cell r="AB122"/>
          <cell r="AC122"/>
          <cell r="AD122"/>
        </row>
        <row r="123">
          <cell r="G123" t="str">
            <v>SGLFW-1ZA200BP</v>
          </cell>
          <cell r="H123"/>
          <cell r="I123"/>
          <cell r="J123" t="str">
            <v>JZSP-CLN21-01-E</v>
          </cell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 t="str">
            <v>JZSP-CLP70-□-ER</v>
          </cell>
          <cell r="X123"/>
          <cell r="Y123"/>
          <cell r="Z123"/>
          <cell r="AA123"/>
          <cell r="AB123"/>
          <cell r="AC123"/>
          <cell r="AD123"/>
        </row>
        <row r="124">
          <cell r="G124" t="str">
            <v>SGLFW-1ZA380BP</v>
          </cell>
          <cell r="H124"/>
          <cell r="I124"/>
          <cell r="J124" t="str">
            <v>JZSP-CLN21-01-E</v>
          </cell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 t="str">
            <v>JZSP-CLP70-□-ER</v>
          </cell>
          <cell r="X124"/>
          <cell r="Y124"/>
          <cell r="Z124"/>
          <cell r="AA124"/>
          <cell r="AB124"/>
          <cell r="AC124"/>
          <cell r="AD124"/>
        </row>
        <row r="125">
          <cell r="G125" t="str">
            <v>SGLTW-20A170A</v>
          </cell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 t="str">
            <v>JZSP-CLP70-□-ER</v>
          </cell>
          <cell r="X125"/>
          <cell r="Y125"/>
          <cell r="Z125"/>
          <cell r="AA125"/>
          <cell r="AB125"/>
          <cell r="AC125"/>
          <cell r="AD125"/>
        </row>
        <row r="126"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</row>
        <row r="127"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</row>
        <row r="128"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</row>
        <row r="129"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</row>
        <row r="130"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</row>
        <row r="131"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</row>
        <row r="132"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</row>
        <row r="133"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</row>
        <row r="134"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</row>
        <row r="135"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</row>
        <row r="136"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</row>
        <row r="137"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</row>
        <row r="138"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</row>
        <row r="139"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</row>
        <row r="140"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</row>
        <row r="141">
          <cell r="G141" t="str">
            <v>ND250-95-</v>
          </cell>
          <cell r="H141"/>
          <cell r="I141"/>
          <cell r="J141" t="str">
            <v>NCR-XBBEA-150</v>
          </cell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 t="str">
            <v>NCR-XBGGA-150</v>
          </cell>
          <cell r="X141"/>
          <cell r="Y141"/>
          <cell r="Z141"/>
          <cell r="AA141"/>
          <cell r="AB141"/>
          <cell r="AC141"/>
          <cell r="AD141"/>
        </row>
        <row r="142"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</row>
        <row r="143">
          <cell r="G143" t="str">
            <v>ND400-70-</v>
          </cell>
          <cell r="H143"/>
          <cell r="I143"/>
          <cell r="J143" t="str">
            <v>NCR-XBBEA-150</v>
          </cell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 t="str">
            <v>NCR-XBGGA-150</v>
          </cell>
          <cell r="X143"/>
          <cell r="Y143"/>
          <cell r="Z143"/>
          <cell r="AA143"/>
          <cell r="AB143"/>
          <cell r="AC143"/>
          <cell r="AD143"/>
        </row>
        <row r="144">
          <cell r="G144" t="str">
            <v>ND400-70L</v>
          </cell>
          <cell r="H144"/>
          <cell r="I144"/>
          <cell r="J144" t="str">
            <v>NCR-XBBEA-150</v>
          </cell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 t="str">
            <v>NCR-XBGGA-150</v>
          </cell>
          <cell r="X144"/>
          <cell r="Y144"/>
          <cell r="Z144"/>
          <cell r="AA144"/>
          <cell r="AB144"/>
          <cell r="AC144"/>
          <cell r="AD144"/>
        </row>
        <row r="145">
          <cell r="G145" t="str">
            <v>ND400-95L</v>
          </cell>
          <cell r="H145"/>
          <cell r="I145"/>
          <cell r="J145" t="str">
            <v>NCR-XBBEA-150</v>
          </cell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 t="str">
            <v>NCR-XBGGA-150</v>
          </cell>
          <cell r="X145"/>
          <cell r="Y145"/>
          <cell r="Z145"/>
          <cell r="AA145"/>
          <cell r="AB145"/>
          <cell r="AC145"/>
          <cell r="AD145"/>
        </row>
        <row r="146"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</row>
        <row r="147"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</row>
        <row r="148"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</row>
        <row r="149"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</row>
        <row r="150"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</row>
        <row r="151">
          <cell r="G151"/>
          <cell r="H151"/>
          <cell r="I151"/>
          <cell r="J151"/>
          <cell r="K151"/>
          <cell r="L151" t="str">
            <v>VPH 2.2KW (Mechatrolink3)
NCR-HE2222A-A-000</v>
          </cell>
          <cell r="M151" t="str">
            <v>ND400-70LSP (ABS)
NMR-SUEJA2A-182AP</v>
          </cell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</row>
        <row r="152"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</row>
        <row r="153"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</row>
        <row r="154"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</row>
        <row r="155"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</row>
        <row r="156"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</row>
        <row r="157"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6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8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10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N26:AM35"/>
  <sheetViews>
    <sheetView showGridLines="0" view="pageBreakPreview" topLeftCell="A10" zoomScale="85" zoomScaleNormal="85" zoomScaleSheetLayoutView="85" workbookViewId="0">
      <selection activeCell="BA7" sqref="BA7"/>
    </sheetView>
  </sheetViews>
  <sheetFormatPr defaultColWidth="2.68359375" defaultRowHeight="11.7"/>
  <cols>
    <col min="1" max="16384" width="2.68359375" style="1"/>
  </cols>
  <sheetData>
    <row r="26" spans="14:39" ht="12" customHeight="1">
      <c r="N26" s="2"/>
      <c r="O26" s="2"/>
      <c r="P26" s="2"/>
      <c r="Q26" s="2"/>
      <c r="R26" s="2"/>
      <c r="S26" s="2"/>
      <c r="T26" s="352" t="s">
        <v>65</v>
      </c>
      <c r="U26" s="352"/>
      <c r="V26" s="352"/>
      <c r="W26" s="352"/>
      <c r="X26" s="352"/>
      <c r="Y26" s="352"/>
      <c r="Z26" s="352"/>
      <c r="AA26" s="352"/>
      <c r="AB26" s="352"/>
      <c r="AC26" s="352"/>
      <c r="AD26" s="352"/>
      <c r="AE26" s="352"/>
      <c r="AF26" s="352"/>
      <c r="AG26" s="352"/>
      <c r="AH26" s="352"/>
      <c r="AI26" s="2"/>
      <c r="AJ26" s="2"/>
      <c r="AK26" s="2"/>
      <c r="AL26" s="2"/>
      <c r="AM26" s="2"/>
    </row>
    <row r="27" spans="14:39" ht="12" customHeight="1">
      <c r="N27" s="2"/>
      <c r="O27" s="2"/>
      <c r="P27" s="2"/>
      <c r="Q27" s="2"/>
      <c r="R27" s="2"/>
      <c r="S27" s="2"/>
      <c r="T27" s="352"/>
      <c r="U27" s="352"/>
      <c r="V27" s="352"/>
      <c r="W27" s="352"/>
      <c r="X27" s="352"/>
      <c r="Y27" s="352"/>
      <c r="Z27" s="352"/>
      <c r="AA27" s="352"/>
      <c r="AB27" s="352"/>
      <c r="AC27" s="352"/>
      <c r="AD27" s="352"/>
      <c r="AE27" s="352"/>
      <c r="AF27" s="352"/>
      <c r="AG27" s="352"/>
      <c r="AH27" s="352"/>
      <c r="AI27" s="2"/>
      <c r="AJ27" s="2"/>
      <c r="AK27" s="2"/>
      <c r="AL27" s="2"/>
      <c r="AM27" s="2"/>
    </row>
    <row r="28" spans="14:39" ht="12" customHeight="1">
      <c r="T28" s="3"/>
      <c r="U28" s="3"/>
    </row>
    <row r="29" spans="14:39" ht="12" customHeight="1">
      <c r="R29" s="353" t="s">
        <v>30</v>
      </c>
      <c r="S29" s="354"/>
      <c r="T29" s="354"/>
      <c r="U29" s="355"/>
      <c r="V29" s="362" t="s">
        <v>31</v>
      </c>
      <c r="W29" s="363"/>
      <c r="X29" s="363"/>
      <c r="Y29" s="363"/>
      <c r="Z29" s="364"/>
      <c r="AA29" s="362" t="s">
        <v>32</v>
      </c>
      <c r="AB29" s="363"/>
      <c r="AC29" s="363"/>
      <c r="AD29" s="363"/>
      <c r="AE29" s="364"/>
      <c r="AF29" s="362" t="s">
        <v>33</v>
      </c>
      <c r="AG29" s="363"/>
      <c r="AH29" s="363"/>
      <c r="AI29" s="363"/>
      <c r="AJ29" s="368"/>
    </row>
    <row r="30" spans="14:39" ht="12" customHeight="1">
      <c r="R30" s="356"/>
      <c r="S30" s="357"/>
      <c r="T30" s="357"/>
      <c r="U30" s="358"/>
      <c r="V30" s="365"/>
      <c r="W30" s="366"/>
      <c r="X30" s="366"/>
      <c r="Y30" s="366"/>
      <c r="Z30" s="367"/>
      <c r="AA30" s="365"/>
      <c r="AB30" s="366"/>
      <c r="AC30" s="366"/>
      <c r="AD30" s="366"/>
      <c r="AE30" s="367"/>
      <c r="AF30" s="365"/>
      <c r="AG30" s="366"/>
      <c r="AH30" s="366"/>
      <c r="AI30" s="366"/>
      <c r="AJ30" s="369"/>
    </row>
    <row r="31" spans="14:39" ht="12" customHeight="1">
      <c r="R31" s="356"/>
      <c r="S31" s="357"/>
      <c r="T31" s="357"/>
      <c r="U31" s="358"/>
      <c r="V31" s="370"/>
      <c r="W31" s="371"/>
      <c r="X31" s="371"/>
      <c r="Y31" s="371"/>
      <c r="Z31" s="372"/>
      <c r="AA31" s="379"/>
      <c r="AB31" s="380"/>
      <c r="AC31" s="380"/>
      <c r="AD31" s="380"/>
      <c r="AE31" s="381"/>
      <c r="AF31" s="388"/>
      <c r="AG31" s="389"/>
      <c r="AH31" s="389"/>
      <c r="AI31" s="389"/>
      <c r="AJ31" s="390"/>
    </row>
    <row r="32" spans="14:39">
      <c r="R32" s="356"/>
      <c r="S32" s="357"/>
      <c r="T32" s="357"/>
      <c r="U32" s="358"/>
      <c r="V32" s="373"/>
      <c r="W32" s="374"/>
      <c r="X32" s="374"/>
      <c r="Y32" s="374"/>
      <c r="Z32" s="375"/>
      <c r="AA32" s="382"/>
      <c r="AB32" s="383"/>
      <c r="AC32" s="383"/>
      <c r="AD32" s="383"/>
      <c r="AE32" s="384"/>
      <c r="AF32" s="391"/>
      <c r="AG32" s="392"/>
      <c r="AH32" s="392"/>
      <c r="AI32" s="392"/>
      <c r="AJ32" s="393"/>
    </row>
    <row r="33" spans="14:39" ht="12" customHeight="1">
      <c r="N33" s="5"/>
      <c r="O33" s="5"/>
      <c r="P33" s="5"/>
      <c r="Q33" s="5"/>
      <c r="R33" s="356"/>
      <c r="S33" s="357"/>
      <c r="T33" s="357"/>
      <c r="U33" s="358"/>
      <c r="V33" s="373"/>
      <c r="W33" s="374"/>
      <c r="X33" s="374"/>
      <c r="Y33" s="374"/>
      <c r="Z33" s="375"/>
      <c r="AA33" s="382"/>
      <c r="AB33" s="383"/>
      <c r="AC33" s="383"/>
      <c r="AD33" s="383"/>
      <c r="AE33" s="384"/>
      <c r="AF33" s="391"/>
      <c r="AG33" s="392"/>
      <c r="AH33" s="392"/>
      <c r="AI33" s="392"/>
      <c r="AJ33" s="393"/>
      <c r="AK33" s="5"/>
      <c r="AL33" s="5"/>
      <c r="AM33" s="5"/>
    </row>
    <row r="34" spans="14:39" ht="17.25" customHeight="1">
      <c r="N34" s="5"/>
      <c r="O34" s="5"/>
      <c r="P34" s="5"/>
      <c r="Q34" s="5"/>
      <c r="R34" s="359"/>
      <c r="S34" s="360"/>
      <c r="T34" s="360"/>
      <c r="U34" s="361"/>
      <c r="V34" s="376"/>
      <c r="W34" s="377"/>
      <c r="X34" s="377"/>
      <c r="Y34" s="377"/>
      <c r="Z34" s="378"/>
      <c r="AA34" s="385"/>
      <c r="AB34" s="386"/>
      <c r="AC34" s="386"/>
      <c r="AD34" s="386"/>
      <c r="AE34" s="387"/>
      <c r="AF34" s="394"/>
      <c r="AG34" s="395"/>
      <c r="AH34" s="395"/>
      <c r="AI34" s="395"/>
      <c r="AJ34" s="396"/>
      <c r="AK34" s="5"/>
      <c r="AL34" s="5"/>
      <c r="AM34" s="5"/>
    </row>
    <row r="35" spans="14:39" ht="17.25" customHeight="1">
      <c r="N35" s="5"/>
      <c r="O35" s="5"/>
      <c r="P35" s="5"/>
      <c r="Q35" s="5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5"/>
      <c r="AL35" s="5"/>
      <c r="AM35" s="5"/>
    </row>
  </sheetData>
  <mergeCells count="8">
    <mergeCell ref="T26:AH27"/>
    <mergeCell ref="R29:U34"/>
    <mergeCell ref="V29:Z30"/>
    <mergeCell ref="AA29:AE30"/>
    <mergeCell ref="AF29:AJ30"/>
    <mergeCell ref="V31:Z34"/>
    <mergeCell ref="AA31:AE34"/>
    <mergeCell ref="AF31:AJ34"/>
  </mergeCells>
  <phoneticPr fontId="3"/>
  <printOptions horizontalCentered="1" verticalCentered="1"/>
  <pageMargins left="0.59" right="0.59" top="0.59" bottom="0.59" header="0.31" footer="0.31"/>
  <pageSetup paperSize="9" scale="7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7EA3-0410-46F6-98FE-B13C8873172F}">
  <sheetPr>
    <tabColor theme="7" tint="0.39997558519241921"/>
  </sheetPr>
  <dimension ref="A1:W64"/>
  <sheetViews>
    <sheetView showGridLines="0" view="pageBreakPreview" topLeftCell="B1" zoomScale="70" zoomScaleNormal="85" zoomScaleSheetLayoutView="70" workbookViewId="0">
      <selection activeCell="G24" sqref="G24:G25"/>
    </sheetView>
  </sheetViews>
  <sheetFormatPr defaultColWidth="2.68359375" defaultRowHeight="13.5" customHeight="1"/>
  <cols>
    <col min="1" max="3" width="2.41796875" style="57" customWidth="1"/>
    <col min="4" max="5" width="5.7890625" style="57" customWidth="1"/>
    <col min="6" max="6" width="30.20703125" style="57" customWidth="1"/>
    <col min="7" max="7" width="28.7890625" style="57" customWidth="1"/>
    <col min="8" max="8" width="60.89453125" style="57" bestFit="1" customWidth="1"/>
    <col min="9" max="9" width="17.7890625" style="57" customWidth="1"/>
    <col min="10" max="10" width="5" style="57" customWidth="1"/>
    <col min="11" max="11" width="4.1015625" style="57" customWidth="1"/>
    <col min="12" max="12" width="7" style="57" customWidth="1"/>
    <col min="13" max="13" width="41" style="57" customWidth="1"/>
    <col min="14" max="14" width="9.7890625" style="58" customWidth="1"/>
    <col min="15" max="16" width="11.7890625" style="58" customWidth="1"/>
    <col min="17" max="17" width="12.7890625" style="57" customWidth="1"/>
    <col min="18" max="18" width="9.7890625" style="57" customWidth="1"/>
    <col min="19" max="19" width="20.7890625" style="57" customWidth="1"/>
    <col min="20" max="20" width="2.68359375" style="57" customWidth="1"/>
    <col min="21" max="21" width="6" style="57" customWidth="1"/>
    <col min="22" max="23" width="2.68359375" style="57"/>
    <col min="24" max="24" width="19.20703125" style="57" customWidth="1"/>
    <col min="25" max="16384" width="2.68359375" style="57"/>
  </cols>
  <sheetData>
    <row r="1" spans="1:23" ht="5.25" customHeight="1"/>
    <row r="2" spans="1:23" ht="21" customHeight="1" thickBot="1">
      <c r="A2" s="57" t="s">
        <v>314</v>
      </c>
    </row>
    <row r="3" spans="1:23" ht="3.75" customHeight="1" thickTop="1" thickBo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60"/>
      <c r="P3" s="60"/>
      <c r="Q3" s="59"/>
      <c r="R3" s="59"/>
      <c r="S3" s="59"/>
      <c r="T3" s="59"/>
      <c r="U3" s="59"/>
      <c r="V3" s="59"/>
      <c r="W3" s="59"/>
    </row>
    <row r="4" spans="1:23" ht="20.55" customHeight="1" thickTop="1">
      <c r="C4" s="57" t="s">
        <v>315</v>
      </c>
      <c r="H4" s="427" t="s">
        <v>327</v>
      </c>
      <c r="I4" s="427"/>
      <c r="J4" s="427"/>
      <c r="K4" s="427"/>
      <c r="L4" s="427"/>
      <c r="M4" s="427"/>
      <c r="N4" s="427"/>
      <c r="S4" s="58" t="s">
        <v>53</v>
      </c>
    </row>
    <row r="5" spans="1:23" ht="20.55" customHeight="1">
      <c r="H5" s="428"/>
      <c r="I5" s="428"/>
      <c r="J5" s="428"/>
      <c r="K5" s="428"/>
      <c r="L5" s="428"/>
      <c r="M5" s="428"/>
      <c r="N5" s="428"/>
      <c r="S5" s="58" t="s">
        <v>54</v>
      </c>
    </row>
    <row r="6" spans="1:23" ht="19.95" customHeight="1" thickBot="1">
      <c r="D6" s="61" t="s">
        <v>395</v>
      </c>
      <c r="N6" s="57"/>
      <c r="O6" s="57"/>
      <c r="P6" s="57"/>
      <c r="S6" s="58" t="s">
        <v>55</v>
      </c>
    </row>
    <row r="7" spans="1:23" ht="19.95" customHeight="1">
      <c r="D7" s="415" t="s">
        <v>56</v>
      </c>
      <c r="E7" s="429" t="s">
        <v>72</v>
      </c>
      <c r="F7" s="417" t="s">
        <v>73</v>
      </c>
      <c r="G7" s="417" t="s">
        <v>74</v>
      </c>
      <c r="H7" s="417" t="s">
        <v>75</v>
      </c>
      <c r="I7" s="401" t="s">
        <v>197</v>
      </c>
      <c r="J7" s="62"/>
      <c r="K7" s="62"/>
      <c r="L7" s="62"/>
      <c r="M7" s="398" t="s">
        <v>348</v>
      </c>
      <c r="N7" s="398"/>
      <c r="O7" s="398"/>
      <c r="P7" s="398"/>
      <c r="Q7" s="398" t="s">
        <v>349</v>
      </c>
      <c r="R7" s="398"/>
      <c r="S7" s="399"/>
    </row>
    <row r="8" spans="1:23" ht="20.100000000000001" customHeight="1" thickBot="1">
      <c r="D8" s="416"/>
      <c r="E8" s="402"/>
      <c r="F8" s="418"/>
      <c r="G8" s="418"/>
      <c r="H8" s="418"/>
      <c r="I8" s="402"/>
      <c r="J8" s="63"/>
      <c r="K8" s="63"/>
      <c r="L8" s="63"/>
      <c r="M8" s="64" t="s">
        <v>76</v>
      </c>
      <c r="N8" s="65" t="s">
        <v>77</v>
      </c>
      <c r="O8" s="400" t="s">
        <v>78</v>
      </c>
      <c r="P8" s="400"/>
      <c r="Q8" s="64" t="s">
        <v>76</v>
      </c>
      <c r="R8" s="65" t="s">
        <v>77</v>
      </c>
      <c r="S8" s="66" t="s">
        <v>79</v>
      </c>
    </row>
    <row r="9" spans="1:23" ht="17.55" customHeight="1">
      <c r="D9" s="419">
        <v>1</v>
      </c>
      <c r="E9" s="406" t="s">
        <v>328</v>
      </c>
      <c r="F9" s="43" t="s">
        <v>329</v>
      </c>
      <c r="G9" s="43" t="s">
        <v>332</v>
      </c>
      <c r="H9" s="165" t="s">
        <v>334</v>
      </c>
      <c r="I9" s="174"/>
      <c r="J9" s="43"/>
      <c r="K9" s="43"/>
      <c r="L9" s="52"/>
      <c r="M9" s="40"/>
      <c r="N9" s="44"/>
      <c r="O9" s="424"/>
      <c r="P9" s="424"/>
      <c r="Q9" s="44"/>
      <c r="R9" s="44"/>
      <c r="S9" s="45"/>
    </row>
    <row r="10" spans="1:23" ht="20.100000000000001" customHeight="1">
      <c r="D10" s="420"/>
      <c r="E10" s="422"/>
      <c r="F10" s="53" t="s">
        <v>330</v>
      </c>
      <c r="G10" s="53" t="s">
        <v>333</v>
      </c>
      <c r="H10" s="166" t="s">
        <v>335</v>
      </c>
      <c r="I10" s="164"/>
      <c r="J10" s="54"/>
      <c r="K10" s="42"/>
      <c r="L10" s="46"/>
      <c r="M10" s="47"/>
      <c r="N10" s="32"/>
      <c r="O10" s="425"/>
      <c r="P10" s="425"/>
      <c r="Q10" s="32"/>
      <c r="R10" s="32"/>
      <c r="S10" s="48"/>
    </row>
    <row r="11" spans="1:23" ht="20.100000000000001" customHeight="1">
      <c r="D11" s="420"/>
      <c r="E11" s="422"/>
      <c r="F11" s="53" t="s">
        <v>331</v>
      </c>
      <c r="G11" s="53" t="s">
        <v>333</v>
      </c>
      <c r="H11" s="54" t="s">
        <v>337</v>
      </c>
      <c r="I11" s="175"/>
      <c r="J11" s="54"/>
      <c r="K11" s="42"/>
      <c r="L11" s="46"/>
      <c r="M11" s="47"/>
      <c r="N11" s="32"/>
      <c r="O11" s="425"/>
      <c r="P11" s="425"/>
      <c r="Q11" s="32"/>
      <c r="R11" s="32"/>
      <c r="S11" s="48"/>
    </row>
    <row r="12" spans="1:23" ht="20.100000000000001" customHeight="1">
      <c r="D12" s="420"/>
      <c r="E12" s="422"/>
      <c r="F12" s="21"/>
      <c r="G12" s="21"/>
      <c r="H12" s="23"/>
      <c r="I12" s="50"/>
      <c r="J12" s="42"/>
      <c r="K12" s="42"/>
      <c r="L12" s="46"/>
      <c r="M12" s="47"/>
      <c r="N12" s="32"/>
      <c r="O12" s="425"/>
      <c r="P12" s="425"/>
      <c r="Q12" s="32"/>
      <c r="R12" s="32"/>
      <c r="S12" s="48"/>
    </row>
    <row r="13" spans="1:23" ht="20.100000000000001" customHeight="1">
      <c r="D13" s="420"/>
      <c r="E13" s="422"/>
      <c r="F13" s="21"/>
      <c r="G13" s="21"/>
      <c r="H13" s="21" t="s">
        <v>306</v>
      </c>
      <c r="I13" s="22"/>
      <c r="J13" s="42"/>
      <c r="K13" s="42"/>
      <c r="L13" s="46"/>
      <c r="M13" s="47"/>
      <c r="N13" s="32"/>
      <c r="O13" s="425"/>
      <c r="P13" s="425"/>
      <c r="Q13" s="32"/>
      <c r="R13" s="32"/>
      <c r="S13" s="48"/>
    </row>
    <row r="14" spans="1:23" ht="20.100000000000001" customHeight="1">
      <c r="D14" s="420"/>
      <c r="E14" s="422"/>
      <c r="F14" s="42"/>
      <c r="G14" s="42"/>
      <c r="H14" s="32"/>
      <c r="I14" s="49"/>
      <c r="J14" s="42"/>
      <c r="K14" s="42"/>
      <c r="L14" s="46"/>
      <c r="M14" s="47"/>
      <c r="N14" s="32"/>
      <c r="O14" s="425"/>
      <c r="P14" s="425"/>
      <c r="Q14" s="32"/>
      <c r="R14" s="32"/>
      <c r="S14" s="48"/>
    </row>
    <row r="15" spans="1:23" ht="20.100000000000001" customHeight="1">
      <c r="D15" s="420"/>
      <c r="E15" s="422"/>
      <c r="F15" s="42"/>
      <c r="G15" s="42"/>
      <c r="H15" s="42"/>
      <c r="I15" s="16"/>
      <c r="J15" s="42"/>
      <c r="K15" s="42"/>
      <c r="L15" s="46"/>
      <c r="M15" s="47"/>
      <c r="N15" s="32"/>
      <c r="O15" s="425"/>
      <c r="P15" s="425"/>
      <c r="Q15" s="32"/>
      <c r="R15" s="32"/>
      <c r="S15" s="48"/>
    </row>
    <row r="16" spans="1:23" ht="20.100000000000001" customHeight="1" thickBot="1">
      <c r="D16" s="421"/>
      <c r="E16" s="423"/>
      <c r="F16" s="19"/>
      <c r="G16" s="19"/>
      <c r="H16" s="19"/>
      <c r="I16" s="19"/>
      <c r="J16" s="19"/>
      <c r="K16" s="19"/>
      <c r="L16" s="55"/>
      <c r="M16" s="56"/>
      <c r="N16" s="26"/>
      <c r="O16" s="426"/>
      <c r="P16" s="426"/>
      <c r="Q16" s="26"/>
      <c r="R16" s="26"/>
      <c r="S16" s="51"/>
    </row>
    <row r="17" spans="4:19" ht="19.95" customHeight="1">
      <c r="D17" s="415" t="s">
        <v>56</v>
      </c>
      <c r="E17" s="417" t="s">
        <v>72</v>
      </c>
      <c r="F17" s="417" t="s">
        <v>73</v>
      </c>
      <c r="G17" s="417" t="s">
        <v>80</v>
      </c>
      <c r="H17" s="417" t="s">
        <v>81</v>
      </c>
      <c r="I17" s="401" t="s">
        <v>197</v>
      </c>
      <c r="J17" s="62"/>
      <c r="K17" s="62"/>
      <c r="L17" s="67"/>
      <c r="M17" s="397" t="s">
        <v>348</v>
      </c>
      <c r="N17" s="398"/>
      <c r="O17" s="398"/>
      <c r="P17" s="398"/>
      <c r="Q17" s="398" t="s">
        <v>349</v>
      </c>
      <c r="R17" s="398"/>
      <c r="S17" s="399"/>
    </row>
    <row r="18" spans="4:19" ht="20.100000000000001" customHeight="1" thickBot="1">
      <c r="D18" s="416"/>
      <c r="E18" s="418"/>
      <c r="F18" s="418"/>
      <c r="G18" s="418"/>
      <c r="H18" s="418"/>
      <c r="I18" s="402"/>
      <c r="J18" s="63"/>
      <c r="K18" s="63"/>
      <c r="L18" s="68"/>
      <c r="M18" s="69" t="s">
        <v>76</v>
      </c>
      <c r="N18" s="65" t="s">
        <v>77</v>
      </c>
      <c r="O18" s="400" t="s">
        <v>78</v>
      </c>
      <c r="P18" s="400"/>
      <c r="Q18" s="64" t="s">
        <v>76</v>
      </c>
      <c r="R18" s="65" t="s">
        <v>77</v>
      </c>
      <c r="S18" s="66" t="s">
        <v>79</v>
      </c>
    </row>
    <row r="19" spans="4:19" ht="20.100000000000001" customHeight="1">
      <c r="D19" s="404" t="s">
        <v>66</v>
      </c>
      <c r="E19" s="406" t="s">
        <v>67</v>
      </c>
      <c r="F19" s="410" t="s">
        <v>340</v>
      </c>
      <c r="G19" s="93" t="s">
        <v>343</v>
      </c>
      <c r="H19" s="94" t="s">
        <v>728</v>
      </c>
      <c r="I19" s="94"/>
      <c r="J19" s="95"/>
      <c r="K19" s="95"/>
      <c r="L19" s="95"/>
      <c r="M19" s="100"/>
      <c r="N19" s="96"/>
      <c r="O19" s="409"/>
      <c r="P19" s="409"/>
      <c r="Q19" s="96"/>
      <c r="R19" s="96"/>
      <c r="S19" s="97"/>
    </row>
    <row r="20" spans="4:19" ht="20.100000000000001" customHeight="1">
      <c r="D20" s="405"/>
      <c r="E20" s="407"/>
      <c r="F20" s="411"/>
      <c r="G20" s="22" t="s">
        <v>344</v>
      </c>
      <c r="H20" s="98" t="s">
        <v>338</v>
      </c>
      <c r="I20" s="98"/>
      <c r="J20" s="16"/>
      <c r="K20" s="16"/>
      <c r="L20" s="16"/>
      <c r="M20" s="90"/>
      <c r="N20" s="49"/>
      <c r="O20" s="403"/>
      <c r="P20" s="403"/>
      <c r="Q20" s="49"/>
      <c r="R20" s="49"/>
      <c r="S20" s="48"/>
    </row>
    <row r="21" spans="4:19" ht="20.100000000000001" customHeight="1">
      <c r="D21" s="405"/>
      <c r="E21" s="408"/>
      <c r="F21" s="412"/>
      <c r="G21" s="22" t="s">
        <v>718</v>
      </c>
      <c r="H21" s="98"/>
      <c r="I21" s="98"/>
      <c r="J21" s="16"/>
      <c r="K21" s="16"/>
      <c r="L21" s="16"/>
      <c r="M21" s="90"/>
      <c r="N21" s="49"/>
      <c r="O21" s="347"/>
      <c r="P21" s="347"/>
      <c r="Q21" s="49"/>
      <c r="R21" s="49"/>
      <c r="S21" s="48"/>
    </row>
    <row r="22" spans="4:19" ht="20.100000000000001" customHeight="1">
      <c r="D22" s="405"/>
      <c r="E22" s="407"/>
      <c r="F22" s="413" t="s">
        <v>341</v>
      </c>
      <c r="G22" s="22" t="s">
        <v>343</v>
      </c>
      <c r="H22" s="98"/>
      <c r="I22" s="98"/>
      <c r="J22" s="22"/>
      <c r="K22" s="22"/>
      <c r="L22" s="22"/>
      <c r="M22" s="163"/>
      <c r="N22" s="49"/>
      <c r="O22" s="403"/>
      <c r="P22" s="403"/>
      <c r="Q22" s="49"/>
      <c r="R22" s="49"/>
      <c r="S22" s="48"/>
    </row>
    <row r="23" spans="4:19" ht="20.100000000000001" customHeight="1">
      <c r="D23" s="405"/>
      <c r="E23" s="407"/>
      <c r="F23" s="414"/>
      <c r="G23" s="22" t="s">
        <v>344</v>
      </c>
      <c r="H23" s="98"/>
      <c r="I23" s="98"/>
      <c r="J23" s="22"/>
      <c r="K23" s="22"/>
      <c r="L23" s="22"/>
      <c r="M23" s="163"/>
      <c r="N23" s="49"/>
      <c r="O23" s="403"/>
      <c r="P23" s="403"/>
      <c r="Q23" s="49"/>
      <c r="R23" s="49"/>
      <c r="S23" s="48"/>
    </row>
    <row r="24" spans="4:19" ht="20.100000000000001" customHeight="1">
      <c r="D24" s="405"/>
      <c r="E24" s="407"/>
      <c r="F24" s="403" t="s">
        <v>393</v>
      </c>
      <c r="G24" s="22" t="s">
        <v>343</v>
      </c>
      <c r="H24" s="98" t="s">
        <v>719</v>
      </c>
      <c r="I24" s="98"/>
      <c r="J24" s="22"/>
      <c r="K24" s="22"/>
      <c r="L24" s="22"/>
      <c r="M24" s="163"/>
      <c r="N24" s="49"/>
      <c r="O24" s="403"/>
      <c r="P24" s="403"/>
      <c r="Q24" s="49"/>
      <c r="R24" s="49"/>
      <c r="S24" s="48"/>
    </row>
    <row r="25" spans="4:19" ht="20.100000000000001" customHeight="1">
      <c r="D25" s="405"/>
      <c r="E25" s="407"/>
      <c r="F25" s="403"/>
      <c r="G25" s="22" t="s">
        <v>344</v>
      </c>
      <c r="H25" s="98" t="s">
        <v>720</v>
      </c>
      <c r="I25" s="98"/>
      <c r="J25" s="22"/>
      <c r="K25" s="22"/>
      <c r="L25" s="22"/>
      <c r="M25" s="163"/>
      <c r="N25" s="49"/>
      <c r="O25" s="403"/>
      <c r="P25" s="403"/>
      <c r="Q25" s="49"/>
      <c r="R25" s="49"/>
      <c r="S25" s="48"/>
    </row>
    <row r="26" spans="4:19" ht="20.100000000000001" customHeight="1">
      <c r="D26" s="405"/>
      <c r="E26" s="407"/>
      <c r="F26" s="403"/>
      <c r="G26" s="22" t="s">
        <v>345</v>
      </c>
      <c r="H26" s="98" t="s">
        <v>721</v>
      </c>
      <c r="I26" s="98"/>
      <c r="J26" s="22"/>
      <c r="K26" s="22"/>
      <c r="L26" s="22"/>
      <c r="M26" s="163"/>
      <c r="N26" s="49"/>
      <c r="O26" s="403"/>
      <c r="P26" s="403"/>
      <c r="Q26" s="49"/>
      <c r="R26" s="49"/>
      <c r="S26" s="48"/>
    </row>
    <row r="27" spans="4:19" ht="20.100000000000001" customHeight="1">
      <c r="D27" s="405"/>
      <c r="E27" s="407"/>
      <c r="F27" s="403"/>
      <c r="G27" s="22" t="s">
        <v>346</v>
      </c>
      <c r="H27" s="98"/>
      <c r="I27" s="98"/>
      <c r="J27" s="22"/>
      <c r="K27" s="22"/>
      <c r="L27" s="22"/>
      <c r="M27" s="89"/>
      <c r="N27" s="49"/>
      <c r="O27" s="403"/>
      <c r="P27" s="403"/>
      <c r="Q27" s="49"/>
      <c r="R27" s="49"/>
      <c r="S27" s="48"/>
    </row>
    <row r="28" spans="4:19" ht="20.100000000000001" customHeight="1">
      <c r="D28" s="58"/>
      <c r="E28" s="58"/>
      <c r="F28" s="58"/>
      <c r="G28" s="58"/>
      <c r="H28" s="58"/>
      <c r="I28" s="58"/>
      <c r="J28" s="58"/>
      <c r="K28" s="58"/>
      <c r="L28" s="58"/>
      <c r="M28" s="70"/>
      <c r="O28" s="71"/>
      <c r="P28" s="71"/>
      <c r="Q28" s="58"/>
      <c r="R28" s="58"/>
      <c r="S28" s="58"/>
    </row>
    <row r="29" spans="4:19" ht="20.100000000000001" customHeight="1"/>
    <row r="30" spans="4:19" ht="20.100000000000001" customHeight="1" thickBot="1">
      <c r="D30" s="78"/>
      <c r="E30" s="78"/>
      <c r="F30" s="79"/>
      <c r="G30" s="79"/>
      <c r="H30" s="79"/>
      <c r="I30" s="79"/>
      <c r="J30" s="79"/>
      <c r="K30" s="79"/>
      <c r="L30" s="79"/>
      <c r="M30" s="80"/>
      <c r="N30" s="78"/>
      <c r="O30" s="81"/>
      <c r="P30" s="82"/>
      <c r="Q30" s="80"/>
      <c r="R30" s="78"/>
      <c r="S30" s="81"/>
    </row>
    <row r="31" spans="4:19" ht="19.95" customHeight="1"/>
    <row r="32" spans="4:19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</sheetData>
  <mergeCells count="42">
    <mergeCell ref="H4:N5"/>
    <mergeCell ref="D7:D8"/>
    <mergeCell ref="E7:E8"/>
    <mergeCell ref="F7:F8"/>
    <mergeCell ref="G7:G8"/>
    <mergeCell ref="H7:H8"/>
    <mergeCell ref="M7:P7"/>
    <mergeCell ref="Q7:S7"/>
    <mergeCell ref="O8:P8"/>
    <mergeCell ref="D9:D16"/>
    <mergeCell ref="E9:E16"/>
    <mergeCell ref="O9:P9"/>
    <mergeCell ref="O10:P10"/>
    <mergeCell ref="O11:P11"/>
    <mergeCell ref="O12:P12"/>
    <mergeCell ref="O13:P13"/>
    <mergeCell ref="O14:P14"/>
    <mergeCell ref="O15:P15"/>
    <mergeCell ref="O16:P16"/>
    <mergeCell ref="I7:I8"/>
    <mergeCell ref="D17:D18"/>
    <mergeCell ref="E17:E18"/>
    <mergeCell ref="F17:F18"/>
    <mergeCell ref="G17:G18"/>
    <mergeCell ref="H17:H18"/>
    <mergeCell ref="O27:P27"/>
    <mergeCell ref="D19:D27"/>
    <mergeCell ref="E19:E27"/>
    <mergeCell ref="O19:P19"/>
    <mergeCell ref="O20:P20"/>
    <mergeCell ref="O22:P22"/>
    <mergeCell ref="O23:P23"/>
    <mergeCell ref="F24:F27"/>
    <mergeCell ref="O25:P25"/>
    <mergeCell ref="O26:P26"/>
    <mergeCell ref="F19:F21"/>
    <mergeCell ref="F22:F23"/>
    <mergeCell ref="M17:P17"/>
    <mergeCell ref="Q17:S17"/>
    <mergeCell ref="O18:P18"/>
    <mergeCell ref="I17:I18"/>
    <mergeCell ref="O24:P24"/>
  </mergeCells>
  <phoneticPr fontId="2" type="noConversion"/>
  <dataValidations count="1">
    <dataValidation type="list" allowBlank="1" showInputMessage="1" showErrorMessage="1" sqref="R9:R16 N30 R30 N9:N16 N19:N27 R19:R27" xr:uid="{19588294-45C9-4C2F-881C-AC66BB3F6551}">
      <formula1>$S$4:$S$6</formula1>
    </dataValidation>
  </dataValidations>
  <pageMargins left="0.39" right="0.39" top="0.59" bottom="0.59" header="0.12" footer="0.31"/>
  <pageSetup paperSize="8" scale="47" orientation="portrait" horizontalDpi="300" verticalDpi="300" r:id="rId1"/>
  <headerFooter alignWithMargins="0">
    <oddHeader>&amp;L&amp;G&amp;R&amp;8&amp;A</oddHeader>
    <oddFooter>&amp;C&amp;9&amp;[&amp;P</oddFooter>
  </headerFooter>
  <rowBreaks count="1" manualBreakCount="1">
    <brk id="28" max="21" man="1"/>
  </rowBreaks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39997558519241921"/>
  </sheetPr>
  <dimension ref="A1:V202"/>
  <sheetViews>
    <sheetView showGridLines="0" tabSelected="1" view="pageBreakPreview" topLeftCell="D12" zoomScale="85" zoomScaleNormal="85" zoomScaleSheetLayoutView="85" workbookViewId="0">
      <selection activeCell="H29" sqref="H29"/>
    </sheetView>
  </sheetViews>
  <sheetFormatPr defaultColWidth="2.68359375" defaultRowHeight="13.5" customHeight="1"/>
  <cols>
    <col min="1" max="3" width="2.41796875" style="57" customWidth="1"/>
    <col min="4" max="5" width="5.7890625" style="57" customWidth="1"/>
    <col min="6" max="6" width="30.20703125" style="57" customWidth="1"/>
    <col min="7" max="7" width="28.7890625" style="57" customWidth="1"/>
    <col min="8" max="8" width="60.89453125" style="57" bestFit="1" customWidth="1"/>
    <col min="9" max="9" width="5" style="57" customWidth="1"/>
    <col min="10" max="10" width="4.1015625" style="57" customWidth="1"/>
    <col min="11" max="11" width="7" style="57" customWidth="1"/>
    <col min="12" max="12" width="41" style="57" customWidth="1"/>
    <col min="13" max="13" width="9.7890625" style="58" customWidth="1"/>
    <col min="14" max="15" width="11.7890625" style="58" customWidth="1"/>
    <col min="16" max="16" width="12.7890625" style="57" customWidth="1"/>
    <col min="17" max="17" width="9.7890625" style="57" customWidth="1"/>
    <col min="18" max="18" width="20.7890625" style="57" customWidth="1"/>
    <col min="19" max="19" width="2.68359375" style="57" customWidth="1"/>
    <col min="20" max="20" width="6" style="57" customWidth="1"/>
    <col min="21" max="22" width="2.68359375" style="57"/>
    <col min="23" max="23" width="19.20703125" style="57" customWidth="1"/>
    <col min="24" max="16384" width="2.68359375" style="57"/>
  </cols>
  <sheetData>
    <row r="1" spans="1:22" ht="5.25" customHeight="1"/>
    <row r="2" spans="1:22" ht="21" customHeight="1" thickBot="1">
      <c r="A2" s="57" t="s">
        <v>316</v>
      </c>
    </row>
    <row r="3" spans="1:22" ht="3.75" customHeight="1" thickTop="1" thickBo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60"/>
      <c r="N3" s="60"/>
      <c r="O3" s="60"/>
      <c r="P3" s="59"/>
      <c r="Q3" s="59"/>
      <c r="R3" s="59"/>
      <c r="S3" s="59"/>
      <c r="T3" s="59"/>
      <c r="U3" s="59"/>
      <c r="V3" s="59"/>
    </row>
    <row r="4" spans="1:22" ht="20.55" customHeight="1" thickTop="1">
      <c r="C4" s="57" t="s">
        <v>315</v>
      </c>
      <c r="H4" s="427" t="s">
        <v>327</v>
      </c>
      <c r="I4" s="427"/>
      <c r="J4" s="427"/>
      <c r="K4" s="427"/>
      <c r="L4" s="427"/>
      <c r="M4" s="427"/>
      <c r="R4" s="58" t="s">
        <v>53</v>
      </c>
    </row>
    <row r="5" spans="1:22" ht="20.55" customHeight="1">
      <c r="H5" s="428"/>
      <c r="I5" s="428"/>
      <c r="J5" s="428"/>
      <c r="K5" s="428"/>
      <c r="L5" s="428"/>
      <c r="M5" s="428"/>
      <c r="R5" s="58" t="s">
        <v>54</v>
      </c>
    </row>
    <row r="6" spans="1:22" ht="19.95" customHeight="1" thickBot="1">
      <c r="D6" s="61" t="s">
        <v>395</v>
      </c>
      <c r="M6" s="57"/>
      <c r="N6" s="57"/>
      <c r="O6" s="57"/>
      <c r="R6" s="58" t="s">
        <v>55</v>
      </c>
    </row>
    <row r="7" spans="1:22" ht="19.95" customHeight="1">
      <c r="D7" s="415" t="s">
        <v>56</v>
      </c>
      <c r="E7" s="429" t="s">
        <v>72</v>
      </c>
      <c r="F7" s="417" t="s">
        <v>73</v>
      </c>
      <c r="G7" s="417" t="s">
        <v>74</v>
      </c>
      <c r="H7" s="417" t="s">
        <v>75</v>
      </c>
      <c r="I7" s="62"/>
      <c r="J7" s="62"/>
      <c r="K7" s="62"/>
      <c r="L7" s="398" t="s">
        <v>348</v>
      </c>
      <c r="M7" s="398"/>
      <c r="N7" s="398"/>
      <c r="O7" s="398"/>
      <c r="P7" s="398" t="s">
        <v>349</v>
      </c>
      <c r="Q7" s="398"/>
      <c r="R7" s="399"/>
    </row>
    <row r="8" spans="1:22" ht="20.100000000000001" customHeight="1" thickBot="1">
      <c r="D8" s="416"/>
      <c r="E8" s="402"/>
      <c r="F8" s="418"/>
      <c r="G8" s="418"/>
      <c r="H8" s="418"/>
      <c r="I8" s="63"/>
      <c r="J8" s="63"/>
      <c r="K8" s="63"/>
      <c r="L8" s="64" t="s">
        <v>76</v>
      </c>
      <c r="M8" s="65" t="s">
        <v>77</v>
      </c>
      <c r="N8" s="400" t="s">
        <v>78</v>
      </c>
      <c r="O8" s="400"/>
      <c r="P8" s="64" t="s">
        <v>76</v>
      </c>
      <c r="Q8" s="65" t="s">
        <v>77</v>
      </c>
      <c r="R8" s="66" t="s">
        <v>79</v>
      </c>
    </row>
    <row r="9" spans="1:22" ht="17.55" customHeight="1">
      <c r="D9" s="419">
        <v>1</v>
      </c>
      <c r="E9" s="406" t="s">
        <v>328</v>
      </c>
      <c r="F9" s="43" t="s">
        <v>329</v>
      </c>
      <c r="G9" s="43" t="s">
        <v>332</v>
      </c>
      <c r="H9" s="165" t="s">
        <v>334</v>
      </c>
      <c r="I9" s="43"/>
      <c r="J9" s="43"/>
      <c r="K9" s="52"/>
      <c r="L9" s="40"/>
      <c r="M9" s="44"/>
      <c r="N9" s="424"/>
      <c r="O9" s="424"/>
      <c r="P9" s="44"/>
      <c r="Q9" s="44"/>
      <c r="R9" s="45"/>
    </row>
    <row r="10" spans="1:22" ht="20.100000000000001" customHeight="1">
      <c r="D10" s="420"/>
      <c r="E10" s="422"/>
      <c r="F10" s="53" t="s">
        <v>330</v>
      </c>
      <c r="G10" s="53" t="s">
        <v>333</v>
      </c>
      <c r="H10" s="166" t="s">
        <v>335</v>
      </c>
      <c r="I10" s="54"/>
      <c r="J10" s="42"/>
      <c r="K10" s="46"/>
      <c r="L10" s="47"/>
      <c r="M10" s="32"/>
      <c r="N10" s="425"/>
      <c r="O10" s="425"/>
      <c r="P10" s="32"/>
      <c r="Q10" s="32"/>
      <c r="R10" s="48"/>
    </row>
    <row r="11" spans="1:22" ht="20.100000000000001" customHeight="1">
      <c r="D11" s="420"/>
      <c r="E11" s="422"/>
      <c r="F11" s="53" t="s">
        <v>331</v>
      </c>
      <c r="G11" s="53" t="s">
        <v>333</v>
      </c>
      <c r="H11" s="54" t="s">
        <v>337</v>
      </c>
      <c r="I11" s="54"/>
      <c r="J11" s="42"/>
      <c r="K11" s="46"/>
      <c r="L11" s="47"/>
      <c r="M11" s="32"/>
      <c r="N11" s="425"/>
      <c r="O11" s="425"/>
      <c r="P11" s="32"/>
      <c r="Q11" s="32"/>
      <c r="R11" s="48"/>
    </row>
    <row r="12" spans="1:22" ht="20.100000000000001" customHeight="1">
      <c r="D12" s="420"/>
      <c r="E12" s="422"/>
      <c r="F12" s="21"/>
      <c r="G12" s="21"/>
      <c r="H12" s="166"/>
      <c r="I12" s="42"/>
      <c r="J12" s="42"/>
      <c r="K12" s="46"/>
      <c r="L12" s="47"/>
      <c r="M12" s="32"/>
      <c r="N12" s="425"/>
      <c r="O12" s="425"/>
      <c r="P12" s="32"/>
      <c r="Q12" s="32"/>
      <c r="R12" s="48"/>
    </row>
    <row r="13" spans="1:22" ht="20.100000000000001" customHeight="1">
      <c r="D13" s="420"/>
      <c r="E13" s="422"/>
      <c r="F13" s="21"/>
      <c r="G13" s="21"/>
      <c r="H13" s="171"/>
      <c r="I13" s="42"/>
      <c r="J13" s="42"/>
      <c r="K13" s="46"/>
      <c r="L13" s="47"/>
      <c r="M13" s="32"/>
      <c r="N13" s="425"/>
      <c r="O13" s="425"/>
      <c r="P13" s="32"/>
      <c r="Q13" s="32"/>
      <c r="R13" s="48"/>
    </row>
    <row r="14" spans="1:22" ht="20.100000000000001" customHeight="1">
      <c r="D14" s="420"/>
      <c r="E14" s="422"/>
      <c r="F14" s="42"/>
      <c r="G14" s="42"/>
      <c r="H14" s="172"/>
      <c r="I14" s="42"/>
      <c r="J14" s="42"/>
      <c r="K14" s="46"/>
      <c r="L14" s="47"/>
      <c r="M14" s="32"/>
      <c r="N14" s="425"/>
      <c r="O14" s="425"/>
      <c r="P14" s="32"/>
      <c r="Q14" s="32"/>
      <c r="R14" s="48"/>
    </row>
    <row r="15" spans="1:22" ht="20.100000000000001" customHeight="1">
      <c r="D15" s="420"/>
      <c r="E15" s="422"/>
      <c r="F15" s="42"/>
      <c r="G15" s="42"/>
      <c r="H15" s="173"/>
      <c r="I15" s="42"/>
      <c r="J15" s="42"/>
      <c r="K15" s="46"/>
      <c r="L15" s="47"/>
      <c r="M15" s="32"/>
      <c r="N15" s="425"/>
      <c r="O15" s="425"/>
      <c r="P15" s="32"/>
      <c r="Q15" s="32"/>
      <c r="R15" s="48"/>
    </row>
    <row r="16" spans="1:22" ht="20.100000000000001" customHeight="1" thickBot="1">
      <c r="D16" s="421"/>
      <c r="E16" s="423"/>
      <c r="F16" s="19"/>
      <c r="G16" s="19"/>
      <c r="H16" s="20"/>
      <c r="I16" s="19"/>
      <c r="J16" s="19"/>
      <c r="K16" s="55"/>
      <c r="L16" s="56"/>
      <c r="M16" s="26"/>
      <c r="N16" s="426"/>
      <c r="O16" s="426"/>
      <c r="P16" s="26"/>
      <c r="Q16" s="26"/>
      <c r="R16" s="51"/>
    </row>
    <row r="17" spans="4:19" ht="19.95" customHeight="1">
      <c r="D17" s="415" t="s">
        <v>56</v>
      </c>
      <c r="E17" s="417" t="s">
        <v>72</v>
      </c>
      <c r="F17" s="417" t="s">
        <v>73</v>
      </c>
      <c r="G17" s="417" t="s">
        <v>80</v>
      </c>
      <c r="H17" s="417" t="s">
        <v>81</v>
      </c>
      <c r="I17" s="62"/>
      <c r="J17" s="62"/>
      <c r="K17" s="67"/>
      <c r="L17" s="397" t="s">
        <v>348</v>
      </c>
      <c r="M17" s="398"/>
      <c r="N17" s="398"/>
      <c r="O17" s="398"/>
      <c r="P17" s="398" t="s">
        <v>349</v>
      </c>
      <c r="Q17" s="398"/>
      <c r="R17" s="399"/>
    </row>
    <row r="18" spans="4:19" ht="20.100000000000001" customHeight="1" thickBot="1">
      <c r="D18" s="416"/>
      <c r="E18" s="418"/>
      <c r="F18" s="418"/>
      <c r="G18" s="418"/>
      <c r="H18" s="418"/>
      <c r="I18" s="63"/>
      <c r="J18" s="63"/>
      <c r="K18" s="68"/>
      <c r="L18" s="69" t="s">
        <v>76</v>
      </c>
      <c r="M18" s="65" t="s">
        <v>77</v>
      </c>
      <c r="N18" s="400" t="s">
        <v>78</v>
      </c>
      <c r="O18" s="400"/>
      <c r="P18" s="64" t="s">
        <v>76</v>
      </c>
      <c r="Q18" s="65" t="s">
        <v>77</v>
      </c>
      <c r="R18" s="66" t="s">
        <v>79</v>
      </c>
    </row>
    <row r="19" spans="4:19" ht="20.100000000000001" customHeight="1">
      <c r="D19" s="404" t="s">
        <v>66</v>
      </c>
      <c r="E19" s="406" t="s">
        <v>67</v>
      </c>
      <c r="F19" s="465" t="s">
        <v>340</v>
      </c>
      <c r="G19" s="140" t="s">
        <v>343</v>
      </c>
      <c r="H19" s="94" t="s">
        <v>728</v>
      </c>
      <c r="I19" s="140"/>
      <c r="J19" s="140"/>
      <c r="K19" s="158"/>
      <c r="L19" s="159"/>
      <c r="M19" s="148"/>
      <c r="N19" s="462"/>
      <c r="O19" s="462"/>
      <c r="P19" s="148"/>
      <c r="Q19" s="148"/>
      <c r="R19" s="45"/>
    </row>
    <row r="20" spans="4:19" ht="20.100000000000001" customHeight="1">
      <c r="D20" s="405"/>
      <c r="E20" s="407"/>
      <c r="F20" s="452"/>
      <c r="G20" s="16" t="s">
        <v>344</v>
      </c>
      <c r="H20" s="85" t="s">
        <v>727</v>
      </c>
      <c r="I20" s="16"/>
      <c r="J20" s="16"/>
      <c r="K20" s="46"/>
      <c r="L20" s="47"/>
      <c r="M20" s="49"/>
      <c r="N20" s="403"/>
      <c r="O20" s="403"/>
      <c r="P20" s="49"/>
      <c r="Q20" s="49"/>
      <c r="R20" s="48"/>
    </row>
    <row r="21" spans="4:19" ht="20.100000000000001" customHeight="1">
      <c r="D21" s="405"/>
      <c r="E21" s="408"/>
      <c r="F21" s="453"/>
      <c r="G21" s="22" t="s">
        <v>718</v>
      </c>
      <c r="H21" s="98"/>
      <c r="I21" s="98"/>
      <c r="J21" s="16"/>
      <c r="K21" s="16"/>
      <c r="L21" s="16"/>
      <c r="M21" s="90"/>
      <c r="N21" s="49"/>
      <c r="O21" s="347"/>
      <c r="P21" s="347"/>
      <c r="Q21" s="49"/>
      <c r="R21" s="49"/>
      <c r="S21" s="48"/>
    </row>
    <row r="22" spans="4:19" ht="20.100000000000001" customHeight="1">
      <c r="D22" s="405"/>
      <c r="E22" s="407"/>
      <c r="F22" s="403" t="s">
        <v>394</v>
      </c>
      <c r="G22" s="16" t="s">
        <v>343</v>
      </c>
      <c r="H22" s="85" t="s">
        <v>548</v>
      </c>
      <c r="I22" s="16"/>
      <c r="J22" s="16"/>
      <c r="K22" s="46"/>
      <c r="L22" s="160"/>
      <c r="M22" s="49"/>
      <c r="N22" s="403"/>
      <c r="O22" s="403"/>
      <c r="P22" s="49"/>
      <c r="Q22" s="49"/>
      <c r="R22" s="48"/>
    </row>
    <row r="23" spans="4:19" ht="20.100000000000001" customHeight="1">
      <c r="D23" s="405"/>
      <c r="E23" s="407"/>
      <c r="F23" s="403"/>
      <c r="G23" s="16" t="s">
        <v>344</v>
      </c>
      <c r="H23" s="348" t="s">
        <v>731</v>
      </c>
      <c r="I23" s="16"/>
      <c r="J23" s="16"/>
      <c r="K23" s="46"/>
      <c r="L23" s="47"/>
      <c r="M23" s="49"/>
      <c r="N23" s="403"/>
      <c r="O23" s="403"/>
      <c r="P23" s="49"/>
      <c r="Q23" s="49"/>
      <c r="R23" s="48"/>
    </row>
    <row r="24" spans="4:19" ht="20.100000000000001" customHeight="1">
      <c r="D24" s="405"/>
      <c r="E24" s="407"/>
      <c r="F24" s="403"/>
      <c r="G24" s="16" t="s">
        <v>345</v>
      </c>
      <c r="H24" s="595" t="s">
        <v>732</v>
      </c>
      <c r="I24" s="16"/>
      <c r="J24" s="16"/>
      <c r="K24" s="46"/>
      <c r="L24" s="47"/>
      <c r="M24" s="49"/>
      <c r="N24" s="403"/>
      <c r="O24" s="403"/>
      <c r="P24" s="49"/>
      <c r="Q24" s="49"/>
      <c r="R24" s="48"/>
    </row>
    <row r="25" spans="4:19" ht="20.100000000000001" customHeight="1">
      <c r="D25" s="405"/>
      <c r="E25" s="407"/>
      <c r="F25" s="403"/>
      <c r="G25" s="16" t="s">
        <v>346</v>
      </c>
      <c r="H25" s="348" t="s">
        <v>733</v>
      </c>
      <c r="I25" s="16"/>
      <c r="J25" s="16"/>
      <c r="K25" s="46"/>
      <c r="L25" s="47"/>
      <c r="M25" s="49"/>
      <c r="N25" s="403"/>
      <c r="O25" s="403"/>
      <c r="P25" s="49"/>
      <c r="Q25" s="49"/>
      <c r="R25" s="48"/>
    </row>
    <row r="26" spans="4:19" ht="20.100000000000001" customHeight="1">
      <c r="D26" s="405"/>
      <c r="E26" s="407"/>
      <c r="F26" s="450" t="s">
        <v>347</v>
      </c>
      <c r="G26" s="450" t="s">
        <v>679</v>
      </c>
      <c r="H26" s="348" t="s">
        <v>676</v>
      </c>
      <c r="I26" s="596">
        <v>33</v>
      </c>
      <c r="J26" s="16"/>
      <c r="K26" s="46"/>
      <c r="L26" s="160"/>
      <c r="M26" s="49"/>
      <c r="N26" s="403"/>
      <c r="O26" s="403"/>
      <c r="P26" s="49"/>
      <c r="Q26" s="49"/>
      <c r="R26" s="48"/>
    </row>
    <row r="27" spans="4:19" ht="20.100000000000001" customHeight="1">
      <c r="D27" s="405"/>
      <c r="E27" s="407"/>
      <c r="F27" s="451"/>
      <c r="G27" s="451"/>
      <c r="H27" s="348" t="s">
        <v>677</v>
      </c>
      <c r="I27" s="596">
        <v>34</v>
      </c>
      <c r="J27" s="16"/>
      <c r="K27" s="46"/>
      <c r="L27" s="160"/>
      <c r="M27" s="49"/>
      <c r="N27" s="403"/>
      <c r="O27" s="403"/>
      <c r="P27" s="49"/>
      <c r="Q27" s="49"/>
      <c r="R27" s="48"/>
    </row>
    <row r="28" spans="4:19" ht="20.100000000000001" customHeight="1">
      <c r="D28" s="405"/>
      <c r="E28" s="407"/>
      <c r="F28" s="451"/>
      <c r="G28" s="451"/>
      <c r="H28" s="348" t="s">
        <v>678</v>
      </c>
      <c r="I28" s="596">
        <v>35</v>
      </c>
      <c r="J28" s="16"/>
      <c r="K28" s="46"/>
      <c r="L28" s="160"/>
      <c r="M28" s="49"/>
      <c r="N28" s="403"/>
      <c r="O28" s="403"/>
      <c r="P28" s="49"/>
      <c r="Q28" s="49"/>
      <c r="R28" s="48"/>
    </row>
    <row r="29" spans="4:19" ht="20.100000000000001" customHeight="1">
      <c r="D29" s="405"/>
      <c r="E29" s="408"/>
      <c r="F29" s="452"/>
      <c r="G29" s="452"/>
      <c r="H29" s="348" t="s">
        <v>191</v>
      </c>
      <c r="I29" s="596">
        <v>36</v>
      </c>
      <c r="J29" s="16"/>
      <c r="K29" s="46"/>
      <c r="L29" s="160"/>
      <c r="M29" s="49"/>
      <c r="N29" s="347"/>
      <c r="O29" s="347"/>
      <c r="P29" s="49"/>
      <c r="Q29" s="49"/>
      <c r="R29" s="48"/>
    </row>
    <row r="30" spans="4:19" ht="20.100000000000001" customHeight="1">
      <c r="D30" s="405"/>
      <c r="E30" s="407"/>
      <c r="F30" s="451"/>
      <c r="G30" s="451"/>
      <c r="H30" s="348" t="s">
        <v>738</v>
      </c>
      <c r="I30" s="596">
        <v>37</v>
      </c>
      <c r="J30" s="16"/>
      <c r="K30" s="46"/>
      <c r="L30" s="160"/>
      <c r="M30" s="49"/>
      <c r="N30" s="403"/>
      <c r="O30" s="403"/>
      <c r="P30" s="49"/>
      <c r="Q30" s="49"/>
      <c r="R30" s="48"/>
    </row>
    <row r="31" spans="4:19" ht="20.100000000000001" customHeight="1">
      <c r="D31" s="405"/>
      <c r="E31" s="407"/>
      <c r="F31" s="451"/>
      <c r="G31" s="451"/>
      <c r="H31" s="348" t="s">
        <v>739</v>
      </c>
      <c r="I31" s="596">
        <v>38</v>
      </c>
      <c r="J31" s="16"/>
      <c r="K31" s="46"/>
      <c r="L31" s="160"/>
      <c r="M31" s="49"/>
      <c r="N31" s="403"/>
      <c r="O31" s="403"/>
      <c r="P31" s="49"/>
      <c r="Q31" s="49"/>
      <c r="R31" s="48"/>
    </row>
    <row r="32" spans="4:19" ht="20.100000000000001" customHeight="1">
      <c r="D32" s="405"/>
      <c r="E32" s="407"/>
      <c r="F32" s="451"/>
      <c r="G32" s="451"/>
      <c r="H32" s="348" t="s">
        <v>740</v>
      </c>
      <c r="I32" s="596">
        <v>39</v>
      </c>
      <c r="J32" s="16"/>
      <c r="K32" s="46"/>
      <c r="L32" s="160"/>
      <c r="M32" s="49"/>
      <c r="N32" s="403"/>
      <c r="O32" s="403"/>
      <c r="P32" s="49"/>
      <c r="Q32" s="49"/>
      <c r="R32" s="48"/>
    </row>
    <row r="33" spans="4:18" ht="20.100000000000001" customHeight="1">
      <c r="D33" s="405"/>
      <c r="E33" s="407"/>
      <c r="F33" s="451"/>
      <c r="G33" s="451"/>
      <c r="H33" s="348" t="s">
        <v>741</v>
      </c>
      <c r="I33" s="596">
        <v>40</v>
      </c>
      <c r="J33" s="16"/>
      <c r="K33" s="46"/>
      <c r="L33" s="160"/>
      <c r="M33" s="49"/>
      <c r="N33" s="403"/>
      <c r="O33" s="403"/>
      <c r="P33" s="49"/>
      <c r="Q33" s="49"/>
      <c r="R33" s="48"/>
    </row>
    <row r="34" spans="4:18" ht="20.100000000000001" hidden="1" customHeight="1">
      <c r="D34" s="405"/>
      <c r="E34" s="407"/>
      <c r="F34" s="451"/>
      <c r="G34" s="451"/>
      <c r="H34" s="85" t="s">
        <v>190</v>
      </c>
      <c r="I34" s="596"/>
      <c r="J34" s="16"/>
      <c r="K34" s="46"/>
      <c r="L34" s="160"/>
      <c r="M34" s="49"/>
      <c r="N34" s="403"/>
      <c r="O34" s="403"/>
      <c r="P34" s="49"/>
      <c r="Q34" s="49"/>
      <c r="R34" s="48"/>
    </row>
    <row r="35" spans="4:18" ht="20.100000000000001" hidden="1" customHeight="1">
      <c r="D35" s="405"/>
      <c r="E35" s="407"/>
      <c r="F35" s="451"/>
      <c r="G35" s="451"/>
      <c r="H35" s="85" t="s">
        <v>148</v>
      </c>
      <c r="I35" s="596"/>
      <c r="J35" s="16"/>
      <c r="K35" s="46"/>
      <c r="L35" s="160"/>
      <c r="M35" s="49"/>
      <c r="N35" s="403"/>
      <c r="O35" s="403"/>
      <c r="P35" s="49"/>
      <c r="Q35" s="49"/>
      <c r="R35" s="48"/>
    </row>
    <row r="36" spans="4:18" ht="20.100000000000001" hidden="1" customHeight="1">
      <c r="D36" s="405"/>
      <c r="E36" s="407"/>
      <c r="F36" s="451"/>
      <c r="G36" s="451"/>
      <c r="H36" s="85" t="s">
        <v>149</v>
      </c>
      <c r="I36" s="596"/>
      <c r="J36" s="16"/>
      <c r="K36" s="46"/>
      <c r="L36" s="160"/>
      <c r="M36" s="49"/>
      <c r="N36" s="403"/>
      <c r="O36" s="403"/>
      <c r="P36" s="49"/>
      <c r="Q36" s="49"/>
      <c r="R36" s="48"/>
    </row>
    <row r="37" spans="4:18" ht="20.100000000000001" hidden="1" customHeight="1">
      <c r="D37" s="405"/>
      <c r="E37" s="407"/>
      <c r="F37" s="451"/>
      <c r="G37" s="451"/>
      <c r="H37" s="85" t="s">
        <v>150</v>
      </c>
      <c r="I37" s="596"/>
      <c r="J37" s="16"/>
      <c r="K37" s="46"/>
      <c r="L37" s="160"/>
      <c r="M37" s="49"/>
      <c r="N37" s="403"/>
      <c r="O37" s="403"/>
      <c r="P37" s="49"/>
      <c r="Q37" s="49"/>
      <c r="R37" s="48"/>
    </row>
    <row r="38" spans="4:18" ht="20.100000000000001" hidden="1" customHeight="1">
      <c r="D38" s="405"/>
      <c r="E38" s="407"/>
      <c r="F38" s="451"/>
      <c r="G38" s="451"/>
      <c r="H38" s="85" t="s">
        <v>133</v>
      </c>
      <c r="I38" s="596"/>
      <c r="J38" s="16"/>
      <c r="K38" s="46"/>
      <c r="L38" s="160"/>
      <c r="M38" s="49"/>
      <c r="N38" s="403"/>
      <c r="O38" s="403"/>
      <c r="P38" s="49"/>
      <c r="Q38" s="49"/>
      <c r="R38" s="48"/>
    </row>
    <row r="39" spans="4:18" ht="20.100000000000001" hidden="1" customHeight="1">
      <c r="D39" s="405"/>
      <c r="E39" s="407"/>
      <c r="F39" s="451"/>
      <c r="G39" s="451"/>
      <c r="H39" s="85" t="s">
        <v>134</v>
      </c>
      <c r="I39" s="596"/>
      <c r="J39" s="16"/>
      <c r="K39" s="46"/>
      <c r="L39" s="160"/>
      <c r="M39" s="49"/>
      <c r="N39" s="403"/>
      <c r="O39" s="403"/>
      <c r="P39" s="49"/>
      <c r="Q39" s="49"/>
      <c r="R39" s="48"/>
    </row>
    <row r="40" spans="4:18" ht="20.100000000000001" hidden="1" customHeight="1">
      <c r="D40" s="405"/>
      <c r="E40" s="407"/>
      <c r="F40" s="451"/>
      <c r="G40" s="451"/>
      <c r="H40" s="85" t="s">
        <v>135</v>
      </c>
      <c r="I40" s="596"/>
      <c r="J40" s="16"/>
      <c r="K40" s="46"/>
      <c r="L40" s="160"/>
      <c r="M40" s="49"/>
      <c r="N40" s="403"/>
      <c r="O40" s="403"/>
      <c r="P40" s="49"/>
      <c r="Q40" s="49"/>
      <c r="R40" s="48"/>
    </row>
    <row r="41" spans="4:18" ht="20.100000000000001" hidden="1" customHeight="1">
      <c r="D41" s="405"/>
      <c r="E41" s="407"/>
      <c r="F41" s="451"/>
      <c r="G41" s="451"/>
      <c r="H41" s="85" t="s">
        <v>136</v>
      </c>
      <c r="I41" s="596"/>
      <c r="J41" s="16"/>
      <c r="K41" s="46"/>
      <c r="L41" s="160"/>
      <c r="M41" s="49"/>
      <c r="N41" s="403"/>
      <c r="O41" s="403"/>
      <c r="P41" s="49"/>
      <c r="Q41" s="49"/>
      <c r="R41" s="48"/>
    </row>
    <row r="42" spans="4:18" ht="20.100000000000001" hidden="1" customHeight="1">
      <c r="D42" s="405"/>
      <c r="E42" s="407"/>
      <c r="F42" s="453"/>
      <c r="G42" s="453"/>
      <c r="H42" s="85" t="s">
        <v>137</v>
      </c>
      <c r="I42" s="596"/>
      <c r="J42" s="16"/>
      <c r="K42" s="46"/>
      <c r="L42" s="160"/>
      <c r="M42" s="49"/>
      <c r="N42" s="403"/>
      <c r="O42" s="403"/>
      <c r="P42" s="49"/>
      <c r="Q42" s="49"/>
      <c r="R42" s="48"/>
    </row>
    <row r="43" spans="4:18" ht="20.100000000000001" customHeight="1">
      <c r="D43" s="405"/>
      <c r="E43" s="407"/>
      <c r="F43" s="450" t="s">
        <v>347</v>
      </c>
      <c r="G43" s="450" t="s">
        <v>680</v>
      </c>
      <c r="H43" s="85" t="s">
        <v>351</v>
      </c>
      <c r="I43" s="596">
        <v>17</v>
      </c>
      <c r="J43" s="16"/>
      <c r="K43" s="46"/>
      <c r="L43" s="160"/>
      <c r="M43" s="49"/>
      <c r="N43" s="403"/>
      <c r="O43" s="403"/>
      <c r="P43" s="49"/>
      <c r="Q43" s="49"/>
      <c r="R43" s="48"/>
    </row>
    <row r="44" spans="4:18" ht="20.100000000000001" customHeight="1">
      <c r="D44" s="405"/>
      <c r="E44" s="407"/>
      <c r="F44" s="451"/>
      <c r="G44" s="451"/>
      <c r="H44" s="85" t="s">
        <v>352</v>
      </c>
      <c r="I44" s="596">
        <v>18</v>
      </c>
      <c r="J44" s="16"/>
      <c r="K44" s="46"/>
      <c r="L44" s="160"/>
      <c r="M44" s="49"/>
      <c r="N44" s="403"/>
      <c r="O44" s="403"/>
      <c r="P44" s="49"/>
      <c r="Q44" s="49"/>
      <c r="R44" s="48"/>
    </row>
    <row r="45" spans="4:18" ht="20.100000000000001" customHeight="1">
      <c r="D45" s="405"/>
      <c r="E45" s="407"/>
      <c r="F45" s="451"/>
      <c r="G45" s="451"/>
      <c r="H45" s="85" t="s">
        <v>353</v>
      </c>
      <c r="I45" s="596">
        <v>19</v>
      </c>
      <c r="J45" s="16"/>
      <c r="K45" s="46"/>
      <c r="L45" s="160"/>
      <c r="M45" s="49"/>
      <c r="N45" s="403"/>
      <c r="O45" s="403"/>
      <c r="P45" s="49"/>
      <c r="Q45" s="49"/>
      <c r="R45" s="48"/>
    </row>
    <row r="46" spans="4:18" ht="20.100000000000001" customHeight="1">
      <c r="D46" s="405"/>
      <c r="E46" s="407"/>
      <c r="F46" s="451"/>
      <c r="G46" s="451"/>
      <c r="H46" s="85" t="s">
        <v>354</v>
      </c>
      <c r="I46" s="596">
        <v>20</v>
      </c>
      <c r="J46" s="16"/>
      <c r="K46" s="46"/>
      <c r="L46" s="160"/>
      <c r="M46" s="49"/>
      <c r="N46" s="403"/>
      <c r="O46" s="403"/>
      <c r="P46" s="49"/>
      <c r="Q46" s="49"/>
      <c r="R46" s="48"/>
    </row>
    <row r="47" spans="4:18" ht="20.100000000000001" customHeight="1">
      <c r="D47" s="405"/>
      <c r="E47" s="407"/>
      <c r="F47" s="451"/>
      <c r="G47" s="451"/>
      <c r="H47" s="85" t="s">
        <v>192</v>
      </c>
      <c r="I47" s="596">
        <v>21</v>
      </c>
      <c r="J47" s="16"/>
      <c r="K47" s="46"/>
      <c r="L47" s="160"/>
      <c r="M47" s="49"/>
      <c r="N47" s="403"/>
      <c r="O47" s="403"/>
      <c r="P47" s="49"/>
      <c r="Q47" s="49"/>
      <c r="R47" s="48"/>
    </row>
    <row r="48" spans="4:18" ht="20.100000000000001" customHeight="1">
      <c r="D48" s="405"/>
      <c r="E48" s="407"/>
      <c r="F48" s="451"/>
      <c r="G48" s="451"/>
      <c r="H48" s="85" t="s">
        <v>188</v>
      </c>
      <c r="I48" s="596">
        <v>22</v>
      </c>
      <c r="J48" s="16"/>
      <c r="K48" s="46"/>
      <c r="L48" s="160"/>
      <c r="M48" s="49"/>
      <c r="N48" s="403"/>
      <c r="O48" s="403"/>
      <c r="P48" s="49"/>
      <c r="Q48" s="49"/>
      <c r="R48" s="48"/>
    </row>
    <row r="49" spans="4:18" ht="20.100000000000001" customHeight="1">
      <c r="D49" s="405"/>
      <c r="E49" s="407"/>
      <c r="F49" s="451"/>
      <c r="G49" s="451"/>
      <c r="H49" s="85" t="s">
        <v>189</v>
      </c>
      <c r="I49" s="596">
        <v>23</v>
      </c>
      <c r="J49" s="16"/>
      <c r="K49" s="46"/>
      <c r="L49" s="160"/>
      <c r="M49" s="49"/>
      <c r="N49" s="403"/>
      <c r="O49" s="403"/>
      <c r="P49" s="49"/>
      <c r="Q49" s="49"/>
      <c r="R49" s="48"/>
    </row>
    <row r="50" spans="4:18" ht="20.100000000000001" customHeight="1">
      <c r="D50" s="405"/>
      <c r="E50" s="407"/>
      <c r="F50" s="451"/>
      <c r="G50" s="451"/>
      <c r="H50" s="348" t="s">
        <v>681</v>
      </c>
      <c r="I50" s="596">
        <v>24</v>
      </c>
      <c r="J50" s="16"/>
      <c r="K50" s="46"/>
      <c r="L50" s="160"/>
      <c r="M50" s="49"/>
      <c r="N50" s="403"/>
      <c r="O50" s="403"/>
      <c r="P50" s="49"/>
      <c r="Q50" s="49"/>
      <c r="R50" s="48"/>
    </row>
    <row r="51" spans="4:18" ht="20.100000000000001" customHeight="1">
      <c r="D51" s="405"/>
      <c r="E51" s="407"/>
      <c r="F51" s="451"/>
      <c r="G51" s="451"/>
      <c r="H51" s="348" t="s">
        <v>686</v>
      </c>
      <c r="I51" s="596">
        <v>25</v>
      </c>
      <c r="J51" s="16"/>
      <c r="K51" s="46"/>
      <c r="L51" s="160"/>
      <c r="M51" s="49"/>
      <c r="N51" s="403"/>
      <c r="O51" s="403"/>
      <c r="P51" s="49"/>
      <c r="Q51" s="49"/>
      <c r="R51" s="48"/>
    </row>
    <row r="52" spans="4:18" ht="20.100000000000001" customHeight="1">
      <c r="D52" s="405"/>
      <c r="E52" s="407"/>
      <c r="F52" s="451"/>
      <c r="G52" s="451"/>
      <c r="H52" s="348" t="s">
        <v>687</v>
      </c>
      <c r="I52" s="596">
        <v>26</v>
      </c>
      <c r="J52" s="16"/>
      <c r="K52" s="46"/>
      <c r="L52" s="160"/>
      <c r="M52" s="49"/>
      <c r="N52" s="403"/>
      <c r="O52" s="403"/>
      <c r="P52" s="49"/>
      <c r="Q52" s="49"/>
      <c r="R52" s="48"/>
    </row>
    <row r="53" spans="4:18" ht="20.100000000000001" customHeight="1">
      <c r="D53" s="405"/>
      <c r="E53" s="407"/>
      <c r="F53" s="451"/>
      <c r="G53" s="451"/>
      <c r="H53" s="348" t="s">
        <v>688</v>
      </c>
      <c r="I53" s="596">
        <v>27</v>
      </c>
      <c r="J53" s="16"/>
      <c r="K53" s="46"/>
      <c r="L53" s="160"/>
      <c r="M53" s="49"/>
      <c r="N53" s="403"/>
      <c r="O53" s="403"/>
      <c r="P53" s="49"/>
      <c r="Q53" s="49"/>
      <c r="R53" s="48"/>
    </row>
    <row r="54" spans="4:18" ht="20.100000000000001" customHeight="1">
      <c r="D54" s="405"/>
      <c r="E54" s="407"/>
      <c r="F54" s="451"/>
      <c r="G54" s="451"/>
      <c r="H54" s="348" t="s">
        <v>689</v>
      </c>
      <c r="I54" s="596">
        <v>28</v>
      </c>
      <c r="J54" s="16"/>
      <c r="K54" s="46"/>
      <c r="L54" s="160"/>
      <c r="M54" s="49"/>
      <c r="N54" s="403"/>
      <c r="O54" s="403"/>
      <c r="P54" s="49"/>
      <c r="Q54" s="49"/>
      <c r="R54" s="48"/>
    </row>
    <row r="55" spans="4:18" ht="20.100000000000001" customHeight="1">
      <c r="D55" s="405"/>
      <c r="E55" s="407"/>
      <c r="F55" s="451"/>
      <c r="G55" s="451"/>
      <c r="H55" s="348" t="s">
        <v>690</v>
      </c>
      <c r="I55" s="596">
        <v>29</v>
      </c>
      <c r="J55" s="16"/>
      <c r="K55" s="46"/>
      <c r="L55" s="160"/>
      <c r="M55" s="49"/>
      <c r="N55" s="403"/>
      <c r="O55" s="403"/>
      <c r="P55" s="49"/>
      <c r="Q55" s="49"/>
      <c r="R55" s="48"/>
    </row>
    <row r="56" spans="4:18" ht="20.100000000000001" customHeight="1">
      <c r="D56" s="405"/>
      <c r="E56" s="407"/>
      <c r="F56" s="451"/>
      <c r="G56" s="451"/>
      <c r="H56" s="348" t="s">
        <v>691</v>
      </c>
      <c r="I56" s="596">
        <v>30</v>
      </c>
      <c r="J56" s="16"/>
      <c r="K56" s="46"/>
      <c r="L56" s="160"/>
      <c r="M56" s="49"/>
      <c r="N56" s="403"/>
      <c r="O56" s="403"/>
      <c r="P56" s="49"/>
      <c r="Q56" s="49"/>
      <c r="R56" s="48"/>
    </row>
    <row r="57" spans="4:18" ht="20.100000000000001" customHeight="1">
      <c r="D57" s="405"/>
      <c r="E57" s="407"/>
      <c r="F57" s="451"/>
      <c r="G57" s="451"/>
      <c r="H57" s="348" t="s">
        <v>692</v>
      </c>
      <c r="I57" s="596">
        <v>31</v>
      </c>
      <c r="J57" s="16"/>
      <c r="K57" s="46"/>
      <c r="L57" s="160"/>
      <c r="M57" s="49"/>
      <c r="N57" s="403"/>
      <c r="O57" s="403"/>
      <c r="P57" s="49"/>
      <c r="Q57" s="49"/>
      <c r="R57" s="48"/>
    </row>
    <row r="58" spans="4:18" ht="20.100000000000001" customHeight="1">
      <c r="D58" s="405"/>
      <c r="E58" s="407"/>
      <c r="F58" s="453"/>
      <c r="G58" s="453"/>
      <c r="H58" s="348" t="s">
        <v>151</v>
      </c>
      <c r="I58" s="596">
        <v>32</v>
      </c>
      <c r="J58" s="16"/>
      <c r="K58" s="46"/>
      <c r="L58" s="160"/>
      <c r="M58" s="49"/>
      <c r="N58" s="403"/>
      <c r="O58" s="403"/>
      <c r="P58" s="49"/>
      <c r="Q58" s="49"/>
      <c r="R58" s="48"/>
    </row>
    <row r="59" spans="4:18" ht="20.100000000000001" customHeight="1">
      <c r="D59" s="405"/>
      <c r="E59" s="407"/>
      <c r="F59" s="455" t="s">
        <v>355</v>
      </c>
      <c r="G59" s="16" t="s">
        <v>343</v>
      </c>
      <c r="H59" s="85" t="s">
        <v>371</v>
      </c>
      <c r="I59" s="16"/>
      <c r="J59" s="16"/>
      <c r="K59" s="46"/>
      <c r="L59" s="47"/>
      <c r="M59" s="49"/>
      <c r="N59" s="403"/>
      <c r="O59" s="403"/>
      <c r="P59" s="49"/>
      <c r="Q59" s="49"/>
      <c r="R59" s="48"/>
    </row>
    <row r="60" spans="4:18" ht="20.100000000000001" customHeight="1">
      <c r="D60" s="405"/>
      <c r="E60" s="407"/>
      <c r="F60" s="451"/>
      <c r="G60" s="16" t="s">
        <v>344</v>
      </c>
      <c r="H60" s="85" t="s">
        <v>400</v>
      </c>
      <c r="I60" s="16"/>
      <c r="J60" s="16"/>
      <c r="K60" s="46"/>
      <c r="L60" s="47"/>
      <c r="M60" s="49"/>
      <c r="N60" s="403"/>
      <c r="O60" s="403"/>
      <c r="P60" s="49"/>
      <c r="Q60" s="49"/>
      <c r="R60" s="48"/>
    </row>
    <row r="61" spans="4:18" ht="20.100000000000001" customHeight="1">
      <c r="D61" s="405"/>
      <c r="E61" s="407"/>
      <c r="F61" s="451"/>
      <c r="G61" s="16" t="s">
        <v>345</v>
      </c>
      <c r="H61" s="85"/>
      <c r="I61" s="16"/>
      <c r="J61" s="16"/>
      <c r="K61" s="46"/>
      <c r="L61" s="47"/>
      <c r="M61" s="49"/>
      <c r="N61" s="403"/>
      <c r="O61" s="403"/>
      <c r="P61" s="49"/>
      <c r="Q61" s="49"/>
      <c r="R61" s="48"/>
    </row>
    <row r="62" spans="4:18" ht="20.100000000000001" customHeight="1">
      <c r="D62" s="405"/>
      <c r="E62" s="407"/>
      <c r="F62" s="453"/>
      <c r="G62" s="16" t="s">
        <v>346</v>
      </c>
      <c r="H62" s="85"/>
      <c r="I62" s="16"/>
      <c r="J62" s="16"/>
      <c r="K62" s="46"/>
      <c r="L62" s="47"/>
      <c r="M62" s="49"/>
      <c r="N62" s="403"/>
      <c r="O62" s="403"/>
      <c r="P62" s="49"/>
      <c r="Q62" s="49"/>
      <c r="R62" s="48"/>
    </row>
    <row r="63" spans="4:18" ht="20.100000000000001" customHeight="1">
      <c r="D63" s="405"/>
      <c r="E63" s="407"/>
      <c r="F63" s="455" t="s">
        <v>355</v>
      </c>
      <c r="G63" s="16" t="s">
        <v>343</v>
      </c>
      <c r="H63" s="85" t="s">
        <v>396</v>
      </c>
      <c r="I63" s="16"/>
      <c r="J63" s="16"/>
      <c r="K63" s="46"/>
      <c r="L63" s="47"/>
      <c r="M63" s="49"/>
      <c r="N63" s="403"/>
      <c r="O63" s="403"/>
      <c r="P63" s="49"/>
      <c r="Q63" s="49"/>
      <c r="R63" s="48"/>
    </row>
    <row r="64" spans="4:18" ht="20.100000000000001" customHeight="1">
      <c r="D64" s="405"/>
      <c r="E64" s="407"/>
      <c r="F64" s="451"/>
      <c r="G64" s="16" t="s">
        <v>344</v>
      </c>
      <c r="H64" s="85" t="s">
        <v>398</v>
      </c>
      <c r="I64" s="16"/>
      <c r="J64" s="16"/>
      <c r="K64" s="46"/>
      <c r="L64" s="47"/>
      <c r="M64" s="49"/>
      <c r="N64" s="403"/>
      <c r="O64" s="403"/>
      <c r="P64" s="49"/>
      <c r="Q64" s="49"/>
      <c r="R64" s="48"/>
    </row>
    <row r="65" spans="4:18" ht="20.100000000000001" customHeight="1">
      <c r="D65" s="405"/>
      <c r="E65" s="407"/>
      <c r="F65" s="451"/>
      <c r="G65" s="16" t="s">
        <v>345</v>
      </c>
      <c r="H65" s="85" t="s">
        <v>401</v>
      </c>
      <c r="I65" s="16"/>
      <c r="J65" s="16"/>
      <c r="K65" s="46"/>
      <c r="L65" s="47"/>
      <c r="M65" s="49"/>
      <c r="N65" s="403"/>
      <c r="O65" s="403"/>
      <c r="P65" s="49"/>
      <c r="Q65" s="49"/>
      <c r="R65" s="48"/>
    </row>
    <row r="66" spans="4:18" ht="20.100000000000001" customHeight="1">
      <c r="D66" s="405"/>
      <c r="E66" s="407"/>
      <c r="F66" s="453"/>
      <c r="G66" s="16" t="s">
        <v>346</v>
      </c>
      <c r="H66" s="85" t="s">
        <v>402</v>
      </c>
      <c r="I66" s="16"/>
      <c r="J66" s="16"/>
      <c r="K66" s="46"/>
      <c r="L66" s="47"/>
      <c r="M66" s="49"/>
      <c r="N66" s="403"/>
      <c r="O66" s="403"/>
      <c r="P66" s="49"/>
      <c r="Q66" s="49"/>
      <c r="R66" s="48"/>
    </row>
    <row r="67" spans="4:18" ht="20.100000000000001" customHeight="1">
      <c r="D67" s="464">
        <v>2</v>
      </c>
      <c r="E67" s="463" t="s">
        <v>142</v>
      </c>
      <c r="F67" s="140" t="s">
        <v>383</v>
      </c>
      <c r="G67" s="16" t="s">
        <v>145</v>
      </c>
      <c r="H67" s="162"/>
      <c r="I67" s="16"/>
      <c r="J67" s="16"/>
      <c r="K67" s="46"/>
      <c r="L67" s="47"/>
      <c r="M67" s="49"/>
      <c r="N67" s="403"/>
      <c r="O67" s="403"/>
      <c r="P67" s="49"/>
      <c r="Q67" s="49"/>
      <c r="R67" s="48"/>
    </row>
    <row r="68" spans="4:18" ht="20.100000000000001" customHeight="1">
      <c r="D68" s="433"/>
      <c r="E68" s="407"/>
      <c r="F68" s="140" t="s">
        <v>143</v>
      </c>
      <c r="G68" s="161" t="s">
        <v>144</v>
      </c>
      <c r="H68" s="15" t="s">
        <v>381</v>
      </c>
      <c r="I68" s="16"/>
      <c r="J68" s="16"/>
      <c r="K68" s="46"/>
      <c r="L68" s="47"/>
      <c r="M68" s="49"/>
      <c r="N68" s="403"/>
      <c r="O68" s="403"/>
      <c r="P68" s="49"/>
      <c r="Q68" s="49"/>
      <c r="R68" s="48"/>
    </row>
    <row r="69" spans="4:18" ht="20.100000000000001" customHeight="1">
      <c r="D69" s="433"/>
      <c r="E69" s="407"/>
      <c r="F69" s="140" t="s">
        <v>384</v>
      </c>
      <c r="G69" s="161" t="s">
        <v>146</v>
      </c>
      <c r="H69" s="15" t="s">
        <v>382</v>
      </c>
      <c r="I69" s="16"/>
      <c r="J69" s="16"/>
      <c r="K69" s="46"/>
      <c r="L69" s="47"/>
      <c r="M69" s="49"/>
      <c r="N69" s="403"/>
      <c r="O69" s="403"/>
      <c r="P69" s="49"/>
      <c r="Q69" s="49"/>
      <c r="R69" s="48"/>
    </row>
    <row r="70" spans="4:18" ht="20.100000000000001" customHeight="1">
      <c r="D70" s="433"/>
      <c r="E70" s="407"/>
      <c r="F70" s="140" t="s">
        <v>377</v>
      </c>
      <c r="G70" s="161" t="s">
        <v>138</v>
      </c>
      <c r="H70" s="15" t="s">
        <v>387</v>
      </c>
      <c r="I70" s="16"/>
      <c r="J70" s="16"/>
      <c r="K70" s="46"/>
      <c r="L70" s="47"/>
      <c r="M70" s="49"/>
      <c r="N70" s="403"/>
      <c r="O70" s="403"/>
      <c r="P70" s="49"/>
      <c r="Q70" s="49"/>
      <c r="R70" s="48"/>
    </row>
    <row r="71" spans="4:18" ht="20.100000000000001" customHeight="1">
      <c r="D71" s="433"/>
      <c r="E71" s="407"/>
      <c r="F71" s="140" t="s">
        <v>378</v>
      </c>
      <c r="G71" s="161" t="s">
        <v>138</v>
      </c>
      <c r="H71" s="15" t="s">
        <v>387</v>
      </c>
      <c r="I71" s="16"/>
      <c r="J71" s="16"/>
      <c r="K71" s="46"/>
      <c r="L71" s="47"/>
      <c r="M71" s="49"/>
      <c r="N71" s="403"/>
      <c r="O71" s="403"/>
      <c r="P71" s="49"/>
      <c r="Q71" s="49"/>
      <c r="R71" s="48"/>
    </row>
    <row r="72" spans="4:18" ht="20.100000000000001" customHeight="1">
      <c r="D72" s="433"/>
      <c r="E72" s="407"/>
      <c r="F72" s="140" t="s">
        <v>379</v>
      </c>
      <c r="G72" s="161" t="s">
        <v>138</v>
      </c>
      <c r="H72" s="15" t="s">
        <v>387</v>
      </c>
      <c r="I72" s="16"/>
      <c r="J72" s="16"/>
      <c r="K72" s="46"/>
      <c r="L72" s="47"/>
      <c r="M72" s="49"/>
      <c r="N72" s="403"/>
      <c r="O72" s="403"/>
      <c r="P72" s="49"/>
      <c r="Q72" s="49"/>
      <c r="R72" s="48"/>
    </row>
    <row r="73" spans="4:18" ht="20.100000000000001" customHeight="1">
      <c r="D73" s="433"/>
      <c r="E73" s="407"/>
      <c r="F73" s="140" t="s">
        <v>385</v>
      </c>
      <c r="G73" s="161" t="s">
        <v>141</v>
      </c>
      <c r="H73" s="15"/>
      <c r="I73" s="16"/>
      <c r="J73" s="16"/>
      <c r="K73" s="46"/>
      <c r="M73" s="49"/>
      <c r="N73" s="403"/>
      <c r="O73" s="403"/>
      <c r="P73" s="49"/>
      <c r="Q73" s="49"/>
      <c r="R73" s="48"/>
    </row>
    <row r="74" spans="4:18" ht="20.100000000000001" customHeight="1">
      <c r="D74" s="433"/>
      <c r="E74" s="407"/>
      <c r="F74" s="140" t="s">
        <v>672</v>
      </c>
      <c r="G74" s="161" t="s">
        <v>140</v>
      </c>
      <c r="H74" s="15" t="s">
        <v>390</v>
      </c>
      <c r="I74" s="16"/>
      <c r="J74" s="16"/>
      <c r="K74" s="46"/>
      <c r="L74" s="160"/>
      <c r="M74" s="49"/>
      <c r="N74" s="403"/>
      <c r="O74" s="403"/>
      <c r="P74" s="49"/>
      <c r="Q74" s="49"/>
      <c r="R74" s="48"/>
    </row>
    <row r="75" spans="4:18" ht="20.100000000000001" customHeight="1">
      <c r="D75" s="433"/>
      <c r="E75" s="407"/>
      <c r="F75" s="140" t="s">
        <v>673</v>
      </c>
      <c r="G75" s="16" t="s">
        <v>139</v>
      </c>
      <c r="H75" s="15" t="s">
        <v>391</v>
      </c>
      <c r="I75" s="16"/>
      <c r="J75" s="16"/>
      <c r="K75" s="46"/>
      <c r="L75" s="47"/>
      <c r="M75" s="49"/>
      <c r="N75" s="403"/>
      <c r="O75" s="403"/>
      <c r="P75" s="49"/>
      <c r="Q75" s="49"/>
      <c r="R75" s="48"/>
    </row>
    <row r="76" spans="4:18" ht="20.100000000000001" customHeight="1">
      <c r="D76" s="433"/>
      <c r="E76" s="407"/>
      <c r="F76" s="140"/>
      <c r="G76" s="16"/>
      <c r="H76" s="15"/>
      <c r="I76" s="16"/>
      <c r="J76" s="16"/>
      <c r="K76" s="46"/>
      <c r="L76" s="47"/>
      <c r="M76" s="49"/>
      <c r="N76" s="403"/>
      <c r="O76" s="403"/>
      <c r="P76" s="49"/>
      <c r="Q76" s="49"/>
      <c r="R76" s="48"/>
    </row>
    <row r="77" spans="4:18" ht="20.100000000000001" customHeight="1">
      <c r="D77" s="433"/>
      <c r="E77" s="407"/>
      <c r="F77" s="450" t="s">
        <v>717</v>
      </c>
      <c r="G77" s="450" t="s">
        <v>147</v>
      </c>
      <c r="H77" s="15"/>
      <c r="I77" s="16"/>
      <c r="J77" s="16"/>
      <c r="K77" s="46"/>
      <c r="L77" s="47"/>
      <c r="M77" s="49"/>
      <c r="N77" s="403"/>
      <c r="O77" s="403"/>
      <c r="P77" s="49"/>
      <c r="Q77" s="49"/>
      <c r="R77" s="48"/>
    </row>
    <row r="78" spans="4:18" ht="20.100000000000001" customHeight="1" thickBot="1">
      <c r="D78" s="434"/>
      <c r="E78" s="423"/>
      <c r="F78" s="456"/>
      <c r="G78" s="456"/>
      <c r="H78" s="20" t="s">
        <v>392</v>
      </c>
      <c r="I78" s="19"/>
      <c r="J78" s="19"/>
      <c r="K78" s="55"/>
      <c r="L78" s="56"/>
      <c r="M78" s="26"/>
      <c r="N78" s="426"/>
      <c r="O78" s="426"/>
      <c r="P78" s="26"/>
      <c r="Q78" s="26"/>
      <c r="R78" s="51"/>
    </row>
    <row r="79" spans="4:18" ht="20.100000000000001" customHeight="1">
      <c r="D79" s="58"/>
      <c r="E79" s="58"/>
      <c r="F79" s="58"/>
      <c r="G79" s="58"/>
      <c r="H79" s="58"/>
      <c r="I79" s="58"/>
      <c r="J79" s="58"/>
      <c r="K79" s="58"/>
      <c r="L79" s="70"/>
      <c r="N79" s="71"/>
      <c r="O79" s="71"/>
      <c r="P79" s="58"/>
      <c r="Q79" s="58"/>
      <c r="R79" s="58"/>
    </row>
    <row r="80" spans="4:18" ht="20.100000000000001" customHeight="1"/>
    <row r="81" spans="4:18" ht="20.100000000000001" customHeight="1" thickBot="1">
      <c r="D81" s="57" t="s">
        <v>317</v>
      </c>
    </row>
    <row r="82" spans="4:18" ht="20.100000000000001" customHeight="1" thickBot="1">
      <c r="D82" s="135" t="s">
        <v>517</v>
      </c>
      <c r="E82" s="126"/>
      <c r="F82" s="126"/>
      <c r="G82" s="126"/>
      <c r="H82" s="126"/>
      <c r="I82" s="126"/>
      <c r="J82" s="126"/>
      <c r="K82" s="126"/>
      <c r="L82" s="126"/>
      <c r="M82" s="136"/>
      <c r="N82" s="136"/>
      <c r="O82" s="136"/>
      <c r="P82" s="126"/>
      <c r="Q82" s="126"/>
      <c r="R82" s="137"/>
    </row>
    <row r="83" spans="4:18" ht="20.100000000000001" customHeight="1">
      <c r="D83" s="430" t="s">
        <v>82</v>
      </c>
      <c r="E83" s="429" t="s">
        <v>34</v>
      </c>
      <c r="F83" s="429" t="s">
        <v>73</v>
      </c>
      <c r="G83" s="401" t="s">
        <v>118</v>
      </c>
      <c r="H83" s="429" t="s">
        <v>75</v>
      </c>
      <c r="I83" s="439" t="s">
        <v>83</v>
      </c>
      <c r="J83" s="440"/>
      <c r="K83" s="441"/>
      <c r="L83" s="437" t="s">
        <v>348</v>
      </c>
      <c r="M83" s="438"/>
      <c r="N83" s="438"/>
      <c r="O83" s="397"/>
      <c r="P83" s="437" t="s">
        <v>349</v>
      </c>
      <c r="Q83" s="438"/>
      <c r="R83" s="442"/>
    </row>
    <row r="84" spans="4:18" ht="20.100000000000001" customHeight="1" thickBot="1">
      <c r="D84" s="431"/>
      <c r="E84" s="402"/>
      <c r="F84" s="402"/>
      <c r="G84" s="443"/>
      <c r="H84" s="402"/>
      <c r="I84" s="63" t="s">
        <v>57</v>
      </c>
      <c r="J84" s="63" t="s">
        <v>58</v>
      </c>
      <c r="K84" s="63" t="s">
        <v>82</v>
      </c>
      <c r="L84" s="64" t="s">
        <v>76</v>
      </c>
      <c r="M84" s="65" t="s">
        <v>77</v>
      </c>
      <c r="N84" s="435" t="s">
        <v>78</v>
      </c>
      <c r="O84" s="436"/>
      <c r="P84" s="64" t="s">
        <v>76</v>
      </c>
      <c r="Q84" s="65" t="s">
        <v>77</v>
      </c>
      <c r="R84" s="66" t="s">
        <v>79</v>
      </c>
    </row>
    <row r="85" spans="4:18" ht="20.100000000000001" customHeight="1">
      <c r="D85" s="419">
        <v>1</v>
      </c>
      <c r="E85" s="139">
        <v>1</v>
      </c>
      <c r="F85" s="177"/>
      <c r="G85" s="178"/>
      <c r="H85" s="179"/>
      <c r="I85" s="143">
        <v>0</v>
      </c>
      <c r="J85" s="143">
        <v>3</v>
      </c>
      <c r="K85" s="144" t="s">
        <v>119</v>
      </c>
      <c r="L85" s="145"/>
      <c r="M85" s="146"/>
      <c r="N85" s="459"/>
      <c r="O85" s="460"/>
      <c r="P85" s="147"/>
      <c r="Q85" s="148"/>
      <c r="R85" s="138"/>
    </row>
    <row r="86" spans="4:18" ht="20.100000000000001" customHeight="1">
      <c r="D86" s="420"/>
      <c r="E86" s="23">
        <v>2</v>
      </c>
      <c r="F86" s="177"/>
      <c r="G86" s="178"/>
      <c r="H86" s="179"/>
      <c r="I86" s="88">
        <v>0</v>
      </c>
      <c r="J86" s="88">
        <v>4</v>
      </c>
      <c r="K86" s="87" t="str">
        <f>K85</f>
        <v>MP1-1</v>
      </c>
      <c r="L86" s="30"/>
      <c r="M86" s="23"/>
      <c r="N86" s="457"/>
      <c r="O86" s="458"/>
      <c r="P86" s="31"/>
      <c r="Q86" s="32"/>
      <c r="R86" s="33"/>
    </row>
    <row r="87" spans="4:18" ht="20.100000000000001" customHeight="1" thickBot="1">
      <c r="D87" s="420"/>
      <c r="E87" s="23">
        <v>3</v>
      </c>
      <c r="F87" s="6"/>
      <c r="G87" s="141"/>
      <c r="H87" s="8"/>
      <c r="I87" s="88">
        <v>0</v>
      </c>
      <c r="J87" s="88">
        <v>5</v>
      </c>
      <c r="K87" s="87" t="str">
        <f t="shared" ref="K87:K100" si="0">K86</f>
        <v>MP1-1</v>
      </c>
      <c r="L87" s="30"/>
      <c r="M87" s="23"/>
      <c r="N87" s="457"/>
      <c r="O87" s="458"/>
      <c r="P87" s="31"/>
      <c r="Q87" s="32"/>
      <c r="R87" s="33"/>
    </row>
    <row r="88" spans="4:18" ht="20.100000000000001" customHeight="1" thickBot="1">
      <c r="D88" s="420"/>
      <c r="E88" s="23">
        <v>4</v>
      </c>
      <c r="F88" s="343" t="s">
        <v>635</v>
      </c>
      <c r="G88" s="141" t="s">
        <v>210</v>
      </c>
      <c r="H88" s="8" t="s">
        <v>405</v>
      </c>
      <c r="I88" s="88">
        <v>0</v>
      </c>
      <c r="J88" s="88">
        <v>6</v>
      </c>
      <c r="K88" s="87" t="str">
        <f t="shared" si="0"/>
        <v>MP1-1</v>
      </c>
      <c r="L88" s="30"/>
      <c r="M88" s="23"/>
      <c r="N88" s="454"/>
      <c r="O88" s="454"/>
      <c r="P88" s="31"/>
      <c r="Q88" s="32"/>
      <c r="R88" s="33"/>
    </row>
    <row r="89" spans="4:18" ht="20.100000000000001" customHeight="1">
      <c r="D89" s="420"/>
      <c r="E89" s="23">
        <v>5</v>
      </c>
      <c r="F89" s="343" t="s">
        <v>635</v>
      </c>
      <c r="G89" s="141" t="s">
        <v>123</v>
      </c>
      <c r="H89" s="8" t="s">
        <v>406</v>
      </c>
      <c r="I89" s="88">
        <v>0</v>
      </c>
      <c r="J89" s="88">
        <v>7</v>
      </c>
      <c r="K89" s="87" t="str">
        <f t="shared" si="0"/>
        <v>MP1-1</v>
      </c>
      <c r="L89" s="30"/>
      <c r="M89" s="23"/>
      <c r="N89" s="454"/>
      <c r="O89" s="454"/>
      <c r="P89" s="31"/>
      <c r="Q89" s="32"/>
      <c r="R89" s="33"/>
    </row>
    <row r="90" spans="4:18" ht="20.100000000000001" customHeight="1">
      <c r="D90" s="420"/>
      <c r="E90" s="23">
        <v>6</v>
      </c>
      <c r="F90" s="6" t="s">
        <v>90</v>
      </c>
      <c r="G90" s="141" t="s">
        <v>124</v>
      </c>
      <c r="H90" s="8" t="s">
        <v>407</v>
      </c>
      <c r="I90" s="88">
        <v>0</v>
      </c>
      <c r="J90" s="88">
        <v>8</v>
      </c>
      <c r="K90" s="87" t="str">
        <f t="shared" si="0"/>
        <v>MP1-1</v>
      </c>
      <c r="L90" s="30"/>
      <c r="M90" s="23"/>
      <c r="N90" s="454"/>
      <c r="O90" s="454"/>
      <c r="P90" s="31"/>
      <c r="Q90" s="32"/>
      <c r="R90" s="33"/>
    </row>
    <row r="91" spans="4:18" ht="20.100000000000001" customHeight="1">
      <c r="D91" s="420"/>
      <c r="E91" s="23">
        <v>7</v>
      </c>
      <c r="F91" s="6" t="s">
        <v>94</v>
      </c>
      <c r="G91" s="141" t="s">
        <v>127</v>
      </c>
      <c r="H91" s="8" t="s">
        <v>408</v>
      </c>
      <c r="I91" s="88">
        <v>0</v>
      </c>
      <c r="J91" s="88">
        <v>9</v>
      </c>
      <c r="K91" s="87" t="str">
        <f t="shared" si="0"/>
        <v>MP1-1</v>
      </c>
      <c r="L91" s="30"/>
      <c r="M91" s="23"/>
      <c r="N91" s="454"/>
      <c r="O91" s="454"/>
      <c r="P91" s="31"/>
      <c r="Q91" s="32"/>
      <c r="R91" s="33"/>
    </row>
    <row r="92" spans="4:18" ht="20.100000000000001" customHeight="1">
      <c r="D92" s="420"/>
      <c r="E92" s="23">
        <v>8</v>
      </c>
      <c r="F92" s="6"/>
      <c r="G92" s="141" t="s">
        <v>128</v>
      </c>
      <c r="H92" s="8" t="s">
        <v>409</v>
      </c>
      <c r="I92" s="88">
        <v>0</v>
      </c>
      <c r="J92" s="88" t="s">
        <v>59</v>
      </c>
      <c r="K92" s="87" t="str">
        <f t="shared" si="0"/>
        <v>MP1-1</v>
      </c>
      <c r="L92" s="30"/>
      <c r="M92" s="23"/>
      <c r="N92" s="454"/>
      <c r="O92" s="454"/>
      <c r="P92" s="31"/>
      <c r="Q92" s="32"/>
      <c r="R92" s="33"/>
    </row>
    <row r="93" spans="4:18" ht="20.100000000000001" customHeight="1">
      <c r="D93" s="420"/>
      <c r="E93" s="23">
        <v>9</v>
      </c>
      <c r="F93" s="6"/>
      <c r="G93" s="141"/>
      <c r="H93" s="8"/>
      <c r="I93" s="88">
        <v>0</v>
      </c>
      <c r="J93" s="88" t="s">
        <v>60</v>
      </c>
      <c r="K93" s="87" t="str">
        <f t="shared" si="0"/>
        <v>MP1-1</v>
      </c>
      <c r="L93" s="30"/>
      <c r="M93" s="23"/>
      <c r="N93" s="454"/>
      <c r="O93" s="454"/>
      <c r="P93" s="31"/>
      <c r="Q93" s="32"/>
      <c r="R93" s="33"/>
    </row>
    <row r="94" spans="4:18" ht="20.100000000000001" customHeight="1">
      <c r="D94" s="420"/>
      <c r="E94" s="23">
        <v>10</v>
      </c>
      <c r="F94" s="6"/>
      <c r="G94" s="141"/>
      <c r="H94" s="9"/>
      <c r="I94" s="88">
        <v>0</v>
      </c>
      <c r="J94" s="88" t="s">
        <v>61</v>
      </c>
      <c r="K94" s="87" t="str">
        <f t="shared" si="0"/>
        <v>MP1-1</v>
      </c>
      <c r="L94" s="30"/>
      <c r="M94" s="23"/>
      <c r="N94" s="454"/>
      <c r="O94" s="454"/>
      <c r="P94" s="31"/>
      <c r="Q94" s="32"/>
      <c r="R94" s="33"/>
    </row>
    <row r="95" spans="4:18" ht="20.100000000000001" customHeight="1">
      <c r="D95" s="420"/>
      <c r="E95" s="23">
        <v>11</v>
      </c>
      <c r="F95" s="6" t="s">
        <v>95</v>
      </c>
      <c r="G95" s="141" t="s">
        <v>125</v>
      </c>
      <c r="H95" s="9" t="s">
        <v>397</v>
      </c>
      <c r="I95" s="88">
        <v>0</v>
      </c>
      <c r="J95" s="88" t="s">
        <v>62</v>
      </c>
      <c r="K95" s="87" t="str">
        <f t="shared" si="0"/>
        <v>MP1-1</v>
      </c>
      <c r="L95" s="30"/>
      <c r="M95" s="23"/>
      <c r="N95" s="454"/>
      <c r="O95" s="454"/>
      <c r="P95" s="31"/>
      <c r="Q95" s="32"/>
      <c r="R95" s="33"/>
    </row>
    <row r="96" spans="4:18" ht="20.100000000000001" customHeight="1">
      <c r="D96" s="420"/>
      <c r="E96" s="23">
        <v>12</v>
      </c>
      <c r="F96" s="6" t="s">
        <v>69</v>
      </c>
      <c r="G96" s="141" t="s">
        <v>126</v>
      </c>
      <c r="H96" s="9" t="s">
        <v>399</v>
      </c>
      <c r="I96" s="88">
        <v>0</v>
      </c>
      <c r="J96" s="88" t="s">
        <v>63</v>
      </c>
      <c r="K96" s="87" t="str">
        <f t="shared" si="0"/>
        <v>MP1-1</v>
      </c>
      <c r="L96" s="30"/>
      <c r="M96" s="23"/>
      <c r="N96" s="454"/>
      <c r="O96" s="454"/>
      <c r="P96" s="31"/>
      <c r="Q96" s="32"/>
      <c r="R96" s="33"/>
    </row>
    <row r="97" spans="4:18" ht="20.100000000000001" customHeight="1">
      <c r="D97" s="420"/>
      <c r="E97" s="23">
        <v>13</v>
      </c>
      <c r="F97" s="344" t="s">
        <v>153</v>
      </c>
      <c r="G97" s="141" t="s">
        <v>295</v>
      </c>
      <c r="H97" s="9" t="s">
        <v>376</v>
      </c>
      <c r="I97" s="88">
        <v>0</v>
      </c>
      <c r="J97" s="88" t="s">
        <v>64</v>
      </c>
      <c r="K97" s="87" t="str">
        <f t="shared" si="0"/>
        <v>MP1-1</v>
      </c>
      <c r="L97" s="30"/>
      <c r="M97" s="23"/>
      <c r="N97" s="454"/>
      <c r="O97" s="454"/>
      <c r="P97" s="31"/>
      <c r="Q97" s="32"/>
      <c r="R97" s="33"/>
    </row>
    <row r="98" spans="4:18" ht="20.100000000000001" customHeight="1">
      <c r="D98" s="420"/>
      <c r="E98" s="23">
        <v>14</v>
      </c>
      <c r="F98" s="6"/>
      <c r="G98" s="7"/>
      <c r="H98" s="8"/>
      <c r="I98" s="88">
        <v>1</v>
      </c>
      <c r="J98" s="88">
        <v>0</v>
      </c>
      <c r="K98" s="87" t="str">
        <f t="shared" si="0"/>
        <v>MP1-1</v>
      </c>
      <c r="L98" s="18"/>
      <c r="M98" s="23"/>
      <c r="N98" s="454"/>
      <c r="O98" s="454"/>
      <c r="P98" s="31"/>
      <c r="Q98" s="32"/>
      <c r="R98" s="33"/>
    </row>
    <row r="99" spans="4:18" ht="20.100000000000001" customHeight="1">
      <c r="D99" s="420"/>
      <c r="E99" s="23">
        <v>15</v>
      </c>
      <c r="F99" s="6"/>
      <c r="G99" s="141"/>
      <c r="H99" s="8"/>
      <c r="I99" s="88">
        <v>1</v>
      </c>
      <c r="J99" s="88">
        <v>1</v>
      </c>
      <c r="K99" s="87" t="str">
        <f t="shared" si="0"/>
        <v>MP1-1</v>
      </c>
      <c r="L99" s="18"/>
      <c r="M99" s="23"/>
      <c r="N99" s="454"/>
      <c r="O99" s="454"/>
      <c r="P99" s="31"/>
      <c r="Q99" s="32"/>
      <c r="R99" s="33"/>
    </row>
    <row r="100" spans="4:18" ht="20.100000000000001" customHeight="1">
      <c r="D100" s="420"/>
      <c r="E100" s="23">
        <v>16</v>
      </c>
      <c r="F100" s="6"/>
      <c r="G100" s="141"/>
      <c r="H100" s="8"/>
      <c r="I100" s="88">
        <v>1</v>
      </c>
      <c r="J100" s="88">
        <v>2</v>
      </c>
      <c r="K100" s="87" t="str">
        <f t="shared" si="0"/>
        <v>MP1-1</v>
      </c>
      <c r="L100" s="34"/>
      <c r="M100" s="23"/>
      <c r="N100" s="454"/>
      <c r="O100" s="454"/>
      <c r="P100" s="31"/>
      <c r="Q100" s="32"/>
      <c r="R100" s="33"/>
    </row>
    <row r="101" spans="4:18" ht="20.100000000000001" customHeight="1">
      <c r="D101" s="420"/>
      <c r="E101" s="23">
        <v>17</v>
      </c>
      <c r="F101" s="140" t="s">
        <v>291</v>
      </c>
      <c r="G101" s="141" t="s">
        <v>300</v>
      </c>
      <c r="H101" s="8" t="s">
        <v>411</v>
      </c>
      <c r="I101" s="86">
        <v>1</v>
      </c>
      <c r="J101" s="86">
        <v>3</v>
      </c>
      <c r="K101" s="87" t="s">
        <v>120</v>
      </c>
      <c r="L101" s="34"/>
      <c r="M101" s="23"/>
      <c r="N101" s="454"/>
      <c r="O101" s="454"/>
      <c r="P101" s="31"/>
      <c r="Q101" s="32"/>
      <c r="R101" s="33"/>
    </row>
    <row r="102" spans="4:18" ht="20.100000000000001" customHeight="1">
      <c r="D102" s="420"/>
      <c r="E102" s="23">
        <v>18</v>
      </c>
      <c r="F102" s="6" t="s">
        <v>157</v>
      </c>
      <c r="G102" s="141" t="s">
        <v>129</v>
      </c>
      <c r="H102" s="8" t="s">
        <v>412</v>
      </c>
      <c r="I102" s="86">
        <v>1</v>
      </c>
      <c r="J102" s="86">
        <v>4</v>
      </c>
      <c r="K102" s="87" t="str">
        <f>K101</f>
        <v>MP1-2</v>
      </c>
      <c r="L102" s="30"/>
      <c r="M102" s="23"/>
      <c r="N102" s="454"/>
      <c r="O102" s="454"/>
      <c r="P102" s="31"/>
      <c r="Q102" s="32"/>
      <c r="R102" s="33"/>
    </row>
    <row r="103" spans="4:18" ht="20.100000000000001" customHeight="1">
      <c r="D103" s="420"/>
      <c r="E103" s="23">
        <v>19</v>
      </c>
      <c r="F103" s="16" t="s">
        <v>292</v>
      </c>
      <c r="G103" s="141" t="s">
        <v>130</v>
      </c>
      <c r="H103" s="8" t="s">
        <v>413</v>
      </c>
      <c r="I103" s="86">
        <v>1</v>
      </c>
      <c r="J103" s="86">
        <v>5</v>
      </c>
      <c r="K103" s="87" t="str">
        <f t="shared" ref="K103:K113" si="1">K102</f>
        <v>MP1-2</v>
      </c>
      <c r="L103" s="35"/>
      <c r="M103" s="23"/>
      <c r="N103" s="454"/>
      <c r="O103" s="454"/>
      <c r="P103" s="31"/>
      <c r="Q103" s="32"/>
      <c r="R103" s="33"/>
    </row>
    <row r="104" spans="4:18" ht="20.100000000000001" customHeight="1">
      <c r="D104" s="420"/>
      <c r="E104" s="23">
        <v>20</v>
      </c>
      <c r="F104" s="6" t="s">
        <v>98</v>
      </c>
      <c r="G104" s="141" t="s">
        <v>131</v>
      </c>
      <c r="H104" s="8" t="s">
        <v>414</v>
      </c>
      <c r="I104" s="86">
        <v>1</v>
      </c>
      <c r="J104" s="86">
        <v>6</v>
      </c>
      <c r="K104" s="87" t="str">
        <f t="shared" si="1"/>
        <v>MP1-2</v>
      </c>
      <c r="L104" s="35"/>
      <c r="M104" s="23"/>
      <c r="N104" s="454"/>
      <c r="O104" s="454"/>
      <c r="P104" s="31"/>
      <c r="Q104" s="32"/>
      <c r="R104" s="33"/>
    </row>
    <row r="105" spans="4:18" ht="20.100000000000001" customHeight="1">
      <c r="D105" s="420"/>
      <c r="E105" s="23">
        <v>21</v>
      </c>
      <c r="F105" s="6"/>
      <c r="G105" s="7"/>
      <c r="H105" s="18"/>
      <c r="I105" s="86">
        <v>1</v>
      </c>
      <c r="J105" s="86">
        <v>7</v>
      </c>
      <c r="K105" s="87" t="str">
        <f t="shared" si="1"/>
        <v>MP1-2</v>
      </c>
      <c r="L105" s="30"/>
      <c r="M105" s="23"/>
      <c r="N105" s="454"/>
      <c r="O105" s="454"/>
      <c r="P105" s="31"/>
      <c r="Q105" s="32"/>
      <c r="R105" s="33"/>
    </row>
    <row r="106" spans="4:18" ht="20.100000000000001" customHeight="1">
      <c r="D106" s="420"/>
      <c r="E106" s="23">
        <v>22</v>
      </c>
      <c r="F106" s="6" t="s">
        <v>293</v>
      </c>
      <c r="G106" s="141" t="s">
        <v>132</v>
      </c>
      <c r="H106" s="18" t="s">
        <v>417</v>
      </c>
      <c r="I106" s="86">
        <v>1</v>
      </c>
      <c r="J106" s="86">
        <v>8</v>
      </c>
      <c r="K106" s="87" t="str">
        <f t="shared" si="1"/>
        <v>MP1-2</v>
      </c>
      <c r="L106" s="35"/>
      <c r="M106" s="23"/>
      <c r="N106" s="454"/>
      <c r="O106" s="454"/>
      <c r="P106" s="31"/>
      <c r="Q106" s="32"/>
      <c r="R106" s="33"/>
    </row>
    <row r="107" spans="4:18" ht="20.100000000000001" customHeight="1">
      <c r="D107" s="420"/>
      <c r="E107" s="23">
        <v>23</v>
      </c>
      <c r="F107" s="6"/>
      <c r="G107" s="141"/>
      <c r="H107" s="18"/>
      <c r="I107" s="86">
        <v>1</v>
      </c>
      <c r="J107" s="86">
        <v>9</v>
      </c>
      <c r="K107" s="87" t="str">
        <f t="shared" si="1"/>
        <v>MP1-2</v>
      </c>
      <c r="L107" s="30"/>
      <c r="M107" s="23"/>
      <c r="N107" s="454"/>
      <c r="O107" s="454"/>
      <c r="P107" s="31"/>
      <c r="Q107" s="32"/>
      <c r="R107" s="33"/>
    </row>
    <row r="108" spans="4:18" ht="20.100000000000001" customHeight="1">
      <c r="D108" s="420"/>
      <c r="E108" s="23">
        <v>24</v>
      </c>
      <c r="F108" s="6"/>
      <c r="G108" s="7"/>
      <c r="H108" s="8"/>
      <c r="I108" s="104">
        <v>1</v>
      </c>
      <c r="J108" s="104" t="s">
        <v>59</v>
      </c>
      <c r="K108" s="87" t="str">
        <f t="shared" si="1"/>
        <v>MP1-2</v>
      </c>
      <c r="L108" s="35"/>
      <c r="M108" s="23"/>
      <c r="N108" s="454"/>
      <c r="O108" s="454"/>
      <c r="P108" s="31"/>
      <c r="Q108" s="32"/>
      <c r="R108" s="33"/>
    </row>
    <row r="109" spans="4:18" ht="20.100000000000001" customHeight="1">
      <c r="D109" s="420"/>
      <c r="E109" s="23">
        <v>25</v>
      </c>
      <c r="F109" s="6" t="s">
        <v>95</v>
      </c>
      <c r="G109" s="141" t="s">
        <v>307</v>
      </c>
      <c r="H109" s="9" t="s">
        <v>403</v>
      </c>
      <c r="I109" s="104">
        <v>1</v>
      </c>
      <c r="J109" s="86" t="s">
        <v>60</v>
      </c>
      <c r="K109" s="87" t="str">
        <f t="shared" si="1"/>
        <v>MP1-2</v>
      </c>
      <c r="L109" s="30"/>
      <c r="M109" s="23"/>
      <c r="N109" s="454"/>
      <c r="O109" s="454"/>
      <c r="P109" s="31"/>
      <c r="Q109" s="32"/>
      <c r="R109" s="33"/>
    </row>
    <row r="110" spans="4:18" ht="20.100000000000001" customHeight="1">
      <c r="D110" s="420"/>
      <c r="E110" s="23">
        <v>26</v>
      </c>
      <c r="F110" s="6" t="s">
        <v>69</v>
      </c>
      <c r="G110" s="141" t="s">
        <v>308</v>
      </c>
      <c r="H110" s="9" t="s">
        <v>404</v>
      </c>
      <c r="I110" s="104">
        <v>1</v>
      </c>
      <c r="J110" s="86" t="s">
        <v>61</v>
      </c>
      <c r="K110" s="87" t="str">
        <f t="shared" si="1"/>
        <v>MP1-2</v>
      </c>
      <c r="L110" s="35"/>
      <c r="M110" s="23"/>
      <c r="N110" s="454"/>
      <c r="O110" s="454"/>
      <c r="P110" s="31"/>
      <c r="Q110" s="32"/>
      <c r="R110" s="33"/>
    </row>
    <row r="111" spans="4:18" ht="20.100000000000001" customHeight="1">
      <c r="D111" s="420"/>
      <c r="E111" s="23">
        <v>27</v>
      </c>
      <c r="F111" s="6"/>
      <c r="G111" s="141"/>
      <c r="H111" s="9"/>
      <c r="I111" s="104">
        <v>1</v>
      </c>
      <c r="J111" s="86" t="s">
        <v>62</v>
      </c>
      <c r="K111" s="87" t="str">
        <f t="shared" si="1"/>
        <v>MP1-2</v>
      </c>
      <c r="L111" s="30"/>
      <c r="M111" s="23"/>
      <c r="N111" s="454"/>
      <c r="O111" s="454"/>
      <c r="P111" s="31"/>
      <c r="Q111" s="32"/>
      <c r="R111" s="33"/>
    </row>
    <row r="112" spans="4:18" ht="20.100000000000001" customHeight="1">
      <c r="D112" s="420"/>
      <c r="E112" s="23">
        <v>28</v>
      </c>
      <c r="F112" s="10" t="s">
        <v>88</v>
      </c>
      <c r="G112" s="11" t="s">
        <v>89</v>
      </c>
      <c r="H112" s="105" t="s">
        <v>419</v>
      </c>
      <c r="I112" s="101">
        <v>1</v>
      </c>
      <c r="J112" s="88" t="s">
        <v>63</v>
      </c>
      <c r="K112" s="87" t="str">
        <f t="shared" si="1"/>
        <v>MP1-2</v>
      </c>
      <c r="L112" s="35"/>
      <c r="M112" s="23"/>
      <c r="N112" s="454"/>
      <c r="O112" s="454"/>
      <c r="P112" s="31"/>
      <c r="Q112" s="32"/>
      <c r="R112" s="33"/>
    </row>
    <row r="113" spans="4:18" ht="20.100000000000001" customHeight="1">
      <c r="D113" s="420"/>
      <c r="E113" s="23">
        <v>29</v>
      </c>
      <c r="F113" s="6" t="s">
        <v>88</v>
      </c>
      <c r="G113" s="7" t="s">
        <v>89</v>
      </c>
      <c r="H113" s="105" t="s">
        <v>422</v>
      </c>
      <c r="I113" s="101">
        <v>1</v>
      </c>
      <c r="J113" s="88" t="s">
        <v>64</v>
      </c>
      <c r="K113" s="87" t="str">
        <f t="shared" si="1"/>
        <v>MP1-2</v>
      </c>
      <c r="L113" s="35"/>
      <c r="M113" s="23"/>
      <c r="N113" s="461"/>
      <c r="O113" s="461"/>
      <c r="P113" s="31"/>
      <c r="Q113" s="32"/>
      <c r="R113" s="33"/>
    </row>
    <row r="114" spans="4:18" ht="20.100000000000001" customHeight="1">
      <c r="D114" s="420"/>
      <c r="E114" s="23">
        <v>30</v>
      </c>
      <c r="F114" s="16"/>
      <c r="G114" s="17"/>
      <c r="H114" s="99"/>
      <c r="I114" s="101"/>
      <c r="J114" s="101"/>
      <c r="K114" s="87"/>
      <c r="L114" s="35"/>
      <c r="M114" s="23"/>
      <c r="N114" s="461"/>
      <c r="O114" s="461"/>
      <c r="P114" s="31"/>
      <c r="Q114" s="32"/>
      <c r="R114" s="33"/>
    </row>
    <row r="115" spans="4:18" ht="20.100000000000001" customHeight="1">
      <c r="D115" s="420"/>
      <c r="E115" s="23">
        <v>31</v>
      </c>
      <c r="F115" s="86"/>
      <c r="G115" s="86"/>
      <c r="H115" s="105"/>
      <c r="I115" s="104"/>
      <c r="J115" s="86"/>
      <c r="K115" s="87"/>
      <c r="L115" s="35"/>
      <c r="M115" s="23"/>
      <c r="N115" s="461"/>
      <c r="O115" s="461"/>
      <c r="P115" s="31"/>
      <c r="Q115" s="32"/>
      <c r="R115" s="33"/>
    </row>
    <row r="116" spans="4:18" ht="20.100000000000001" customHeight="1">
      <c r="D116" s="420"/>
      <c r="E116" s="23">
        <v>32</v>
      </c>
      <c r="F116" s="10"/>
      <c r="G116" s="11"/>
      <c r="H116" s="106"/>
      <c r="I116" s="101"/>
      <c r="J116" s="88"/>
      <c r="K116" s="87"/>
      <c r="L116" s="35"/>
      <c r="M116" s="23"/>
      <c r="N116" s="461"/>
      <c r="O116" s="461"/>
      <c r="P116" s="31"/>
      <c r="Q116" s="32"/>
      <c r="R116" s="33"/>
    </row>
    <row r="117" spans="4:18" ht="20.100000000000001" customHeight="1">
      <c r="D117" s="420"/>
      <c r="E117" s="23">
        <v>33</v>
      </c>
      <c r="F117" s="86"/>
      <c r="G117" s="86"/>
      <c r="H117" s="105"/>
      <c r="I117" s="101"/>
      <c r="J117" s="88"/>
      <c r="K117" s="87"/>
      <c r="L117" s="35"/>
      <c r="M117" s="30"/>
      <c r="N117" s="461"/>
      <c r="O117" s="461"/>
      <c r="P117" s="31"/>
      <c r="Q117" s="32"/>
      <c r="R117" s="33"/>
    </row>
    <row r="118" spans="4:18" ht="20.100000000000001" customHeight="1">
      <c r="D118" s="420"/>
      <c r="E118" s="23">
        <v>34</v>
      </c>
      <c r="F118" s="10"/>
      <c r="G118" s="11"/>
      <c r="H118" s="106"/>
      <c r="I118" s="101"/>
      <c r="J118" s="88"/>
      <c r="K118" s="87"/>
      <c r="L118" s="35"/>
      <c r="M118" s="30"/>
      <c r="N118" s="461"/>
      <c r="O118" s="461"/>
      <c r="P118" s="31"/>
      <c r="Q118" s="32"/>
      <c r="R118" s="33"/>
    </row>
    <row r="119" spans="4:18" ht="20.100000000000001" customHeight="1">
      <c r="D119" s="420"/>
      <c r="E119" s="23">
        <v>35</v>
      </c>
      <c r="F119" s="10"/>
      <c r="G119" s="11"/>
      <c r="H119" s="106"/>
      <c r="I119" s="101"/>
      <c r="J119" s="88"/>
      <c r="K119" s="87"/>
      <c r="L119" s="35"/>
      <c r="M119" s="30"/>
      <c r="N119" s="461"/>
      <c r="O119" s="461"/>
      <c r="P119" s="31"/>
      <c r="Q119" s="32"/>
      <c r="R119" s="33"/>
    </row>
    <row r="120" spans="4:18" ht="20.100000000000001" customHeight="1">
      <c r="D120" s="420"/>
      <c r="E120" s="23">
        <v>36</v>
      </c>
      <c r="F120" s="10"/>
      <c r="G120" s="11"/>
      <c r="H120" s="106"/>
      <c r="I120" s="101"/>
      <c r="J120" s="88"/>
      <c r="K120" s="87"/>
      <c r="L120" s="36"/>
      <c r="M120" s="23"/>
      <c r="N120" s="461"/>
      <c r="O120" s="461"/>
      <c r="P120" s="31"/>
      <c r="Q120" s="32"/>
      <c r="R120" s="33"/>
    </row>
    <row r="121" spans="4:18" ht="20.100000000000001" customHeight="1">
      <c r="D121" s="420"/>
      <c r="E121" s="23">
        <v>37</v>
      </c>
      <c r="F121" s="10"/>
      <c r="G121" s="11"/>
      <c r="H121" s="106"/>
      <c r="I121" s="101"/>
      <c r="J121" s="88"/>
      <c r="K121" s="87"/>
      <c r="L121" s="35"/>
      <c r="M121" s="23"/>
      <c r="N121" s="461"/>
      <c r="O121" s="461"/>
      <c r="P121" s="31"/>
      <c r="Q121" s="32"/>
      <c r="R121" s="33"/>
    </row>
    <row r="122" spans="4:18" ht="20.100000000000001" customHeight="1">
      <c r="D122" s="420"/>
      <c r="E122" s="23">
        <v>38</v>
      </c>
      <c r="F122" s="10"/>
      <c r="G122" s="11"/>
      <c r="H122" s="106"/>
      <c r="I122" s="101"/>
      <c r="J122" s="88"/>
      <c r="K122" s="87"/>
      <c r="L122" s="35"/>
      <c r="M122" s="23"/>
      <c r="N122" s="461"/>
      <c r="O122" s="461"/>
      <c r="P122" s="31"/>
      <c r="Q122" s="32"/>
      <c r="R122" s="33"/>
    </row>
    <row r="123" spans="4:18" ht="20.100000000000001" customHeight="1">
      <c r="D123" s="420"/>
      <c r="E123" s="23">
        <v>39</v>
      </c>
      <c r="F123" s="10"/>
      <c r="G123" s="11"/>
      <c r="H123" s="106"/>
      <c r="I123" s="101"/>
      <c r="J123" s="88"/>
      <c r="K123" s="87"/>
      <c r="L123" s="30"/>
      <c r="M123" s="23"/>
      <c r="N123" s="461"/>
      <c r="O123" s="461"/>
      <c r="P123" s="31"/>
      <c r="Q123" s="32"/>
      <c r="R123" s="33"/>
    </row>
    <row r="124" spans="4:18" ht="20.100000000000001" customHeight="1">
      <c r="D124" s="420"/>
      <c r="E124" s="23">
        <v>40</v>
      </c>
      <c r="F124" s="10"/>
      <c r="G124" s="11"/>
      <c r="H124" s="106"/>
      <c r="I124" s="101"/>
      <c r="J124" s="101"/>
      <c r="K124" s="87"/>
      <c r="L124" s="30"/>
      <c r="M124" s="23"/>
      <c r="N124" s="461"/>
      <c r="O124" s="461"/>
      <c r="P124" s="31"/>
      <c r="Q124" s="32"/>
      <c r="R124" s="33"/>
    </row>
    <row r="125" spans="4:18" ht="20.100000000000001" customHeight="1">
      <c r="D125" s="420"/>
      <c r="E125" s="23">
        <v>41</v>
      </c>
      <c r="F125" s="22"/>
      <c r="G125" s="28"/>
      <c r="H125" s="131"/>
      <c r="I125" s="101"/>
      <c r="J125" s="88"/>
      <c r="K125" s="87"/>
      <c r="L125" s="30"/>
      <c r="M125" s="32"/>
      <c r="N125" s="461"/>
      <c r="O125" s="461"/>
      <c r="P125" s="31"/>
      <c r="Q125" s="32"/>
      <c r="R125" s="33"/>
    </row>
    <row r="126" spans="4:18" ht="20.100000000000001" customHeight="1" thickBot="1">
      <c r="D126" s="421"/>
      <c r="E126" s="25">
        <v>42</v>
      </c>
      <c r="F126" s="132"/>
      <c r="G126" s="127"/>
      <c r="H126" s="129"/>
      <c r="I126" s="102"/>
      <c r="J126" s="103"/>
      <c r="K126" s="92"/>
      <c r="L126" s="37"/>
      <c r="M126" s="26"/>
      <c r="N126" s="426"/>
      <c r="O126" s="426"/>
      <c r="P126" s="37"/>
      <c r="Q126" s="26"/>
      <c r="R126" s="38"/>
    </row>
    <row r="127" spans="4:18" ht="20.100000000000001" customHeight="1" thickBot="1">
      <c r="D127" s="58"/>
      <c r="E127" s="58"/>
      <c r="F127" s="72"/>
      <c r="G127" s="72"/>
      <c r="H127" s="72"/>
      <c r="I127" s="72"/>
      <c r="J127" s="72"/>
      <c r="K127" s="72"/>
      <c r="L127" s="70"/>
      <c r="N127" s="71"/>
      <c r="O127" s="57"/>
      <c r="P127" s="70"/>
      <c r="Q127" s="58"/>
      <c r="R127" s="71"/>
    </row>
    <row r="128" spans="4:18" ht="20.100000000000001" customHeight="1" thickBot="1">
      <c r="D128" s="149" t="s">
        <v>518</v>
      </c>
      <c r="E128" s="134"/>
      <c r="F128" s="73"/>
      <c r="G128" s="74"/>
      <c r="H128" s="75"/>
      <c r="I128" s="150"/>
      <c r="J128" s="150"/>
      <c r="K128" s="150"/>
      <c r="L128" s="151"/>
      <c r="M128" s="136"/>
      <c r="N128" s="152"/>
      <c r="O128" s="126"/>
      <c r="P128" s="151"/>
      <c r="Q128" s="136"/>
      <c r="R128" s="153"/>
    </row>
    <row r="129" spans="4:18" ht="19.95" customHeight="1">
      <c r="D129" s="415" t="s">
        <v>82</v>
      </c>
      <c r="E129" s="417" t="s">
        <v>34</v>
      </c>
      <c r="F129" s="417" t="s">
        <v>73</v>
      </c>
      <c r="G129" s="398" t="s">
        <v>118</v>
      </c>
      <c r="H129" s="417" t="s">
        <v>75</v>
      </c>
      <c r="I129" s="417" t="s">
        <v>83</v>
      </c>
      <c r="J129" s="417"/>
      <c r="K129" s="417"/>
      <c r="L129" s="398" t="s">
        <v>348</v>
      </c>
      <c r="M129" s="398"/>
      <c r="N129" s="398"/>
      <c r="O129" s="398"/>
      <c r="P129" s="398" t="s">
        <v>349</v>
      </c>
      <c r="Q129" s="398"/>
      <c r="R129" s="399"/>
    </row>
    <row r="130" spans="4:18" ht="20.100000000000001" customHeight="1" thickBot="1">
      <c r="D130" s="416"/>
      <c r="E130" s="418"/>
      <c r="F130" s="418"/>
      <c r="G130" s="418"/>
      <c r="H130" s="418"/>
      <c r="I130" s="63" t="s">
        <v>57</v>
      </c>
      <c r="J130" s="63" t="s">
        <v>58</v>
      </c>
      <c r="K130" s="63" t="s">
        <v>82</v>
      </c>
      <c r="L130" s="64" t="s">
        <v>76</v>
      </c>
      <c r="M130" s="65" t="s">
        <v>77</v>
      </c>
      <c r="N130" s="400" t="s">
        <v>78</v>
      </c>
      <c r="O130" s="400"/>
      <c r="P130" s="64" t="s">
        <v>76</v>
      </c>
      <c r="Q130" s="65" t="s">
        <v>77</v>
      </c>
      <c r="R130" s="66" t="s">
        <v>79</v>
      </c>
    </row>
    <row r="131" spans="4:18" ht="20.100000000000001" customHeight="1">
      <c r="D131" s="419">
        <v>5</v>
      </c>
      <c r="E131" s="139">
        <v>1</v>
      </c>
      <c r="F131" s="140" t="s">
        <v>95</v>
      </c>
      <c r="G131" s="141" t="s">
        <v>213</v>
      </c>
      <c r="H131" s="142" t="s">
        <v>512</v>
      </c>
      <c r="I131" s="143">
        <v>0</v>
      </c>
      <c r="J131" s="143">
        <v>3</v>
      </c>
      <c r="K131" s="154" t="s">
        <v>84</v>
      </c>
      <c r="L131" s="145"/>
      <c r="M131" s="148"/>
      <c r="N131" s="462"/>
      <c r="O131" s="462"/>
      <c r="P131" s="147"/>
      <c r="Q131" s="148"/>
      <c r="R131" s="138"/>
    </row>
    <row r="132" spans="4:18" ht="20.100000000000001" customHeight="1">
      <c r="D132" s="420"/>
      <c r="E132" s="23">
        <v>2</v>
      </c>
      <c r="F132" s="16" t="s">
        <v>68</v>
      </c>
      <c r="G132" s="17" t="s">
        <v>214</v>
      </c>
      <c r="H132" s="15" t="s">
        <v>356</v>
      </c>
      <c r="I132" s="88">
        <v>0</v>
      </c>
      <c r="J132" s="88">
        <v>4</v>
      </c>
      <c r="K132" s="21" t="str">
        <f>K131</f>
        <v>MP5-1</v>
      </c>
      <c r="L132" s="30"/>
      <c r="M132" s="32"/>
      <c r="N132" s="425"/>
      <c r="O132" s="425"/>
      <c r="P132" s="31"/>
      <c r="Q132" s="32"/>
      <c r="R132" s="39"/>
    </row>
    <row r="133" spans="4:18" ht="20.100000000000001" customHeight="1">
      <c r="D133" s="420"/>
      <c r="E133" s="23">
        <v>3</v>
      </c>
      <c r="F133" s="16" t="s">
        <v>97</v>
      </c>
      <c r="G133" s="17" t="s">
        <v>215</v>
      </c>
      <c r="H133" s="15" t="s">
        <v>430</v>
      </c>
      <c r="I133" s="88">
        <v>0</v>
      </c>
      <c r="J133" s="88">
        <v>5</v>
      </c>
      <c r="K133" s="21" t="str">
        <f t="shared" ref="K133:K146" si="2">K132</f>
        <v>MP5-1</v>
      </c>
      <c r="L133" s="30"/>
      <c r="M133" s="32"/>
      <c r="N133" s="425"/>
      <c r="O133" s="425"/>
      <c r="P133" s="31"/>
      <c r="Q133" s="32"/>
      <c r="R133" s="39"/>
    </row>
    <row r="134" spans="4:18" ht="20.100000000000001" customHeight="1">
      <c r="D134" s="420"/>
      <c r="E134" s="23">
        <v>4</v>
      </c>
      <c r="F134" s="16" t="s">
        <v>97</v>
      </c>
      <c r="G134" s="17" t="s">
        <v>216</v>
      </c>
      <c r="H134" s="15" t="s">
        <v>425</v>
      </c>
      <c r="I134" s="88">
        <v>0</v>
      </c>
      <c r="J134" s="88">
        <v>6</v>
      </c>
      <c r="K134" s="21" t="str">
        <f t="shared" si="2"/>
        <v>MP5-1</v>
      </c>
      <c r="L134" s="30"/>
      <c r="M134" s="32"/>
      <c r="N134" s="425"/>
      <c r="O134" s="425"/>
      <c r="P134" s="31"/>
      <c r="Q134" s="32"/>
      <c r="R134" s="39"/>
    </row>
    <row r="135" spans="4:18" ht="20.100000000000001" customHeight="1">
      <c r="D135" s="420"/>
      <c r="E135" s="23">
        <v>5</v>
      </c>
      <c r="F135" s="16"/>
      <c r="G135" s="17"/>
      <c r="H135" s="15"/>
      <c r="I135" s="88">
        <v>0</v>
      </c>
      <c r="J135" s="88">
        <v>7</v>
      </c>
      <c r="K135" s="21" t="str">
        <f t="shared" si="2"/>
        <v>MP5-1</v>
      </c>
      <c r="L135" s="30"/>
      <c r="M135" s="32"/>
      <c r="N135" s="425"/>
      <c r="O135" s="425"/>
      <c r="P135" s="31"/>
      <c r="Q135" s="32"/>
      <c r="R135" s="39"/>
    </row>
    <row r="136" spans="4:18" ht="20.100000000000001" customHeight="1">
      <c r="D136" s="420"/>
      <c r="E136" s="23">
        <v>6</v>
      </c>
      <c r="F136" s="16" t="s">
        <v>95</v>
      </c>
      <c r="G136" s="17" t="s">
        <v>217</v>
      </c>
      <c r="H136" s="15" t="s">
        <v>361</v>
      </c>
      <c r="I136" s="88">
        <v>0</v>
      </c>
      <c r="J136" s="88">
        <v>8</v>
      </c>
      <c r="K136" s="21" t="str">
        <f t="shared" si="2"/>
        <v>MP5-1</v>
      </c>
      <c r="L136" s="30"/>
      <c r="M136" s="32"/>
      <c r="N136" s="425"/>
      <c r="O136" s="425"/>
      <c r="P136" s="31"/>
      <c r="Q136" s="32"/>
      <c r="R136" s="39"/>
    </row>
    <row r="137" spans="4:18" ht="20.100000000000001" customHeight="1">
      <c r="D137" s="420"/>
      <c r="E137" s="23">
        <v>7</v>
      </c>
      <c r="F137" s="16" t="s">
        <v>70</v>
      </c>
      <c r="G137" s="17" t="s">
        <v>218</v>
      </c>
      <c r="H137" s="15" t="s">
        <v>520</v>
      </c>
      <c r="I137" s="88">
        <v>0</v>
      </c>
      <c r="J137" s="88">
        <v>9</v>
      </c>
      <c r="K137" s="21" t="str">
        <f t="shared" si="2"/>
        <v>MP5-1</v>
      </c>
      <c r="L137" s="40"/>
      <c r="M137" s="32"/>
      <c r="N137" s="425"/>
      <c r="O137" s="425"/>
      <c r="P137" s="31"/>
      <c r="Q137" s="32"/>
      <c r="R137" s="39"/>
    </row>
    <row r="138" spans="4:18" ht="20.100000000000001" customHeight="1">
      <c r="D138" s="420"/>
      <c r="E138" s="23">
        <v>8</v>
      </c>
      <c r="F138" s="16" t="s">
        <v>95</v>
      </c>
      <c r="G138" s="17" t="s">
        <v>219</v>
      </c>
      <c r="H138" s="15" t="s">
        <v>362</v>
      </c>
      <c r="I138" s="88">
        <v>0</v>
      </c>
      <c r="J138" s="88" t="s">
        <v>59</v>
      </c>
      <c r="K138" s="21" t="str">
        <f t="shared" si="2"/>
        <v>MP5-1</v>
      </c>
      <c r="L138" s="40"/>
      <c r="M138" s="32"/>
      <c r="N138" s="425"/>
      <c r="O138" s="425"/>
      <c r="P138" s="31"/>
      <c r="Q138" s="32"/>
      <c r="R138" s="39"/>
    </row>
    <row r="139" spans="4:18" ht="20.100000000000001" customHeight="1">
      <c r="D139" s="420"/>
      <c r="E139" s="23">
        <v>9</v>
      </c>
      <c r="F139" s="16" t="s">
        <v>71</v>
      </c>
      <c r="G139" s="17" t="s">
        <v>220</v>
      </c>
      <c r="H139" s="15" t="s">
        <v>521</v>
      </c>
      <c r="I139" s="88">
        <v>0</v>
      </c>
      <c r="J139" s="88" t="s">
        <v>60</v>
      </c>
      <c r="K139" s="21" t="str">
        <f t="shared" si="2"/>
        <v>MP5-1</v>
      </c>
      <c r="L139" s="40"/>
      <c r="M139" s="32"/>
      <c r="N139" s="425"/>
      <c r="O139" s="425"/>
      <c r="P139" s="31"/>
      <c r="Q139" s="32"/>
      <c r="R139" s="39"/>
    </row>
    <row r="140" spans="4:18" ht="20.100000000000001" customHeight="1">
      <c r="D140" s="420"/>
      <c r="E140" s="23">
        <v>10</v>
      </c>
      <c r="F140" s="6"/>
      <c r="G140" s="7"/>
      <c r="H140" s="8"/>
      <c r="I140" s="88">
        <v>0</v>
      </c>
      <c r="J140" s="88" t="s">
        <v>61</v>
      </c>
      <c r="K140" s="21" t="str">
        <f t="shared" si="2"/>
        <v>MP5-1</v>
      </c>
      <c r="L140" s="40"/>
      <c r="M140" s="32"/>
      <c r="N140" s="425"/>
      <c r="O140" s="425"/>
      <c r="P140" s="31"/>
      <c r="Q140" s="32"/>
      <c r="R140" s="39"/>
    </row>
    <row r="141" spans="4:18" ht="20.100000000000001" customHeight="1">
      <c r="D141" s="420"/>
      <c r="E141" s="23">
        <v>11</v>
      </c>
      <c r="F141" s="6"/>
      <c r="G141" s="7"/>
      <c r="H141" s="9"/>
      <c r="I141" s="88">
        <v>0</v>
      </c>
      <c r="J141" s="88" t="s">
        <v>62</v>
      </c>
      <c r="K141" s="21" t="str">
        <f t="shared" si="2"/>
        <v>MP5-1</v>
      </c>
      <c r="L141" s="30"/>
      <c r="M141" s="32"/>
      <c r="N141" s="425"/>
      <c r="O141" s="425"/>
      <c r="P141" s="31"/>
      <c r="Q141" s="32"/>
      <c r="R141" s="39"/>
    </row>
    <row r="142" spans="4:18" ht="20.100000000000001" customHeight="1">
      <c r="D142" s="420"/>
      <c r="E142" s="23">
        <v>12</v>
      </c>
      <c r="F142" s="6"/>
      <c r="G142" s="7"/>
      <c r="H142" s="8"/>
      <c r="I142" s="88">
        <v>0</v>
      </c>
      <c r="J142" s="88" t="s">
        <v>63</v>
      </c>
      <c r="K142" s="21" t="str">
        <f t="shared" si="2"/>
        <v>MP5-1</v>
      </c>
      <c r="L142" s="30"/>
      <c r="M142" s="32"/>
      <c r="N142" s="425"/>
      <c r="O142" s="425"/>
      <c r="P142" s="31"/>
      <c r="Q142" s="32"/>
      <c r="R142" s="39"/>
    </row>
    <row r="143" spans="4:18" ht="20.100000000000001" customHeight="1">
      <c r="D143" s="420"/>
      <c r="E143" s="23">
        <v>13</v>
      </c>
      <c r="F143" s="6"/>
      <c r="G143" s="7"/>
      <c r="H143" s="8"/>
      <c r="I143" s="88">
        <v>0</v>
      </c>
      <c r="J143" s="88" t="s">
        <v>64</v>
      </c>
      <c r="K143" s="21" t="str">
        <f t="shared" si="2"/>
        <v>MP5-1</v>
      </c>
      <c r="L143" s="30"/>
      <c r="M143" s="32"/>
      <c r="N143" s="425"/>
      <c r="O143" s="425"/>
      <c r="P143" s="31"/>
      <c r="Q143" s="32"/>
      <c r="R143" s="39"/>
    </row>
    <row r="144" spans="4:18" ht="20.100000000000001" customHeight="1">
      <c r="D144" s="420"/>
      <c r="E144" s="23">
        <v>14</v>
      </c>
      <c r="F144" s="6"/>
      <c r="G144" s="7"/>
      <c r="H144" s="8"/>
      <c r="I144" s="88">
        <v>1</v>
      </c>
      <c r="J144" s="88">
        <v>0</v>
      </c>
      <c r="K144" s="21" t="str">
        <f t="shared" si="2"/>
        <v>MP5-1</v>
      </c>
      <c r="L144" s="30"/>
      <c r="M144" s="32"/>
      <c r="N144" s="425"/>
      <c r="O144" s="425"/>
      <c r="P144" s="31"/>
      <c r="Q144" s="32"/>
      <c r="R144" s="39"/>
    </row>
    <row r="145" spans="4:18" ht="20.100000000000001" customHeight="1">
      <c r="D145" s="420"/>
      <c r="E145" s="23">
        <v>15</v>
      </c>
      <c r="F145" s="6"/>
      <c r="G145" s="7"/>
      <c r="H145" s="8"/>
      <c r="I145" s="88">
        <v>1</v>
      </c>
      <c r="J145" s="88">
        <v>1</v>
      </c>
      <c r="K145" s="21" t="str">
        <f t="shared" si="2"/>
        <v>MP5-1</v>
      </c>
      <c r="L145" s="40"/>
      <c r="M145" s="32"/>
      <c r="N145" s="425"/>
      <c r="O145" s="425"/>
      <c r="P145" s="31"/>
      <c r="Q145" s="32"/>
      <c r="R145" s="39"/>
    </row>
    <row r="146" spans="4:18" ht="20.100000000000001" customHeight="1">
      <c r="D146" s="420"/>
      <c r="E146" s="23">
        <v>16</v>
      </c>
      <c r="F146" s="16"/>
      <c r="G146" s="17"/>
      <c r="H146" s="15"/>
      <c r="I146" s="88">
        <v>1</v>
      </c>
      <c r="J146" s="88">
        <v>2</v>
      </c>
      <c r="K146" s="21" t="str">
        <f t="shared" si="2"/>
        <v>MP5-1</v>
      </c>
      <c r="L146" s="41"/>
      <c r="M146" s="32"/>
      <c r="N146" s="425"/>
      <c r="O146" s="425"/>
      <c r="P146" s="31"/>
      <c r="Q146" s="32"/>
      <c r="R146" s="39"/>
    </row>
    <row r="147" spans="4:18" ht="20.100000000000001" customHeight="1">
      <c r="D147" s="420"/>
      <c r="E147" s="32">
        <v>17</v>
      </c>
      <c r="F147" s="16"/>
      <c r="G147" s="17"/>
      <c r="H147" s="15"/>
      <c r="I147" s="88">
        <v>1</v>
      </c>
      <c r="J147" s="88">
        <v>3</v>
      </c>
      <c r="K147" s="21" t="s">
        <v>85</v>
      </c>
      <c r="L147" s="31"/>
      <c r="M147" s="32"/>
      <c r="N147" s="425"/>
      <c r="O147" s="425"/>
      <c r="P147" s="31"/>
      <c r="Q147" s="32"/>
      <c r="R147" s="39"/>
    </row>
    <row r="148" spans="4:18" ht="20.100000000000001" customHeight="1">
      <c r="D148" s="420"/>
      <c r="E148" s="32">
        <v>18</v>
      </c>
      <c r="F148" s="16"/>
      <c r="G148" s="17"/>
      <c r="H148" s="15"/>
      <c r="I148" s="88">
        <v>1</v>
      </c>
      <c r="J148" s="88">
        <v>4</v>
      </c>
      <c r="K148" s="21" t="str">
        <f>K147</f>
        <v>MP5-2</v>
      </c>
      <c r="L148" s="31"/>
      <c r="M148" s="32"/>
      <c r="N148" s="425"/>
      <c r="O148" s="425"/>
      <c r="P148" s="31"/>
      <c r="Q148" s="32"/>
      <c r="R148" s="39"/>
    </row>
    <row r="149" spans="4:18" ht="20.100000000000001" customHeight="1">
      <c r="D149" s="420"/>
      <c r="E149" s="32">
        <v>19</v>
      </c>
      <c r="F149" s="16"/>
      <c r="G149" s="17"/>
      <c r="H149" s="15"/>
      <c r="I149" s="88">
        <v>1</v>
      </c>
      <c r="J149" s="88">
        <v>5</v>
      </c>
      <c r="K149" s="21" t="str">
        <f>K148</f>
        <v>MP5-2</v>
      </c>
      <c r="L149" s="31"/>
      <c r="M149" s="32"/>
      <c r="N149" s="425"/>
      <c r="O149" s="425"/>
      <c r="P149" s="31"/>
      <c r="Q149" s="32"/>
      <c r="R149" s="39"/>
    </row>
    <row r="150" spans="4:18" ht="20.100000000000001" customHeight="1">
      <c r="D150" s="420"/>
      <c r="E150" s="32">
        <v>20</v>
      </c>
      <c r="F150" s="6"/>
      <c r="G150" s="7"/>
      <c r="H150" s="8"/>
      <c r="I150" s="88">
        <v>1</v>
      </c>
      <c r="J150" s="88">
        <v>6</v>
      </c>
      <c r="K150" s="21" t="str">
        <f>K149</f>
        <v>MP5-2</v>
      </c>
      <c r="L150" s="31"/>
      <c r="M150" s="32"/>
      <c r="N150" s="425"/>
      <c r="O150" s="425"/>
      <c r="P150" s="31"/>
      <c r="Q150" s="32"/>
      <c r="R150" s="39"/>
    </row>
    <row r="151" spans="4:18" ht="20.100000000000001" customHeight="1" thickBot="1">
      <c r="D151" s="421"/>
      <c r="E151" s="26">
        <v>21</v>
      </c>
      <c r="F151" s="24"/>
      <c r="G151" s="24"/>
      <c r="H151" s="27"/>
      <c r="I151" s="103">
        <v>1</v>
      </c>
      <c r="J151" s="103">
        <v>7</v>
      </c>
      <c r="K151" s="24" t="str">
        <f>K150</f>
        <v>MP5-2</v>
      </c>
      <c r="L151" s="37"/>
      <c r="M151" s="26"/>
      <c r="N151" s="426"/>
      <c r="O151" s="426"/>
      <c r="P151" s="37"/>
      <c r="Q151" s="26"/>
      <c r="R151" s="38"/>
    </row>
    <row r="152" spans="4:18" ht="20.100000000000001" customHeight="1" thickBot="1">
      <c r="D152" s="78"/>
      <c r="E152" s="78"/>
      <c r="F152" s="79"/>
      <c r="G152" s="79"/>
      <c r="H152" s="79"/>
      <c r="I152" s="79"/>
      <c r="J152" s="79"/>
      <c r="K152" s="128"/>
      <c r="L152" s="80"/>
      <c r="M152" s="78"/>
      <c r="N152" s="81"/>
      <c r="O152" s="82"/>
      <c r="P152" s="80"/>
      <c r="Q152" s="78"/>
      <c r="R152" s="81"/>
    </row>
    <row r="153" spans="4:18" ht="20.100000000000001" customHeight="1" thickBot="1">
      <c r="D153" s="149" t="s">
        <v>518</v>
      </c>
      <c r="E153" s="134"/>
      <c r="F153" s="73"/>
      <c r="G153" s="74"/>
      <c r="H153" s="75"/>
      <c r="I153" s="150"/>
      <c r="J153" s="150"/>
      <c r="K153" s="150"/>
      <c r="L153" s="151"/>
      <c r="M153" s="136"/>
      <c r="N153" s="152"/>
      <c r="O153" s="126"/>
      <c r="P153" s="151"/>
      <c r="Q153" s="136"/>
      <c r="R153" s="153"/>
    </row>
    <row r="154" spans="4:18" ht="19.95" customHeight="1">
      <c r="D154" s="430" t="s">
        <v>82</v>
      </c>
      <c r="E154" s="429" t="s">
        <v>34</v>
      </c>
      <c r="F154" s="429" t="s">
        <v>73</v>
      </c>
      <c r="G154" s="401" t="s">
        <v>118</v>
      </c>
      <c r="H154" s="429" t="s">
        <v>75</v>
      </c>
      <c r="I154" s="439" t="s">
        <v>83</v>
      </c>
      <c r="J154" s="440"/>
      <c r="K154" s="441"/>
      <c r="L154" s="437" t="s">
        <v>348</v>
      </c>
      <c r="M154" s="438"/>
      <c r="N154" s="438"/>
      <c r="O154" s="397"/>
      <c r="P154" s="437" t="s">
        <v>349</v>
      </c>
      <c r="Q154" s="438"/>
      <c r="R154" s="442"/>
    </row>
    <row r="155" spans="4:18" ht="20.100000000000001" customHeight="1" thickBot="1">
      <c r="D155" s="431"/>
      <c r="E155" s="402"/>
      <c r="F155" s="402"/>
      <c r="G155" s="443"/>
      <c r="H155" s="402"/>
      <c r="I155" s="63" t="s">
        <v>57</v>
      </c>
      <c r="J155" s="63" t="s">
        <v>58</v>
      </c>
      <c r="K155" s="63" t="s">
        <v>82</v>
      </c>
      <c r="L155" s="64" t="s">
        <v>76</v>
      </c>
      <c r="M155" s="65" t="s">
        <v>77</v>
      </c>
      <c r="N155" s="435" t="s">
        <v>78</v>
      </c>
      <c r="O155" s="436"/>
      <c r="P155" s="64" t="s">
        <v>76</v>
      </c>
      <c r="Q155" s="65" t="s">
        <v>77</v>
      </c>
      <c r="R155" s="66" t="s">
        <v>79</v>
      </c>
    </row>
    <row r="156" spans="4:18" ht="20.100000000000001" customHeight="1">
      <c r="D156" s="432">
        <v>6</v>
      </c>
      <c r="E156" s="139">
        <v>1</v>
      </c>
      <c r="F156" s="6" t="s">
        <v>96</v>
      </c>
      <c r="G156" s="7" t="s">
        <v>211</v>
      </c>
      <c r="H156" s="9" t="s">
        <v>435</v>
      </c>
      <c r="I156" s="143">
        <v>0</v>
      </c>
      <c r="J156" s="143">
        <v>3</v>
      </c>
      <c r="K156" s="154" t="s">
        <v>86</v>
      </c>
      <c r="L156" s="145"/>
      <c r="M156" s="148"/>
      <c r="N156" s="444"/>
      <c r="O156" s="445"/>
      <c r="P156" s="147"/>
      <c r="Q156" s="148"/>
      <c r="R156" s="138"/>
    </row>
    <row r="157" spans="4:18" ht="20.100000000000001" customHeight="1">
      <c r="D157" s="433"/>
      <c r="E157" s="23">
        <v>2</v>
      </c>
      <c r="F157" s="6" t="s">
        <v>96</v>
      </c>
      <c r="G157" s="7" t="s">
        <v>212</v>
      </c>
      <c r="H157" s="9" t="s">
        <v>436</v>
      </c>
      <c r="I157" s="88">
        <v>0</v>
      </c>
      <c r="J157" s="88">
        <v>4</v>
      </c>
      <c r="K157" s="21" t="str">
        <f>K156</f>
        <v>MP6-1</v>
      </c>
      <c r="L157" s="30"/>
      <c r="M157" s="32"/>
      <c r="N157" s="446"/>
      <c r="O157" s="447"/>
      <c r="P157" s="31"/>
      <c r="Q157" s="32"/>
      <c r="R157" s="39"/>
    </row>
    <row r="158" spans="4:18" ht="20.100000000000001" customHeight="1">
      <c r="D158" s="433"/>
      <c r="E158" s="23">
        <v>3</v>
      </c>
      <c r="F158" s="6"/>
      <c r="G158" s="7"/>
      <c r="H158" s="8"/>
      <c r="I158" s="88">
        <v>0</v>
      </c>
      <c r="J158" s="88">
        <v>5</v>
      </c>
      <c r="K158" s="21" t="str">
        <f t="shared" ref="K158:K171" si="3">K157</f>
        <v>MP6-1</v>
      </c>
      <c r="L158" s="30"/>
      <c r="M158" s="32"/>
      <c r="N158" s="446"/>
      <c r="O158" s="447"/>
      <c r="P158" s="31"/>
      <c r="Q158" s="32"/>
      <c r="R158" s="39"/>
    </row>
    <row r="159" spans="4:18" ht="20.100000000000001" customHeight="1">
      <c r="D159" s="433"/>
      <c r="E159" s="23">
        <v>4</v>
      </c>
      <c r="F159" s="6" t="s">
        <v>95</v>
      </c>
      <c r="G159" s="7" t="s">
        <v>549</v>
      </c>
      <c r="H159" s="8" t="s">
        <v>437</v>
      </c>
      <c r="I159" s="88">
        <v>0</v>
      </c>
      <c r="J159" s="88">
        <v>6</v>
      </c>
      <c r="K159" s="21" t="str">
        <f t="shared" si="3"/>
        <v>MP6-1</v>
      </c>
      <c r="L159" s="30"/>
      <c r="M159" s="32"/>
      <c r="N159" s="446"/>
      <c r="O159" s="447"/>
      <c r="P159" s="31"/>
      <c r="Q159" s="32"/>
      <c r="R159" s="39"/>
    </row>
    <row r="160" spans="4:18" ht="20.100000000000001" customHeight="1">
      <c r="D160" s="433"/>
      <c r="E160" s="23">
        <v>5</v>
      </c>
      <c r="F160" s="6" t="s">
        <v>209</v>
      </c>
      <c r="G160" s="7" t="s">
        <v>550</v>
      </c>
      <c r="H160" s="8" t="s">
        <v>438</v>
      </c>
      <c r="I160" s="88">
        <v>0</v>
      </c>
      <c r="J160" s="88">
        <v>7</v>
      </c>
      <c r="K160" s="21" t="str">
        <f t="shared" si="3"/>
        <v>MP6-1</v>
      </c>
      <c r="L160" s="30"/>
      <c r="M160" s="32"/>
      <c r="N160" s="446"/>
      <c r="O160" s="447"/>
      <c r="P160" s="31"/>
      <c r="Q160" s="32"/>
      <c r="R160" s="39"/>
    </row>
    <row r="161" spans="4:18" ht="20.100000000000001" customHeight="1">
      <c r="D161" s="433"/>
      <c r="E161" s="23">
        <v>6</v>
      </c>
      <c r="F161" s="6" t="s">
        <v>95</v>
      </c>
      <c r="G161" s="7" t="s">
        <v>551</v>
      </c>
      <c r="H161" s="8" t="s">
        <v>439</v>
      </c>
      <c r="I161" s="88">
        <v>0</v>
      </c>
      <c r="J161" s="88">
        <v>8</v>
      </c>
      <c r="K161" s="21" t="str">
        <f t="shared" si="3"/>
        <v>MP6-1</v>
      </c>
      <c r="L161" s="30"/>
      <c r="M161" s="32"/>
      <c r="N161" s="446"/>
      <c r="O161" s="447"/>
      <c r="P161" s="31"/>
      <c r="Q161" s="32"/>
      <c r="R161" s="39"/>
    </row>
    <row r="162" spans="4:18" ht="20.100000000000001" customHeight="1">
      <c r="D162" s="433"/>
      <c r="E162" s="23">
        <v>7</v>
      </c>
      <c r="F162" s="6" t="s">
        <v>70</v>
      </c>
      <c r="G162" s="7" t="s">
        <v>552</v>
      </c>
      <c r="H162" s="8" t="s">
        <v>440</v>
      </c>
      <c r="I162" s="88">
        <v>0</v>
      </c>
      <c r="J162" s="88">
        <v>9</v>
      </c>
      <c r="K162" s="21" t="str">
        <f t="shared" si="3"/>
        <v>MP6-1</v>
      </c>
      <c r="L162" s="40"/>
      <c r="M162" s="32"/>
      <c r="N162" s="446"/>
      <c r="O162" s="447"/>
      <c r="P162" s="31"/>
      <c r="Q162" s="32"/>
      <c r="R162" s="39"/>
    </row>
    <row r="163" spans="4:18" ht="20.100000000000001" customHeight="1">
      <c r="D163" s="433"/>
      <c r="E163" s="23">
        <v>8</v>
      </c>
      <c r="F163" s="6" t="s">
        <v>95</v>
      </c>
      <c r="G163" s="7" t="s">
        <v>553</v>
      </c>
      <c r="H163" s="8" t="s">
        <v>441</v>
      </c>
      <c r="I163" s="88">
        <v>0</v>
      </c>
      <c r="J163" s="88" t="s">
        <v>59</v>
      </c>
      <c r="K163" s="21" t="str">
        <f t="shared" si="3"/>
        <v>MP6-1</v>
      </c>
      <c r="L163" s="40"/>
      <c r="M163" s="32"/>
      <c r="N163" s="446"/>
      <c r="O163" s="447"/>
      <c r="P163" s="31"/>
      <c r="Q163" s="32"/>
      <c r="R163" s="39"/>
    </row>
    <row r="164" spans="4:18" ht="20.100000000000001" customHeight="1">
      <c r="D164" s="433"/>
      <c r="E164" s="23">
        <v>9</v>
      </c>
      <c r="F164" s="6" t="s">
        <v>71</v>
      </c>
      <c r="G164" s="7" t="s">
        <v>554</v>
      </c>
      <c r="H164" s="8" t="s">
        <v>442</v>
      </c>
      <c r="I164" s="88">
        <v>0</v>
      </c>
      <c r="J164" s="88" t="s">
        <v>60</v>
      </c>
      <c r="K164" s="21" t="str">
        <f t="shared" si="3"/>
        <v>MP6-1</v>
      </c>
      <c r="L164" s="40"/>
      <c r="M164" s="32"/>
      <c r="N164" s="446"/>
      <c r="O164" s="447"/>
      <c r="P164" s="31"/>
      <c r="Q164" s="32"/>
      <c r="R164" s="39"/>
    </row>
    <row r="165" spans="4:18" ht="20.100000000000001" customHeight="1">
      <c r="D165" s="433"/>
      <c r="E165" s="23">
        <v>10</v>
      </c>
      <c r="F165" s="6" t="s">
        <v>95</v>
      </c>
      <c r="G165" s="7" t="s">
        <v>555</v>
      </c>
      <c r="H165" s="8" t="s">
        <v>443</v>
      </c>
      <c r="I165" s="88">
        <v>0</v>
      </c>
      <c r="J165" s="88" t="s">
        <v>61</v>
      </c>
      <c r="K165" s="21" t="str">
        <f t="shared" si="3"/>
        <v>MP6-1</v>
      </c>
      <c r="L165" s="40"/>
      <c r="M165" s="32"/>
      <c r="N165" s="446"/>
      <c r="O165" s="447"/>
      <c r="P165" s="31"/>
      <c r="Q165" s="32"/>
      <c r="R165" s="39"/>
    </row>
    <row r="166" spans="4:18" ht="20.100000000000001" customHeight="1">
      <c r="D166" s="433"/>
      <c r="E166" s="23">
        <v>11</v>
      </c>
      <c r="F166" s="6" t="s">
        <v>121</v>
      </c>
      <c r="G166" s="7" t="s">
        <v>556</v>
      </c>
      <c r="H166" s="8" t="s">
        <v>444</v>
      </c>
      <c r="I166" s="88">
        <v>0</v>
      </c>
      <c r="J166" s="88" t="s">
        <v>62</v>
      </c>
      <c r="K166" s="21" t="str">
        <f t="shared" si="3"/>
        <v>MP6-1</v>
      </c>
      <c r="L166" s="30"/>
      <c r="M166" s="32"/>
      <c r="N166" s="446"/>
      <c r="O166" s="447"/>
      <c r="P166" s="31"/>
      <c r="Q166" s="32"/>
      <c r="R166" s="39"/>
    </row>
    <row r="167" spans="4:18" ht="20.100000000000001" customHeight="1">
      <c r="D167" s="433"/>
      <c r="E167" s="23">
        <v>12</v>
      </c>
      <c r="F167" s="6"/>
      <c r="G167" s="7"/>
      <c r="H167" s="8"/>
      <c r="I167" s="88">
        <v>0</v>
      </c>
      <c r="J167" s="88" t="s">
        <v>63</v>
      </c>
      <c r="K167" s="21" t="str">
        <f t="shared" si="3"/>
        <v>MP6-1</v>
      </c>
      <c r="L167" s="30"/>
      <c r="M167" s="32"/>
      <c r="N167" s="446"/>
      <c r="O167" s="447"/>
      <c r="P167" s="31"/>
      <c r="Q167" s="32"/>
      <c r="R167" s="39"/>
    </row>
    <row r="168" spans="4:18" ht="20.100000000000001" customHeight="1">
      <c r="D168" s="433"/>
      <c r="E168" s="23">
        <v>13</v>
      </c>
      <c r="F168" s="6"/>
      <c r="G168" s="7"/>
      <c r="H168" s="8"/>
      <c r="I168" s="88">
        <v>0</v>
      </c>
      <c r="J168" s="88" t="s">
        <v>64</v>
      </c>
      <c r="K168" s="21" t="str">
        <f t="shared" si="3"/>
        <v>MP6-1</v>
      </c>
      <c r="L168" s="30"/>
      <c r="M168" s="32"/>
      <c r="N168" s="446"/>
      <c r="O168" s="447"/>
      <c r="P168" s="31"/>
      <c r="Q168" s="32"/>
      <c r="R168" s="39"/>
    </row>
    <row r="169" spans="4:18" ht="20.100000000000001" customHeight="1">
      <c r="D169" s="433"/>
      <c r="E169" s="23">
        <v>14</v>
      </c>
      <c r="F169" s="177" t="s">
        <v>290</v>
      </c>
      <c r="G169" s="178" t="s">
        <v>122</v>
      </c>
      <c r="H169" s="179" t="s">
        <v>410</v>
      </c>
      <c r="I169" s="88">
        <v>1</v>
      </c>
      <c r="J169" s="88">
        <v>0</v>
      </c>
      <c r="K169" s="21" t="str">
        <f t="shared" si="3"/>
        <v>MP6-1</v>
      </c>
      <c r="L169" s="30"/>
      <c r="M169" s="32"/>
      <c r="N169" s="446"/>
      <c r="O169" s="447"/>
      <c r="P169" s="31"/>
      <c r="Q169" s="32"/>
      <c r="R169" s="39"/>
    </row>
    <row r="170" spans="4:18" ht="20.100000000000001" customHeight="1">
      <c r="D170" s="433"/>
      <c r="E170" s="23">
        <v>15</v>
      </c>
      <c r="F170" s="177" t="s">
        <v>294</v>
      </c>
      <c r="G170" s="178" t="s">
        <v>158</v>
      </c>
      <c r="H170" s="349" t="s">
        <v>418</v>
      </c>
      <c r="I170" s="88">
        <v>1</v>
      </c>
      <c r="J170" s="88">
        <v>1</v>
      </c>
      <c r="K170" s="21" t="str">
        <f t="shared" si="3"/>
        <v>MP6-1</v>
      </c>
      <c r="L170" s="40"/>
      <c r="M170" s="32"/>
      <c r="N170" s="446"/>
      <c r="O170" s="447"/>
      <c r="P170" s="31"/>
      <c r="Q170" s="32"/>
      <c r="R170" s="39"/>
    </row>
    <row r="171" spans="4:18" ht="20.100000000000001" customHeight="1">
      <c r="D171" s="433"/>
      <c r="E171" s="23">
        <v>16</v>
      </c>
      <c r="F171" s="6"/>
      <c r="G171" s="7"/>
      <c r="H171" s="8"/>
      <c r="I171" s="88">
        <v>1</v>
      </c>
      <c r="J171" s="88">
        <v>2</v>
      </c>
      <c r="K171" s="21" t="str">
        <f t="shared" si="3"/>
        <v>MP6-1</v>
      </c>
      <c r="L171" s="41"/>
      <c r="M171" s="32"/>
      <c r="N171" s="446"/>
      <c r="O171" s="447"/>
      <c r="P171" s="31"/>
      <c r="Q171" s="32"/>
      <c r="R171" s="39"/>
    </row>
    <row r="172" spans="4:18" ht="20.100000000000001" customHeight="1">
      <c r="D172" s="433"/>
      <c r="E172" s="32">
        <v>17</v>
      </c>
      <c r="F172" s="6"/>
      <c r="G172" s="7"/>
      <c r="H172" s="8"/>
      <c r="I172" s="88">
        <v>1</v>
      </c>
      <c r="J172" s="88">
        <v>3</v>
      </c>
      <c r="K172" s="21" t="s">
        <v>87</v>
      </c>
      <c r="L172" s="31"/>
      <c r="M172" s="32"/>
      <c r="N172" s="446"/>
      <c r="O172" s="447"/>
      <c r="P172" s="31"/>
      <c r="Q172" s="32"/>
      <c r="R172" s="39"/>
    </row>
    <row r="173" spans="4:18" ht="20.100000000000001" customHeight="1">
      <c r="D173" s="433"/>
      <c r="E173" s="32">
        <v>18</v>
      </c>
      <c r="F173" s="6"/>
      <c r="G173" s="7"/>
      <c r="H173" s="13"/>
      <c r="I173" s="88">
        <v>1</v>
      </c>
      <c r="J173" s="88">
        <v>4</v>
      </c>
      <c r="K173" s="21" t="str">
        <f>K172</f>
        <v>MP6-2</v>
      </c>
      <c r="L173" s="31"/>
      <c r="M173" s="32"/>
      <c r="N173" s="446"/>
      <c r="O173" s="447"/>
      <c r="P173" s="31"/>
      <c r="Q173" s="32"/>
      <c r="R173" s="39"/>
    </row>
    <row r="174" spans="4:18" ht="20.100000000000001" customHeight="1">
      <c r="D174" s="433"/>
      <c r="E174" s="32">
        <v>19</v>
      </c>
      <c r="F174" s="6"/>
      <c r="G174" s="7"/>
      <c r="H174" s="13"/>
      <c r="I174" s="88">
        <v>1</v>
      </c>
      <c r="J174" s="88">
        <v>5</v>
      </c>
      <c r="K174" s="21" t="str">
        <f>K173</f>
        <v>MP6-2</v>
      </c>
      <c r="L174" s="31"/>
      <c r="M174" s="32"/>
      <c r="N174" s="446"/>
      <c r="O174" s="447"/>
      <c r="P174" s="31"/>
      <c r="Q174" s="32"/>
      <c r="R174" s="39"/>
    </row>
    <row r="175" spans="4:18" ht="20.100000000000001" customHeight="1">
      <c r="D175" s="433"/>
      <c r="E175" s="32">
        <v>20</v>
      </c>
      <c r="F175" s="6"/>
      <c r="G175" s="7"/>
      <c r="H175" s="13"/>
      <c r="I175" s="88">
        <v>1</v>
      </c>
      <c r="J175" s="88">
        <v>6</v>
      </c>
      <c r="K175" s="21" t="str">
        <f>K174</f>
        <v>MP6-2</v>
      </c>
      <c r="L175" s="31"/>
      <c r="M175" s="32"/>
      <c r="N175" s="446"/>
      <c r="O175" s="447"/>
      <c r="P175" s="31"/>
      <c r="Q175" s="32"/>
      <c r="R175" s="39"/>
    </row>
    <row r="176" spans="4:18" ht="20.100000000000001" customHeight="1" thickBot="1">
      <c r="D176" s="434"/>
      <c r="E176" s="26">
        <v>21</v>
      </c>
      <c r="F176" s="24"/>
      <c r="G176" s="24"/>
      <c r="H176" s="27"/>
      <c r="I176" s="103">
        <v>1</v>
      </c>
      <c r="J176" s="103">
        <v>7</v>
      </c>
      <c r="K176" s="24" t="str">
        <f>K175</f>
        <v>MP6-2</v>
      </c>
      <c r="L176" s="37"/>
      <c r="M176" s="26"/>
      <c r="N176" s="448"/>
      <c r="O176" s="449"/>
      <c r="P176" s="37"/>
      <c r="Q176" s="26"/>
      <c r="R176" s="38"/>
    </row>
    <row r="177" spans="4:18" ht="20.100000000000001" customHeight="1" thickBot="1">
      <c r="D177" s="136"/>
      <c r="E177" s="136"/>
      <c r="F177" s="150"/>
      <c r="G177" s="150"/>
      <c r="H177" s="150"/>
      <c r="I177" s="150"/>
      <c r="J177" s="150"/>
      <c r="K177" s="150"/>
      <c r="L177" s="151"/>
      <c r="M177" s="136"/>
      <c r="N177" s="152"/>
      <c r="O177" s="126"/>
      <c r="P177" s="151"/>
      <c r="Q177" s="136"/>
      <c r="R177" s="152"/>
    </row>
    <row r="178" spans="4:18" ht="20.100000000000001" customHeight="1" thickBot="1">
      <c r="D178" s="149" t="s">
        <v>518</v>
      </c>
      <c r="E178" s="134"/>
      <c r="F178" s="73"/>
      <c r="G178" s="74"/>
      <c r="H178" s="75"/>
      <c r="I178" s="150"/>
      <c r="J178" s="150"/>
      <c r="K178" s="150"/>
      <c r="L178" s="151"/>
      <c r="M178" s="136"/>
      <c r="N178" s="152"/>
      <c r="O178" s="126"/>
      <c r="P178" s="151"/>
      <c r="Q178" s="136"/>
      <c r="R178" s="153"/>
    </row>
    <row r="179" spans="4:18" ht="19.95" customHeight="1">
      <c r="D179" s="430" t="s">
        <v>82</v>
      </c>
      <c r="E179" s="429" t="s">
        <v>34</v>
      </c>
      <c r="F179" s="429" t="s">
        <v>73</v>
      </c>
      <c r="G179" s="401" t="s">
        <v>118</v>
      </c>
      <c r="H179" s="429" t="s">
        <v>75</v>
      </c>
      <c r="I179" s="439" t="s">
        <v>83</v>
      </c>
      <c r="J179" s="440"/>
      <c r="K179" s="441"/>
      <c r="L179" s="437" t="s">
        <v>348</v>
      </c>
      <c r="M179" s="438"/>
      <c r="N179" s="438"/>
      <c r="O179" s="397"/>
      <c r="P179" s="437" t="s">
        <v>349</v>
      </c>
      <c r="Q179" s="438"/>
      <c r="R179" s="442"/>
    </row>
    <row r="180" spans="4:18" ht="20.100000000000001" customHeight="1" thickBot="1">
      <c r="D180" s="431"/>
      <c r="E180" s="402"/>
      <c r="F180" s="402"/>
      <c r="G180" s="443"/>
      <c r="H180" s="402"/>
      <c r="I180" s="63" t="s">
        <v>57</v>
      </c>
      <c r="J180" s="63" t="s">
        <v>58</v>
      </c>
      <c r="K180" s="63" t="s">
        <v>82</v>
      </c>
      <c r="L180" s="64" t="s">
        <v>76</v>
      </c>
      <c r="M180" s="65" t="s">
        <v>77</v>
      </c>
      <c r="N180" s="435" t="s">
        <v>78</v>
      </c>
      <c r="O180" s="436"/>
      <c r="P180" s="64" t="s">
        <v>76</v>
      </c>
      <c r="Q180" s="65" t="s">
        <v>77</v>
      </c>
      <c r="R180" s="66" t="s">
        <v>79</v>
      </c>
    </row>
    <row r="181" spans="4:18" ht="20.100000000000001" customHeight="1">
      <c r="D181" s="432">
        <v>7</v>
      </c>
      <c r="E181" s="139">
        <v>1</v>
      </c>
      <c r="F181" s="16" t="s">
        <v>94</v>
      </c>
      <c r="G181" s="7" t="s">
        <v>221</v>
      </c>
      <c r="H181" s="15" t="s">
        <v>494</v>
      </c>
      <c r="I181" s="143">
        <v>0</v>
      </c>
      <c r="J181" s="143">
        <v>3</v>
      </c>
      <c r="K181" s="154" t="s">
        <v>154</v>
      </c>
      <c r="L181" s="145"/>
      <c r="M181" s="148"/>
      <c r="N181" s="444"/>
      <c r="O181" s="445"/>
      <c r="P181" s="147"/>
      <c r="Q181" s="148"/>
      <c r="R181" s="138"/>
    </row>
    <row r="182" spans="4:18" ht="20.100000000000001" customHeight="1">
      <c r="D182" s="433"/>
      <c r="E182" s="23">
        <v>2</v>
      </c>
      <c r="F182" s="16" t="s">
        <v>68</v>
      </c>
      <c r="G182" s="7" t="s">
        <v>222</v>
      </c>
      <c r="H182" s="15" t="s">
        <v>495</v>
      </c>
      <c r="I182" s="88">
        <v>0</v>
      </c>
      <c r="J182" s="88">
        <v>4</v>
      </c>
      <c r="K182" s="21" t="str">
        <f>K181</f>
        <v>MP7-1</v>
      </c>
      <c r="L182" s="30"/>
      <c r="M182" s="32"/>
      <c r="N182" s="446"/>
      <c r="O182" s="447"/>
      <c r="P182" s="31"/>
      <c r="Q182" s="32"/>
      <c r="R182" s="39"/>
    </row>
    <row r="183" spans="4:18" ht="20.100000000000001" customHeight="1">
      <c r="D183" s="433"/>
      <c r="E183" s="23">
        <v>3</v>
      </c>
      <c r="F183" s="140" t="s">
        <v>94</v>
      </c>
      <c r="G183" s="141" t="s">
        <v>223</v>
      </c>
      <c r="H183" s="142" t="s">
        <v>496</v>
      </c>
      <c r="I183" s="88">
        <v>0</v>
      </c>
      <c r="J183" s="88">
        <v>5</v>
      </c>
      <c r="K183" s="21" t="str">
        <f t="shared" ref="K183:K196" si="4">K182</f>
        <v>MP7-1</v>
      </c>
      <c r="L183" s="30"/>
      <c r="M183" s="32"/>
      <c r="N183" s="446"/>
      <c r="O183" s="447"/>
      <c r="P183" s="31"/>
      <c r="Q183" s="32"/>
      <c r="R183" s="39"/>
    </row>
    <row r="184" spans="4:18" ht="20.100000000000001" customHeight="1">
      <c r="D184" s="433"/>
      <c r="E184" s="23">
        <v>4</v>
      </c>
      <c r="F184" s="16" t="s">
        <v>156</v>
      </c>
      <c r="G184" s="141" t="s">
        <v>289</v>
      </c>
      <c r="H184" s="142" t="s">
        <v>497</v>
      </c>
      <c r="I184" s="88">
        <v>0</v>
      </c>
      <c r="J184" s="88">
        <v>6</v>
      </c>
      <c r="K184" s="21" t="str">
        <f t="shared" si="4"/>
        <v>MP7-1</v>
      </c>
      <c r="L184" s="30"/>
      <c r="M184" s="32"/>
      <c r="N184" s="446"/>
      <c r="O184" s="447"/>
      <c r="P184" s="31"/>
      <c r="Q184" s="32"/>
      <c r="R184" s="39"/>
    </row>
    <row r="185" spans="4:18" ht="20.100000000000001" customHeight="1">
      <c r="D185" s="433"/>
      <c r="E185" s="23">
        <v>5</v>
      </c>
      <c r="F185" s="16"/>
      <c r="G185" s="7"/>
      <c r="H185" s="15"/>
      <c r="I185" s="88">
        <v>0</v>
      </c>
      <c r="J185" s="88">
        <v>7</v>
      </c>
      <c r="K185" s="21" t="str">
        <f t="shared" si="4"/>
        <v>MP7-1</v>
      </c>
      <c r="L185" s="30"/>
      <c r="M185" s="32"/>
      <c r="N185" s="446"/>
      <c r="O185" s="447"/>
      <c r="P185" s="31"/>
      <c r="Q185" s="32"/>
      <c r="R185" s="39"/>
    </row>
    <row r="186" spans="4:18" ht="20.100000000000001" customHeight="1">
      <c r="D186" s="433"/>
      <c r="E186" s="23">
        <v>6</v>
      </c>
      <c r="F186" s="345" t="s">
        <v>608</v>
      </c>
      <c r="G186" s="7" t="s">
        <v>224</v>
      </c>
      <c r="H186" s="18" t="s">
        <v>469</v>
      </c>
      <c r="I186" s="88">
        <v>0</v>
      </c>
      <c r="J186" s="88">
        <v>8</v>
      </c>
      <c r="K186" s="21" t="str">
        <f t="shared" si="4"/>
        <v>MP7-1</v>
      </c>
      <c r="L186" s="30"/>
      <c r="M186" s="32"/>
      <c r="N186" s="446"/>
      <c r="O186" s="447"/>
      <c r="P186" s="31"/>
      <c r="Q186" s="32"/>
      <c r="R186" s="39"/>
    </row>
    <row r="187" spans="4:18" ht="20.100000000000001" customHeight="1">
      <c r="D187" s="433"/>
      <c r="E187" s="23">
        <v>7</v>
      </c>
      <c r="F187" s="346" t="s">
        <v>70</v>
      </c>
      <c r="G187" s="7" t="s">
        <v>225</v>
      </c>
      <c r="H187" s="18" t="s">
        <v>470</v>
      </c>
      <c r="I187" s="88">
        <v>0</v>
      </c>
      <c r="J187" s="88">
        <v>9</v>
      </c>
      <c r="K187" s="21" t="str">
        <f t="shared" si="4"/>
        <v>MP7-1</v>
      </c>
      <c r="L187" s="40"/>
      <c r="M187" s="32"/>
      <c r="N187" s="446"/>
      <c r="O187" s="447"/>
      <c r="P187" s="31"/>
      <c r="Q187" s="32"/>
      <c r="R187" s="39"/>
    </row>
    <row r="188" spans="4:18" ht="20.100000000000001" customHeight="1">
      <c r="D188" s="433"/>
      <c r="E188" s="23">
        <v>8</v>
      </c>
      <c r="F188" s="6"/>
      <c r="G188" s="7"/>
      <c r="H188" s="18"/>
      <c r="I188" s="88">
        <v>0</v>
      </c>
      <c r="J188" s="88" t="s">
        <v>59</v>
      </c>
      <c r="K188" s="21" t="str">
        <f t="shared" si="4"/>
        <v>MP7-1</v>
      </c>
      <c r="L188" s="40"/>
      <c r="M188" s="32"/>
      <c r="N188" s="446"/>
      <c r="O188" s="447"/>
      <c r="P188" s="31"/>
      <c r="Q188" s="32"/>
      <c r="R188" s="39"/>
    </row>
    <row r="189" spans="4:18" ht="20.100000000000001" customHeight="1">
      <c r="D189" s="433"/>
      <c r="E189" s="23">
        <v>9</v>
      </c>
      <c r="F189" s="6" t="s">
        <v>94</v>
      </c>
      <c r="G189" s="7" t="s">
        <v>226</v>
      </c>
      <c r="H189" s="13" t="s">
        <v>471</v>
      </c>
      <c r="I189" s="88">
        <v>0</v>
      </c>
      <c r="J189" s="88" t="s">
        <v>60</v>
      </c>
      <c r="K189" s="21" t="str">
        <f t="shared" si="4"/>
        <v>MP7-1</v>
      </c>
      <c r="L189" s="40"/>
      <c r="M189" s="32"/>
      <c r="N189" s="446"/>
      <c r="O189" s="447"/>
      <c r="P189" s="31"/>
      <c r="Q189" s="32"/>
      <c r="R189" s="39"/>
    </row>
    <row r="190" spans="4:18" ht="20.100000000000001" customHeight="1">
      <c r="D190" s="433"/>
      <c r="E190" s="23">
        <v>10</v>
      </c>
      <c r="F190" s="6" t="s">
        <v>231</v>
      </c>
      <c r="G190" s="7" t="s">
        <v>288</v>
      </c>
      <c r="H190" s="13" t="s">
        <v>472</v>
      </c>
      <c r="I190" s="88">
        <v>0</v>
      </c>
      <c r="J190" s="88" t="s">
        <v>61</v>
      </c>
      <c r="K190" s="21" t="str">
        <f t="shared" si="4"/>
        <v>MP7-1</v>
      </c>
      <c r="L190" s="40"/>
      <c r="M190" s="32"/>
      <c r="N190" s="446"/>
      <c r="O190" s="447"/>
      <c r="P190" s="31"/>
      <c r="Q190" s="32"/>
      <c r="R190" s="39"/>
    </row>
    <row r="191" spans="4:18" ht="20.100000000000001" customHeight="1">
      <c r="D191" s="433"/>
      <c r="E191" s="23">
        <v>11</v>
      </c>
      <c r="F191" s="6" t="s">
        <v>153</v>
      </c>
      <c r="G191" s="141" t="s">
        <v>309</v>
      </c>
      <c r="H191" s="13" t="s">
        <v>473</v>
      </c>
      <c r="I191" s="88">
        <v>0</v>
      </c>
      <c r="J191" s="88" t="s">
        <v>62</v>
      </c>
      <c r="K191" s="21" t="str">
        <f t="shared" si="4"/>
        <v>MP7-1</v>
      </c>
      <c r="L191" s="30"/>
      <c r="M191" s="32"/>
      <c r="N191" s="446"/>
      <c r="O191" s="447"/>
      <c r="P191" s="31"/>
      <c r="Q191" s="32"/>
      <c r="R191" s="39"/>
    </row>
    <row r="192" spans="4:18" ht="20.100000000000001" customHeight="1">
      <c r="D192" s="433"/>
      <c r="E192" s="23">
        <v>12</v>
      </c>
      <c r="F192" s="6" t="s">
        <v>91</v>
      </c>
      <c r="G192" s="7" t="s">
        <v>227</v>
      </c>
      <c r="H192" s="13" t="s">
        <v>510</v>
      </c>
      <c r="I192" s="88">
        <v>0</v>
      </c>
      <c r="J192" s="88" t="s">
        <v>63</v>
      </c>
      <c r="K192" s="21" t="str">
        <f t="shared" si="4"/>
        <v>MP7-1</v>
      </c>
      <c r="L192" s="30"/>
      <c r="M192" s="32"/>
      <c r="N192" s="446"/>
      <c r="O192" s="447"/>
      <c r="P192" s="31"/>
      <c r="Q192" s="32"/>
      <c r="R192" s="39"/>
    </row>
    <row r="193" spans="4:18" ht="20.100000000000001" customHeight="1">
      <c r="D193" s="433"/>
      <c r="E193" s="23">
        <v>13</v>
      </c>
      <c r="F193" s="6" t="s">
        <v>92</v>
      </c>
      <c r="G193" s="7" t="s">
        <v>228</v>
      </c>
      <c r="H193" s="13" t="s">
        <v>511</v>
      </c>
      <c r="I193" s="88">
        <v>0</v>
      </c>
      <c r="J193" s="88" t="s">
        <v>64</v>
      </c>
      <c r="K193" s="21" t="str">
        <f t="shared" si="4"/>
        <v>MP7-1</v>
      </c>
      <c r="L193" s="30"/>
      <c r="M193" s="32"/>
      <c r="N193" s="446"/>
      <c r="O193" s="447"/>
      <c r="P193" s="31"/>
      <c r="Q193" s="32"/>
      <c r="R193" s="39"/>
    </row>
    <row r="194" spans="4:18" ht="20.100000000000001" customHeight="1">
      <c r="D194" s="433"/>
      <c r="E194" s="23">
        <v>14</v>
      </c>
      <c r="F194" s="6"/>
      <c r="G194" s="141"/>
      <c r="H194" s="8"/>
      <c r="I194" s="88">
        <v>1</v>
      </c>
      <c r="J194" s="88">
        <v>0</v>
      </c>
      <c r="K194" s="21" t="str">
        <f t="shared" si="4"/>
        <v>MP7-1</v>
      </c>
      <c r="L194" s="30"/>
      <c r="M194" s="32"/>
      <c r="N194" s="446"/>
      <c r="O194" s="447"/>
      <c r="P194" s="31"/>
      <c r="Q194" s="32"/>
      <c r="R194" s="39"/>
    </row>
    <row r="195" spans="4:18" ht="20.100000000000001" customHeight="1">
      <c r="D195" s="433"/>
      <c r="E195" s="23">
        <v>15</v>
      </c>
      <c r="F195" s="6"/>
      <c r="G195" s="141"/>
      <c r="H195" s="8"/>
      <c r="I195" s="88">
        <v>1</v>
      </c>
      <c r="J195" s="88">
        <v>1</v>
      </c>
      <c r="K195" s="21" t="str">
        <f t="shared" si="4"/>
        <v>MP7-1</v>
      </c>
      <c r="L195" s="40"/>
      <c r="M195" s="32"/>
      <c r="N195" s="446"/>
      <c r="O195" s="447"/>
      <c r="P195" s="31"/>
      <c r="Q195" s="32"/>
      <c r="R195" s="39"/>
    </row>
    <row r="196" spans="4:18" ht="20.100000000000001" customHeight="1">
      <c r="D196" s="433"/>
      <c r="E196" s="23">
        <v>16</v>
      </c>
      <c r="F196" s="6"/>
      <c r="G196" s="7"/>
      <c r="H196" s="13"/>
      <c r="I196" s="88">
        <v>1</v>
      </c>
      <c r="J196" s="88">
        <v>2</v>
      </c>
      <c r="K196" s="21" t="str">
        <f t="shared" si="4"/>
        <v>MP7-1</v>
      </c>
      <c r="L196" s="41"/>
      <c r="M196" s="32"/>
      <c r="N196" s="446"/>
      <c r="O196" s="447"/>
      <c r="P196" s="31"/>
      <c r="Q196" s="32"/>
      <c r="R196" s="39"/>
    </row>
    <row r="197" spans="4:18" ht="20.100000000000001" customHeight="1">
      <c r="D197" s="433"/>
      <c r="E197" s="32">
        <v>17</v>
      </c>
      <c r="F197" s="6"/>
      <c r="G197" s="141"/>
      <c r="H197" s="8"/>
      <c r="I197" s="88">
        <v>1</v>
      </c>
      <c r="J197" s="88">
        <v>3</v>
      </c>
      <c r="K197" s="21" t="s">
        <v>155</v>
      </c>
      <c r="L197" s="31"/>
      <c r="M197" s="32"/>
      <c r="N197" s="446"/>
      <c r="O197" s="447"/>
      <c r="P197" s="31"/>
      <c r="Q197" s="32"/>
      <c r="R197" s="39"/>
    </row>
    <row r="198" spans="4:18" ht="20.100000000000001" customHeight="1">
      <c r="D198" s="433"/>
      <c r="E198" s="32">
        <v>18</v>
      </c>
      <c r="F198" s="6"/>
      <c r="G198" s="141"/>
      <c r="H198" s="8"/>
      <c r="I198" s="88">
        <v>1</v>
      </c>
      <c r="J198" s="88">
        <v>4</v>
      </c>
      <c r="K198" s="21" t="str">
        <f>K197</f>
        <v>MP7-2</v>
      </c>
      <c r="L198" s="31"/>
      <c r="M198" s="32"/>
      <c r="N198" s="446"/>
      <c r="O198" s="447"/>
      <c r="P198" s="31"/>
      <c r="Q198" s="32"/>
      <c r="R198" s="39"/>
    </row>
    <row r="199" spans="4:18" ht="20.100000000000001" customHeight="1">
      <c r="D199" s="433"/>
      <c r="E199" s="32">
        <v>19</v>
      </c>
      <c r="F199" s="6"/>
      <c r="G199" s="141"/>
      <c r="H199" s="8"/>
      <c r="I199" s="88">
        <v>1</v>
      </c>
      <c r="J199" s="88">
        <v>5</v>
      </c>
      <c r="K199" s="21" t="str">
        <f>K198</f>
        <v>MP7-2</v>
      </c>
      <c r="L199" s="31"/>
      <c r="M199" s="32"/>
      <c r="N199" s="446"/>
      <c r="O199" s="447"/>
      <c r="P199" s="31"/>
      <c r="Q199" s="32"/>
      <c r="R199" s="39"/>
    </row>
    <row r="200" spans="4:18" ht="20.100000000000001" customHeight="1">
      <c r="D200" s="433"/>
      <c r="E200" s="32">
        <v>20</v>
      </c>
      <c r="F200" s="6"/>
      <c r="G200" s="141"/>
      <c r="H200" s="8"/>
      <c r="I200" s="88">
        <v>1</v>
      </c>
      <c r="J200" s="88">
        <v>6</v>
      </c>
      <c r="K200" s="21" t="str">
        <f>K199</f>
        <v>MP7-2</v>
      </c>
      <c r="L200" s="31"/>
      <c r="M200" s="32"/>
      <c r="N200" s="446"/>
      <c r="O200" s="447"/>
      <c r="P200" s="31"/>
      <c r="Q200" s="32"/>
      <c r="R200" s="39"/>
    </row>
    <row r="201" spans="4:18" ht="19.95" customHeight="1" thickBot="1">
      <c r="D201" s="434"/>
      <c r="E201" s="26">
        <v>21</v>
      </c>
      <c r="F201" s="24"/>
      <c r="G201" s="24"/>
      <c r="H201" s="27"/>
      <c r="I201" s="103">
        <v>1</v>
      </c>
      <c r="J201" s="103">
        <v>7</v>
      </c>
      <c r="K201" s="24" t="str">
        <f>K200</f>
        <v>MP7-2</v>
      </c>
      <c r="L201" s="37"/>
      <c r="M201" s="26"/>
      <c r="N201" s="448"/>
      <c r="O201" s="449"/>
      <c r="P201" s="37"/>
      <c r="Q201" s="26"/>
      <c r="R201" s="38"/>
    </row>
    <row r="202" spans="4:18" ht="20.55" customHeight="1"/>
  </sheetData>
  <mergeCells count="244">
    <mergeCell ref="N137:O137"/>
    <mergeCell ref="P129:R129"/>
    <mergeCell ref="N130:O130"/>
    <mergeCell ref="N123:O123"/>
    <mergeCell ref="N124:O124"/>
    <mergeCell ref="N125:O125"/>
    <mergeCell ref="N126:O126"/>
    <mergeCell ref="N115:O115"/>
    <mergeCell ref="N116:O116"/>
    <mergeCell ref="N117:O117"/>
    <mergeCell ref="N118:O118"/>
    <mergeCell ref="N119:O119"/>
    <mergeCell ref="N120:O120"/>
    <mergeCell ref="L129:O129"/>
    <mergeCell ref="N121:O121"/>
    <mergeCell ref="N122:O122"/>
    <mergeCell ref="N138:O138"/>
    <mergeCell ref="N139:O139"/>
    <mergeCell ref="N149:O149"/>
    <mergeCell ref="N150:O150"/>
    <mergeCell ref="N151:O151"/>
    <mergeCell ref="H4:M5"/>
    <mergeCell ref="N110:O110"/>
    <mergeCell ref="N111:O111"/>
    <mergeCell ref="D131:D151"/>
    <mergeCell ref="N131:O131"/>
    <mergeCell ref="N132:O132"/>
    <mergeCell ref="N133:O133"/>
    <mergeCell ref="N134:O134"/>
    <mergeCell ref="N135:O135"/>
    <mergeCell ref="N136:O136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D83:D84"/>
    <mergeCell ref="E83:E84"/>
    <mergeCell ref="F83:F84"/>
    <mergeCell ref="G83:G84"/>
    <mergeCell ref="H83:H84"/>
    <mergeCell ref="I83:K83"/>
    <mergeCell ref="L83:O83"/>
    <mergeCell ref="F7:F8"/>
    <mergeCell ref="G7:G8"/>
    <mergeCell ref="H7:H8"/>
    <mergeCell ref="L7:O7"/>
    <mergeCell ref="D17:D18"/>
    <mergeCell ref="E17:E18"/>
    <mergeCell ref="F17:F18"/>
    <mergeCell ref="G17:G18"/>
    <mergeCell ref="H17:H18"/>
    <mergeCell ref="L17:O17"/>
    <mergeCell ref="F63:F66"/>
    <mergeCell ref="E67:E78"/>
    <mergeCell ref="N70:O70"/>
    <mergeCell ref="N71:O71"/>
    <mergeCell ref="D67:D78"/>
    <mergeCell ref="F19:F21"/>
    <mergeCell ref="P7:R7"/>
    <mergeCell ref="N8:O8"/>
    <mergeCell ref="D9:D16"/>
    <mergeCell ref="E9:E16"/>
    <mergeCell ref="N9:O9"/>
    <mergeCell ref="N10:O10"/>
    <mergeCell ref="N11:O11"/>
    <mergeCell ref="N12:O12"/>
    <mergeCell ref="N13:O13"/>
    <mergeCell ref="N14:O14"/>
    <mergeCell ref="N15:O15"/>
    <mergeCell ref="N16:O16"/>
    <mergeCell ref="D7:D8"/>
    <mergeCell ref="E7:E8"/>
    <mergeCell ref="P17:R17"/>
    <mergeCell ref="N18:O18"/>
    <mergeCell ref="D19:D66"/>
    <mergeCell ref="E19:E66"/>
    <mergeCell ref="F22:F25"/>
    <mergeCell ref="F43:F58"/>
    <mergeCell ref="G43:G58"/>
    <mergeCell ref="N63:O63"/>
    <mergeCell ref="N64:O64"/>
    <mergeCell ref="N65:O65"/>
    <mergeCell ref="N66:O66"/>
    <mergeCell ref="N19:O19"/>
    <mergeCell ref="N20:O20"/>
    <mergeCell ref="N22:O22"/>
    <mergeCell ref="N25:O25"/>
    <mergeCell ref="N43:O43"/>
    <mergeCell ref="N44:O44"/>
    <mergeCell ref="N45:O45"/>
    <mergeCell ref="N46:O46"/>
    <mergeCell ref="N47:O47"/>
    <mergeCell ref="N23:O23"/>
    <mergeCell ref="N24:O24"/>
    <mergeCell ref="N50:O50"/>
    <mergeCell ref="G129:G130"/>
    <mergeCell ref="N51:O51"/>
    <mergeCell ref="N52:O52"/>
    <mergeCell ref="N53:O53"/>
    <mergeCell ref="N54:O54"/>
    <mergeCell ref="N55:O55"/>
    <mergeCell ref="N56:O56"/>
    <mergeCell ref="N59:O59"/>
    <mergeCell ref="N60:O60"/>
    <mergeCell ref="N61:O61"/>
    <mergeCell ref="N62:O62"/>
    <mergeCell ref="N101:O101"/>
    <mergeCell ref="N102:O102"/>
    <mergeCell ref="N91:O91"/>
    <mergeCell ref="N92:O92"/>
    <mergeCell ref="N93:O93"/>
    <mergeCell ref="N94:O94"/>
    <mergeCell ref="N109:O109"/>
    <mergeCell ref="N103:O103"/>
    <mergeCell ref="N104:O104"/>
    <mergeCell ref="I129:K129"/>
    <mergeCell ref="N112:O112"/>
    <mergeCell ref="N113:O113"/>
    <mergeCell ref="N114:O114"/>
    <mergeCell ref="P83:R83"/>
    <mergeCell ref="N87:O87"/>
    <mergeCell ref="N88:O88"/>
    <mergeCell ref="N89:O89"/>
    <mergeCell ref="N90:O90"/>
    <mergeCell ref="N97:O97"/>
    <mergeCell ref="N98:O98"/>
    <mergeCell ref="N99:O99"/>
    <mergeCell ref="N100:O100"/>
    <mergeCell ref="N84:O84"/>
    <mergeCell ref="N85:O85"/>
    <mergeCell ref="N86:O86"/>
    <mergeCell ref="N95:O95"/>
    <mergeCell ref="N96:O96"/>
    <mergeCell ref="D85:D126"/>
    <mergeCell ref="F59:F62"/>
    <mergeCell ref="F77:F78"/>
    <mergeCell ref="G77:G78"/>
    <mergeCell ref="D129:D130"/>
    <mergeCell ref="E129:E130"/>
    <mergeCell ref="H129:H130"/>
    <mergeCell ref="N26:O26"/>
    <mergeCell ref="N27:O27"/>
    <mergeCell ref="N28:O28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F129:F130"/>
    <mergeCell ref="N198:O198"/>
    <mergeCell ref="N199:O199"/>
    <mergeCell ref="N200:O200"/>
    <mergeCell ref="N201:O201"/>
    <mergeCell ref="F26:F42"/>
    <mergeCell ref="G26:G42"/>
    <mergeCell ref="N48:O48"/>
    <mergeCell ref="N49:O49"/>
    <mergeCell ref="N58:O58"/>
    <mergeCell ref="N67:O67"/>
    <mergeCell ref="N68:O68"/>
    <mergeCell ref="N57:O57"/>
    <mergeCell ref="N69:O69"/>
    <mergeCell ref="N75:O75"/>
    <mergeCell ref="N76:O76"/>
    <mergeCell ref="N77:O77"/>
    <mergeCell ref="N78:O78"/>
    <mergeCell ref="N72:O72"/>
    <mergeCell ref="N73:O73"/>
    <mergeCell ref="N74:O74"/>
    <mergeCell ref="N105:O105"/>
    <mergeCell ref="N106:O106"/>
    <mergeCell ref="N107:O107"/>
    <mergeCell ref="N108:O108"/>
    <mergeCell ref="N170:O170"/>
    <mergeCell ref="N174:O174"/>
    <mergeCell ref="N175:O175"/>
    <mergeCell ref="N176:O176"/>
    <mergeCell ref="P179:R179"/>
    <mergeCell ref="N180:O180"/>
    <mergeCell ref="D181:D201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H179:H180"/>
    <mergeCell ref="G179:G180"/>
    <mergeCell ref="F179:F180"/>
    <mergeCell ref="E179:E180"/>
    <mergeCell ref="D179:D180"/>
    <mergeCell ref="N173:O173"/>
    <mergeCell ref="N172:O172"/>
    <mergeCell ref="N171:O171"/>
    <mergeCell ref="I179:K179"/>
    <mergeCell ref="L179:O179"/>
    <mergeCell ref="D154:D155"/>
    <mergeCell ref="D156:D176"/>
    <mergeCell ref="N155:O155"/>
    <mergeCell ref="L154:O154"/>
    <mergeCell ref="I154:K154"/>
    <mergeCell ref="P154:R154"/>
    <mergeCell ref="H154:H155"/>
    <mergeCell ref="G154:G155"/>
    <mergeCell ref="F154:F155"/>
    <mergeCell ref="E154:E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</mergeCells>
  <phoneticPr fontId="2" type="noConversion"/>
  <conditionalFormatting sqref="F88:F89">
    <cfRule type="cellIs" dxfId="15" priority="1" operator="equal">
      <formula>0</formula>
    </cfRule>
  </conditionalFormatting>
  <conditionalFormatting sqref="F97">
    <cfRule type="cellIs" dxfId="14" priority="4" operator="equal">
      <formula>0</formula>
    </cfRule>
  </conditionalFormatting>
  <conditionalFormatting sqref="F186">
    <cfRule type="cellIs" dxfId="13" priority="3" operator="equal">
      <formula>0</formula>
    </cfRule>
  </conditionalFormatting>
  <dataValidations count="2">
    <dataValidation type="list" allowBlank="1" showInputMessage="1" showErrorMessage="1" sqref="M85:M116 Q22:Q78 M120:M128 Q85:Q128 M181:M201 Q181:Q201 M156:M178 M131:M153 Q9:Q16 M9:M16 Q131:Q153 Q156:Q178 Q19:Q20 M19:M20 M22:M78" xr:uid="{00000000-0002-0000-0400-000000000000}">
      <formula1>$R$4:$R$6</formula1>
    </dataValidation>
    <dataValidation type="list" allowBlank="1" showInputMessage="1" showErrorMessage="1" sqref="N21 R21" xr:uid="{22CC024B-1945-472A-A629-2132D8CFCA3C}">
      <formula1>$S$4:$S$6</formula1>
    </dataValidation>
  </dataValidations>
  <pageMargins left="0.39" right="0.39" top="0.59" bottom="0.59" header="0.12" footer="0.31"/>
  <pageSetup paperSize="8" scale="47" orientation="portrait" horizontalDpi="300" verticalDpi="300" r:id="rId1"/>
  <headerFooter alignWithMargins="0">
    <oddHeader>&amp;L&amp;G&amp;R&amp;8&amp;A</oddHeader>
    <oddFooter>&amp;C&amp;9&amp;[&amp;P</oddFooter>
  </headerFooter>
  <rowBreaks count="1" manualBreakCount="1">
    <brk id="79" max="22" man="1"/>
  </rowBreaks>
  <drawing r:id="rId2"/>
  <legacy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4EE6-0D40-4797-8A8F-C9097F7A6A47}">
  <sheetPr>
    <tabColor rgb="FFFF0000"/>
  </sheetPr>
  <dimension ref="A1:AL604"/>
  <sheetViews>
    <sheetView workbookViewId="0">
      <pane xSplit="8" ySplit="8" topLeftCell="I9" activePane="bottomRight" state="frozen"/>
      <selection pane="topRight" activeCell="F1" sqref="F1"/>
      <selection pane="bottomLeft" activeCell="A14" sqref="A14"/>
      <selection pane="bottomRight" activeCell="R15" sqref="F15:R15"/>
    </sheetView>
  </sheetViews>
  <sheetFormatPr defaultColWidth="8.68359375" defaultRowHeight="12.6"/>
  <cols>
    <col min="1" max="1" width="4" style="180" customWidth="1"/>
    <col min="2" max="2" width="10.1015625" style="183" customWidth="1"/>
    <col min="3" max="3" width="14.7890625" style="183" bestFit="1" customWidth="1"/>
    <col min="4" max="4" width="8.68359375" style="183"/>
    <col min="5" max="6" width="8.68359375" style="183" hidden="1" customWidth="1"/>
    <col min="7" max="7" width="25.20703125" style="183" hidden="1" customWidth="1"/>
    <col min="8" max="8" width="26.7890625" style="183" customWidth="1"/>
    <col min="9" max="9" width="9.3125" style="183" bestFit="1" customWidth="1"/>
    <col min="10" max="13" width="5" style="183" customWidth="1"/>
    <col min="14" max="14" width="27.3125" style="183" customWidth="1"/>
    <col min="15" max="15" width="26.41796875" style="183" customWidth="1"/>
    <col min="16" max="16" width="26.41796875" style="186" hidden="1" customWidth="1"/>
    <col min="17" max="17" width="8.3125" style="186" hidden="1" customWidth="1"/>
    <col min="18" max="19" width="8.68359375" style="183"/>
    <col min="20" max="20" width="7.89453125" style="185" bestFit="1" customWidth="1"/>
    <col min="21" max="21" width="7.89453125" style="184" customWidth="1"/>
    <col min="22" max="22" width="15.1015625" style="183" bestFit="1" customWidth="1"/>
    <col min="23" max="23" width="16.3125" style="183" customWidth="1"/>
    <col min="24" max="24" width="8.68359375" style="180"/>
    <col min="25" max="25" width="4.1015625" style="180" customWidth="1"/>
    <col min="26" max="28" width="4.3125" style="180" customWidth="1"/>
    <col min="29" max="29" width="7.20703125" style="182" customWidth="1"/>
    <col min="30" max="30" width="8.68359375" style="181"/>
    <col min="31" max="31" width="8.68359375" style="180"/>
    <col min="32" max="32" width="45" style="180" customWidth="1"/>
    <col min="33" max="37" width="8.68359375" style="180"/>
    <col min="38" max="38" width="12.3125" style="180" bestFit="1" customWidth="1"/>
    <col min="39" max="16384" width="8.68359375" style="180"/>
  </cols>
  <sheetData>
    <row r="1" spans="1:38" ht="13.2" customHeight="1" thickBot="1">
      <c r="C1" s="312"/>
      <c r="AF1" s="311"/>
    </row>
    <row r="2" spans="1:38" ht="13.2" customHeight="1">
      <c r="B2" s="477" t="str">
        <f>[4]표지!F19</f>
        <v>SDV SISW-OLED2300-4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  <c r="X2" s="478"/>
      <c r="Y2" s="478"/>
      <c r="Z2" s="478"/>
      <c r="AA2" s="478"/>
      <c r="AB2" s="479"/>
      <c r="AC2" s="310"/>
    </row>
    <row r="3" spans="1:38" ht="13.2" customHeight="1">
      <c r="B3" s="480"/>
      <c r="C3" s="481"/>
      <c r="D3" s="481"/>
      <c r="E3" s="481"/>
      <c r="F3" s="481"/>
      <c r="G3" s="481"/>
      <c r="H3" s="481"/>
      <c r="I3" s="481"/>
      <c r="J3" s="481"/>
      <c r="K3" s="481"/>
      <c r="L3" s="481"/>
      <c r="M3" s="481"/>
      <c r="N3" s="481"/>
      <c r="O3" s="481"/>
      <c r="P3" s="481"/>
      <c r="Q3" s="481"/>
      <c r="R3" s="481"/>
      <c r="S3" s="481"/>
      <c r="T3" s="481"/>
      <c r="U3" s="481"/>
      <c r="V3" s="481"/>
      <c r="W3" s="481"/>
      <c r="X3" s="481"/>
      <c r="Y3" s="481"/>
      <c r="Z3" s="481"/>
      <c r="AA3" s="481"/>
      <c r="AB3" s="482"/>
      <c r="AC3" s="310"/>
      <c r="AF3" s="189"/>
    </row>
    <row r="4" spans="1:38" ht="13.2" customHeight="1" thickBot="1">
      <c r="B4" s="483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  <c r="O4" s="484"/>
      <c r="P4" s="484"/>
      <c r="Q4" s="484"/>
      <c r="R4" s="484"/>
      <c r="S4" s="484"/>
      <c r="T4" s="484"/>
      <c r="U4" s="484"/>
      <c r="V4" s="484"/>
      <c r="W4" s="484"/>
      <c r="X4" s="484"/>
      <c r="Y4" s="484"/>
      <c r="Z4" s="484"/>
      <c r="AA4" s="484"/>
      <c r="AB4" s="485"/>
      <c r="AC4" s="310"/>
      <c r="AF4" s="189"/>
    </row>
    <row r="5" spans="1:38" ht="13.2" customHeight="1">
      <c r="B5" s="309" t="s">
        <v>661</v>
      </c>
      <c r="C5" s="308" t="s">
        <v>660</v>
      </c>
      <c r="AF5" s="189"/>
    </row>
    <row r="6" spans="1:38" ht="13.2" customHeight="1" thickBot="1">
      <c r="B6" s="307" t="s">
        <v>659</v>
      </c>
      <c r="Z6" s="306">
        <f>SUM(Z9:Z54)</f>
        <v>2.25</v>
      </c>
      <c r="AA6" s="306">
        <f>SUM(AA9:AA54)</f>
        <v>2.25</v>
      </c>
      <c r="AB6" s="306">
        <f>SUM(AB9:AB54)</f>
        <v>2.25</v>
      </c>
      <c r="AF6" s="189"/>
    </row>
    <row r="7" spans="1:38" ht="13.2" customHeight="1">
      <c r="B7" s="490" t="s">
        <v>658</v>
      </c>
      <c r="C7" s="491"/>
      <c r="D7" s="466" t="s">
        <v>657</v>
      </c>
      <c r="E7" s="494"/>
      <c r="F7" s="494"/>
      <c r="G7" s="494"/>
      <c r="H7" s="466" t="s">
        <v>656</v>
      </c>
      <c r="I7" s="466" t="s">
        <v>655</v>
      </c>
      <c r="J7" s="466" t="s">
        <v>654</v>
      </c>
      <c r="K7" s="500" t="s">
        <v>653</v>
      </c>
      <c r="L7" s="501"/>
      <c r="M7" s="502"/>
      <c r="N7" s="466" t="s">
        <v>652</v>
      </c>
      <c r="O7" s="466" t="s">
        <v>598</v>
      </c>
      <c r="P7" s="496" t="s">
        <v>651</v>
      </c>
      <c r="Q7" s="472" t="s">
        <v>650</v>
      </c>
      <c r="R7" s="472" t="s">
        <v>649</v>
      </c>
      <c r="S7" s="472" t="s">
        <v>648</v>
      </c>
      <c r="T7" s="504" t="s">
        <v>647</v>
      </c>
      <c r="U7" s="486" t="s">
        <v>646</v>
      </c>
      <c r="V7" s="466" t="s">
        <v>645</v>
      </c>
      <c r="W7" s="518"/>
      <c r="X7" s="503" t="s">
        <v>644</v>
      </c>
      <c r="Y7" s="516" t="s">
        <v>643</v>
      </c>
      <c r="Z7" s="506" t="s">
        <v>579</v>
      </c>
      <c r="AA7" s="506" t="s">
        <v>577</v>
      </c>
      <c r="AB7" s="514" t="s">
        <v>578</v>
      </c>
      <c r="AC7" s="470" t="s">
        <v>642</v>
      </c>
      <c r="AD7" s="512" t="s">
        <v>641</v>
      </c>
      <c r="AF7" s="189"/>
    </row>
    <row r="8" spans="1:38" ht="13.2" customHeight="1" thickBot="1">
      <c r="B8" s="492"/>
      <c r="C8" s="493"/>
      <c r="D8" s="467"/>
      <c r="E8" s="495"/>
      <c r="F8" s="495"/>
      <c r="G8" s="495"/>
      <c r="H8" s="467"/>
      <c r="I8" s="467"/>
      <c r="J8" s="467"/>
      <c r="K8" s="305" t="s">
        <v>640</v>
      </c>
      <c r="L8" s="305" t="s">
        <v>639</v>
      </c>
      <c r="M8" s="305" t="s">
        <v>638</v>
      </c>
      <c r="N8" s="467"/>
      <c r="O8" s="467"/>
      <c r="P8" s="497"/>
      <c r="Q8" s="473"/>
      <c r="R8" s="473"/>
      <c r="S8" s="473"/>
      <c r="T8" s="505"/>
      <c r="U8" s="487"/>
      <c r="V8" s="305" t="s">
        <v>637</v>
      </c>
      <c r="W8" s="304" t="s">
        <v>636</v>
      </c>
      <c r="X8" s="492"/>
      <c r="Y8" s="517"/>
      <c r="Z8" s="507"/>
      <c r="AA8" s="507"/>
      <c r="AB8" s="515"/>
      <c r="AC8" s="471"/>
      <c r="AD8" s="513"/>
      <c r="AF8" s="189"/>
    </row>
    <row r="9" spans="1:38" ht="13.2" customHeight="1">
      <c r="A9" s="180" t="s">
        <v>623</v>
      </c>
      <c r="B9" s="303"/>
      <c r="C9" s="302"/>
      <c r="D9" s="301" t="s">
        <v>210</v>
      </c>
      <c r="E9" s="300"/>
      <c r="F9" s="300"/>
      <c r="G9" s="299" t="s">
        <v>405</v>
      </c>
      <c r="H9" s="298" t="str">
        <f t="shared" ref="H9:H54" si="0">E9&amp;F9&amp;" "&amp;G9</f>
        <v xml:space="preserve"> SCT Main Glass Transfer1 Y-1</v>
      </c>
      <c r="I9" s="297" t="str">
        <f t="shared" ref="I9:I54" si="1">IF(OR(LEFT(O9,3)="SGL",LEFT(O9,5)="SGMCS"),"LINEAR","Rotary")</f>
        <v>Rotary</v>
      </c>
      <c r="J9" s="296" t="str">
        <f t="shared" ref="J9:J54" si="2">IF(OR(RIGHT($H9,1)="Z",LEFT(RIGHT($H9,2),1)="Z",LEFT(RIGHT($H9,3),1)="Z"),"Z",IF(OR(RIGHT($H9,1)="X",LEFT(RIGHT($H9,2),1)="X",LEFT(RIGHT($H9,3),1)="X"),"X",IF(OR(RIGHT($H9,1)="Y",LEFT(RIGHT($H9,2),1)="Y",LEFT(RIGHT($H9,3),1)="Y"),"Y","T")))</f>
        <v>Y</v>
      </c>
      <c r="K9" s="295">
        <f>VLOOKUP($D9,[4]회선정보!B:F,3,FALSE)</f>
        <v>0</v>
      </c>
      <c r="L9" s="295">
        <f>VLOOKUP($D9,[4]회선정보!B:F,4,FALSE)</f>
        <v>6</v>
      </c>
      <c r="M9" s="295" t="str">
        <f>VLOOKUP($D9,[4]회선정보!B:F,5,FALSE)</f>
        <v>MP1-1</v>
      </c>
      <c r="N9" s="294" t="s">
        <v>635</v>
      </c>
      <c r="O9" s="294" t="s">
        <v>634</v>
      </c>
      <c r="P9" s="293" t="str">
        <f t="shared" ref="P9:P54" si="3">IFERROR(IF($I9="Rotary",LEFT($O9,9),$O9),"")</f>
        <v>SGM7G-13A</v>
      </c>
      <c r="Q9" s="293">
        <f>IF(MID($N8,5,1)&lt;&gt;"W",VLOOKUP(N9,[4]정격용량!$B$3:$K$633,4,FALSE),"X")</f>
        <v>1500</v>
      </c>
      <c r="R9" s="290">
        <f>IF(MID($N8,5,1)&lt;&gt;"W",VLOOKUP(N9,[4]정격용량!$B$3:$K$633,3,FALSE),"X")</f>
        <v>0.25</v>
      </c>
      <c r="S9" s="290">
        <f>IF(MID($N8,5,1)&lt;&gt;"W",VLOOKUP(N9,[4]정격용량!$B$3:$K$633,6,FALSE),"X")</f>
        <v>7.3</v>
      </c>
      <c r="T9" s="292">
        <f t="shared" ref="T9:T32" si="4">IF(MID($N8,5,1)&lt;&gt;"W",S9*$C$85,"X")</f>
        <v>2.7613043478260866</v>
      </c>
      <c r="U9" s="291">
        <f>IF(MID($N8,5,1)&lt;&gt;"W",VLOOKUP(N9,[4]정격용량!$B$3:$K$633,9,FALSE),"X")</f>
        <v>10</v>
      </c>
      <c r="V9" s="290" t="str">
        <f>IFERROR(IF(J9="Z",VLOOKUP(P9,'[4]SERVO CABLE'!G:AD,8,FALSE),VLOOKUP(P9,'[4]SERVO CABLE'!G:AD,4,FALSE)),"")</f>
        <v>JZSP-UVA122-□-E</v>
      </c>
      <c r="W9" s="290" t="str">
        <f>IFERROR(VLOOKUP(P9,'[4]SERVO CABLE'!G:AD,17,FALSE),"")</f>
        <v>JZSP-CVP27-□-E</v>
      </c>
      <c r="X9" s="289"/>
      <c r="Y9" s="289">
        <v>1</v>
      </c>
      <c r="Z9" s="288">
        <f t="shared" ref="Z9:Z54" si="5">IF($Y9=1,$R$9,"")</f>
        <v>0.25</v>
      </c>
      <c r="AA9" s="288" t="str">
        <f t="shared" ref="AA9:AA54" si="6">IF($Y9=2,$R$9,"")</f>
        <v/>
      </c>
      <c r="AB9" s="288" t="str">
        <f t="shared" ref="AB9:AB54" si="7">IF($Y9=3,$R$9,"")</f>
        <v/>
      </c>
      <c r="AC9" s="287">
        <f t="shared" ref="AC9:AC54" si="8">IF(MID($N8,5,1)&lt;&gt;"W",((700*700)/$Q9*1.509)/1000,"X")</f>
        <v>0.49293999999999999</v>
      </c>
      <c r="AD9" s="286" t="str">
        <f t="shared" ref="AD9:AD54" si="9">IF($AC9="X","X",IF($AC9&lt;0.1,"X",IF($AC9&lt;0.27,"IRV60",IF($AC9&lt;0.91,"IRV80",IF($AC9&lt;1.1,"IRV100",IF($AC9&lt;1.3,"IRV120",IF($AC9&lt;1.6,"IRV150",IF($AC9&lt;2.2,"IRV200",IF($AC9&lt;2.7,"IRV300",IF($AC9&lt;4.3,"IRV400",IF($AC9&lt;6.8,"IRV500","X")))))))))))</f>
        <v>IRV80</v>
      </c>
      <c r="AF9" s="189"/>
    </row>
    <row r="10" spans="1:38" ht="16.5">
      <c r="A10" s="180" t="s">
        <v>623</v>
      </c>
      <c r="B10" s="221"/>
      <c r="C10" s="280"/>
      <c r="D10" s="270" t="s">
        <v>123</v>
      </c>
      <c r="E10" s="269"/>
      <c r="F10" s="269"/>
      <c r="G10" s="277" t="s">
        <v>406</v>
      </c>
      <c r="H10" s="209" t="str">
        <f t="shared" si="0"/>
        <v xml:space="preserve"> SCT Main Glass Transfer1 Y-2</v>
      </c>
      <c r="I10" s="202" t="str">
        <f t="shared" si="1"/>
        <v>Rotary</v>
      </c>
      <c r="J10" s="267" t="str">
        <f t="shared" si="2"/>
        <v>Y</v>
      </c>
      <c r="K10" s="266">
        <f>VLOOKUP($D10,[4]회선정보!B:F,3,FALSE)</f>
        <v>0</v>
      </c>
      <c r="L10" s="266">
        <f>VLOOKUP($D10,[4]회선정보!B:F,4,FALSE)</f>
        <v>7</v>
      </c>
      <c r="M10" s="266" t="str">
        <f>VLOOKUP($D10,[4]회선정보!B:F,5,FALSE)</f>
        <v>MP1-1</v>
      </c>
      <c r="N10" s="265" t="s">
        <v>635</v>
      </c>
      <c r="O10" s="265" t="s">
        <v>634</v>
      </c>
      <c r="P10" s="263" t="str">
        <f t="shared" si="3"/>
        <v>SGM7G-13A</v>
      </c>
      <c r="Q10" s="263">
        <f>IF(MID($N9,5,1)&lt;&gt;"W",VLOOKUP(N10,[4]정격용량!$B$3:$K$633,4,FALSE),"X")</f>
        <v>1500</v>
      </c>
      <c r="R10" s="260">
        <f>IF(MID(N9,5,1)&lt;&gt;"W",VLOOKUP(N10,[4]정격용량!$B$3:$K$633,3,FALSE),"X")</f>
        <v>0.25</v>
      </c>
      <c r="S10" s="260">
        <f>IF(MID(N9,5,1)&lt;&gt;"W",VLOOKUP(N10,[4]정격용량!$B$3:$K$633,6,FALSE),"X")</f>
        <v>7.3</v>
      </c>
      <c r="T10" s="262">
        <f t="shared" si="4"/>
        <v>2.7613043478260866</v>
      </c>
      <c r="U10" s="261">
        <f>IF(MID($N9,5,1)&lt;&gt;"W",VLOOKUP(N10,[4]정격용량!$B$3:$K$633,9,FALSE),"X")</f>
        <v>10</v>
      </c>
      <c r="V10" s="260" t="str">
        <f>IFERROR(IF(J10="Z",VLOOKUP(P10,'[4]SERVO CABLE'!G:AD,8,FALSE),VLOOKUP(P10,'[4]SERVO CABLE'!G:AD,4,FALSE)),"")</f>
        <v>JZSP-UVA122-□-E</v>
      </c>
      <c r="W10" s="260" t="str">
        <f>IFERROR(VLOOKUP(P10,'[4]SERVO CABLE'!G:AD,17,FALSE),"")</f>
        <v>JZSP-CVP27-□-E</v>
      </c>
      <c r="X10" s="215"/>
      <c r="Y10" s="215"/>
      <c r="Z10" s="259" t="str">
        <f t="shared" si="5"/>
        <v/>
      </c>
      <c r="AA10" s="259" t="str">
        <f t="shared" si="6"/>
        <v/>
      </c>
      <c r="AB10" s="259" t="str">
        <f t="shared" si="7"/>
        <v/>
      </c>
      <c r="AC10" s="258">
        <f t="shared" si="8"/>
        <v>0.49293999999999999</v>
      </c>
      <c r="AD10" s="257" t="str">
        <f t="shared" si="9"/>
        <v>IRV80</v>
      </c>
      <c r="AF10" s="189"/>
    </row>
    <row r="11" spans="1:38" ht="16.5">
      <c r="A11" s="180" t="s">
        <v>601</v>
      </c>
      <c r="B11" s="221"/>
      <c r="C11" s="280"/>
      <c r="D11" s="270" t="s">
        <v>124</v>
      </c>
      <c r="E11" s="269"/>
      <c r="F11" s="269"/>
      <c r="G11" s="277" t="s">
        <v>407</v>
      </c>
      <c r="H11" s="209" t="str">
        <f t="shared" si="0"/>
        <v xml:space="preserve"> SCT Main Glass Transfer1 X</v>
      </c>
      <c r="I11" s="202" t="str">
        <f t="shared" si="1"/>
        <v>Rotary</v>
      </c>
      <c r="J11" s="267" t="str">
        <f t="shared" si="2"/>
        <v>X</v>
      </c>
      <c r="K11" s="266">
        <f>VLOOKUP($D11,[4]회선정보!B:F,3,FALSE)</f>
        <v>0</v>
      </c>
      <c r="L11" s="266">
        <f>VLOOKUP($D11,[4]회선정보!B:F,4,FALSE)</f>
        <v>8</v>
      </c>
      <c r="M11" s="266" t="str">
        <f>VLOOKUP($D11,[4]회선정보!B:F,5,FALSE)</f>
        <v>MP1-1</v>
      </c>
      <c r="N11" s="265" t="s">
        <v>633</v>
      </c>
      <c r="O11" s="265" t="s">
        <v>632</v>
      </c>
      <c r="P11" s="263" t="str">
        <f t="shared" si="3"/>
        <v>SGM7J-04A</v>
      </c>
      <c r="Q11" s="263">
        <f>IF(MID($N10,5,1)&lt;&gt;"W",VLOOKUP(N11,[4]정격용량!$B$3:$K$633,4,FALSE),"X")</f>
        <v>400</v>
      </c>
      <c r="R11" s="260">
        <f>IF(MID(N10,5,1)&lt;&gt;"W",VLOOKUP(N11,[4]정격용량!$B$3:$K$633,3,FALSE),"X")</f>
        <v>0.2</v>
      </c>
      <c r="S11" s="260">
        <f>IF(MID(N10,5,1)&lt;&gt;"W",VLOOKUP(N11,[4]정격용량!$B$3:$K$633,6,FALSE),"X")</f>
        <v>2.5</v>
      </c>
      <c r="T11" s="262">
        <f t="shared" si="4"/>
        <v>0.94565217391304346</v>
      </c>
      <c r="U11" s="261">
        <f>IF(MID($N10,5,1)&lt;&gt;"W",VLOOKUP(N11,[4]정격용량!$B$3:$K$633,9,FALSE),"X")</f>
        <v>3</v>
      </c>
      <c r="V11" s="260" t="str">
        <f>IFERROR(IF(J11="Z",VLOOKUP(P11,'[4]SERVO CABLE'!G:AD,8,FALSE),VLOOKUP(P11,'[4]SERVO CABLE'!G:AD,4,FALSE)),"")</f>
        <v>JZSP-C7M22F-□-E</v>
      </c>
      <c r="W11" s="260" t="str">
        <f>IFERROR(VLOOKUP(P11,'[4]SERVO CABLE'!G:AD,17,FALSE),"")</f>
        <v>JZSP-C7PA2D-□-E</v>
      </c>
      <c r="X11" s="215"/>
      <c r="Y11" s="215">
        <v>2</v>
      </c>
      <c r="Z11" s="259" t="str">
        <f t="shared" si="5"/>
        <v/>
      </c>
      <c r="AA11" s="259">
        <f t="shared" si="6"/>
        <v>0.25</v>
      </c>
      <c r="AB11" s="259" t="str">
        <f t="shared" si="7"/>
        <v/>
      </c>
      <c r="AC11" s="258">
        <f t="shared" si="8"/>
        <v>1.848525</v>
      </c>
      <c r="AD11" s="257" t="str">
        <f t="shared" si="9"/>
        <v>IRV200</v>
      </c>
      <c r="AF11" s="189"/>
    </row>
    <row r="12" spans="1:38" ht="16.5">
      <c r="A12" s="180" t="s">
        <v>601</v>
      </c>
      <c r="B12" s="221"/>
      <c r="C12" s="280"/>
      <c r="D12" s="270" t="s">
        <v>127</v>
      </c>
      <c r="E12" s="269"/>
      <c r="F12" s="269"/>
      <c r="G12" s="277" t="s">
        <v>408</v>
      </c>
      <c r="H12" s="209" t="str">
        <f t="shared" si="0"/>
        <v xml:space="preserve"> SCT Main Glass Transfer1 Z-1</v>
      </c>
      <c r="I12" s="202" t="str">
        <f t="shared" si="1"/>
        <v>Rotary</v>
      </c>
      <c r="J12" s="267" t="str">
        <f t="shared" si="2"/>
        <v>Z</v>
      </c>
      <c r="K12" s="266">
        <f>VLOOKUP($D12,[4]회선정보!B:F,3,FALSE)</f>
        <v>0</v>
      </c>
      <c r="L12" s="266">
        <f>VLOOKUP($D12,[4]회선정보!B:F,4,FALSE)</f>
        <v>9</v>
      </c>
      <c r="M12" s="266" t="str">
        <f>VLOOKUP($D12,[4]회선정보!B:F,5,FALSE)</f>
        <v>MP1-1</v>
      </c>
      <c r="N12" s="265" t="s">
        <v>606</v>
      </c>
      <c r="O12" s="265" t="s">
        <v>628</v>
      </c>
      <c r="P12" s="263" t="str">
        <f t="shared" si="3"/>
        <v>SGM7J-08A</v>
      </c>
      <c r="Q12" s="263">
        <f>IF(MID($N11,5,1)&lt;&gt;"W",VLOOKUP(N12,[4]정격용량!$B$3:$K$633,4,FALSE),"X")</f>
        <v>1500</v>
      </c>
      <c r="R12" s="260">
        <f>IF(MID(N11,5,1)&lt;&gt;"W",VLOOKUP(N12,[4]정격용량!$B$3:$K$633,3,FALSE),"X")</f>
        <v>0.3</v>
      </c>
      <c r="S12" s="260">
        <f>IF(MID(N11,5,1)&lt;&gt;"W",VLOOKUP(N12,[4]정격용량!$B$3:$K$633,6,FALSE),"X")</f>
        <v>7.8</v>
      </c>
      <c r="T12" s="262">
        <f t="shared" si="4"/>
        <v>2.9504347826086956</v>
      </c>
      <c r="U12" s="261">
        <f>IF(MID($N11,5,1)&lt;&gt;"W",VLOOKUP(N12,[4]정격용량!$B$3:$K$633,9,FALSE),"X")</f>
        <v>10</v>
      </c>
      <c r="V12" s="260" t="str">
        <f>IFERROR(IF(J12="Z",VLOOKUP(P12,'[4]SERVO CABLE'!G:AD,8,FALSE),VLOOKUP(P12,'[4]SERVO CABLE'!G:AD,4,FALSE)),"")</f>
        <v>JZSP-C7M34F-□-E</v>
      </c>
      <c r="W12" s="260" t="str">
        <f>IFERROR(VLOOKUP(P12,'[4]SERVO CABLE'!G:AD,17,FALSE),"")</f>
        <v>JZSP-C7PA2D-□-E</v>
      </c>
      <c r="X12" s="215"/>
      <c r="Y12" s="215"/>
      <c r="Z12" s="259" t="str">
        <f t="shared" si="5"/>
        <v/>
      </c>
      <c r="AA12" s="259" t="str">
        <f t="shared" si="6"/>
        <v/>
      </c>
      <c r="AB12" s="259" t="str">
        <f t="shared" si="7"/>
        <v/>
      </c>
      <c r="AC12" s="258">
        <f t="shared" si="8"/>
        <v>0.49293999999999999</v>
      </c>
      <c r="AD12" s="257" t="str">
        <f t="shared" si="9"/>
        <v>IRV80</v>
      </c>
      <c r="AF12" s="189"/>
      <c r="AL12" s="189"/>
    </row>
    <row r="13" spans="1:38" ht="16.5">
      <c r="A13" s="180" t="s">
        <v>601</v>
      </c>
      <c r="B13" s="221"/>
      <c r="C13" s="280"/>
      <c r="D13" s="270" t="s">
        <v>128</v>
      </c>
      <c r="E13" s="269"/>
      <c r="F13" s="269"/>
      <c r="G13" s="277" t="s">
        <v>409</v>
      </c>
      <c r="H13" s="209" t="str">
        <f t="shared" si="0"/>
        <v xml:space="preserve"> SCT Main Glass Transfer1 Z-2</v>
      </c>
      <c r="I13" s="202" t="str">
        <f t="shared" si="1"/>
        <v>Rotary</v>
      </c>
      <c r="J13" s="267" t="str">
        <f t="shared" si="2"/>
        <v>Z</v>
      </c>
      <c r="K13" s="266">
        <f>VLOOKUP($D13,[4]회선정보!B:F,3,FALSE)</f>
        <v>0</v>
      </c>
      <c r="L13" s="266" t="str">
        <f>VLOOKUP($D13,[4]회선정보!B:F,4,FALSE)</f>
        <v>A</v>
      </c>
      <c r="M13" s="266" t="str">
        <f>VLOOKUP($D13,[4]회선정보!B:F,5,FALSE)</f>
        <v>MP1-1</v>
      </c>
      <c r="N13" s="265"/>
      <c r="O13" s="265" t="s">
        <v>628</v>
      </c>
      <c r="P13" s="263" t="str">
        <f t="shared" si="3"/>
        <v>SGM7J-08A</v>
      </c>
      <c r="Q13" s="263" t="str">
        <f>IF(MID($N12,5,1)&lt;&gt;"W",VLOOKUP(N13,[4]정격용량!$B$3:$K$633,4,FALSE),"X")</f>
        <v>X</v>
      </c>
      <c r="R13" s="260" t="str">
        <f>IF(MID(N12,5,1)&lt;&gt;"W",VLOOKUP(N13,[4]정격용량!$B$3:$K$633,3,FALSE),"X")</f>
        <v>X</v>
      </c>
      <c r="S13" s="260" t="str">
        <f>IF(MID(N12,5,1)&lt;&gt;"W",VLOOKUP(N13,[4]정격용량!$B$3:$K$633,6,FALSE),"X")</f>
        <v>X</v>
      </c>
      <c r="T13" s="262" t="str">
        <f t="shared" si="4"/>
        <v>X</v>
      </c>
      <c r="U13" s="261" t="str">
        <f>IF(MID($N12,5,1)&lt;&gt;"W",VLOOKUP(N13,[4]정격용량!$B$3:$K$633,9,FALSE),"X")</f>
        <v>X</v>
      </c>
      <c r="V13" s="260" t="str">
        <f>IFERROR(IF(J13="Z",VLOOKUP(P13,'[4]SERVO CABLE'!G:AD,8,FALSE),VLOOKUP(P13,'[4]SERVO CABLE'!G:AD,4,FALSE)),"")</f>
        <v>JZSP-C7M34F-□-E</v>
      </c>
      <c r="W13" s="260" t="str">
        <f>IFERROR(VLOOKUP(P13,'[4]SERVO CABLE'!G:AD,17,FALSE),"")</f>
        <v>JZSP-C7PA2D-□-E</v>
      </c>
      <c r="X13" s="215"/>
      <c r="Y13" s="215">
        <v>3</v>
      </c>
      <c r="Z13" s="259" t="str">
        <f t="shared" si="5"/>
        <v/>
      </c>
      <c r="AA13" s="259" t="str">
        <f t="shared" si="6"/>
        <v/>
      </c>
      <c r="AB13" s="259">
        <f t="shared" si="7"/>
        <v>0.25</v>
      </c>
      <c r="AC13" s="258" t="str">
        <f t="shared" si="8"/>
        <v>X</v>
      </c>
      <c r="AD13" s="257" t="str">
        <f t="shared" si="9"/>
        <v>X</v>
      </c>
      <c r="AF13" s="189"/>
      <c r="AL13" s="189"/>
    </row>
    <row r="14" spans="1:38" ht="20.399999999999999">
      <c r="A14" s="180" t="s">
        <v>601</v>
      </c>
      <c r="B14" s="221"/>
      <c r="C14" s="280"/>
      <c r="D14" s="270" t="s">
        <v>122</v>
      </c>
      <c r="E14" s="269"/>
      <c r="F14" s="269"/>
      <c r="G14" s="277" t="s">
        <v>410</v>
      </c>
      <c r="H14" s="209" t="str">
        <f t="shared" si="0"/>
        <v xml:space="preserve"> SCT Main Glass Transfer1 T</v>
      </c>
      <c r="I14" s="202" t="str">
        <f t="shared" si="1"/>
        <v>Rotary</v>
      </c>
      <c r="J14" s="267" t="str">
        <f t="shared" si="2"/>
        <v>T</v>
      </c>
      <c r="K14" s="266">
        <f>VLOOKUP($D14,[4]회선정보!B:F,3,FALSE)</f>
        <v>0</v>
      </c>
      <c r="L14" s="266" t="str">
        <f>VLOOKUP($D14,[4]회선정보!B:F,4,FALSE)</f>
        <v>B</v>
      </c>
      <c r="M14" s="266" t="str">
        <f>VLOOKUP($D14,[4]회선정보!B:F,5,FALSE)</f>
        <v>MP1-1</v>
      </c>
      <c r="N14" s="285" t="s">
        <v>631</v>
      </c>
      <c r="O14" s="285" t="s">
        <v>630</v>
      </c>
      <c r="P14" s="263" t="str">
        <f t="shared" si="3"/>
        <v>ND400-95L</v>
      </c>
      <c r="Q14" s="263">
        <f>IF(MID($N13,5,1)&lt;&gt;"W",VLOOKUP(N14,[4]정격용량!$B$3:$K$633,4,FALSE),"X")</f>
        <v>3300</v>
      </c>
      <c r="R14" s="260">
        <f>IF(MID(N13,5,1)&lt;&gt;"W",VLOOKUP(N14,[4]정격용량!$B$3:$K$633,3,FALSE),"X")</f>
        <v>0.18</v>
      </c>
      <c r="S14" s="260">
        <f>IF(MID(N13,5,1)&lt;&gt;"W",VLOOKUP(N14,[4]정격용량!$B$3:$K$633,6,FALSE),"X")</f>
        <v>17</v>
      </c>
      <c r="T14" s="262">
        <f t="shared" si="4"/>
        <v>6.4304347826086952</v>
      </c>
      <c r="U14" s="261">
        <f>IF(MID($N13,5,1)&lt;&gt;"W",VLOOKUP(N14,[4]정격용량!$B$3:$K$633,9,FALSE),"X")</f>
        <v>0</v>
      </c>
      <c r="V14" s="260" t="str">
        <f>IFERROR(IF(J14="Z",VLOOKUP(P14,'[4]SERVO CABLE'!G:AD,8,FALSE),VLOOKUP(P14,'[4]SERVO CABLE'!G:AD,4,FALSE)),"")</f>
        <v>NCR-XBBEA-150</v>
      </c>
      <c r="W14" s="260" t="str">
        <f>IFERROR(VLOOKUP(P14,'[4]SERVO CABLE'!G:AD,17,FALSE),"")</f>
        <v>NCR-XBGGA-150</v>
      </c>
      <c r="X14" s="215"/>
      <c r="Y14" s="215"/>
      <c r="Z14" s="259" t="str">
        <f t="shared" si="5"/>
        <v/>
      </c>
      <c r="AA14" s="259" t="str">
        <f t="shared" si="6"/>
        <v/>
      </c>
      <c r="AB14" s="259" t="str">
        <f t="shared" si="7"/>
        <v/>
      </c>
      <c r="AC14" s="258">
        <f t="shared" si="8"/>
        <v>0.22406363636363635</v>
      </c>
      <c r="AD14" s="257" t="str">
        <f t="shared" si="9"/>
        <v>IRV60</v>
      </c>
      <c r="AF14" s="189"/>
      <c r="AL14" s="189"/>
    </row>
    <row r="15" spans="1:38" ht="16.5">
      <c r="A15" s="180" t="s">
        <v>601</v>
      </c>
      <c r="B15" s="221"/>
      <c r="C15" s="280"/>
      <c r="D15" s="270" t="s">
        <v>125</v>
      </c>
      <c r="E15" s="269"/>
      <c r="F15" s="269"/>
      <c r="G15" s="273" t="s">
        <v>397</v>
      </c>
      <c r="H15" s="209" t="str">
        <f t="shared" si="0"/>
        <v xml:space="preserve"> SCT Main Glass PreAlign Left X</v>
      </c>
      <c r="I15" s="202" t="str">
        <f t="shared" si="1"/>
        <v>Rotary</v>
      </c>
      <c r="J15" s="267" t="str">
        <f t="shared" si="2"/>
        <v>X</v>
      </c>
      <c r="K15" s="266">
        <f>VLOOKUP($D15,[4]회선정보!B:F,3,FALSE)</f>
        <v>0</v>
      </c>
      <c r="L15" s="266" t="str">
        <f>VLOOKUP($D15,[4]회선정보!B:F,4,FALSE)</f>
        <v>D</v>
      </c>
      <c r="M15" s="266" t="str">
        <f>VLOOKUP($D15,[4]회선정보!B:F,5,FALSE)</f>
        <v>MP1-1</v>
      </c>
      <c r="N15" s="284" t="s">
        <v>95</v>
      </c>
      <c r="O15" s="265" t="s">
        <v>624</v>
      </c>
      <c r="P15" s="263" t="str">
        <f t="shared" si="3"/>
        <v>SGM7J-01A</v>
      </c>
      <c r="Q15" s="263">
        <f>IF(MID($N14,5,1)&lt;&gt;"W",VLOOKUP(N15,[4]정격용량!$B$3:$K$633,4,FALSE),"X")</f>
        <v>400</v>
      </c>
      <c r="R15" s="260">
        <f>IF(MID(N14,5,1)&lt;&gt;"W",VLOOKUP(N15,[4]정격용량!$B$3:$K$633,3,FALSE),"X")</f>
        <v>0.3</v>
      </c>
      <c r="S15" s="260">
        <f>IF(MID(N14,5,1)&lt;&gt;"W",VLOOKUP(N15,[4]정격용량!$B$3:$K$633,6,FALSE),"X")</f>
        <v>2.5</v>
      </c>
      <c r="T15" s="262">
        <f t="shared" si="4"/>
        <v>0.94565217391304346</v>
      </c>
      <c r="U15" s="261">
        <f>IF(MID($N14,5,1)&lt;&gt;"W",VLOOKUP(N15,[4]정격용량!$B$3:$K$633,9,FALSE),"X")</f>
        <v>3</v>
      </c>
      <c r="V15" s="260" t="str">
        <f>IFERROR(IF(J15="Z",VLOOKUP(P15,'[4]SERVO CABLE'!G:AD,8,FALSE),VLOOKUP(P15,'[4]SERVO CABLE'!G:AD,4,FALSE)),"")</f>
        <v>JZSP-C7M12F-□-E</v>
      </c>
      <c r="W15" s="260" t="str">
        <f>IFERROR(VLOOKUP(P15,'[4]SERVO CABLE'!G:AD,17,FALSE),"")</f>
        <v>JZSP-C7PA2D-□-E</v>
      </c>
      <c r="X15" s="215"/>
      <c r="Y15" s="215">
        <v>1</v>
      </c>
      <c r="Z15" s="259">
        <f t="shared" si="5"/>
        <v>0.25</v>
      </c>
      <c r="AA15" s="259" t="str">
        <f t="shared" si="6"/>
        <v/>
      </c>
      <c r="AB15" s="259" t="str">
        <f t="shared" si="7"/>
        <v/>
      </c>
      <c r="AC15" s="258">
        <f t="shared" si="8"/>
        <v>1.848525</v>
      </c>
      <c r="AD15" s="257" t="str">
        <f t="shared" si="9"/>
        <v>IRV200</v>
      </c>
      <c r="AF15" s="189"/>
      <c r="AL15" s="189"/>
    </row>
    <row r="16" spans="1:38" ht="16.5">
      <c r="A16" s="180" t="s">
        <v>603</v>
      </c>
      <c r="B16" s="221"/>
      <c r="C16" s="280"/>
      <c r="D16" s="270" t="s">
        <v>126</v>
      </c>
      <c r="E16" s="269"/>
      <c r="F16" s="269"/>
      <c r="G16" s="273" t="s">
        <v>399</v>
      </c>
      <c r="H16" s="209" t="str">
        <f t="shared" si="0"/>
        <v xml:space="preserve"> SCT Main Glass PreAlign Right X</v>
      </c>
      <c r="I16" s="202" t="str">
        <f t="shared" si="1"/>
        <v>Rotary</v>
      </c>
      <c r="J16" s="267" t="str">
        <f t="shared" si="2"/>
        <v>X</v>
      </c>
      <c r="K16" s="266">
        <f>VLOOKUP($D16,[4]회선정보!B:F,3,FALSE)</f>
        <v>0</v>
      </c>
      <c r="L16" s="266" t="str">
        <f>VLOOKUP($D16,[4]회선정보!B:F,4,FALSE)</f>
        <v>E</v>
      </c>
      <c r="M16" s="266" t="str">
        <f>VLOOKUP($D16,[4]회선정보!B:F,5,FALSE)</f>
        <v>MP1-1</v>
      </c>
      <c r="N16" s="284"/>
      <c r="O16" s="265" t="s">
        <v>624</v>
      </c>
      <c r="P16" s="263" t="str">
        <f t="shared" si="3"/>
        <v>SGM7J-01A</v>
      </c>
      <c r="Q16" s="263" t="str">
        <f>IF(MID($N15,5,1)&lt;&gt;"W",VLOOKUP(N16,[4]정격용량!$B$3:$K$633,4,FALSE),"X")</f>
        <v>X</v>
      </c>
      <c r="R16" s="260" t="str">
        <f>IF(MID(N15,5,1)&lt;&gt;"W",VLOOKUP(N16,[4]정격용량!$B$3:$K$633,3,FALSE),"X")</f>
        <v>X</v>
      </c>
      <c r="S16" s="260" t="str">
        <f>IF(MID(N15,5,1)&lt;&gt;"W",VLOOKUP(N16,[4]정격용량!$B$3:$K$633,6,FALSE),"X")</f>
        <v>X</v>
      </c>
      <c r="T16" s="262" t="str">
        <f t="shared" si="4"/>
        <v>X</v>
      </c>
      <c r="U16" s="261" t="str">
        <f>IF(MID($N15,5,1)&lt;&gt;"W",VLOOKUP(N16,[4]정격용량!$B$3:$K$633,9,FALSE),"X")</f>
        <v>X</v>
      </c>
      <c r="V16" s="260" t="str">
        <f>IFERROR(IF(J16="Z",VLOOKUP(P16,'[4]SERVO CABLE'!G:AD,8,FALSE),VLOOKUP(P16,'[4]SERVO CABLE'!G:AD,4,FALSE)),"")</f>
        <v>JZSP-C7M12F-□-E</v>
      </c>
      <c r="W16" s="260" t="str">
        <f>IFERROR(VLOOKUP(P16,'[4]SERVO CABLE'!G:AD,17,FALSE),"")</f>
        <v>JZSP-C7PA2D-□-E</v>
      </c>
      <c r="X16" s="215"/>
      <c r="Y16" s="215">
        <v>2</v>
      </c>
      <c r="Z16" s="259" t="str">
        <f t="shared" si="5"/>
        <v/>
      </c>
      <c r="AA16" s="259">
        <f t="shared" si="6"/>
        <v>0.25</v>
      </c>
      <c r="AB16" s="259" t="str">
        <f t="shared" si="7"/>
        <v/>
      </c>
      <c r="AC16" s="258" t="str">
        <f t="shared" si="8"/>
        <v>X</v>
      </c>
      <c r="AD16" s="257" t="str">
        <f t="shared" si="9"/>
        <v>X</v>
      </c>
      <c r="AF16" s="189"/>
      <c r="AL16" s="189"/>
    </row>
    <row r="17" spans="1:38" ht="16.5">
      <c r="A17" s="180" t="s">
        <v>603</v>
      </c>
      <c r="B17" s="283"/>
      <c r="C17" s="280"/>
      <c r="D17" s="270" t="s">
        <v>295</v>
      </c>
      <c r="E17" s="269"/>
      <c r="F17" s="269"/>
      <c r="G17" s="273" t="s">
        <v>376</v>
      </c>
      <c r="H17" s="209" t="str">
        <f t="shared" si="0"/>
        <v xml:space="preserve"> SCT Main Glass MCR X</v>
      </c>
      <c r="I17" s="202" t="str">
        <f t="shared" si="1"/>
        <v>Rotary</v>
      </c>
      <c r="J17" s="267" t="str">
        <f t="shared" si="2"/>
        <v>X</v>
      </c>
      <c r="K17" s="266">
        <f>VLOOKUP($D17,[4]회선정보!B:F,3,FALSE)</f>
        <v>0</v>
      </c>
      <c r="L17" s="266" t="str">
        <f>VLOOKUP($D17,[4]회선정보!B:F,4,FALSE)</f>
        <v>F</v>
      </c>
      <c r="M17" s="266" t="str">
        <f>VLOOKUP($D17,[4]회선정보!B:F,5,FALSE)</f>
        <v>MP1-1</v>
      </c>
      <c r="N17" s="282" t="s">
        <v>153</v>
      </c>
      <c r="O17" s="281" t="s">
        <v>609</v>
      </c>
      <c r="P17" s="263" t="str">
        <f t="shared" si="3"/>
        <v>SGM7J-08A</v>
      </c>
      <c r="Q17" s="263">
        <f>IF(MID($N16,5,1)&lt;&gt;"W",VLOOKUP(N17,[4]정격용량!$B$3:$K$633,4,FALSE),"X")</f>
        <v>750</v>
      </c>
      <c r="R17" s="260">
        <f>IF(MID(N16,5,1)&lt;&gt;"W",VLOOKUP(N17,[4]정격용량!$B$3:$K$633,3,FALSE),"X")</f>
        <v>0.2</v>
      </c>
      <c r="S17" s="260">
        <f>IF(MID(N16,5,1)&lt;&gt;"W",VLOOKUP(N17,[4]정격용량!$B$3:$K$633,6,FALSE),"X")</f>
        <v>4.0999999999999996</v>
      </c>
      <c r="T17" s="262">
        <f t="shared" si="4"/>
        <v>1.5508695652173912</v>
      </c>
      <c r="U17" s="261">
        <f>IF(MID($N16,5,1)&lt;&gt;"W",VLOOKUP(N17,[4]정격용량!$B$3:$K$633,9,FALSE),"X")</f>
        <v>5</v>
      </c>
      <c r="V17" s="260" t="str">
        <f>IFERROR(IF(J17="Z",VLOOKUP(P17,'[4]SERVO CABLE'!G:AD,8,FALSE),VLOOKUP(P17,'[4]SERVO CABLE'!G:AD,4,FALSE)),"")</f>
        <v>JZSP-C7M32F-□-E</v>
      </c>
      <c r="W17" s="260" t="str">
        <f>IFERROR(VLOOKUP(P17,'[4]SERVO CABLE'!G:AD,17,FALSE),"")</f>
        <v>JZSP-C7PA2D-□-E</v>
      </c>
      <c r="X17" s="215"/>
      <c r="Y17" s="215">
        <v>3</v>
      </c>
      <c r="Z17" s="259" t="str">
        <f t="shared" si="5"/>
        <v/>
      </c>
      <c r="AA17" s="259" t="str">
        <f t="shared" si="6"/>
        <v/>
      </c>
      <c r="AB17" s="259">
        <f t="shared" si="7"/>
        <v>0.25</v>
      </c>
      <c r="AC17" s="258">
        <f t="shared" si="8"/>
        <v>0.98587999999999998</v>
      </c>
      <c r="AD17" s="257" t="str">
        <f t="shared" si="9"/>
        <v>IRV100</v>
      </c>
      <c r="AF17" s="189"/>
      <c r="AL17" s="189"/>
    </row>
    <row r="18" spans="1:38" ht="16.5">
      <c r="A18" s="180" t="s">
        <v>601</v>
      </c>
      <c r="B18" s="221"/>
      <c r="C18" s="280"/>
      <c r="D18" s="270" t="s">
        <v>300</v>
      </c>
      <c r="E18" s="269"/>
      <c r="F18" s="269"/>
      <c r="G18" s="277" t="s">
        <v>411</v>
      </c>
      <c r="H18" s="209" t="str">
        <f t="shared" si="0"/>
        <v xml:space="preserve"> SCT Stick Transfer1 Y-1</v>
      </c>
      <c r="I18" s="202" t="str">
        <f t="shared" si="1"/>
        <v>Rotary</v>
      </c>
      <c r="J18" s="267" t="str">
        <f t="shared" si="2"/>
        <v>Y</v>
      </c>
      <c r="K18" s="266">
        <f>VLOOKUP($D18,[4]회선정보!B:F,3,FALSE)</f>
        <v>1</v>
      </c>
      <c r="L18" s="266">
        <f>VLOOKUP($D18,[4]회선정보!B:F,4,FALSE)</f>
        <v>3</v>
      </c>
      <c r="M18" s="266" t="str">
        <f>VLOOKUP($D18,[4]회선정보!B:F,5,FALSE)</f>
        <v>MP1-2</v>
      </c>
      <c r="N18" s="265" t="s">
        <v>629</v>
      </c>
      <c r="O18" s="265" t="s">
        <v>607</v>
      </c>
      <c r="P18" s="263" t="str">
        <f t="shared" si="3"/>
        <v>SGM7G-09A</v>
      </c>
      <c r="Q18" s="263">
        <f>IF(MID($N17,5,1)&lt;&gt;"W",VLOOKUP(N18,[4]정격용량!$B$3:$K$633,4,FALSE),"X")</f>
        <v>2000</v>
      </c>
      <c r="R18" s="260">
        <f>IF(MID(N17,5,1)&lt;&gt;"W",VLOOKUP(N18,[4]정격용량!$B$3:$K$633,3,FALSE),"X")</f>
        <v>0.3</v>
      </c>
      <c r="S18" s="260">
        <f>IF(MID(N17,5,1)&lt;&gt;"W",VLOOKUP(N18,[4]정격용량!$B$3:$K$633,6,FALSE),"X")</f>
        <v>11</v>
      </c>
      <c r="T18" s="262">
        <f t="shared" si="4"/>
        <v>4.160869565217391</v>
      </c>
      <c r="U18" s="261">
        <f>IF(MID($N17,5,1)&lt;&gt;"W",VLOOKUP(N18,[4]정격용량!$B$3:$K$633,9,FALSE),"X")</f>
        <v>15</v>
      </c>
      <c r="V18" s="260" t="str">
        <f>IFERROR(IF(J18="Z",VLOOKUP(P18,'[4]SERVO CABLE'!G:AD,8,FALSE),VLOOKUP(P18,'[4]SERVO CABLE'!G:AD,4,FALSE)),"")</f>
        <v>JZSP-UVA122-□-E</v>
      </c>
      <c r="W18" s="260" t="str">
        <f>IFERROR(VLOOKUP(P18,'[4]SERVO CABLE'!G:AD,17,FALSE),"")</f>
        <v>JZSP-CVP27-□-E</v>
      </c>
      <c r="X18" s="215"/>
      <c r="Y18" s="215">
        <v>1</v>
      </c>
      <c r="Z18" s="259">
        <f t="shared" si="5"/>
        <v>0.25</v>
      </c>
      <c r="AA18" s="259" t="str">
        <f t="shared" si="6"/>
        <v/>
      </c>
      <c r="AB18" s="259" t="str">
        <f t="shared" si="7"/>
        <v/>
      </c>
      <c r="AC18" s="258">
        <f t="shared" si="8"/>
        <v>0.36970500000000001</v>
      </c>
      <c r="AD18" s="257" t="str">
        <f t="shared" si="9"/>
        <v>IRV80</v>
      </c>
      <c r="AF18" s="189"/>
      <c r="AL18" s="189"/>
    </row>
    <row r="19" spans="1:38" ht="16.5">
      <c r="A19" s="180" t="s">
        <v>601</v>
      </c>
      <c r="B19" s="221"/>
      <c r="C19" s="280"/>
      <c r="D19" s="270" t="s">
        <v>129</v>
      </c>
      <c r="E19" s="269"/>
      <c r="F19" s="269"/>
      <c r="G19" s="277" t="s">
        <v>412</v>
      </c>
      <c r="H19" s="209" t="str">
        <f t="shared" si="0"/>
        <v xml:space="preserve"> SCT Stick Transfer1 Y-2</v>
      </c>
      <c r="I19" s="202" t="str">
        <f t="shared" si="1"/>
        <v>Rotary</v>
      </c>
      <c r="J19" s="267" t="str">
        <f t="shared" si="2"/>
        <v>Y</v>
      </c>
      <c r="K19" s="266">
        <f>VLOOKUP($D19,[4]회선정보!B:F,3,FALSE)</f>
        <v>1</v>
      </c>
      <c r="L19" s="266">
        <f>VLOOKUP($D19,[4]회선정보!B:F,4,FALSE)</f>
        <v>4</v>
      </c>
      <c r="M19" s="266" t="str">
        <f>VLOOKUP($D19,[4]회선정보!B:F,5,FALSE)</f>
        <v>MP1-2</v>
      </c>
      <c r="N19" s="265"/>
      <c r="O19" s="265" t="s">
        <v>607</v>
      </c>
      <c r="P19" s="263" t="str">
        <f t="shared" si="3"/>
        <v>SGM7G-09A</v>
      </c>
      <c r="Q19" s="263" t="str">
        <f>IF(MID($N18,5,1)&lt;&gt;"W",VLOOKUP(N19,[4]정격용량!$B$3:$K$633,4,FALSE),"X")</f>
        <v>X</v>
      </c>
      <c r="R19" s="260" t="str">
        <f>IF(MID(N18,5,1)&lt;&gt;"W",VLOOKUP(N19,[4]정격용량!$B$3:$K$633,3,FALSE),"X")</f>
        <v>X</v>
      </c>
      <c r="S19" s="260" t="str">
        <f>IF(MID(N18,5,1)&lt;&gt;"W",VLOOKUP(N19,[4]정격용량!$B$3:$K$633,6,FALSE),"X")</f>
        <v>X</v>
      </c>
      <c r="T19" s="262" t="str">
        <f t="shared" si="4"/>
        <v>X</v>
      </c>
      <c r="U19" s="261" t="str">
        <f>IF(MID($N18,5,1)&lt;&gt;"W",VLOOKUP(N19,[4]정격용량!$B$3:$K$633,9,FALSE),"X")</f>
        <v>X</v>
      </c>
      <c r="V19" s="260" t="str">
        <f>IFERROR(IF(J19="Z",VLOOKUP(P19,'[4]SERVO CABLE'!G:AD,8,FALSE),VLOOKUP(P19,'[4]SERVO CABLE'!G:AD,4,FALSE)),"")</f>
        <v>JZSP-UVA122-□-E</v>
      </c>
      <c r="W19" s="260" t="str">
        <f>IFERROR(VLOOKUP(P19,'[4]SERVO CABLE'!G:AD,17,FALSE),"")</f>
        <v>JZSP-CVP27-□-E</v>
      </c>
      <c r="X19" s="215"/>
      <c r="Y19" s="215"/>
      <c r="Z19" s="259" t="str">
        <f t="shared" si="5"/>
        <v/>
      </c>
      <c r="AA19" s="259" t="str">
        <f t="shared" si="6"/>
        <v/>
      </c>
      <c r="AB19" s="259" t="str">
        <f t="shared" si="7"/>
        <v/>
      </c>
      <c r="AC19" s="258" t="str">
        <f t="shared" si="8"/>
        <v>X</v>
      </c>
      <c r="AD19" s="257" t="str">
        <f t="shared" si="9"/>
        <v>X</v>
      </c>
      <c r="AF19" s="189"/>
      <c r="AL19" s="189"/>
    </row>
    <row r="20" spans="1:38" ht="16.5">
      <c r="A20" s="180" t="s">
        <v>601</v>
      </c>
      <c r="B20" s="221"/>
      <c r="C20" s="280"/>
      <c r="D20" s="270" t="s">
        <v>130</v>
      </c>
      <c r="E20" s="269"/>
      <c r="F20" s="269"/>
      <c r="G20" s="277" t="s">
        <v>413</v>
      </c>
      <c r="H20" s="209" t="str">
        <f t="shared" si="0"/>
        <v xml:space="preserve"> SCT Stick Transfer1 Z-1</v>
      </c>
      <c r="I20" s="202" t="str">
        <f t="shared" si="1"/>
        <v>Rotary</v>
      </c>
      <c r="J20" s="267" t="str">
        <f t="shared" si="2"/>
        <v>Z</v>
      </c>
      <c r="K20" s="266">
        <f>VLOOKUP($D20,[4]회선정보!B:F,3,FALSE)</f>
        <v>1</v>
      </c>
      <c r="L20" s="266">
        <f>VLOOKUP($D20,[4]회선정보!B:F,4,FALSE)</f>
        <v>5</v>
      </c>
      <c r="M20" s="266" t="str">
        <f>VLOOKUP($D20,[4]회선정보!B:F,5,FALSE)</f>
        <v>MP1-2</v>
      </c>
      <c r="N20" s="209" t="s">
        <v>610</v>
      </c>
      <c r="O20" s="209" t="s">
        <v>628</v>
      </c>
      <c r="P20" s="263" t="str">
        <f t="shared" si="3"/>
        <v>SGM7J-08A</v>
      </c>
      <c r="Q20" s="263">
        <f>IF(MID($N19,5,1)&lt;&gt;"W",VLOOKUP(N20,[4]정격용량!$B$3:$K$633,4,FALSE),"X")</f>
        <v>1500</v>
      </c>
      <c r="R20" s="260">
        <f>IF(MID(N19,5,1)&lt;&gt;"W",VLOOKUP(N20,[4]정격용량!$B$3:$K$633,3,FALSE),"X")</f>
        <v>0.3</v>
      </c>
      <c r="S20" s="260">
        <f>IF(MID(N19,5,1)&lt;&gt;"W",VLOOKUP(N20,[4]정격용량!$B$3:$K$633,6,FALSE),"X")</f>
        <v>7.8</v>
      </c>
      <c r="T20" s="262">
        <f t="shared" si="4"/>
        <v>2.9504347826086956</v>
      </c>
      <c r="U20" s="261">
        <f>IF(MID($N19,5,1)&lt;&gt;"W",VLOOKUP(N20,[4]정격용량!$B$3:$K$633,9,FALSE),"X")</f>
        <v>10</v>
      </c>
      <c r="V20" s="260" t="str">
        <f>IFERROR(IF(J20="Z",VLOOKUP(P20,'[4]SERVO CABLE'!G:AD,8,FALSE),VLOOKUP(P20,'[4]SERVO CABLE'!G:AD,4,FALSE)),"")</f>
        <v>JZSP-C7M34F-□-E</v>
      </c>
      <c r="W20" s="260" t="str">
        <f>IFERROR(VLOOKUP(P20,'[4]SERVO CABLE'!G:AD,17,FALSE),"")</f>
        <v>JZSP-C7PA2D-□-E</v>
      </c>
      <c r="X20" s="215"/>
      <c r="Y20" s="215">
        <v>2</v>
      </c>
      <c r="Z20" s="259" t="str">
        <f t="shared" si="5"/>
        <v/>
      </c>
      <c r="AA20" s="259">
        <f t="shared" si="6"/>
        <v>0.25</v>
      </c>
      <c r="AB20" s="259" t="str">
        <f t="shared" si="7"/>
        <v/>
      </c>
      <c r="AC20" s="258">
        <f t="shared" si="8"/>
        <v>0.49293999999999999</v>
      </c>
      <c r="AD20" s="257" t="str">
        <f t="shared" si="9"/>
        <v>IRV80</v>
      </c>
      <c r="AF20" s="189"/>
      <c r="AL20" s="189"/>
    </row>
    <row r="21" spans="1:38" ht="16.5">
      <c r="A21" s="180" t="s">
        <v>601</v>
      </c>
      <c r="B21" s="221"/>
      <c r="C21" s="280"/>
      <c r="D21" s="270" t="s">
        <v>131</v>
      </c>
      <c r="E21" s="269"/>
      <c r="F21" s="269"/>
      <c r="G21" s="277" t="s">
        <v>414</v>
      </c>
      <c r="H21" s="209" t="str">
        <f t="shared" si="0"/>
        <v xml:space="preserve"> SCT Stick Transfer1 Z-2</v>
      </c>
      <c r="I21" s="202" t="str">
        <f t="shared" si="1"/>
        <v>Rotary</v>
      </c>
      <c r="J21" s="267" t="str">
        <f t="shared" si="2"/>
        <v>Z</v>
      </c>
      <c r="K21" s="266">
        <f>VLOOKUP($D21,[4]회선정보!B:F,3,FALSE)</f>
        <v>1</v>
      </c>
      <c r="L21" s="266">
        <f>VLOOKUP($D21,[4]회선정보!B:F,4,FALSE)</f>
        <v>6</v>
      </c>
      <c r="M21" s="266" t="str">
        <f>VLOOKUP($D21,[4]회선정보!B:F,5,FALSE)</f>
        <v>MP1-2</v>
      </c>
      <c r="N21" s="209"/>
      <c r="O21" s="209" t="s">
        <v>628</v>
      </c>
      <c r="P21" s="263" t="str">
        <f t="shared" si="3"/>
        <v>SGM7J-08A</v>
      </c>
      <c r="Q21" s="263" t="str">
        <f>IF(MID($N20,5,1)&lt;&gt;"W",VLOOKUP(N21,[4]정격용량!$B$3:$K$633,4,FALSE),"X")</f>
        <v>X</v>
      </c>
      <c r="R21" s="260" t="str">
        <f>IF(MID(N20,5,1)&lt;&gt;"W",VLOOKUP(N21,[4]정격용량!$B$3:$K$633,3,FALSE),"X")</f>
        <v>X</v>
      </c>
      <c r="S21" s="260" t="str">
        <f>IF(MID(N20,5,1)&lt;&gt;"W",VLOOKUP(N21,[4]정격용량!$B$3:$K$633,6,FALSE),"X")</f>
        <v>X</v>
      </c>
      <c r="T21" s="262" t="str">
        <f t="shared" si="4"/>
        <v>X</v>
      </c>
      <c r="U21" s="261" t="str">
        <f>IF(MID($N20,5,1)&lt;&gt;"W",VLOOKUP(N21,[4]정격용량!$B$3:$K$633,9,FALSE),"X")</f>
        <v>X</v>
      </c>
      <c r="V21" s="260" t="str">
        <f>IFERROR(IF(J21="Z",VLOOKUP(P21,'[4]SERVO CABLE'!G:AD,8,FALSE),VLOOKUP(P21,'[4]SERVO CABLE'!G:AD,4,FALSE)),"")</f>
        <v>JZSP-C7M34F-□-E</v>
      </c>
      <c r="W21" s="260" t="str">
        <f>IFERROR(VLOOKUP(P21,'[4]SERVO CABLE'!G:AD,17,FALSE),"")</f>
        <v>JZSP-C7PA2D-□-E</v>
      </c>
      <c r="X21" s="215"/>
      <c r="Y21" s="215">
        <v>3</v>
      </c>
      <c r="Z21" s="259" t="str">
        <f t="shared" si="5"/>
        <v/>
      </c>
      <c r="AA21" s="259" t="str">
        <f t="shared" si="6"/>
        <v/>
      </c>
      <c r="AB21" s="259">
        <f t="shared" si="7"/>
        <v>0.25</v>
      </c>
      <c r="AC21" s="258" t="str">
        <f t="shared" si="8"/>
        <v>X</v>
      </c>
      <c r="AD21" s="257" t="str">
        <f t="shared" si="9"/>
        <v>X</v>
      </c>
      <c r="AF21" s="189"/>
      <c r="AL21" s="189"/>
    </row>
    <row r="22" spans="1:38" ht="16.5">
      <c r="A22" s="180" t="s">
        <v>601</v>
      </c>
      <c r="B22" s="221"/>
      <c r="C22" s="280"/>
      <c r="D22" s="270" t="s">
        <v>132</v>
      </c>
      <c r="E22" s="269"/>
      <c r="F22" s="269"/>
      <c r="G22" s="273" t="s">
        <v>417</v>
      </c>
      <c r="H22" s="209" t="str">
        <f t="shared" si="0"/>
        <v xml:space="preserve"> SCT Stick Buffer Table Y</v>
      </c>
      <c r="I22" s="202" t="str">
        <f t="shared" si="1"/>
        <v>Rotary</v>
      </c>
      <c r="J22" s="267" t="str">
        <f t="shared" si="2"/>
        <v>Y</v>
      </c>
      <c r="K22" s="266">
        <f>VLOOKUP($D22,[4]회선정보!B:F,3,FALSE)</f>
        <v>1</v>
      </c>
      <c r="L22" s="266">
        <f>VLOOKUP($D22,[4]회선정보!B:F,4,FALSE)</f>
        <v>8</v>
      </c>
      <c r="M22" s="266" t="str">
        <f>VLOOKUP($D22,[4]회선정보!B:F,5,FALSE)</f>
        <v>MP1-2</v>
      </c>
      <c r="N22" s="209" t="s">
        <v>627</v>
      </c>
      <c r="O22" s="209" t="s">
        <v>607</v>
      </c>
      <c r="P22" s="263" t="str">
        <f t="shared" si="3"/>
        <v>SGM7G-09A</v>
      </c>
      <c r="Q22" s="263">
        <f>IF(MID($N21,5,1)&lt;&gt;"W",VLOOKUP(N22,[4]정격용량!$B$3:$K$633,4,FALSE),"X")</f>
        <v>1000</v>
      </c>
      <c r="R22" s="260">
        <f>IF(MID(N21,5,1)&lt;&gt;"W",VLOOKUP(N22,[4]정격용량!$B$3:$K$633,3,FALSE),"X")</f>
        <v>0.2</v>
      </c>
      <c r="S22" s="260">
        <f>IF(MID(N21,5,1)&lt;&gt;"W",VLOOKUP(N22,[4]정격용량!$B$3:$K$633,6,FALSE),"X")</f>
        <v>5.7</v>
      </c>
      <c r="T22" s="262">
        <f t="shared" si="4"/>
        <v>2.1560869565217389</v>
      </c>
      <c r="U22" s="261">
        <f>IF(MID($N21,5,1)&lt;&gt;"W",VLOOKUP(N22,[4]정격용량!$B$3:$K$633,9,FALSE),"X")</f>
        <v>7</v>
      </c>
      <c r="V22" s="260" t="str">
        <f>IFERROR(IF(J22="Z",VLOOKUP(P22,'[4]SERVO CABLE'!G:AD,8,FALSE),VLOOKUP(P22,'[4]SERVO CABLE'!G:AD,4,FALSE)),"")</f>
        <v>JZSP-UVA122-□-E</v>
      </c>
      <c r="W22" s="260" t="str">
        <f>IFERROR(VLOOKUP(P22,'[4]SERVO CABLE'!G:AD,17,FALSE),"")</f>
        <v>JZSP-CVP27-□-E</v>
      </c>
      <c r="X22" s="215"/>
      <c r="Y22" s="215"/>
      <c r="Z22" s="259" t="str">
        <f t="shared" si="5"/>
        <v/>
      </c>
      <c r="AA22" s="259" t="str">
        <f t="shared" si="6"/>
        <v/>
      </c>
      <c r="AB22" s="259" t="str">
        <f t="shared" si="7"/>
        <v/>
      </c>
      <c r="AC22" s="258">
        <f t="shared" si="8"/>
        <v>0.73941000000000001</v>
      </c>
      <c r="AD22" s="257" t="str">
        <f t="shared" si="9"/>
        <v>IRV80</v>
      </c>
      <c r="AF22" s="189"/>
      <c r="AL22" s="189"/>
    </row>
    <row r="23" spans="1:38" ht="25.2">
      <c r="A23" s="180" t="s">
        <v>601</v>
      </c>
      <c r="B23" s="221"/>
      <c r="C23" s="280"/>
      <c r="D23" s="270" t="s">
        <v>158</v>
      </c>
      <c r="E23" s="269"/>
      <c r="F23" s="269"/>
      <c r="G23" s="273" t="s">
        <v>418</v>
      </c>
      <c r="H23" s="209" t="str">
        <f t="shared" si="0"/>
        <v xml:space="preserve"> SCT Stick Buffer Table T</v>
      </c>
      <c r="I23" s="202" t="str">
        <f t="shared" si="1"/>
        <v>Rotary</v>
      </c>
      <c r="J23" s="267" t="str">
        <f t="shared" si="2"/>
        <v>T</v>
      </c>
      <c r="K23" s="266">
        <f>VLOOKUP($D23,[4]회선정보!B:F,3,FALSE)</f>
        <v>1</v>
      </c>
      <c r="L23" s="266">
        <f>VLOOKUP($D23,[4]회선정보!B:F,4,FALSE)</f>
        <v>9</v>
      </c>
      <c r="M23" s="266" t="str">
        <f>VLOOKUP($D23,[4]회선정보!B:F,5,FALSE)</f>
        <v>MP1-2</v>
      </c>
      <c r="N23" s="280" t="s">
        <v>626</v>
      </c>
      <c r="O23" s="280" t="s">
        <v>625</v>
      </c>
      <c r="P23" s="263" t="str">
        <f t="shared" si="3"/>
        <v>ND400-70L</v>
      </c>
      <c r="Q23" s="263">
        <f>IF(MID($N22,5,1)&lt;&gt;"W",VLOOKUP(N23,[4]정격용량!$B$3:$K$633,4,FALSE),"X")</f>
        <v>2200</v>
      </c>
      <c r="R23" s="260">
        <f>IF(MID(N22,5,1)&lt;&gt;"W",VLOOKUP(N23,[4]정격용량!$B$3:$K$633,3,FALSE),"X")</f>
        <v>0.15</v>
      </c>
      <c r="S23" s="260">
        <f>IF(MID(N22,5,1)&lt;&gt;"W",VLOOKUP(N23,[4]정격용량!$B$3:$K$633,6,FALSE),"X")</f>
        <v>13.5</v>
      </c>
      <c r="T23" s="262">
        <f t="shared" si="4"/>
        <v>5.1065217391304349</v>
      </c>
      <c r="U23" s="261">
        <f>IF(MID($N22,5,1)&lt;&gt;"W",VLOOKUP(N23,[4]정격용량!$B$3:$K$633,9,FALSE),"X")</f>
        <v>0</v>
      </c>
      <c r="V23" s="260" t="str">
        <f>IFERROR(IF(J23="Z",VLOOKUP(P23,'[4]SERVO CABLE'!G:AD,8,FALSE),VLOOKUP(P23,'[4]SERVO CABLE'!G:AD,4,FALSE)),"")</f>
        <v>NCR-XBBEA-150</v>
      </c>
      <c r="W23" s="260" t="str">
        <f>IFERROR(VLOOKUP(P23,'[4]SERVO CABLE'!G:AD,17,FALSE),"")</f>
        <v>NCR-XBGGA-150</v>
      </c>
      <c r="X23" s="215"/>
      <c r="Y23" s="215"/>
      <c r="Z23" s="259" t="str">
        <f t="shared" si="5"/>
        <v/>
      </c>
      <c r="AA23" s="259" t="str">
        <f t="shared" si="6"/>
        <v/>
      </c>
      <c r="AB23" s="259" t="str">
        <f t="shared" si="7"/>
        <v/>
      </c>
      <c r="AC23" s="258">
        <f t="shared" si="8"/>
        <v>0.33609545454545453</v>
      </c>
      <c r="AD23" s="257" t="str">
        <f t="shared" si="9"/>
        <v>IRV80</v>
      </c>
      <c r="AF23" s="189"/>
      <c r="AL23" s="189"/>
    </row>
    <row r="24" spans="1:38" ht="16.5">
      <c r="A24" s="180" t="s">
        <v>623</v>
      </c>
      <c r="B24" s="221"/>
      <c r="C24" s="209"/>
      <c r="D24" s="270" t="s">
        <v>307</v>
      </c>
      <c r="E24" s="269"/>
      <c r="F24" s="269"/>
      <c r="G24" s="273" t="s">
        <v>403</v>
      </c>
      <c r="H24" s="209" t="str">
        <f t="shared" si="0"/>
        <v xml:space="preserve"> SCT Stick PreAlign Left X</v>
      </c>
      <c r="I24" s="202" t="str">
        <f t="shared" si="1"/>
        <v>Rotary</v>
      </c>
      <c r="J24" s="267" t="str">
        <f t="shared" si="2"/>
        <v>X</v>
      </c>
      <c r="K24" s="266">
        <f>VLOOKUP($D24,[4]회선정보!B:F,3,FALSE)</f>
        <v>1</v>
      </c>
      <c r="L24" s="266" t="str">
        <f>VLOOKUP($D24,[4]회선정보!B:F,4,FALSE)</f>
        <v>B</v>
      </c>
      <c r="M24" s="266" t="str">
        <f>VLOOKUP($D24,[4]회선정보!B:F,5,FALSE)</f>
        <v>MP1-2</v>
      </c>
      <c r="N24" s="265" t="s">
        <v>612</v>
      </c>
      <c r="O24" s="265" t="s">
        <v>624</v>
      </c>
      <c r="P24" s="263" t="str">
        <f t="shared" si="3"/>
        <v>SGM7J-01A</v>
      </c>
      <c r="Q24" s="263">
        <f>IF(MID($N23,5,1)&lt;&gt;"W",VLOOKUP(N24,[4]정격용량!$B$3:$K$633,4,FALSE),"X")</f>
        <v>400</v>
      </c>
      <c r="R24" s="260">
        <f>IF(MID(N23,5,1)&lt;&gt;"W",VLOOKUP(N24,[4]정격용량!$B$3:$K$633,3,FALSE),"X")</f>
        <v>0.3</v>
      </c>
      <c r="S24" s="260">
        <f>IF(MID(N23,5,1)&lt;&gt;"W",VLOOKUP(N24,[4]정격용량!$B$3:$K$633,6,FALSE),"X")</f>
        <v>2.5</v>
      </c>
      <c r="T24" s="262">
        <f t="shared" si="4"/>
        <v>0.94565217391304346</v>
      </c>
      <c r="U24" s="261">
        <f>IF(MID($N23,5,1)&lt;&gt;"W",VLOOKUP(N24,[4]정격용량!$B$3:$K$633,9,FALSE),"X")</f>
        <v>3</v>
      </c>
      <c r="V24" s="260" t="str">
        <f>IFERROR(IF(J24="Z",VLOOKUP(P24,'[4]SERVO CABLE'!G:AD,8,FALSE),VLOOKUP(P24,'[4]SERVO CABLE'!G:AD,4,FALSE)),"")</f>
        <v>JZSP-C7M12F-□-E</v>
      </c>
      <c r="W24" s="260" t="str">
        <f>IFERROR(VLOOKUP(P24,'[4]SERVO CABLE'!G:AD,17,FALSE),"")</f>
        <v>JZSP-C7PA2D-□-E</v>
      </c>
      <c r="X24" s="215"/>
      <c r="Y24" s="215">
        <v>1</v>
      </c>
      <c r="Z24" s="259">
        <f t="shared" si="5"/>
        <v>0.25</v>
      </c>
      <c r="AA24" s="259" t="str">
        <f t="shared" si="6"/>
        <v/>
      </c>
      <c r="AB24" s="259" t="str">
        <f t="shared" si="7"/>
        <v/>
      </c>
      <c r="AC24" s="258">
        <f t="shared" si="8"/>
        <v>1.848525</v>
      </c>
      <c r="AD24" s="257" t="str">
        <f t="shared" si="9"/>
        <v>IRV200</v>
      </c>
      <c r="AF24" s="189"/>
      <c r="AL24" s="189"/>
    </row>
    <row r="25" spans="1:38" ht="16.5">
      <c r="A25" s="180" t="s">
        <v>623</v>
      </c>
      <c r="B25" s="221"/>
      <c r="C25" s="209"/>
      <c r="D25" s="270" t="s">
        <v>308</v>
      </c>
      <c r="E25" s="269"/>
      <c r="F25" s="269"/>
      <c r="G25" s="273" t="s">
        <v>404</v>
      </c>
      <c r="H25" s="209" t="str">
        <f t="shared" si="0"/>
        <v xml:space="preserve"> SCT Stick PreAlign Right X</v>
      </c>
      <c r="I25" s="202" t="str">
        <f t="shared" si="1"/>
        <v>Rotary</v>
      </c>
      <c r="J25" s="267" t="str">
        <f t="shared" si="2"/>
        <v>X</v>
      </c>
      <c r="K25" s="266">
        <f>VLOOKUP($D25,[4]회선정보!B:F,3,FALSE)</f>
        <v>1</v>
      </c>
      <c r="L25" s="266" t="str">
        <f>VLOOKUP($D25,[4]회선정보!B:F,4,FALSE)</f>
        <v>C</v>
      </c>
      <c r="M25" s="266" t="str">
        <f>VLOOKUP($D25,[4]회선정보!B:F,5,FALSE)</f>
        <v>MP1-2</v>
      </c>
      <c r="N25" s="265"/>
      <c r="O25" s="265" t="s">
        <v>624</v>
      </c>
      <c r="P25" s="263" t="str">
        <f t="shared" si="3"/>
        <v>SGM7J-01A</v>
      </c>
      <c r="Q25" s="263" t="str">
        <f>IF(MID($N24,5,1)&lt;&gt;"W",VLOOKUP(N25,[4]정격용량!$B$3:$K$633,4,FALSE),"X")</f>
        <v>X</v>
      </c>
      <c r="R25" s="260" t="str">
        <f>IF(MID(N24,5,1)&lt;&gt;"W",VLOOKUP(N25,[4]정격용량!$B$3:$K$633,3,FALSE),"X")</f>
        <v>X</v>
      </c>
      <c r="S25" s="260" t="str">
        <f>IF(MID(N24,5,1)&lt;&gt;"W",VLOOKUP(N25,[4]정격용량!$B$3:$K$633,6,FALSE),"X")</f>
        <v>X</v>
      </c>
      <c r="T25" s="262" t="str">
        <f t="shared" si="4"/>
        <v>X</v>
      </c>
      <c r="U25" s="261" t="str">
        <f>IF(MID($N24,5,1)&lt;&gt;"W",VLOOKUP(N25,[4]정격용량!$B$3:$K$633,9,FALSE),"X")</f>
        <v>X</v>
      </c>
      <c r="V25" s="260" t="str">
        <f>IFERROR(IF(J25="Z",VLOOKUP(P25,'[4]SERVO CABLE'!G:AD,8,FALSE),VLOOKUP(P25,'[4]SERVO CABLE'!G:AD,4,FALSE)),"")</f>
        <v>JZSP-C7M12F-□-E</v>
      </c>
      <c r="W25" s="260" t="str">
        <f>IFERROR(VLOOKUP(P25,'[4]SERVO CABLE'!G:AD,17,FALSE),"")</f>
        <v>JZSP-C7PA2D-□-E</v>
      </c>
      <c r="X25" s="215"/>
      <c r="Y25" s="215"/>
      <c r="Z25" s="259" t="str">
        <f t="shared" si="5"/>
        <v/>
      </c>
      <c r="AA25" s="259" t="str">
        <f t="shared" si="6"/>
        <v/>
      </c>
      <c r="AB25" s="259" t="str">
        <f t="shared" si="7"/>
        <v/>
      </c>
      <c r="AC25" s="258" t="str">
        <f t="shared" si="8"/>
        <v>X</v>
      </c>
      <c r="AD25" s="257" t="str">
        <f t="shared" si="9"/>
        <v>X</v>
      </c>
      <c r="AF25" s="189"/>
      <c r="AL25" s="189"/>
    </row>
    <row r="26" spans="1:38" ht="16.5">
      <c r="A26" s="180" t="s">
        <v>623</v>
      </c>
      <c r="B26" s="221"/>
      <c r="C26" s="280"/>
      <c r="D26" s="270" t="s">
        <v>213</v>
      </c>
      <c r="E26" s="269"/>
      <c r="F26" s="269"/>
      <c r="G26" s="277" t="s">
        <v>512</v>
      </c>
      <c r="H26" s="209" t="str">
        <f t="shared" si="0"/>
        <v xml:space="preserve"> SCT Cutter X</v>
      </c>
      <c r="I26" s="202" t="str">
        <f t="shared" si="1"/>
        <v>LINEAR</v>
      </c>
      <c r="J26" s="267" t="str">
        <f t="shared" si="2"/>
        <v>X</v>
      </c>
      <c r="K26" s="266">
        <f>VLOOKUP($D26,[4]회선정보!B:F,3,FALSE)</f>
        <v>0</v>
      </c>
      <c r="L26" s="266">
        <f>VLOOKUP($D26,[4]회선정보!B:F,4,FALSE)</f>
        <v>3</v>
      </c>
      <c r="M26" s="266" t="str">
        <f>VLOOKUP($D26,[4]회선정보!B:F,5,FALSE)</f>
        <v>MP5-1</v>
      </c>
      <c r="N26" s="265" t="s">
        <v>612</v>
      </c>
      <c r="O26" s="265" t="s">
        <v>622</v>
      </c>
      <c r="P26" s="263" t="str">
        <f t="shared" si="3"/>
        <v>SGLGW-60A140C</v>
      </c>
      <c r="Q26" s="263">
        <f>IF(MID($N25,5,1)&lt;&gt;"W",VLOOKUP(N26,[4]정격용량!$B$3:$K$633,4,FALSE),"X")</f>
        <v>400</v>
      </c>
      <c r="R26" s="260">
        <f>IF(MID(N25,5,1)&lt;&gt;"W",VLOOKUP(N26,[4]정격용량!$B$3:$K$633,3,FALSE),"X")</f>
        <v>0.3</v>
      </c>
      <c r="S26" s="260">
        <f>IF(MID(N25,5,1)&lt;&gt;"W",VLOOKUP(N26,[4]정격용량!$B$3:$K$633,6,FALSE),"X")</f>
        <v>2.5</v>
      </c>
      <c r="T26" s="262">
        <f t="shared" si="4"/>
        <v>0.94565217391304346</v>
      </c>
      <c r="U26" s="261">
        <f>IF(MID($N25,5,1)&lt;&gt;"W",VLOOKUP(N26,[4]정격용량!$B$3:$K$633,9,FALSE),"X")</f>
        <v>3</v>
      </c>
      <c r="V26" s="260" t="str">
        <f>IFERROR(IF(J26="Z",VLOOKUP(P26,'[4]SERVO CABLE'!G:AD,8,FALSE),VLOOKUP(P26,'[4]SERVO CABLE'!G:AD,4,FALSE)),"")</f>
        <v>JZSP-CLN11-□</v>
      </c>
      <c r="W26" s="260" t="str">
        <f>IFERROR(VLOOKUP(P26,'[4]SERVO CABLE'!G:AD,17,FALSE),"")</f>
        <v>JZSP-CLP70-□-ER</v>
      </c>
      <c r="X26" s="215"/>
      <c r="Y26" s="215">
        <v>2</v>
      </c>
      <c r="Z26" s="259" t="str">
        <f t="shared" si="5"/>
        <v/>
      </c>
      <c r="AA26" s="259">
        <f t="shared" si="6"/>
        <v>0.25</v>
      </c>
      <c r="AB26" s="259" t="str">
        <f t="shared" si="7"/>
        <v/>
      </c>
      <c r="AC26" s="258">
        <f t="shared" si="8"/>
        <v>1.848525</v>
      </c>
      <c r="AD26" s="257" t="str">
        <f t="shared" si="9"/>
        <v>IRV200</v>
      </c>
      <c r="AF26" s="189"/>
      <c r="AL26" s="189"/>
    </row>
    <row r="27" spans="1:38" ht="16.5">
      <c r="A27" s="180" t="s">
        <v>603</v>
      </c>
      <c r="B27" s="221"/>
      <c r="C27" s="209"/>
      <c r="D27" s="270" t="s">
        <v>214</v>
      </c>
      <c r="E27" s="269"/>
      <c r="F27" s="269"/>
      <c r="G27" s="277" t="s">
        <v>356</v>
      </c>
      <c r="H27" s="209" t="str">
        <f t="shared" si="0"/>
        <v xml:space="preserve"> SCT Camera X</v>
      </c>
      <c r="I27" s="202" t="str">
        <f t="shared" si="1"/>
        <v>LINEAR</v>
      </c>
      <c r="J27" s="267" t="str">
        <f t="shared" si="2"/>
        <v>X</v>
      </c>
      <c r="K27" s="266">
        <f>VLOOKUP($D27,[4]회선정보!B:F,3,FALSE)</f>
        <v>0</v>
      </c>
      <c r="L27" s="266">
        <f>VLOOKUP($D27,[4]회선정보!B:F,4,FALSE)</f>
        <v>4</v>
      </c>
      <c r="M27" s="266" t="str">
        <f>VLOOKUP($D27,[4]회선정보!B:F,5,FALSE)</f>
        <v>MP5-1</v>
      </c>
      <c r="N27" s="209"/>
      <c r="O27" s="209" t="s">
        <v>622</v>
      </c>
      <c r="P27" s="263" t="str">
        <f t="shared" si="3"/>
        <v>SGLGW-60A140C</v>
      </c>
      <c r="Q27" s="263" t="str">
        <f>IF(MID($N26,5,1)&lt;&gt;"W",VLOOKUP(N27,[4]정격용량!$B$3:$K$633,4,FALSE),"X")</f>
        <v>X</v>
      </c>
      <c r="R27" s="260" t="str">
        <f>IF(MID(N26,5,1)&lt;&gt;"W",VLOOKUP(N27,[4]정격용량!$B$3:$K$633,3,FALSE),"X")</f>
        <v>X</v>
      </c>
      <c r="S27" s="260" t="str">
        <f>IF(MID(N26,5,1)&lt;&gt;"W",VLOOKUP(N27,[4]정격용량!$B$3:$K$633,6,FALSE),"X")</f>
        <v>X</v>
      </c>
      <c r="T27" s="262" t="str">
        <f t="shared" si="4"/>
        <v>X</v>
      </c>
      <c r="U27" s="261" t="str">
        <f>IF(MID($N26,5,1)&lt;&gt;"W",VLOOKUP(N27,[4]정격용량!$B$3:$K$633,9,FALSE),"X")</f>
        <v>X</v>
      </c>
      <c r="V27" s="260" t="str">
        <f>IFERROR(IF(J27="Z",VLOOKUP(P27,'[4]SERVO CABLE'!G:AD,8,FALSE),VLOOKUP(P27,'[4]SERVO CABLE'!G:AD,4,FALSE)),"")</f>
        <v>JZSP-CLN11-□</v>
      </c>
      <c r="W27" s="260" t="str">
        <f>IFERROR(VLOOKUP(P27,'[4]SERVO CABLE'!G:AD,17,FALSE),"")</f>
        <v>JZSP-CLP70-□-ER</v>
      </c>
      <c r="X27" s="215"/>
      <c r="Y27" s="215">
        <v>3</v>
      </c>
      <c r="Z27" s="259" t="str">
        <f t="shared" si="5"/>
        <v/>
      </c>
      <c r="AA27" s="259" t="str">
        <f t="shared" si="6"/>
        <v/>
      </c>
      <c r="AB27" s="259">
        <f t="shared" si="7"/>
        <v>0.25</v>
      </c>
      <c r="AC27" s="258" t="str">
        <f t="shared" si="8"/>
        <v>X</v>
      </c>
      <c r="AD27" s="257" t="str">
        <f t="shared" si="9"/>
        <v>X</v>
      </c>
      <c r="AF27" s="189"/>
      <c r="AL27" s="189"/>
    </row>
    <row r="28" spans="1:38" ht="16.5">
      <c r="A28" s="180" t="s">
        <v>603</v>
      </c>
      <c r="B28" s="221"/>
      <c r="C28" s="209"/>
      <c r="D28" s="270" t="s">
        <v>215</v>
      </c>
      <c r="E28" s="269"/>
      <c r="F28" s="269"/>
      <c r="G28" s="277" t="s">
        <v>430</v>
      </c>
      <c r="H28" s="209" t="str">
        <f t="shared" si="0"/>
        <v xml:space="preserve"> SCT Cutter Z</v>
      </c>
      <c r="I28" s="202" t="str">
        <f t="shared" si="1"/>
        <v>Rotary</v>
      </c>
      <c r="J28" s="267" t="str">
        <f t="shared" si="2"/>
        <v>Z</v>
      </c>
      <c r="K28" s="266">
        <f>VLOOKUP($D28,[4]회선정보!B:F,3,FALSE)</f>
        <v>0</v>
      </c>
      <c r="L28" s="266">
        <f>VLOOKUP($D28,[4]회선정보!B:F,4,FALSE)</f>
        <v>5</v>
      </c>
      <c r="M28" s="266" t="str">
        <f>VLOOKUP($D28,[4]회선정보!B:F,5,FALSE)</f>
        <v>MP5-1</v>
      </c>
      <c r="N28" s="209" t="s">
        <v>621</v>
      </c>
      <c r="O28" s="209" t="s">
        <v>620</v>
      </c>
      <c r="P28" s="263" t="str">
        <f t="shared" si="3"/>
        <v>SGM7A-A5A</v>
      </c>
      <c r="Q28" s="263">
        <f>IF(MID($N27,5,1)&lt;&gt;"W",VLOOKUP(N28,[4]정격용량!$B$3:$K$633,4,FALSE),"X")</f>
        <v>50</v>
      </c>
      <c r="R28" s="260">
        <f>IF(MID(N27,5,1)&lt;&gt;"W",VLOOKUP(N28,[4]정격용량!$B$3:$K$633,3,FALSE),"X")</f>
        <v>0.2</v>
      </c>
      <c r="S28" s="260">
        <f>IF(MID(N27,5,1)&lt;&gt;"W",VLOOKUP(N28,[4]정격용량!$B$3:$K$633,6,FALSE),"X")</f>
        <v>0.4</v>
      </c>
      <c r="T28" s="262">
        <f t="shared" si="4"/>
        <v>0.15130434782608695</v>
      </c>
      <c r="U28" s="261">
        <f>IF(MID($N27,5,1)&lt;&gt;"W",VLOOKUP(N28,[4]정격용량!$B$3:$K$633,9,FALSE),"X")</f>
        <v>1</v>
      </c>
      <c r="V28" s="260" t="str">
        <f>IFERROR(IF(J28="Z",VLOOKUP(P28,'[4]SERVO CABLE'!G:AD,8,FALSE),VLOOKUP(P28,'[4]SERVO CABLE'!G:AD,4,FALSE)),"")</f>
        <v>JZSP-C7M14F-□-E</v>
      </c>
      <c r="W28" s="260" t="str">
        <f>IFERROR(VLOOKUP(P28,'[4]SERVO CABLE'!G:AD,17,FALSE),"")</f>
        <v>JZSP-C7PA2D-□-E</v>
      </c>
      <c r="X28" s="215"/>
      <c r="Y28" s="215"/>
      <c r="Z28" s="259" t="str">
        <f t="shared" si="5"/>
        <v/>
      </c>
      <c r="AA28" s="259" t="str">
        <f t="shared" si="6"/>
        <v/>
      </c>
      <c r="AB28" s="259" t="str">
        <f t="shared" si="7"/>
        <v/>
      </c>
      <c r="AC28" s="258">
        <f t="shared" si="8"/>
        <v>14.7882</v>
      </c>
      <c r="AD28" s="257" t="str">
        <f t="shared" si="9"/>
        <v>X</v>
      </c>
      <c r="AF28" s="189"/>
      <c r="AL28" s="189"/>
    </row>
    <row r="29" spans="1:38" ht="16.5">
      <c r="A29" s="180" t="s">
        <v>603</v>
      </c>
      <c r="B29" s="221"/>
      <c r="C29" s="209"/>
      <c r="D29" s="270" t="s">
        <v>216</v>
      </c>
      <c r="E29" s="269"/>
      <c r="F29" s="269"/>
      <c r="G29" s="277" t="s">
        <v>425</v>
      </c>
      <c r="H29" s="209" t="str">
        <f t="shared" si="0"/>
        <v xml:space="preserve"> SCT Cutter Shift</v>
      </c>
      <c r="I29" s="202" t="str">
        <f t="shared" si="1"/>
        <v>Rotary</v>
      </c>
      <c r="J29" s="267" t="str">
        <f t="shared" si="2"/>
        <v>T</v>
      </c>
      <c r="K29" s="266">
        <f>VLOOKUP($D29,[4]회선정보!B:F,3,FALSE)</f>
        <v>0</v>
      </c>
      <c r="L29" s="266">
        <f>VLOOKUP($D29,[4]회선정보!B:F,4,FALSE)</f>
        <v>6</v>
      </c>
      <c r="M29" s="266" t="str">
        <f>VLOOKUP($D29,[4]회선정보!B:F,5,FALSE)</f>
        <v>MP5-1</v>
      </c>
      <c r="N29" s="209" t="s">
        <v>619</v>
      </c>
      <c r="O29" s="209" t="s">
        <v>618</v>
      </c>
      <c r="P29" s="263" t="str">
        <f t="shared" si="3"/>
        <v>SGM7A-A5A</v>
      </c>
      <c r="Q29" s="263">
        <f>IF(MID($N28,5,1)&lt;&gt;"W",VLOOKUP(N29,[4]정격용량!$B$3:$K$633,4,FALSE),"X")</f>
        <v>50</v>
      </c>
      <c r="R29" s="260">
        <f>IF(MID(N28,5,1)&lt;&gt;"W",VLOOKUP(N29,[4]정격용량!$B$3:$K$633,3,FALSE),"X")</f>
        <v>0.2</v>
      </c>
      <c r="S29" s="260">
        <f>IF(MID(N28,5,1)&lt;&gt;"W",VLOOKUP(N29,[4]정격용량!$B$3:$K$633,6,FALSE),"X")</f>
        <v>0.4</v>
      </c>
      <c r="T29" s="262">
        <f t="shared" si="4"/>
        <v>0.15130434782608695</v>
      </c>
      <c r="U29" s="261">
        <f>IF(MID($N28,5,1)&lt;&gt;"W",VLOOKUP(N29,[4]정격용량!$B$3:$K$633,9,FALSE),"X")</f>
        <v>1</v>
      </c>
      <c r="V29" s="260" t="str">
        <f>IFERROR(IF(J29="Z",VLOOKUP(P29,'[4]SERVO CABLE'!G:AD,8,FALSE),VLOOKUP(P29,'[4]SERVO CABLE'!G:AD,4,FALSE)),"")</f>
        <v>JZSP-C7M12F-□-E</v>
      </c>
      <c r="W29" s="260" t="str">
        <f>IFERROR(VLOOKUP(P29,'[4]SERVO CABLE'!G:AD,17,FALSE),"")</f>
        <v>JZSP-C7PA2D-□-E</v>
      </c>
      <c r="X29" s="215"/>
      <c r="Y29" s="215">
        <v>1</v>
      </c>
      <c r="Z29" s="259">
        <f t="shared" si="5"/>
        <v>0.25</v>
      </c>
      <c r="AA29" s="259" t="str">
        <f t="shared" si="6"/>
        <v/>
      </c>
      <c r="AB29" s="259" t="str">
        <f t="shared" si="7"/>
        <v/>
      </c>
      <c r="AC29" s="258">
        <f t="shared" si="8"/>
        <v>14.7882</v>
      </c>
      <c r="AD29" s="257" t="str">
        <f t="shared" si="9"/>
        <v>X</v>
      </c>
      <c r="AF29" s="189"/>
      <c r="AL29" s="189"/>
    </row>
    <row r="30" spans="1:38" ht="16.5">
      <c r="A30" s="180" t="s">
        <v>603</v>
      </c>
      <c r="B30" s="221"/>
      <c r="C30" s="209"/>
      <c r="D30" s="270" t="s">
        <v>217</v>
      </c>
      <c r="E30" s="269"/>
      <c r="F30" s="269"/>
      <c r="G30" s="277" t="s">
        <v>361</v>
      </c>
      <c r="H30" s="209" t="str">
        <f t="shared" si="0"/>
        <v xml:space="preserve"> SCT Left Camera Y</v>
      </c>
      <c r="I30" s="202" t="str">
        <f t="shared" si="1"/>
        <v>Rotary</v>
      </c>
      <c r="J30" s="267" t="str">
        <f t="shared" si="2"/>
        <v>Y</v>
      </c>
      <c r="K30" s="266">
        <f>VLOOKUP($D30,[4]회선정보!B:F,3,FALSE)</f>
        <v>0</v>
      </c>
      <c r="L30" s="266">
        <f>VLOOKUP($D30,[4]회선정보!B:F,4,FALSE)</f>
        <v>8</v>
      </c>
      <c r="M30" s="266" t="str">
        <f>VLOOKUP($D30,[4]회선정보!B:F,5,FALSE)</f>
        <v>MP5-1</v>
      </c>
      <c r="N30" s="209" t="s">
        <v>617</v>
      </c>
      <c r="O30" s="209" t="s">
        <v>616</v>
      </c>
      <c r="P30" s="263" t="str">
        <f t="shared" si="3"/>
        <v>SGM7M-A3A</v>
      </c>
      <c r="Q30" s="263">
        <f>IF(MID($N29,5,1)&lt;&gt;"W",VLOOKUP(N30,[4]정격용량!$B$3:$K$633,4,FALSE),"X")</f>
        <v>400</v>
      </c>
      <c r="R30" s="260">
        <f>IF(MID(N29,5,1)&lt;&gt;"W",VLOOKUP(N30,[4]정격용량!$B$3:$K$633,3,FALSE),"X")</f>
        <v>0.3</v>
      </c>
      <c r="S30" s="260">
        <f>IF(MID(N29,5,1)&lt;&gt;"W",VLOOKUP(N30,[4]정격용량!$B$3:$K$633,6,FALSE),"X")</f>
        <v>2.5</v>
      </c>
      <c r="T30" s="262">
        <f t="shared" si="4"/>
        <v>0.94565217391304346</v>
      </c>
      <c r="U30" s="261">
        <f>IF(MID($N29,5,1)&lt;&gt;"W",VLOOKUP(N30,[4]정격용량!$B$3:$K$633,9,FALSE),"X")</f>
        <v>3</v>
      </c>
      <c r="V30" s="260" t="str">
        <f>IFERROR(IF(J30="Z",VLOOKUP(P30,'[4]SERVO CABLE'!G:AD,8,FALSE),VLOOKUP(P30,'[4]SERVO CABLE'!G:AD,4,FALSE)),"")</f>
        <v>JZSP-CF2M20-□-E</v>
      </c>
      <c r="W30" s="260" t="str">
        <f>IFERROR(VLOOKUP(P30,'[4]SERVO CABLE'!G:AD,17,FALSE),"")</f>
        <v>JZSP-C7MP29-□-E</v>
      </c>
      <c r="X30" s="215"/>
      <c r="Y30" s="215"/>
      <c r="Z30" s="259" t="str">
        <f t="shared" si="5"/>
        <v/>
      </c>
      <c r="AA30" s="259" t="str">
        <f t="shared" si="6"/>
        <v/>
      </c>
      <c r="AB30" s="259" t="str">
        <f t="shared" si="7"/>
        <v/>
      </c>
      <c r="AC30" s="258">
        <f t="shared" si="8"/>
        <v>1.848525</v>
      </c>
      <c r="AD30" s="257" t="str">
        <f t="shared" si="9"/>
        <v>IRV200</v>
      </c>
      <c r="AF30" s="189"/>
      <c r="AL30" s="189"/>
    </row>
    <row r="31" spans="1:38" ht="16.5">
      <c r="A31" s="180" t="s">
        <v>603</v>
      </c>
      <c r="B31" s="221"/>
      <c r="C31" s="209"/>
      <c r="D31" s="270" t="s">
        <v>218</v>
      </c>
      <c r="E31" s="269"/>
      <c r="F31" s="269"/>
      <c r="G31" s="277" t="s">
        <v>520</v>
      </c>
      <c r="H31" s="209" t="str">
        <f t="shared" si="0"/>
        <v xml:space="preserve"> SCT Right Camera Y</v>
      </c>
      <c r="I31" s="202" t="str">
        <f t="shared" si="1"/>
        <v>Rotary</v>
      </c>
      <c r="J31" s="267" t="str">
        <f t="shared" si="2"/>
        <v>Y</v>
      </c>
      <c r="K31" s="266">
        <f>VLOOKUP($D31,[4]회선정보!B:F,3,FALSE)</f>
        <v>0</v>
      </c>
      <c r="L31" s="266">
        <f>VLOOKUP($D31,[4]회선정보!B:F,4,FALSE)</f>
        <v>9</v>
      </c>
      <c r="M31" s="266" t="str">
        <f>VLOOKUP($D31,[4]회선정보!B:F,5,FALSE)</f>
        <v>MP5-1</v>
      </c>
      <c r="N31" s="209"/>
      <c r="O31" s="209" t="s">
        <v>616</v>
      </c>
      <c r="P31" s="263" t="str">
        <f t="shared" si="3"/>
        <v>SGM7M-A3A</v>
      </c>
      <c r="Q31" s="263" t="str">
        <f>IF(MID($N30,5,1)&lt;&gt;"W",VLOOKUP(N31,[4]정격용량!$B$3:$K$633,4,FALSE),"X")</f>
        <v>X</v>
      </c>
      <c r="R31" s="260" t="str">
        <f>IF(MID(N30,5,1)&lt;&gt;"W",VLOOKUP(N31,[4]정격용량!$B$3:$K$633,3,FALSE),"X")</f>
        <v>X</v>
      </c>
      <c r="S31" s="260" t="str">
        <f>IF(MID(N30,5,1)&lt;&gt;"W",VLOOKUP(N31,[4]정격용량!$B$3:$K$633,6,FALSE),"X")</f>
        <v>X</v>
      </c>
      <c r="T31" s="262" t="str">
        <f t="shared" si="4"/>
        <v>X</v>
      </c>
      <c r="U31" s="261" t="str">
        <f>IF(MID($N30,5,1)&lt;&gt;"W",VLOOKUP(N31,[4]정격용량!$B$3:$K$633,9,FALSE),"X")</f>
        <v>X</v>
      </c>
      <c r="V31" s="260" t="str">
        <f>IFERROR(IF(J31="Z",VLOOKUP(P31,'[4]SERVO CABLE'!G:AD,8,FALSE),VLOOKUP(P31,'[4]SERVO CABLE'!G:AD,4,FALSE)),"")</f>
        <v>JZSP-CF2M20-□-E</v>
      </c>
      <c r="W31" s="260" t="str">
        <f>IFERROR(VLOOKUP(P31,'[4]SERVO CABLE'!G:AD,17,FALSE),"")</f>
        <v>JZSP-C7MP29-□-E</v>
      </c>
      <c r="X31" s="215"/>
      <c r="Y31" s="215">
        <v>2</v>
      </c>
      <c r="Z31" s="259" t="str">
        <f t="shared" si="5"/>
        <v/>
      </c>
      <c r="AA31" s="259">
        <f t="shared" si="6"/>
        <v>0.25</v>
      </c>
      <c r="AB31" s="259" t="str">
        <f t="shared" si="7"/>
        <v/>
      </c>
      <c r="AC31" s="258" t="str">
        <f t="shared" si="8"/>
        <v>X</v>
      </c>
      <c r="AD31" s="257" t="str">
        <f t="shared" si="9"/>
        <v>X</v>
      </c>
      <c r="AF31" s="189"/>
      <c r="AL31" s="189"/>
    </row>
    <row r="32" spans="1:38" ht="16.5">
      <c r="A32" s="180" t="s">
        <v>603</v>
      </c>
      <c r="B32" s="221"/>
      <c r="C32" s="209"/>
      <c r="D32" s="270" t="s">
        <v>219</v>
      </c>
      <c r="E32" s="269"/>
      <c r="F32" s="269"/>
      <c r="G32" s="277" t="s">
        <v>362</v>
      </c>
      <c r="H32" s="209" t="str">
        <f t="shared" si="0"/>
        <v xml:space="preserve"> SCT Left Camera Z</v>
      </c>
      <c r="I32" s="202" t="str">
        <f t="shared" si="1"/>
        <v>Rotary</v>
      </c>
      <c r="J32" s="267" t="str">
        <f t="shared" si="2"/>
        <v>Z</v>
      </c>
      <c r="K32" s="266">
        <f>VLOOKUP($D32,[4]회선정보!B:F,3,FALSE)</f>
        <v>0</v>
      </c>
      <c r="L32" s="266" t="str">
        <f>VLOOKUP($D32,[4]회선정보!B:F,4,FALSE)</f>
        <v>A</v>
      </c>
      <c r="M32" s="266" t="str">
        <f>VLOOKUP($D32,[4]회선정보!B:F,5,FALSE)</f>
        <v>MP5-1</v>
      </c>
      <c r="N32" s="209" t="s">
        <v>617</v>
      </c>
      <c r="O32" s="209" t="s">
        <v>616</v>
      </c>
      <c r="P32" s="263" t="str">
        <f t="shared" si="3"/>
        <v>SGM7M-A3A</v>
      </c>
      <c r="Q32" s="263">
        <f>IF(MID($N31,5,1)&lt;&gt;"W",VLOOKUP(N32,[4]정격용량!$B$3:$K$633,4,FALSE),"X")</f>
        <v>400</v>
      </c>
      <c r="R32" s="260">
        <f>IF(MID(N31,5,1)&lt;&gt;"W",VLOOKUP(N32,[4]정격용량!$B$3:$K$633,3,FALSE),"X")</f>
        <v>0.3</v>
      </c>
      <c r="S32" s="260">
        <f>IF(MID(N31,5,1)&lt;&gt;"W",VLOOKUP(N32,[4]정격용량!$B$3:$K$633,6,FALSE),"X")</f>
        <v>2.5</v>
      </c>
      <c r="T32" s="262">
        <f t="shared" si="4"/>
        <v>0.94565217391304346</v>
      </c>
      <c r="U32" s="261">
        <f>IF(MID($N31,5,1)&lt;&gt;"W",VLOOKUP(N32,[4]정격용량!$B$3:$K$633,9,FALSE),"X")</f>
        <v>3</v>
      </c>
      <c r="V32" s="260" t="str">
        <f>IFERROR(IF(J32="Z",VLOOKUP(P32,'[4]SERVO CABLE'!G:AD,8,FALSE),VLOOKUP(P32,'[4]SERVO CABLE'!G:AD,4,FALSE)),"")</f>
        <v>JZSP-CF2M23-□-E</v>
      </c>
      <c r="W32" s="260" t="str">
        <f>IFERROR(VLOOKUP(P32,'[4]SERVO CABLE'!G:AD,17,FALSE),"")</f>
        <v>JZSP-C7MP29-□-E</v>
      </c>
      <c r="X32" s="215"/>
      <c r="Y32" s="215"/>
      <c r="Z32" s="259" t="str">
        <f t="shared" si="5"/>
        <v/>
      </c>
      <c r="AA32" s="259" t="str">
        <f t="shared" si="6"/>
        <v/>
      </c>
      <c r="AB32" s="259" t="str">
        <f t="shared" si="7"/>
        <v/>
      </c>
      <c r="AC32" s="258">
        <f t="shared" si="8"/>
        <v>1.848525</v>
      </c>
      <c r="AD32" s="257" t="str">
        <f t="shared" si="9"/>
        <v>IRV200</v>
      </c>
      <c r="AF32" s="189"/>
      <c r="AL32" s="189"/>
    </row>
    <row r="33" spans="1:38" ht="16.5">
      <c r="A33" s="180" t="s">
        <v>603</v>
      </c>
      <c r="B33" s="221"/>
      <c r="C33" s="209"/>
      <c r="D33" s="270" t="s">
        <v>220</v>
      </c>
      <c r="E33" s="269"/>
      <c r="F33" s="269"/>
      <c r="G33" s="277" t="s">
        <v>521</v>
      </c>
      <c r="H33" s="209" t="str">
        <f t="shared" si="0"/>
        <v xml:space="preserve"> SCT Right Camera Z</v>
      </c>
      <c r="I33" s="202" t="str">
        <f t="shared" si="1"/>
        <v>Rotary</v>
      </c>
      <c r="J33" s="267" t="str">
        <f t="shared" si="2"/>
        <v>Z</v>
      </c>
      <c r="K33" s="266">
        <f>VLOOKUP($D33,[4]회선정보!B:F,3,FALSE)</f>
        <v>0</v>
      </c>
      <c r="L33" s="266" t="str">
        <f>VLOOKUP($D33,[4]회선정보!B:F,4,FALSE)</f>
        <v>B</v>
      </c>
      <c r="M33" s="266" t="str">
        <f>VLOOKUP($D33,[4]회선정보!B:F,5,FALSE)</f>
        <v>MP5-1</v>
      </c>
      <c r="N33" s="209"/>
      <c r="O33" s="209" t="s">
        <v>616</v>
      </c>
      <c r="P33" s="263" t="str">
        <f t="shared" si="3"/>
        <v>SGM7M-A3A</v>
      </c>
      <c r="Q33" s="263" t="str">
        <f>IF(MID($N32,5,1)&lt;&gt;"W",VLOOKUP(N33,[4]정격용량!$B$3:$K$633,4,FALSE),"X")</f>
        <v>X</v>
      </c>
      <c r="R33" s="260" t="str">
        <f>IF(MID(N32,5,1)&lt;&gt;"W",VLOOKUP(N33,[4]정격용량!$B$3:$K$633,3,FALSE),"X")</f>
        <v>X</v>
      </c>
      <c r="S33" s="260" t="str">
        <f>IF(MID(N32,5,1)&lt;&gt;"W",VLOOKUP(N33,[4]정격용량!$B$3:$K$633,6,FALSE),"X")</f>
        <v>X</v>
      </c>
      <c r="T33" s="262" t="s">
        <v>615</v>
      </c>
      <c r="U33" s="261" t="str">
        <f>IF(MID($N32,5,1)&lt;&gt;"W",VLOOKUP(N33,[4]정격용량!$B$3:$K$633,9,FALSE),"X")</f>
        <v>X</v>
      </c>
      <c r="V33" s="260" t="str">
        <f>IFERROR(IF(J33="Z",VLOOKUP(P33,'[4]SERVO CABLE'!G:AD,8,FALSE),VLOOKUP(P33,'[4]SERVO CABLE'!G:AD,4,FALSE)),"")</f>
        <v>JZSP-CF2M23-□-E</v>
      </c>
      <c r="W33" s="260" t="str">
        <f>IFERROR(VLOOKUP(P33,'[4]SERVO CABLE'!G:AD,17,FALSE),"")</f>
        <v>JZSP-C7MP29-□-E</v>
      </c>
      <c r="X33" s="215"/>
      <c r="Y33" s="215">
        <v>3</v>
      </c>
      <c r="Z33" s="259" t="str">
        <f t="shared" si="5"/>
        <v/>
      </c>
      <c r="AA33" s="259" t="str">
        <f t="shared" si="6"/>
        <v/>
      </c>
      <c r="AB33" s="259">
        <f t="shared" si="7"/>
        <v>0.25</v>
      </c>
      <c r="AC33" s="258" t="str">
        <f t="shared" si="8"/>
        <v>X</v>
      </c>
      <c r="AD33" s="257" t="str">
        <f t="shared" si="9"/>
        <v>X</v>
      </c>
      <c r="AF33" s="189"/>
      <c r="AL33" s="189"/>
    </row>
    <row r="34" spans="1:38" ht="16.5">
      <c r="A34" s="180" t="s">
        <v>603</v>
      </c>
      <c r="B34" s="221"/>
      <c r="C34" s="209"/>
      <c r="D34" s="270" t="s">
        <v>211</v>
      </c>
      <c r="E34" s="269"/>
      <c r="F34" s="269"/>
      <c r="G34" s="273" t="s">
        <v>435</v>
      </c>
      <c r="H34" s="209" t="str">
        <f t="shared" si="0"/>
        <v xml:space="preserve"> SCT Scribe Chuck Y-1</v>
      </c>
      <c r="I34" s="202" t="str">
        <f t="shared" si="1"/>
        <v>LINEAR</v>
      </c>
      <c r="J34" s="267" t="str">
        <f t="shared" si="2"/>
        <v>Y</v>
      </c>
      <c r="K34" s="266">
        <f>VLOOKUP($D34,[4]회선정보!B:F,3,FALSE)</f>
        <v>0</v>
      </c>
      <c r="L34" s="266">
        <f>VLOOKUP($D34,[4]회선정보!B:F,4,FALSE)</f>
        <v>3</v>
      </c>
      <c r="M34" s="266" t="str">
        <f>VLOOKUP($D34,[4]회선정보!B:F,5,FALSE)</f>
        <v>MP6-1</v>
      </c>
      <c r="N34" s="209" t="s">
        <v>614</v>
      </c>
      <c r="O34" s="209" t="s">
        <v>613</v>
      </c>
      <c r="P34" s="263" t="str">
        <f t="shared" si="3"/>
        <v>SGLFW-50A380BP</v>
      </c>
      <c r="Q34" s="263">
        <f>IF(MID($N33,5,1)&lt;&gt;"W",VLOOKUP(N34,[4]정격용량!$B$3:$K$633,4,FALSE),"X")</f>
        <v>1500</v>
      </c>
      <c r="R34" s="260">
        <f>IF(MID(N33,5,1)&lt;&gt;"W",VLOOKUP(N34,[4]정격용량!$B$3:$K$633,3,FALSE),"X")</f>
        <v>0.25</v>
      </c>
      <c r="S34" s="260">
        <f>IF(MID(N33,5,1)&lt;&gt;"W",VLOOKUP(N34,[4]정격용량!$B$3:$K$633,6,FALSE),"X")</f>
        <v>7.3</v>
      </c>
      <c r="T34" s="262">
        <f t="shared" ref="T34:T54" si="10">IF(MID($N33,5,1)&lt;&gt;"W",S34*$C$85,"X")</f>
        <v>2.7613043478260866</v>
      </c>
      <c r="U34" s="261">
        <f>IF(MID($N33,5,1)&lt;&gt;"W",VLOOKUP(N34,[4]정격용량!$B$3:$K$633,9,FALSE),"X")</f>
        <v>10</v>
      </c>
      <c r="V34" s="260" t="str">
        <f>IFERROR(IF(J34="Z",VLOOKUP(P34,'[4]SERVO CABLE'!G:AD,8,FALSE),VLOOKUP(P34,'[4]SERVO CABLE'!G:AD,4,FALSE)),"")</f>
        <v>JZSP-CLN21-01-E</v>
      </c>
      <c r="W34" s="260" t="str">
        <f>IFERROR(VLOOKUP(P34,'[4]SERVO CABLE'!G:AD,17,FALSE),"")</f>
        <v>JZSP-CLP70-□-ER</v>
      </c>
      <c r="X34" s="215"/>
      <c r="Y34" s="215"/>
      <c r="Z34" s="259" t="str">
        <f t="shared" si="5"/>
        <v/>
      </c>
      <c r="AA34" s="259" t="str">
        <f t="shared" si="6"/>
        <v/>
      </c>
      <c r="AB34" s="259" t="str">
        <f t="shared" si="7"/>
        <v/>
      </c>
      <c r="AC34" s="258">
        <f t="shared" si="8"/>
        <v>0.49293999999999999</v>
      </c>
      <c r="AD34" s="257" t="str">
        <f t="shared" si="9"/>
        <v>IRV80</v>
      </c>
      <c r="AF34" s="189"/>
      <c r="AL34" s="189"/>
    </row>
    <row r="35" spans="1:38" ht="16.5">
      <c r="A35" s="180" t="s">
        <v>603</v>
      </c>
      <c r="B35" s="221"/>
      <c r="C35" s="209"/>
      <c r="D35" s="270" t="s">
        <v>212</v>
      </c>
      <c r="E35" s="269"/>
      <c r="F35" s="269"/>
      <c r="G35" s="273" t="s">
        <v>436</v>
      </c>
      <c r="H35" s="209" t="str">
        <f t="shared" si="0"/>
        <v xml:space="preserve"> SCT Scribe Chuck Y-2</v>
      </c>
      <c r="I35" s="202" t="str">
        <f t="shared" si="1"/>
        <v>LINEAR</v>
      </c>
      <c r="J35" s="267" t="str">
        <f t="shared" si="2"/>
        <v>Y</v>
      </c>
      <c r="K35" s="266">
        <f>VLOOKUP($D35,[4]회선정보!B:F,3,FALSE)</f>
        <v>0</v>
      </c>
      <c r="L35" s="266">
        <f>VLOOKUP($D35,[4]회선정보!B:F,4,FALSE)</f>
        <v>4</v>
      </c>
      <c r="M35" s="266" t="str">
        <f>VLOOKUP($D35,[4]회선정보!B:F,5,FALSE)</f>
        <v>MP6-1</v>
      </c>
      <c r="N35" s="209" t="s">
        <v>614</v>
      </c>
      <c r="O35" s="209" t="s">
        <v>613</v>
      </c>
      <c r="P35" s="263" t="str">
        <f t="shared" si="3"/>
        <v>SGLFW-50A380BP</v>
      </c>
      <c r="Q35" s="263">
        <f>IF(MID($N34,5,1)&lt;&gt;"W",VLOOKUP(N35,[4]정격용량!$B$3:$K$633,4,FALSE),"X")</f>
        <v>1500</v>
      </c>
      <c r="R35" s="260">
        <f>IF(MID(N34,5,1)&lt;&gt;"W",VLOOKUP(N35,[4]정격용량!$B$3:$K$633,3,FALSE),"X")</f>
        <v>0.25</v>
      </c>
      <c r="S35" s="260">
        <f>IF(MID(N34,5,1)&lt;&gt;"W",VLOOKUP(N35,[4]정격용량!$B$3:$K$633,6,FALSE),"X")</f>
        <v>7.3</v>
      </c>
      <c r="T35" s="262">
        <f t="shared" si="10"/>
        <v>2.7613043478260866</v>
      </c>
      <c r="U35" s="261">
        <f>IF(MID($N34,5,1)&lt;&gt;"W",VLOOKUP(N35,[4]정격용량!$B$3:$K$633,9,FALSE),"X")</f>
        <v>10</v>
      </c>
      <c r="V35" s="260" t="str">
        <f>IFERROR(IF(J35="Z",VLOOKUP(P35,'[4]SERVO CABLE'!G:AD,8,FALSE),VLOOKUP(P35,'[4]SERVO CABLE'!G:AD,4,FALSE)),"")</f>
        <v>JZSP-CLN21-01-E</v>
      </c>
      <c r="W35" s="260" t="str">
        <f>IFERROR(VLOOKUP(P35,'[4]SERVO CABLE'!G:AD,17,FALSE),"")</f>
        <v>JZSP-CLP70-□-ER</v>
      </c>
      <c r="X35" s="215"/>
      <c r="Y35" s="215">
        <v>1</v>
      </c>
      <c r="Z35" s="259">
        <f t="shared" si="5"/>
        <v>0.25</v>
      </c>
      <c r="AA35" s="259" t="str">
        <f t="shared" si="6"/>
        <v/>
      </c>
      <c r="AB35" s="259" t="str">
        <f t="shared" si="7"/>
        <v/>
      </c>
      <c r="AC35" s="258">
        <f t="shared" si="8"/>
        <v>0.49293999999999999</v>
      </c>
      <c r="AD35" s="257" t="str">
        <f t="shared" si="9"/>
        <v>IRV80</v>
      </c>
      <c r="AF35" s="189"/>
      <c r="AL35" s="189"/>
    </row>
    <row r="36" spans="1:38" ht="16.5">
      <c r="A36" s="180" t="s">
        <v>603</v>
      </c>
      <c r="B36" s="221"/>
      <c r="C36" s="209"/>
      <c r="D36" s="270" t="s">
        <v>549</v>
      </c>
      <c r="E36" s="269"/>
      <c r="F36" s="269"/>
      <c r="G36" s="277" t="s">
        <v>437</v>
      </c>
      <c r="H36" s="209" t="str">
        <f t="shared" si="0"/>
        <v xml:space="preserve"> SCT Scribe Chuck1 Z</v>
      </c>
      <c r="I36" s="202" t="str">
        <f t="shared" si="1"/>
        <v>Rotary</v>
      </c>
      <c r="J36" s="267" t="str">
        <f t="shared" si="2"/>
        <v>Z</v>
      </c>
      <c r="K36" s="266">
        <f>VLOOKUP($D36,[4]회선정보!B:F,3,FALSE)</f>
        <v>0</v>
      </c>
      <c r="L36" s="266">
        <f>VLOOKUP($D36,[4]회선정보!B:F,4,FALSE)</f>
        <v>6</v>
      </c>
      <c r="M36" s="266" t="str">
        <f>VLOOKUP($D36,[4]회선정보!B:F,5,FALSE)</f>
        <v>MP6-1</v>
      </c>
      <c r="N36" s="209" t="s">
        <v>612</v>
      </c>
      <c r="O36" s="209" t="s">
        <v>611</v>
      </c>
      <c r="P36" s="263" t="str">
        <f t="shared" si="3"/>
        <v>SGM7J-A5A</v>
      </c>
      <c r="Q36" s="263">
        <f>IF(MID($N35,5,1)&lt;&gt;"W",VLOOKUP(N36,[4]정격용량!$B$3:$K$633,4,FALSE),"X")</f>
        <v>400</v>
      </c>
      <c r="R36" s="260">
        <f>IF(MID(N35,5,1)&lt;&gt;"W",VLOOKUP(N36,[4]정격용량!$B$3:$K$633,3,FALSE),"X")</f>
        <v>0.3</v>
      </c>
      <c r="S36" s="260">
        <f>IF(MID(N35,5,1)&lt;&gt;"W",VLOOKUP(N36,[4]정격용량!$B$3:$K$633,6,FALSE),"X")</f>
        <v>2.5</v>
      </c>
      <c r="T36" s="262">
        <f t="shared" si="10"/>
        <v>0.94565217391304346</v>
      </c>
      <c r="U36" s="261">
        <f>IF(MID($N35,5,1)&lt;&gt;"W",VLOOKUP(N36,[4]정격용량!$B$3:$K$633,9,FALSE),"X")</f>
        <v>3</v>
      </c>
      <c r="V36" s="260" t="str">
        <f>IFERROR(IF(J36="Z",VLOOKUP(P36,'[4]SERVO CABLE'!G:AD,8,FALSE),VLOOKUP(P36,'[4]SERVO CABLE'!G:AD,4,FALSE)),"")</f>
        <v>JZSP-C7M14F-□-E</v>
      </c>
      <c r="W36" s="260" t="str">
        <f>IFERROR(VLOOKUP(P36,'[4]SERVO CABLE'!G:AD,17,FALSE),"")</f>
        <v>JZSP-C7PA2D-□-E</v>
      </c>
      <c r="X36" s="215"/>
      <c r="Y36" s="215"/>
      <c r="Z36" s="259" t="str">
        <f t="shared" si="5"/>
        <v/>
      </c>
      <c r="AA36" s="259" t="str">
        <f t="shared" si="6"/>
        <v/>
      </c>
      <c r="AB36" s="259" t="str">
        <f t="shared" si="7"/>
        <v/>
      </c>
      <c r="AC36" s="258">
        <f t="shared" si="8"/>
        <v>1.848525</v>
      </c>
      <c r="AD36" s="257" t="str">
        <f t="shared" si="9"/>
        <v>IRV200</v>
      </c>
      <c r="AF36" s="189"/>
      <c r="AL36" s="189"/>
    </row>
    <row r="37" spans="1:38" ht="16.5">
      <c r="A37" s="180" t="s">
        <v>603</v>
      </c>
      <c r="B37" s="221"/>
      <c r="C37" s="209"/>
      <c r="D37" s="270" t="s">
        <v>550</v>
      </c>
      <c r="E37" s="279"/>
      <c r="F37" s="279"/>
      <c r="G37" s="277" t="s">
        <v>438</v>
      </c>
      <c r="H37" s="209" t="str">
        <f t="shared" si="0"/>
        <v xml:space="preserve"> SCT Scribe Chuck2 Z</v>
      </c>
      <c r="I37" s="202" t="str">
        <f t="shared" si="1"/>
        <v>Rotary</v>
      </c>
      <c r="J37" s="267" t="str">
        <f t="shared" si="2"/>
        <v>Z</v>
      </c>
      <c r="K37" s="266">
        <f>VLOOKUP($D37,[4]회선정보!B:F,3,FALSE)</f>
        <v>0</v>
      </c>
      <c r="L37" s="266">
        <f>VLOOKUP($D37,[4]회선정보!B:F,4,FALSE)</f>
        <v>7</v>
      </c>
      <c r="M37" s="266" t="str">
        <f>VLOOKUP($D37,[4]회선정보!B:F,5,FALSE)</f>
        <v>MP6-1</v>
      </c>
      <c r="N37" s="209"/>
      <c r="O37" s="209" t="s">
        <v>611</v>
      </c>
      <c r="P37" s="263" t="str">
        <f t="shared" si="3"/>
        <v>SGM7J-A5A</v>
      </c>
      <c r="Q37" s="263" t="str">
        <f>IF(MID($N36,5,1)&lt;&gt;"W",VLOOKUP(N37,[4]정격용량!$B$3:$K$633,4,FALSE),"X")</f>
        <v>X</v>
      </c>
      <c r="R37" s="260" t="str">
        <f>IF(MID(N36,5,1)&lt;&gt;"W",VLOOKUP(N37,[4]정격용량!$B$3:$K$633,3,FALSE),"X")</f>
        <v>X</v>
      </c>
      <c r="S37" s="260" t="str">
        <f>IF(MID(N36,5,1)&lt;&gt;"W",VLOOKUP(N37,[4]정격용량!$B$3:$K$633,6,FALSE),"X")</f>
        <v>X</v>
      </c>
      <c r="T37" s="262" t="str">
        <f t="shared" si="10"/>
        <v>X</v>
      </c>
      <c r="U37" s="261" t="str">
        <f>IF(MID($N36,5,1)&lt;&gt;"W",VLOOKUP(N37,[4]정격용량!$B$3:$K$633,9,FALSE),"X")</f>
        <v>X</v>
      </c>
      <c r="V37" s="260" t="str">
        <f>IFERROR(IF(J37="Z",VLOOKUP(P37,'[4]SERVO CABLE'!G:AD,8,FALSE),VLOOKUP(P37,'[4]SERVO CABLE'!G:AD,4,FALSE)),"")</f>
        <v>JZSP-C7M14F-□-E</v>
      </c>
      <c r="W37" s="260" t="str">
        <f>IFERROR(VLOOKUP(P37,'[4]SERVO CABLE'!G:AD,17,FALSE),"")</f>
        <v>JZSP-C7PA2D-□-E</v>
      </c>
      <c r="X37" s="215"/>
      <c r="Y37" s="215">
        <v>2</v>
      </c>
      <c r="Z37" s="259" t="str">
        <f t="shared" si="5"/>
        <v/>
      </c>
      <c r="AA37" s="259">
        <f t="shared" si="6"/>
        <v>0.25</v>
      </c>
      <c r="AB37" s="259" t="str">
        <f t="shared" si="7"/>
        <v/>
      </c>
      <c r="AC37" s="258" t="str">
        <f t="shared" si="8"/>
        <v>X</v>
      </c>
      <c r="AD37" s="257" t="str">
        <f t="shared" si="9"/>
        <v>X</v>
      </c>
      <c r="AF37" s="189"/>
      <c r="AL37" s="189"/>
    </row>
    <row r="38" spans="1:38" ht="16.5">
      <c r="A38" s="180" t="s">
        <v>603</v>
      </c>
      <c r="B38" s="221"/>
      <c r="C38" s="209"/>
      <c r="D38" s="270" t="s">
        <v>551</v>
      </c>
      <c r="E38" s="279"/>
      <c r="F38" s="279"/>
      <c r="G38" s="277" t="s">
        <v>439</v>
      </c>
      <c r="H38" s="209" t="str">
        <f t="shared" si="0"/>
        <v xml:space="preserve"> SCT Scribe Chuck3 Z</v>
      </c>
      <c r="I38" s="202" t="str">
        <f t="shared" si="1"/>
        <v>Rotary</v>
      </c>
      <c r="J38" s="267" t="str">
        <f t="shared" si="2"/>
        <v>Z</v>
      </c>
      <c r="K38" s="266">
        <f>VLOOKUP($D38,[4]회선정보!B:F,3,FALSE)</f>
        <v>0</v>
      </c>
      <c r="L38" s="266">
        <f>VLOOKUP($D38,[4]회선정보!B:F,4,FALSE)</f>
        <v>8</v>
      </c>
      <c r="M38" s="266" t="str">
        <f>VLOOKUP($D38,[4]회선정보!B:F,5,FALSE)</f>
        <v>MP6-1</v>
      </c>
      <c r="N38" s="209" t="s">
        <v>612</v>
      </c>
      <c r="O38" s="209" t="s">
        <v>611</v>
      </c>
      <c r="P38" s="263" t="str">
        <f t="shared" si="3"/>
        <v>SGM7J-A5A</v>
      </c>
      <c r="Q38" s="263">
        <f>IF(MID($N37,5,1)&lt;&gt;"W",VLOOKUP(N38,[4]정격용량!$B$3:$K$633,4,FALSE),"X")</f>
        <v>400</v>
      </c>
      <c r="R38" s="260">
        <f>IF(MID(N37,5,1)&lt;&gt;"W",VLOOKUP(N38,[4]정격용량!$B$3:$K$633,3,FALSE),"X")</f>
        <v>0.3</v>
      </c>
      <c r="S38" s="260">
        <f>IF(MID(N37,5,1)&lt;&gt;"W",VLOOKUP(N38,[4]정격용량!$B$3:$K$633,6,FALSE),"X")</f>
        <v>2.5</v>
      </c>
      <c r="T38" s="262">
        <f t="shared" si="10"/>
        <v>0.94565217391304346</v>
      </c>
      <c r="U38" s="261">
        <f>IF(MID($N37,5,1)&lt;&gt;"W",VLOOKUP(N38,[4]정격용량!$B$3:$K$633,9,FALSE),"X")</f>
        <v>3</v>
      </c>
      <c r="V38" s="260" t="str">
        <f>IFERROR(IF(J38="Z",VLOOKUP(P38,'[4]SERVO CABLE'!G:AD,8,FALSE),VLOOKUP(P38,'[4]SERVO CABLE'!G:AD,4,FALSE)),"")</f>
        <v>JZSP-C7M14F-□-E</v>
      </c>
      <c r="W38" s="260" t="str">
        <f>IFERROR(VLOOKUP(P38,'[4]SERVO CABLE'!G:AD,17,FALSE),"")</f>
        <v>JZSP-C7PA2D-□-E</v>
      </c>
      <c r="X38" s="215"/>
      <c r="Y38" s="215"/>
      <c r="Z38" s="259" t="str">
        <f t="shared" si="5"/>
        <v/>
      </c>
      <c r="AA38" s="259" t="str">
        <f t="shared" si="6"/>
        <v/>
      </c>
      <c r="AB38" s="259" t="str">
        <f t="shared" si="7"/>
        <v/>
      </c>
      <c r="AC38" s="258">
        <f t="shared" si="8"/>
        <v>1.848525</v>
      </c>
      <c r="AD38" s="257" t="str">
        <f t="shared" si="9"/>
        <v>IRV200</v>
      </c>
      <c r="AF38" s="189"/>
      <c r="AL38" s="189"/>
    </row>
    <row r="39" spans="1:38" ht="16.5">
      <c r="A39" s="180" t="s">
        <v>603</v>
      </c>
      <c r="B39" s="221"/>
      <c r="C39" s="209"/>
      <c r="D39" s="270" t="s">
        <v>552</v>
      </c>
      <c r="E39" s="279"/>
      <c r="F39" s="279"/>
      <c r="G39" s="277" t="s">
        <v>440</v>
      </c>
      <c r="H39" s="209" t="str">
        <f t="shared" si="0"/>
        <v xml:space="preserve"> SCT Scribe Chuck4 Z</v>
      </c>
      <c r="I39" s="202" t="str">
        <f t="shared" si="1"/>
        <v>Rotary</v>
      </c>
      <c r="J39" s="267" t="str">
        <f t="shared" si="2"/>
        <v>Z</v>
      </c>
      <c r="K39" s="266">
        <f>VLOOKUP($D39,[4]회선정보!B:F,3,FALSE)</f>
        <v>0</v>
      </c>
      <c r="L39" s="266">
        <f>VLOOKUP($D39,[4]회선정보!B:F,4,FALSE)</f>
        <v>9</v>
      </c>
      <c r="M39" s="266" t="str">
        <f>VLOOKUP($D39,[4]회선정보!B:F,5,FALSE)</f>
        <v>MP6-1</v>
      </c>
      <c r="N39" s="209"/>
      <c r="O39" s="209" t="s">
        <v>611</v>
      </c>
      <c r="P39" s="263" t="str">
        <f t="shared" si="3"/>
        <v>SGM7J-A5A</v>
      </c>
      <c r="Q39" s="263" t="str">
        <f>IF(MID($N38,5,1)&lt;&gt;"W",VLOOKUP(N39,[4]정격용량!$B$3:$K$633,4,FALSE),"X")</f>
        <v>X</v>
      </c>
      <c r="R39" s="260" t="str">
        <f>IF(MID(N38,5,1)&lt;&gt;"W",VLOOKUP(N39,[4]정격용량!$B$3:$K$633,3,FALSE),"X")</f>
        <v>X</v>
      </c>
      <c r="S39" s="260" t="str">
        <f>IF(MID(N38,5,1)&lt;&gt;"W",VLOOKUP(N39,[4]정격용량!$B$3:$K$633,6,FALSE),"X")</f>
        <v>X</v>
      </c>
      <c r="T39" s="262" t="str">
        <f t="shared" si="10"/>
        <v>X</v>
      </c>
      <c r="U39" s="261" t="str">
        <f>IF(MID($N38,5,1)&lt;&gt;"W",VLOOKUP(N39,[4]정격용량!$B$3:$K$633,9,FALSE),"X")</f>
        <v>X</v>
      </c>
      <c r="V39" s="260" t="str">
        <f>IFERROR(IF(J39="Z",VLOOKUP(P39,'[4]SERVO CABLE'!G:AD,8,FALSE),VLOOKUP(P39,'[4]SERVO CABLE'!G:AD,4,FALSE)),"")</f>
        <v>JZSP-C7M14F-□-E</v>
      </c>
      <c r="W39" s="260" t="str">
        <f>IFERROR(VLOOKUP(P39,'[4]SERVO CABLE'!G:AD,17,FALSE),"")</f>
        <v>JZSP-C7PA2D-□-E</v>
      </c>
      <c r="X39" s="215"/>
      <c r="Y39" s="215">
        <v>3</v>
      </c>
      <c r="Z39" s="259" t="str">
        <f t="shared" si="5"/>
        <v/>
      </c>
      <c r="AA39" s="259" t="str">
        <f t="shared" si="6"/>
        <v/>
      </c>
      <c r="AB39" s="259">
        <f t="shared" si="7"/>
        <v>0.25</v>
      </c>
      <c r="AC39" s="258" t="str">
        <f t="shared" si="8"/>
        <v>X</v>
      </c>
      <c r="AD39" s="257" t="str">
        <f t="shared" si="9"/>
        <v>X</v>
      </c>
      <c r="AF39" s="189"/>
      <c r="AL39" s="189"/>
    </row>
    <row r="40" spans="1:38" ht="16.5">
      <c r="A40" s="180" t="s">
        <v>603</v>
      </c>
      <c r="B40" s="221"/>
      <c r="C40" s="209"/>
      <c r="D40" s="270" t="s">
        <v>553</v>
      </c>
      <c r="E40" s="279"/>
      <c r="F40" s="279"/>
      <c r="G40" s="277" t="s">
        <v>441</v>
      </c>
      <c r="H40" s="209" t="str">
        <f t="shared" si="0"/>
        <v xml:space="preserve"> SCT Scribe Chuck5 Z</v>
      </c>
      <c r="I40" s="202" t="str">
        <f t="shared" si="1"/>
        <v>Rotary</v>
      </c>
      <c r="J40" s="267" t="str">
        <f t="shared" si="2"/>
        <v>Z</v>
      </c>
      <c r="K40" s="266">
        <f>VLOOKUP($D40,[4]회선정보!B:F,3,FALSE)</f>
        <v>0</v>
      </c>
      <c r="L40" s="266" t="str">
        <f>VLOOKUP($D40,[4]회선정보!B:F,4,FALSE)</f>
        <v>A</v>
      </c>
      <c r="M40" s="266" t="str">
        <f>VLOOKUP($D40,[4]회선정보!B:F,5,FALSE)</f>
        <v>MP6-1</v>
      </c>
      <c r="N40" s="209" t="s">
        <v>612</v>
      </c>
      <c r="O40" s="209" t="s">
        <v>611</v>
      </c>
      <c r="P40" s="263" t="str">
        <f t="shared" si="3"/>
        <v>SGM7J-A5A</v>
      </c>
      <c r="Q40" s="263">
        <f>IF(MID($N39,5,1)&lt;&gt;"W",VLOOKUP(N40,[4]정격용량!$B$3:$K$633,4,FALSE),"X")</f>
        <v>400</v>
      </c>
      <c r="R40" s="260">
        <f>IF(MID(N39,5,1)&lt;&gt;"W",VLOOKUP(N40,[4]정격용량!$B$3:$K$633,3,FALSE),"X")</f>
        <v>0.3</v>
      </c>
      <c r="S40" s="260">
        <f>IF(MID(N39,5,1)&lt;&gt;"W",VLOOKUP(N40,[4]정격용량!$B$3:$K$633,6,FALSE),"X")</f>
        <v>2.5</v>
      </c>
      <c r="T40" s="262">
        <f t="shared" si="10"/>
        <v>0.94565217391304346</v>
      </c>
      <c r="U40" s="261">
        <f>IF(MID($N39,5,1)&lt;&gt;"W",VLOOKUP(N40,[4]정격용량!$B$3:$K$633,9,FALSE),"X")</f>
        <v>3</v>
      </c>
      <c r="V40" s="260" t="str">
        <f>IFERROR(IF(J40="Z",VLOOKUP(P40,'[4]SERVO CABLE'!G:AD,8,FALSE),VLOOKUP(P40,'[4]SERVO CABLE'!G:AD,4,FALSE)),"")</f>
        <v>JZSP-C7M14F-□-E</v>
      </c>
      <c r="W40" s="260" t="str">
        <f>IFERROR(VLOOKUP(P40,'[4]SERVO CABLE'!G:AD,17,FALSE),"")</f>
        <v>JZSP-C7PA2D-□-E</v>
      </c>
      <c r="X40" s="215"/>
      <c r="Y40" s="215"/>
      <c r="Z40" s="259" t="str">
        <f t="shared" si="5"/>
        <v/>
      </c>
      <c r="AA40" s="259" t="str">
        <f t="shared" si="6"/>
        <v/>
      </c>
      <c r="AB40" s="259" t="str">
        <f t="shared" si="7"/>
        <v/>
      </c>
      <c r="AC40" s="258">
        <f t="shared" si="8"/>
        <v>1.848525</v>
      </c>
      <c r="AD40" s="257" t="str">
        <f t="shared" si="9"/>
        <v>IRV200</v>
      </c>
      <c r="AF40" s="189"/>
      <c r="AL40" s="189"/>
    </row>
    <row r="41" spans="1:38" ht="16.5">
      <c r="A41" s="180" t="s">
        <v>603</v>
      </c>
      <c r="B41" s="221"/>
      <c r="C41" s="209"/>
      <c r="D41" s="270" t="s">
        <v>554</v>
      </c>
      <c r="E41" s="279"/>
      <c r="F41" s="279"/>
      <c r="G41" s="277" t="s">
        <v>442</v>
      </c>
      <c r="H41" s="209" t="str">
        <f t="shared" si="0"/>
        <v xml:space="preserve"> SCT Scribe Chuck6 Z</v>
      </c>
      <c r="I41" s="202" t="str">
        <f t="shared" si="1"/>
        <v>Rotary</v>
      </c>
      <c r="J41" s="267" t="str">
        <f t="shared" si="2"/>
        <v>Z</v>
      </c>
      <c r="K41" s="266">
        <f>VLOOKUP($D41,[4]회선정보!B:F,3,FALSE)</f>
        <v>0</v>
      </c>
      <c r="L41" s="266" t="str">
        <f>VLOOKUP($D41,[4]회선정보!B:F,4,FALSE)</f>
        <v>B</v>
      </c>
      <c r="M41" s="266" t="str">
        <f>VLOOKUP($D41,[4]회선정보!B:F,5,FALSE)</f>
        <v>MP6-1</v>
      </c>
      <c r="N41" s="209"/>
      <c r="O41" s="209" t="s">
        <v>611</v>
      </c>
      <c r="P41" s="263" t="str">
        <f t="shared" si="3"/>
        <v>SGM7J-A5A</v>
      </c>
      <c r="Q41" s="263" t="str">
        <f>IF(MID($N40,5,1)&lt;&gt;"W",VLOOKUP(N41,[4]정격용량!$B$3:$K$633,4,FALSE),"X")</f>
        <v>X</v>
      </c>
      <c r="R41" s="260" t="str">
        <f>IF(MID(N40,5,1)&lt;&gt;"W",VLOOKUP(N41,[4]정격용량!$B$3:$K$633,3,FALSE),"X")</f>
        <v>X</v>
      </c>
      <c r="S41" s="260" t="str">
        <f>IF(MID(N40,5,1)&lt;&gt;"W",VLOOKUP(N41,[4]정격용량!$B$3:$K$633,6,FALSE),"X")</f>
        <v>X</v>
      </c>
      <c r="T41" s="262" t="str">
        <f t="shared" si="10"/>
        <v>X</v>
      </c>
      <c r="U41" s="261" t="str">
        <f>IF(MID($N40,5,1)&lt;&gt;"W",VLOOKUP(N41,[4]정격용량!$B$3:$K$633,9,FALSE),"X")</f>
        <v>X</v>
      </c>
      <c r="V41" s="260" t="str">
        <f>IFERROR(IF(J41="Z",VLOOKUP(P41,'[4]SERVO CABLE'!G:AD,8,FALSE),VLOOKUP(P41,'[4]SERVO CABLE'!G:AD,4,FALSE)),"")</f>
        <v>JZSP-C7M14F-□-E</v>
      </c>
      <c r="W41" s="260" t="str">
        <f>IFERROR(VLOOKUP(P41,'[4]SERVO CABLE'!G:AD,17,FALSE),"")</f>
        <v>JZSP-C7PA2D-□-E</v>
      </c>
      <c r="X41" s="215"/>
      <c r="Y41" s="215">
        <v>1</v>
      </c>
      <c r="Z41" s="259">
        <f t="shared" si="5"/>
        <v>0.25</v>
      </c>
      <c r="AA41" s="259" t="str">
        <f t="shared" si="6"/>
        <v/>
      </c>
      <c r="AB41" s="259" t="str">
        <f t="shared" si="7"/>
        <v/>
      </c>
      <c r="AC41" s="258" t="str">
        <f t="shared" si="8"/>
        <v>X</v>
      </c>
      <c r="AD41" s="257" t="str">
        <f t="shared" si="9"/>
        <v>X</v>
      </c>
      <c r="AF41" s="189"/>
      <c r="AL41" s="189"/>
    </row>
    <row r="42" spans="1:38" ht="16.5">
      <c r="A42" s="180" t="s">
        <v>603</v>
      </c>
      <c r="B42" s="221"/>
      <c r="C42" s="209"/>
      <c r="D42" s="270" t="s">
        <v>555</v>
      </c>
      <c r="E42" s="269"/>
      <c r="F42" s="269"/>
      <c r="G42" s="277" t="s">
        <v>443</v>
      </c>
      <c r="H42" s="209" t="str">
        <f t="shared" si="0"/>
        <v xml:space="preserve"> SCT Scribe Chuck7 Z</v>
      </c>
      <c r="I42" s="202" t="str">
        <f t="shared" si="1"/>
        <v>Rotary</v>
      </c>
      <c r="J42" s="267" t="str">
        <f t="shared" si="2"/>
        <v>Z</v>
      </c>
      <c r="K42" s="266">
        <f>VLOOKUP($D42,[4]회선정보!B:F,3,FALSE)</f>
        <v>0</v>
      </c>
      <c r="L42" s="266" t="str">
        <f>VLOOKUP($D42,[4]회선정보!B:F,4,FALSE)</f>
        <v>C</v>
      </c>
      <c r="M42" s="266" t="str">
        <f>VLOOKUP($D42,[4]회선정보!B:F,5,FALSE)</f>
        <v>MP6-1</v>
      </c>
      <c r="N42" s="209" t="s">
        <v>612</v>
      </c>
      <c r="O42" s="209" t="s">
        <v>611</v>
      </c>
      <c r="P42" s="263" t="str">
        <f t="shared" si="3"/>
        <v>SGM7J-A5A</v>
      </c>
      <c r="Q42" s="263">
        <f>IF(MID($N41,5,1)&lt;&gt;"W",VLOOKUP(N42,[4]정격용량!$B$3:$K$633,4,FALSE),"X")</f>
        <v>400</v>
      </c>
      <c r="R42" s="260">
        <f>IF(MID(N41,5,1)&lt;&gt;"W",VLOOKUP(N42,[4]정격용량!$B$3:$K$633,3,FALSE),"X")</f>
        <v>0.3</v>
      </c>
      <c r="S42" s="260">
        <f>IF(MID(N41,5,1)&lt;&gt;"W",VLOOKUP(N42,[4]정격용량!$B$3:$K$633,6,FALSE),"X")</f>
        <v>2.5</v>
      </c>
      <c r="T42" s="262">
        <f t="shared" si="10"/>
        <v>0.94565217391304346</v>
      </c>
      <c r="U42" s="261">
        <f>IF(MID($N41,5,1)&lt;&gt;"W",VLOOKUP(N42,[4]정격용량!$B$3:$K$633,9,FALSE),"X")</f>
        <v>3</v>
      </c>
      <c r="V42" s="260" t="str">
        <f>IFERROR(IF(J42="Z",VLOOKUP(P42,'[4]SERVO CABLE'!G:AD,8,FALSE),VLOOKUP(P42,'[4]SERVO CABLE'!G:AD,4,FALSE)),"")</f>
        <v>JZSP-C7M14F-□-E</v>
      </c>
      <c r="W42" s="260" t="str">
        <f>IFERROR(VLOOKUP(P42,'[4]SERVO CABLE'!G:AD,17,FALSE),"")</f>
        <v>JZSP-C7PA2D-□-E</v>
      </c>
      <c r="X42" s="215"/>
      <c r="Y42" s="215">
        <v>2</v>
      </c>
      <c r="Z42" s="259" t="str">
        <f t="shared" si="5"/>
        <v/>
      </c>
      <c r="AA42" s="259">
        <f t="shared" si="6"/>
        <v>0.25</v>
      </c>
      <c r="AB42" s="259" t="str">
        <f t="shared" si="7"/>
        <v/>
      </c>
      <c r="AC42" s="258">
        <f t="shared" si="8"/>
        <v>1.848525</v>
      </c>
      <c r="AD42" s="257" t="str">
        <f t="shared" si="9"/>
        <v>IRV200</v>
      </c>
      <c r="AF42" s="189"/>
      <c r="AL42" s="189"/>
    </row>
    <row r="43" spans="1:38" ht="16.5">
      <c r="A43" s="180" t="s">
        <v>603</v>
      </c>
      <c r="B43" s="221"/>
      <c r="C43" s="209"/>
      <c r="D43" s="270" t="s">
        <v>556</v>
      </c>
      <c r="E43" s="269"/>
      <c r="F43" s="269"/>
      <c r="G43" s="277" t="s">
        <v>444</v>
      </c>
      <c r="H43" s="209" t="str">
        <f t="shared" si="0"/>
        <v xml:space="preserve"> SCT Scribe Chuck8 Z</v>
      </c>
      <c r="I43" s="202" t="str">
        <f t="shared" si="1"/>
        <v>Rotary</v>
      </c>
      <c r="J43" s="267" t="str">
        <f t="shared" si="2"/>
        <v>Z</v>
      </c>
      <c r="K43" s="266">
        <f>VLOOKUP($D43,[4]회선정보!B:F,3,FALSE)</f>
        <v>0</v>
      </c>
      <c r="L43" s="266" t="str">
        <f>VLOOKUP($D43,[4]회선정보!B:F,4,FALSE)</f>
        <v>D</v>
      </c>
      <c r="M43" s="266" t="str">
        <f>VLOOKUP($D43,[4]회선정보!B:F,5,FALSE)</f>
        <v>MP6-1</v>
      </c>
      <c r="N43" s="209"/>
      <c r="O43" s="209" t="s">
        <v>611</v>
      </c>
      <c r="P43" s="263" t="str">
        <f t="shared" si="3"/>
        <v>SGM7J-A5A</v>
      </c>
      <c r="Q43" s="263" t="str">
        <f>IF(MID($N42,5,1)&lt;&gt;"W",VLOOKUP(N43,[4]정격용량!$B$3:$K$633,4,FALSE),"X")</f>
        <v>X</v>
      </c>
      <c r="R43" s="260" t="str">
        <f>IF(MID(N42,5,1)&lt;&gt;"W",VLOOKUP(N43,[4]정격용량!$B$3:$K$633,3,FALSE),"X")</f>
        <v>X</v>
      </c>
      <c r="S43" s="260" t="str">
        <f>IF(MID(N42,5,1)&lt;&gt;"W",VLOOKUP(N43,[4]정격용량!$B$3:$K$633,6,FALSE),"X")</f>
        <v>X</v>
      </c>
      <c r="T43" s="262" t="str">
        <f t="shared" si="10"/>
        <v>X</v>
      </c>
      <c r="U43" s="261" t="str">
        <f>IF(MID($N42,5,1)&lt;&gt;"W",VLOOKUP(N43,[4]정격용량!$B$3:$K$633,9,FALSE),"X")</f>
        <v>X</v>
      </c>
      <c r="V43" s="260" t="str">
        <f>IFERROR(IF(J43="Z",VLOOKUP(P43,'[4]SERVO CABLE'!G:AD,8,FALSE),VLOOKUP(P43,'[4]SERVO CABLE'!G:AD,4,FALSE)),"")</f>
        <v>JZSP-C7M14F-□-E</v>
      </c>
      <c r="W43" s="260" t="str">
        <f>IFERROR(VLOOKUP(P43,'[4]SERVO CABLE'!G:AD,17,FALSE),"")</f>
        <v>JZSP-C7PA2D-□-E</v>
      </c>
      <c r="X43" s="215"/>
      <c r="Y43" s="215"/>
      <c r="Z43" s="259" t="str">
        <f t="shared" si="5"/>
        <v/>
      </c>
      <c r="AA43" s="259" t="str">
        <f t="shared" si="6"/>
        <v/>
      </c>
      <c r="AB43" s="259" t="str">
        <f t="shared" si="7"/>
        <v/>
      </c>
      <c r="AC43" s="258" t="str">
        <f t="shared" si="8"/>
        <v>X</v>
      </c>
      <c r="AD43" s="257" t="str">
        <f t="shared" si="9"/>
        <v>X</v>
      </c>
      <c r="AF43" s="189"/>
      <c r="AL43" s="189"/>
    </row>
    <row r="44" spans="1:38" ht="16.5">
      <c r="A44" s="180" t="s">
        <v>603</v>
      </c>
      <c r="B44" s="221"/>
      <c r="C44" s="209"/>
      <c r="D44" s="270" t="s">
        <v>221</v>
      </c>
      <c r="E44" s="269"/>
      <c r="F44" s="269"/>
      <c r="G44" s="277" t="s">
        <v>494</v>
      </c>
      <c r="H44" s="209" t="str">
        <f t="shared" si="0"/>
        <v xml:space="preserve"> SCT Break Push Bar Y-1</v>
      </c>
      <c r="I44" s="202" t="str">
        <f t="shared" si="1"/>
        <v>Rotary</v>
      </c>
      <c r="J44" s="267" t="str">
        <f t="shared" si="2"/>
        <v>Y</v>
      </c>
      <c r="K44" s="266">
        <f>VLOOKUP($D44,[4]회선정보!B:F,3,FALSE)</f>
        <v>0</v>
      </c>
      <c r="L44" s="266">
        <f>VLOOKUP($D44,[4]회선정보!B:F,4,FALSE)</f>
        <v>3</v>
      </c>
      <c r="M44" s="266" t="str">
        <f>VLOOKUP($D44,[4]회선정보!B:F,5,FALSE)</f>
        <v>MP7-1</v>
      </c>
      <c r="N44" s="209" t="s">
        <v>610</v>
      </c>
      <c r="O44" s="209" t="s">
        <v>609</v>
      </c>
      <c r="P44" s="263" t="str">
        <f t="shared" si="3"/>
        <v>SGM7J-08A</v>
      </c>
      <c r="Q44" s="263">
        <f>IF(MID($N43,5,1)&lt;&gt;"W",VLOOKUP(N44,[4]정격용량!$B$3:$K$633,4,FALSE),"X")</f>
        <v>1500</v>
      </c>
      <c r="R44" s="260">
        <f>IF(MID(N43,5,1)&lt;&gt;"W",VLOOKUP(N44,[4]정격용량!$B$3:$K$633,3,FALSE),"X")</f>
        <v>0.3</v>
      </c>
      <c r="S44" s="260">
        <f>IF(MID(N43,5,1)&lt;&gt;"W",VLOOKUP(N44,[4]정격용량!$B$3:$K$633,6,FALSE),"X")</f>
        <v>7.8</v>
      </c>
      <c r="T44" s="262">
        <f t="shared" si="10"/>
        <v>2.9504347826086956</v>
      </c>
      <c r="U44" s="261">
        <f>IF(MID($N43,5,1)&lt;&gt;"W",VLOOKUP(N44,[4]정격용량!$B$3:$K$633,9,FALSE),"X")</f>
        <v>10</v>
      </c>
      <c r="V44" s="260" t="str">
        <f>IFERROR(IF(J44="Z",VLOOKUP(P44,'[4]SERVO CABLE'!G:AD,8,FALSE),VLOOKUP(P44,'[4]SERVO CABLE'!G:AD,4,FALSE)),"")</f>
        <v>JZSP-C7M32F-□-E</v>
      </c>
      <c r="W44" s="260" t="str">
        <f>IFERROR(VLOOKUP(P44,'[4]SERVO CABLE'!G:AD,17,FALSE),"")</f>
        <v>JZSP-C7PA2D-□-E</v>
      </c>
      <c r="X44" s="215"/>
      <c r="Y44" s="215">
        <v>3</v>
      </c>
      <c r="Z44" s="259" t="str">
        <f t="shared" si="5"/>
        <v/>
      </c>
      <c r="AA44" s="259" t="str">
        <f t="shared" si="6"/>
        <v/>
      </c>
      <c r="AB44" s="259">
        <f t="shared" si="7"/>
        <v>0.25</v>
      </c>
      <c r="AC44" s="258">
        <f t="shared" si="8"/>
        <v>0.49293999999999999</v>
      </c>
      <c r="AD44" s="257" t="str">
        <f t="shared" si="9"/>
        <v>IRV80</v>
      </c>
      <c r="AF44" s="189"/>
      <c r="AL44" s="189"/>
    </row>
    <row r="45" spans="1:38" ht="16.5">
      <c r="A45" s="180" t="s">
        <v>603</v>
      </c>
      <c r="B45" s="221"/>
      <c r="C45" s="209"/>
      <c r="D45" s="270" t="s">
        <v>222</v>
      </c>
      <c r="E45" s="269"/>
      <c r="F45" s="269"/>
      <c r="G45" s="277" t="s">
        <v>495</v>
      </c>
      <c r="H45" s="209" t="str">
        <f t="shared" si="0"/>
        <v xml:space="preserve"> SCT Break Push Bar Y-2</v>
      </c>
      <c r="I45" s="202" t="str">
        <f t="shared" si="1"/>
        <v>Rotary</v>
      </c>
      <c r="J45" s="267" t="str">
        <f t="shared" si="2"/>
        <v>Y</v>
      </c>
      <c r="K45" s="266">
        <f>VLOOKUP($D45,[4]회선정보!B:F,3,FALSE)</f>
        <v>0</v>
      </c>
      <c r="L45" s="266">
        <f>VLOOKUP($D45,[4]회선정보!B:F,4,FALSE)</f>
        <v>4</v>
      </c>
      <c r="M45" s="266" t="str">
        <f>VLOOKUP($D45,[4]회선정보!B:F,5,FALSE)</f>
        <v>MP7-1</v>
      </c>
      <c r="N45" s="209"/>
      <c r="O45" s="209" t="s">
        <v>609</v>
      </c>
      <c r="P45" s="263" t="str">
        <f t="shared" si="3"/>
        <v>SGM7J-08A</v>
      </c>
      <c r="Q45" s="263" t="str">
        <f>IF(MID($N44,5,1)&lt;&gt;"W",VLOOKUP(N45,[4]정격용량!$B$3:$K$633,4,FALSE),"X")</f>
        <v>X</v>
      </c>
      <c r="R45" s="260" t="str">
        <f>IF(MID(N44,5,1)&lt;&gt;"W",VLOOKUP(N45,[4]정격용량!$B$3:$K$633,3,FALSE),"X")</f>
        <v>X</v>
      </c>
      <c r="S45" s="260" t="str">
        <f>IF(MID(N44,5,1)&lt;&gt;"W",VLOOKUP(N45,[4]정격용량!$B$3:$K$633,6,FALSE),"X")</f>
        <v>X</v>
      </c>
      <c r="T45" s="262" t="str">
        <f t="shared" si="10"/>
        <v>X</v>
      </c>
      <c r="U45" s="261" t="str">
        <f>IF(MID($N44,5,1)&lt;&gt;"W",VLOOKUP(N45,[4]정격용량!$B$3:$K$633,9,FALSE),"X")</f>
        <v>X</v>
      </c>
      <c r="V45" s="260" t="str">
        <f>IFERROR(IF(J45="Z",VLOOKUP(P45,'[4]SERVO CABLE'!G:AD,8,FALSE),VLOOKUP(P45,'[4]SERVO CABLE'!G:AD,4,FALSE)),"")</f>
        <v>JZSP-C7M32F-□-E</v>
      </c>
      <c r="W45" s="260" t="str">
        <f>IFERROR(VLOOKUP(P45,'[4]SERVO CABLE'!G:AD,17,FALSE),"")</f>
        <v>JZSP-C7PA2D-□-E</v>
      </c>
      <c r="X45" s="215"/>
      <c r="Y45" s="215"/>
      <c r="Z45" s="259" t="str">
        <f t="shared" si="5"/>
        <v/>
      </c>
      <c r="AA45" s="259" t="str">
        <f t="shared" si="6"/>
        <v/>
      </c>
      <c r="AB45" s="259" t="str">
        <f t="shared" si="7"/>
        <v/>
      </c>
      <c r="AC45" s="258" t="str">
        <f t="shared" si="8"/>
        <v>X</v>
      </c>
      <c r="AD45" s="257" t="str">
        <f t="shared" si="9"/>
        <v>X</v>
      </c>
      <c r="AF45" s="189"/>
      <c r="AL45" s="189"/>
    </row>
    <row r="46" spans="1:38" ht="16.5">
      <c r="A46" s="180" t="s">
        <v>603</v>
      </c>
      <c r="B46" s="221"/>
      <c r="C46" s="209"/>
      <c r="D46" s="270" t="s">
        <v>223</v>
      </c>
      <c r="E46" s="269"/>
      <c r="F46" s="269"/>
      <c r="G46" s="277" t="s">
        <v>496</v>
      </c>
      <c r="H46" s="209" t="str">
        <f t="shared" si="0"/>
        <v xml:space="preserve"> SCT Break Push Bar Z-1</v>
      </c>
      <c r="I46" s="202" t="str">
        <f t="shared" si="1"/>
        <v>Rotary</v>
      </c>
      <c r="J46" s="267" t="str">
        <f t="shared" si="2"/>
        <v>Z</v>
      </c>
      <c r="K46" s="266">
        <f>VLOOKUP($D46,[4]회선정보!B:F,3,FALSE)</f>
        <v>0</v>
      </c>
      <c r="L46" s="266">
        <f>VLOOKUP($D46,[4]회선정보!B:F,4,FALSE)</f>
        <v>5</v>
      </c>
      <c r="M46" s="266" t="str">
        <f>VLOOKUP($D46,[4]회선정보!B:F,5,FALSE)</f>
        <v>MP7-1</v>
      </c>
      <c r="N46" s="278" t="s">
        <v>606</v>
      </c>
      <c r="O46" s="276" t="s">
        <v>604</v>
      </c>
      <c r="P46" s="263" t="str">
        <f t="shared" si="3"/>
        <v>SGM7J-08A</v>
      </c>
      <c r="Q46" s="263">
        <f>IF(MID($N45,5,1)&lt;&gt;"W",VLOOKUP(N46,[4]정격용량!$B$3:$K$633,4,FALSE),"X")</f>
        <v>1500</v>
      </c>
      <c r="R46" s="260">
        <f>IF(MID(N45,5,1)&lt;&gt;"W",VLOOKUP(N46,[4]정격용량!$B$3:$K$633,3,FALSE),"X")</f>
        <v>0.3</v>
      </c>
      <c r="S46" s="260">
        <f>IF(MID(N45,5,1)&lt;&gt;"W",VLOOKUP(N46,[4]정격용량!$B$3:$K$633,6,FALSE),"X")</f>
        <v>7.8</v>
      </c>
      <c r="T46" s="262">
        <f t="shared" si="10"/>
        <v>2.9504347826086956</v>
      </c>
      <c r="U46" s="261">
        <f>IF(MID($N45,5,1)&lt;&gt;"W",VLOOKUP(N46,[4]정격용량!$B$3:$K$633,9,FALSE),"X")</f>
        <v>10</v>
      </c>
      <c r="V46" s="260" t="str">
        <f>IFERROR(IF(J46="Z",VLOOKUP(P46,'[4]SERVO CABLE'!G:AD,8,FALSE),VLOOKUP(P46,'[4]SERVO CABLE'!G:AD,4,FALSE)),"")</f>
        <v>JZSP-C7M34F-□-E</v>
      </c>
      <c r="W46" s="260" t="str">
        <f>IFERROR(VLOOKUP(P46,'[4]SERVO CABLE'!G:AD,17,FALSE),"")</f>
        <v>JZSP-C7PA2D-□-E</v>
      </c>
      <c r="X46" s="215"/>
      <c r="Y46" s="215">
        <v>1</v>
      </c>
      <c r="Z46" s="259">
        <f t="shared" si="5"/>
        <v>0.25</v>
      </c>
      <c r="AA46" s="259" t="str">
        <f t="shared" si="6"/>
        <v/>
      </c>
      <c r="AB46" s="259" t="str">
        <f t="shared" si="7"/>
        <v/>
      </c>
      <c r="AC46" s="258">
        <f t="shared" si="8"/>
        <v>0.49293999999999999</v>
      </c>
      <c r="AD46" s="257" t="str">
        <f t="shared" si="9"/>
        <v>IRV80</v>
      </c>
      <c r="AF46" s="189"/>
      <c r="AL46" s="189"/>
    </row>
    <row r="47" spans="1:38" ht="16.5">
      <c r="A47" s="180" t="s">
        <v>603</v>
      </c>
      <c r="B47" s="221"/>
      <c r="C47" s="209"/>
      <c r="D47" s="270" t="s">
        <v>289</v>
      </c>
      <c r="E47" s="269"/>
      <c r="F47" s="269"/>
      <c r="G47" s="277" t="s">
        <v>497</v>
      </c>
      <c r="H47" s="209" t="str">
        <f t="shared" si="0"/>
        <v xml:space="preserve"> SCT Break Push Bar Z-2</v>
      </c>
      <c r="I47" s="202" t="str">
        <f t="shared" si="1"/>
        <v>Rotary</v>
      </c>
      <c r="J47" s="267" t="str">
        <f t="shared" si="2"/>
        <v>Z</v>
      </c>
      <c r="K47" s="266">
        <f>VLOOKUP($D47,[4]회선정보!B:F,3,FALSE)</f>
        <v>0</v>
      </c>
      <c r="L47" s="266">
        <f>VLOOKUP($D47,[4]회선정보!B:F,4,FALSE)</f>
        <v>6</v>
      </c>
      <c r="M47" s="266" t="str">
        <f>VLOOKUP($D47,[4]회선정보!B:F,5,FALSE)</f>
        <v>MP7-1</v>
      </c>
      <c r="N47" s="272"/>
      <c r="O47" s="276" t="s">
        <v>604</v>
      </c>
      <c r="P47" s="263" t="str">
        <f t="shared" si="3"/>
        <v>SGM7J-08A</v>
      </c>
      <c r="Q47" s="263" t="str">
        <f>IF(MID($N46,5,1)&lt;&gt;"W",VLOOKUP(N47,[4]정격용량!$B$3:$K$633,4,FALSE),"X")</f>
        <v>X</v>
      </c>
      <c r="R47" s="260" t="str">
        <f>IF(MID(N46,5,1)&lt;&gt;"W",VLOOKUP(N47,[4]정격용량!$B$3:$K$633,3,FALSE),"X")</f>
        <v>X</v>
      </c>
      <c r="S47" s="260" t="str">
        <f>IF(MID(N46,5,1)&lt;&gt;"W",VLOOKUP(N47,[4]정격용량!$B$3:$K$633,6,FALSE),"X")</f>
        <v>X</v>
      </c>
      <c r="T47" s="262" t="str">
        <f t="shared" si="10"/>
        <v>X</v>
      </c>
      <c r="U47" s="261" t="str">
        <f>IF(MID($N46,5,1)&lt;&gt;"W",VLOOKUP(N47,[4]정격용량!$B$3:$K$633,9,FALSE),"X")</f>
        <v>X</v>
      </c>
      <c r="V47" s="260" t="str">
        <f>IFERROR(IF(J47="Z",VLOOKUP(P47,'[4]SERVO CABLE'!G:AD,8,FALSE),VLOOKUP(P47,'[4]SERVO CABLE'!G:AD,4,FALSE)),"")</f>
        <v>JZSP-C7M34F-□-E</v>
      </c>
      <c r="W47" s="260" t="str">
        <f>IFERROR(VLOOKUP(P47,'[4]SERVO CABLE'!G:AD,17,FALSE),"")</f>
        <v>JZSP-C7PA2D-□-E</v>
      </c>
      <c r="X47" s="215"/>
      <c r="Y47" s="215"/>
      <c r="Z47" s="259" t="str">
        <f t="shared" si="5"/>
        <v/>
      </c>
      <c r="AA47" s="259" t="str">
        <f t="shared" si="6"/>
        <v/>
      </c>
      <c r="AB47" s="259" t="str">
        <f t="shared" si="7"/>
        <v/>
      </c>
      <c r="AC47" s="258" t="str">
        <f t="shared" si="8"/>
        <v>X</v>
      </c>
      <c r="AD47" s="257" t="str">
        <f t="shared" si="9"/>
        <v>X</v>
      </c>
      <c r="AF47" s="189"/>
      <c r="AL47" s="189"/>
    </row>
    <row r="48" spans="1:38" ht="16.5">
      <c r="A48" s="180" t="s">
        <v>603</v>
      </c>
      <c r="B48" s="221"/>
      <c r="C48" s="209"/>
      <c r="D48" s="270" t="s">
        <v>224</v>
      </c>
      <c r="E48" s="269"/>
      <c r="F48" s="269"/>
      <c r="G48" s="273" t="s">
        <v>469</v>
      </c>
      <c r="H48" s="209" t="str">
        <f t="shared" si="0"/>
        <v xml:space="preserve"> SCT Break Table Y-1</v>
      </c>
      <c r="I48" s="202" t="str">
        <f t="shared" si="1"/>
        <v>Rotary</v>
      </c>
      <c r="J48" s="267" t="str">
        <f t="shared" si="2"/>
        <v>Y</v>
      </c>
      <c r="K48" s="266">
        <f>VLOOKUP($D48,[4]회선정보!B:F,3,FALSE)</f>
        <v>0</v>
      </c>
      <c r="L48" s="266">
        <f>VLOOKUP($D48,[4]회선정보!B:F,4,FALSE)</f>
        <v>8</v>
      </c>
      <c r="M48" s="266" t="str">
        <f>VLOOKUP($D48,[4]회선정보!B:F,5,FALSE)</f>
        <v>MP7-1</v>
      </c>
      <c r="N48" s="275" t="s">
        <v>608</v>
      </c>
      <c r="O48" s="274" t="s">
        <v>607</v>
      </c>
      <c r="P48" s="263" t="str">
        <f t="shared" si="3"/>
        <v>SGM7G-09A</v>
      </c>
      <c r="Q48" s="263">
        <f>IF(MID($N47,5,1)&lt;&gt;"W",VLOOKUP(N48,[4]정격용량!$B$3:$K$633,4,FALSE),"X")</f>
        <v>2000</v>
      </c>
      <c r="R48" s="260">
        <f>IF(MID(N47,5,1)&lt;&gt;"W",VLOOKUP(N48,[4]정격용량!$B$3:$K$633,3,FALSE),"X")</f>
        <v>0.3</v>
      </c>
      <c r="S48" s="260">
        <f>IF(MID(N47,5,1)&lt;&gt;"W",VLOOKUP(N48,[4]정격용량!$B$3:$K$633,6,FALSE),"X")</f>
        <v>11</v>
      </c>
      <c r="T48" s="262">
        <f t="shared" si="10"/>
        <v>4.160869565217391</v>
      </c>
      <c r="U48" s="261">
        <f>IF(MID($N47,5,1)&lt;&gt;"W",VLOOKUP(N48,[4]정격용량!$B$3:$K$633,9,FALSE),"X")</f>
        <v>15</v>
      </c>
      <c r="V48" s="260" t="str">
        <f>IFERROR(IF(J48="Z",VLOOKUP(P48,'[4]SERVO CABLE'!G:AD,8,FALSE),VLOOKUP(P48,'[4]SERVO CABLE'!G:AD,4,FALSE)),"")</f>
        <v>JZSP-UVA122-□-E</v>
      </c>
      <c r="W48" s="260" t="str">
        <f>IFERROR(VLOOKUP(P48,'[4]SERVO CABLE'!G:AD,17,FALSE),"")</f>
        <v>JZSP-CVP27-□-E</v>
      </c>
      <c r="X48" s="215"/>
      <c r="Y48" s="215">
        <v>2</v>
      </c>
      <c r="Z48" s="259" t="str">
        <f t="shared" si="5"/>
        <v/>
      </c>
      <c r="AA48" s="259">
        <f t="shared" si="6"/>
        <v>0.25</v>
      </c>
      <c r="AB48" s="259" t="str">
        <f t="shared" si="7"/>
        <v/>
      </c>
      <c r="AC48" s="258">
        <f t="shared" si="8"/>
        <v>0.36970500000000001</v>
      </c>
      <c r="AD48" s="257" t="str">
        <f t="shared" si="9"/>
        <v>IRV80</v>
      </c>
      <c r="AF48" s="189"/>
      <c r="AL48" s="189"/>
    </row>
    <row r="49" spans="1:38" ht="16.5">
      <c r="A49" s="180" t="s">
        <v>603</v>
      </c>
      <c r="B49" s="221"/>
      <c r="C49" s="209"/>
      <c r="D49" s="270" t="s">
        <v>225</v>
      </c>
      <c r="E49" s="269"/>
      <c r="F49" s="269"/>
      <c r="G49" s="273" t="s">
        <v>470</v>
      </c>
      <c r="H49" s="209" t="str">
        <f t="shared" si="0"/>
        <v xml:space="preserve"> SCT Break Table Y-2</v>
      </c>
      <c r="I49" s="202" t="str">
        <f t="shared" si="1"/>
        <v>Rotary</v>
      </c>
      <c r="J49" s="267" t="str">
        <f t="shared" si="2"/>
        <v>Y</v>
      </c>
      <c r="K49" s="266">
        <f>VLOOKUP($D49,[4]회선정보!B:F,3,FALSE)</f>
        <v>0</v>
      </c>
      <c r="L49" s="266">
        <f>VLOOKUP($D49,[4]회선정보!B:F,4,FALSE)</f>
        <v>9</v>
      </c>
      <c r="M49" s="266" t="str">
        <f>VLOOKUP($D49,[4]회선정보!B:F,5,FALSE)</f>
        <v>MP7-1</v>
      </c>
      <c r="N49" s="272"/>
      <c r="O49" s="271" t="s">
        <v>607</v>
      </c>
      <c r="P49" s="263" t="str">
        <f t="shared" si="3"/>
        <v>SGM7G-09A</v>
      </c>
      <c r="Q49" s="263" t="str">
        <f>IF(MID($N48,5,1)&lt;&gt;"W",VLOOKUP(N49,[4]정격용량!$B$3:$K$633,4,FALSE),"X")</f>
        <v>X</v>
      </c>
      <c r="R49" s="260" t="str">
        <f>IF(MID(N48,5,1)&lt;&gt;"W",VLOOKUP(N49,[4]정격용량!$B$3:$K$633,3,FALSE),"X")</f>
        <v>X</v>
      </c>
      <c r="S49" s="260" t="str">
        <f>IF(MID(N48,5,1)&lt;&gt;"W",VLOOKUP(N49,[4]정격용량!$B$3:$K$633,6,FALSE),"X")</f>
        <v>X</v>
      </c>
      <c r="T49" s="262" t="str">
        <f t="shared" si="10"/>
        <v>X</v>
      </c>
      <c r="U49" s="261" t="str">
        <f>IF(MID($N48,5,1)&lt;&gt;"W",VLOOKUP(N49,[4]정격용량!$B$3:$K$633,9,FALSE),"X")</f>
        <v>X</v>
      </c>
      <c r="V49" s="260" t="str">
        <f>IFERROR(IF(J49="Z",VLOOKUP(P49,'[4]SERVO CABLE'!G:AD,8,FALSE),VLOOKUP(P49,'[4]SERVO CABLE'!G:AD,4,FALSE)),"")</f>
        <v>JZSP-UVA122-□-E</v>
      </c>
      <c r="W49" s="260" t="str">
        <f>IFERROR(VLOOKUP(P49,'[4]SERVO CABLE'!G:AD,17,FALSE),"")</f>
        <v>JZSP-CVP27-□-E</v>
      </c>
      <c r="X49" s="215"/>
      <c r="Y49" s="215">
        <v>3</v>
      </c>
      <c r="Z49" s="259" t="str">
        <f t="shared" si="5"/>
        <v/>
      </c>
      <c r="AA49" s="259" t="str">
        <f t="shared" si="6"/>
        <v/>
      </c>
      <c r="AB49" s="259">
        <f t="shared" si="7"/>
        <v>0.25</v>
      </c>
      <c r="AC49" s="258" t="str">
        <f t="shared" si="8"/>
        <v>X</v>
      </c>
      <c r="AD49" s="257" t="str">
        <f t="shared" si="9"/>
        <v>X</v>
      </c>
      <c r="AF49" s="189"/>
      <c r="AL49" s="189"/>
    </row>
    <row r="50" spans="1:38" ht="16.5">
      <c r="A50" s="180" t="s">
        <v>603</v>
      </c>
      <c r="B50" s="221"/>
      <c r="C50" s="209"/>
      <c r="D50" s="270" t="s">
        <v>226</v>
      </c>
      <c r="E50" s="269"/>
      <c r="F50" s="269"/>
      <c r="G50" s="268" t="s">
        <v>471</v>
      </c>
      <c r="H50" s="209" t="str">
        <f t="shared" si="0"/>
        <v xml:space="preserve"> SCT Break Table Z-1</v>
      </c>
      <c r="I50" s="202" t="str">
        <f t="shared" si="1"/>
        <v>Rotary</v>
      </c>
      <c r="J50" s="267" t="str">
        <f t="shared" si="2"/>
        <v>Z</v>
      </c>
      <c r="K50" s="266">
        <f>VLOOKUP($D50,[4]회선정보!B:F,3,FALSE)</f>
        <v>0</v>
      </c>
      <c r="L50" s="266" t="str">
        <f>VLOOKUP($D50,[4]회선정보!B:F,4,FALSE)</f>
        <v>B</v>
      </c>
      <c r="M50" s="266" t="str">
        <f>VLOOKUP($D50,[4]회선정보!B:F,5,FALSE)</f>
        <v>MP7-1</v>
      </c>
      <c r="N50" s="264" t="s">
        <v>606</v>
      </c>
      <c r="O50" s="264" t="s">
        <v>604</v>
      </c>
      <c r="P50" s="263" t="str">
        <f t="shared" si="3"/>
        <v>SGM7J-08A</v>
      </c>
      <c r="Q50" s="263">
        <f>IF(MID($N49,5,1)&lt;&gt;"W",VLOOKUP(N50,[4]정격용량!$B$3:$K$633,4,FALSE),"X")</f>
        <v>1500</v>
      </c>
      <c r="R50" s="260">
        <f>IF(MID(N49,5,1)&lt;&gt;"W",VLOOKUP(N50,[4]정격용량!$B$3:$K$633,3,FALSE),"X")</f>
        <v>0.3</v>
      </c>
      <c r="S50" s="260">
        <f>IF(MID(N49,5,1)&lt;&gt;"W",VLOOKUP(N50,[4]정격용량!$B$3:$K$633,6,FALSE),"X")</f>
        <v>7.8</v>
      </c>
      <c r="T50" s="262">
        <f t="shared" si="10"/>
        <v>2.9504347826086956</v>
      </c>
      <c r="U50" s="261">
        <f>IF(MID($N49,5,1)&lt;&gt;"W",VLOOKUP(N50,[4]정격용량!$B$3:$K$633,9,FALSE),"X")</f>
        <v>10</v>
      </c>
      <c r="V50" s="260" t="str">
        <f>IFERROR(IF(J50="Z",VLOOKUP(P50,'[4]SERVO CABLE'!G:AD,8,FALSE),VLOOKUP(P50,'[4]SERVO CABLE'!G:AD,4,FALSE)),"")</f>
        <v>JZSP-C7M34F-□-E</v>
      </c>
      <c r="W50" s="260" t="str">
        <f>IFERROR(VLOOKUP(P50,'[4]SERVO CABLE'!G:AD,17,FALSE),"")</f>
        <v>JZSP-C7PA2D-□-E</v>
      </c>
      <c r="X50" s="215"/>
      <c r="Y50" s="215">
        <v>1</v>
      </c>
      <c r="Z50" s="259">
        <f t="shared" si="5"/>
        <v>0.25</v>
      </c>
      <c r="AA50" s="259" t="str">
        <f t="shared" si="6"/>
        <v/>
      </c>
      <c r="AB50" s="259" t="str">
        <f t="shared" si="7"/>
        <v/>
      </c>
      <c r="AC50" s="258">
        <f t="shared" si="8"/>
        <v>0.49293999999999999</v>
      </c>
      <c r="AD50" s="257" t="str">
        <f t="shared" si="9"/>
        <v>IRV80</v>
      </c>
      <c r="AF50" s="189"/>
      <c r="AL50" s="189"/>
    </row>
    <row r="51" spans="1:38" ht="16.5">
      <c r="A51" s="180" t="s">
        <v>603</v>
      </c>
      <c r="B51" s="221"/>
      <c r="C51" s="209"/>
      <c r="D51" s="270" t="s">
        <v>288</v>
      </c>
      <c r="E51" s="269"/>
      <c r="F51" s="269"/>
      <c r="G51" s="268" t="s">
        <v>472</v>
      </c>
      <c r="H51" s="209" t="str">
        <f t="shared" si="0"/>
        <v xml:space="preserve"> SCT Break Table Z-2</v>
      </c>
      <c r="I51" s="202" t="str">
        <f t="shared" si="1"/>
        <v>Rotary</v>
      </c>
      <c r="J51" s="267" t="str">
        <f t="shared" si="2"/>
        <v>Z</v>
      </c>
      <c r="K51" s="266">
        <f>VLOOKUP($D51,[4]회선정보!B:F,3,FALSE)</f>
        <v>0</v>
      </c>
      <c r="L51" s="266" t="str">
        <f>VLOOKUP($D51,[4]회선정보!B:F,4,FALSE)</f>
        <v>C</v>
      </c>
      <c r="M51" s="266" t="str">
        <f>VLOOKUP($D51,[4]회선정보!B:F,5,FALSE)</f>
        <v>MP7-1</v>
      </c>
      <c r="N51" s="264"/>
      <c r="O51" s="264" t="s">
        <v>604</v>
      </c>
      <c r="P51" s="263" t="str">
        <f t="shared" si="3"/>
        <v>SGM7J-08A</v>
      </c>
      <c r="Q51" s="263" t="str">
        <f>IF(MID($N50,5,1)&lt;&gt;"W",VLOOKUP(N51,[4]정격용량!$B$3:$K$633,4,FALSE),"X")</f>
        <v>X</v>
      </c>
      <c r="R51" s="260" t="str">
        <f>IF(MID(N50,5,1)&lt;&gt;"W",VLOOKUP(N51,[4]정격용량!$B$3:$K$633,3,FALSE),"X")</f>
        <v>X</v>
      </c>
      <c r="S51" s="260" t="str">
        <f>IF(MID(N50,5,1)&lt;&gt;"W",VLOOKUP(N51,[4]정격용량!$B$3:$K$633,6,FALSE),"X")</f>
        <v>X</v>
      </c>
      <c r="T51" s="262" t="str">
        <f t="shared" si="10"/>
        <v>X</v>
      </c>
      <c r="U51" s="261" t="str">
        <f>IF(MID($N50,5,1)&lt;&gt;"W",VLOOKUP(N51,[4]정격용량!$B$3:$K$633,9,FALSE),"X")</f>
        <v>X</v>
      </c>
      <c r="V51" s="260" t="str">
        <f>IFERROR(IF(J51="Z",VLOOKUP(P51,'[4]SERVO CABLE'!G:AD,8,FALSE),VLOOKUP(P51,'[4]SERVO CABLE'!G:AD,4,FALSE)),"")</f>
        <v>JZSP-C7M34F-□-E</v>
      </c>
      <c r="W51" s="260" t="str">
        <f>IFERROR(VLOOKUP(P51,'[4]SERVO CABLE'!G:AD,17,FALSE),"")</f>
        <v>JZSP-C7PA2D-□-E</v>
      </c>
      <c r="X51" s="215"/>
      <c r="Y51" s="215"/>
      <c r="Z51" s="259" t="str">
        <f t="shared" si="5"/>
        <v/>
      </c>
      <c r="AA51" s="259" t="str">
        <f t="shared" si="6"/>
        <v/>
      </c>
      <c r="AB51" s="259" t="str">
        <f t="shared" si="7"/>
        <v/>
      </c>
      <c r="AC51" s="258" t="str">
        <f t="shared" si="8"/>
        <v>X</v>
      </c>
      <c r="AD51" s="257" t="str">
        <f t="shared" si="9"/>
        <v>X</v>
      </c>
      <c r="AF51" s="189"/>
      <c r="AL51" s="189"/>
    </row>
    <row r="52" spans="1:38" ht="16.5">
      <c r="A52" s="180" t="s">
        <v>603</v>
      </c>
      <c r="B52" s="221"/>
      <c r="C52" s="209"/>
      <c r="D52" s="270" t="s">
        <v>309</v>
      </c>
      <c r="E52" s="269"/>
      <c r="F52" s="269"/>
      <c r="G52" s="268" t="s">
        <v>473</v>
      </c>
      <c r="H52" s="209" t="str">
        <f t="shared" si="0"/>
        <v xml:space="preserve"> SCT Break Table Z-3</v>
      </c>
      <c r="I52" s="202" t="str">
        <f t="shared" si="1"/>
        <v>Rotary</v>
      </c>
      <c r="J52" s="267" t="str">
        <f t="shared" si="2"/>
        <v>Z</v>
      </c>
      <c r="K52" s="266">
        <f>VLOOKUP($D52,[4]회선정보!B:F,3,FALSE)</f>
        <v>0</v>
      </c>
      <c r="L52" s="266" t="str">
        <f>VLOOKUP($D52,[4]회선정보!B:F,4,FALSE)</f>
        <v>D</v>
      </c>
      <c r="M52" s="266" t="str">
        <f>VLOOKUP($D52,[4]회선정보!B:F,5,FALSE)</f>
        <v>MP7-1</v>
      </c>
      <c r="N52" s="264" t="s">
        <v>605</v>
      </c>
      <c r="O52" s="264" t="s">
        <v>604</v>
      </c>
      <c r="P52" s="263" t="str">
        <f t="shared" si="3"/>
        <v>SGM7J-08A</v>
      </c>
      <c r="Q52" s="263">
        <f>IF(MID($N51,5,1)&lt;&gt;"W",VLOOKUP(N52,[4]정격용량!$B$3:$K$633,4,FALSE),"X")</f>
        <v>750</v>
      </c>
      <c r="R52" s="260">
        <f>IF(MID(N51,5,1)&lt;&gt;"W",VLOOKUP(N52,[4]정격용량!$B$3:$K$633,3,FALSE),"X")</f>
        <v>0.2</v>
      </c>
      <c r="S52" s="260">
        <f>IF(MID(N51,5,1)&lt;&gt;"W",VLOOKUP(N52,[4]정격용량!$B$3:$K$633,6,FALSE),"X")</f>
        <v>4.0999999999999996</v>
      </c>
      <c r="T52" s="262">
        <f t="shared" si="10"/>
        <v>1.5508695652173912</v>
      </c>
      <c r="U52" s="261">
        <f>IF(MID($N51,5,1)&lt;&gt;"W",VLOOKUP(N52,[4]정격용량!$B$3:$K$633,9,FALSE),"X")</f>
        <v>5</v>
      </c>
      <c r="V52" s="260" t="str">
        <f>IFERROR(IF(J52="Z",VLOOKUP(P52,'[4]SERVO CABLE'!G:AD,8,FALSE),VLOOKUP(P52,'[4]SERVO CABLE'!G:AD,4,FALSE)),"")</f>
        <v>JZSP-C7M34F-□-E</v>
      </c>
      <c r="W52" s="260" t="str">
        <f>IFERROR(VLOOKUP(P52,'[4]SERVO CABLE'!G:AD,17,FALSE),"")</f>
        <v>JZSP-C7PA2D-□-E</v>
      </c>
      <c r="X52" s="215"/>
      <c r="Y52" s="215">
        <v>2</v>
      </c>
      <c r="Z52" s="259" t="str">
        <f t="shared" si="5"/>
        <v/>
      </c>
      <c r="AA52" s="259">
        <f t="shared" si="6"/>
        <v>0.25</v>
      </c>
      <c r="AB52" s="259" t="str">
        <f t="shared" si="7"/>
        <v/>
      </c>
      <c r="AC52" s="258">
        <f t="shared" si="8"/>
        <v>0.98587999999999998</v>
      </c>
      <c r="AD52" s="257" t="str">
        <f t="shared" si="9"/>
        <v>IRV100</v>
      </c>
      <c r="AF52" s="189"/>
      <c r="AL52" s="189"/>
    </row>
    <row r="53" spans="1:38" ht="16.05" customHeight="1">
      <c r="A53" s="180" t="s">
        <v>603</v>
      </c>
      <c r="B53" s="221"/>
      <c r="C53" s="209"/>
      <c r="D53" s="270" t="s">
        <v>227</v>
      </c>
      <c r="E53" s="269"/>
      <c r="F53" s="269"/>
      <c r="G53" s="268" t="s">
        <v>510</v>
      </c>
      <c r="H53" s="209" t="str">
        <f t="shared" si="0"/>
        <v xml:space="preserve"> SCT Break Table Tilt-1</v>
      </c>
      <c r="I53" s="202" t="str">
        <f t="shared" si="1"/>
        <v>Rotary</v>
      </c>
      <c r="J53" s="267" t="str">
        <f t="shared" si="2"/>
        <v>T</v>
      </c>
      <c r="K53" s="266">
        <f>VLOOKUP($D53,[4]회선정보!B:F,3,FALSE)</f>
        <v>0</v>
      </c>
      <c r="L53" s="266" t="str">
        <f>VLOOKUP($D53,[4]회선정보!B:F,4,FALSE)</f>
        <v>E</v>
      </c>
      <c r="M53" s="266" t="str">
        <f>VLOOKUP($D53,[4]회선정보!B:F,5,FALSE)</f>
        <v>MP7-1</v>
      </c>
      <c r="N53" s="265" t="s">
        <v>602</v>
      </c>
      <c r="O53" s="264" t="s">
        <v>600</v>
      </c>
      <c r="P53" s="263" t="str">
        <f t="shared" si="3"/>
        <v>SGM7J-04A</v>
      </c>
      <c r="Q53" s="263">
        <f>IF(MID($N52,5,1)&lt;&gt;"W",VLOOKUP(N53,[4]정격용량!$B$3:$K$633,4,FALSE),"X")</f>
        <v>800</v>
      </c>
      <c r="R53" s="260">
        <f>IF(MID(N52,5,1)&lt;&gt;"W",VLOOKUP(N53,[4]정격용량!$B$3:$K$633,3,FALSE),"X")</f>
        <v>0.3</v>
      </c>
      <c r="S53" s="260">
        <f>IF(MID(N52,5,1)&lt;&gt;"W",VLOOKUP(N53,[4]정격용량!$B$3:$K$633,6,FALSE),"X")</f>
        <v>4.7</v>
      </c>
      <c r="T53" s="262">
        <f t="shared" si="10"/>
        <v>1.7778260869565217</v>
      </c>
      <c r="U53" s="261">
        <f>IF(MID($N52,5,1)&lt;&gt;"W",VLOOKUP(N53,[4]정격용량!$B$3:$K$633,9,FALSE),"X")</f>
        <v>7</v>
      </c>
      <c r="V53" s="260" t="str">
        <f>IFERROR(IF(J53="Z",VLOOKUP(P53,'[4]SERVO CABLE'!G:AD,8,FALSE),VLOOKUP(P53,'[4]SERVO CABLE'!G:AD,8,FALSE)),"")</f>
        <v>JZSP-C7M24F-□-E</v>
      </c>
      <c r="W53" s="260" t="str">
        <f>IFERROR(VLOOKUP(P53,'[4]SERVO CABLE'!G:AD,17,FALSE),"")</f>
        <v>JZSP-C7PA2D-□-E</v>
      </c>
      <c r="X53" s="215"/>
      <c r="Y53" s="215"/>
      <c r="Z53" s="259" t="str">
        <f t="shared" si="5"/>
        <v/>
      </c>
      <c r="AA53" s="259" t="str">
        <f t="shared" si="6"/>
        <v/>
      </c>
      <c r="AB53" s="259" t="str">
        <f t="shared" si="7"/>
        <v/>
      </c>
      <c r="AC53" s="258">
        <f t="shared" si="8"/>
        <v>0.92426249999999999</v>
      </c>
      <c r="AD53" s="257" t="str">
        <f t="shared" si="9"/>
        <v>IRV100</v>
      </c>
      <c r="AF53" s="189"/>
      <c r="AL53" s="189"/>
    </row>
    <row r="54" spans="1:38" ht="16.8" thickBot="1">
      <c r="A54" s="180" t="s">
        <v>601</v>
      </c>
      <c r="B54" s="256"/>
      <c r="C54" s="255"/>
      <c r="D54" s="254" t="s">
        <v>228</v>
      </c>
      <c r="E54" s="253"/>
      <c r="F54" s="253"/>
      <c r="G54" s="252" t="s">
        <v>511</v>
      </c>
      <c r="H54" s="190" t="str">
        <f t="shared" si="0"/>
        <v xml:space="preserve"> SCT Break Table Tilt-2</v>
      </c>
      <c r="I54" s="191" t="str">
        <f t="shared" si="1"/>
        <v>Rotary</v>
      </c>
      <c r="J54" s="251" t="str">
        <f t="shared" si="2"/>
        <v>T</v>
      </c>
      <c r="K54" s="250">
        <f>VLOOKUP($D54,[4]회선정보!B:F,3,FALSE)</f>
        <v>0</v>
      </c>
      <c r="L54" s="250" t="str">
        <f>VLOOKUP($D54,[4]회선정보!B:F,4,FALSE)</f>
        <v>F</v>
      </c>
      <c r="M54" s="250" t="str">
        <f>VLOOKUP($D54,[4]회선정보!B:F,5,FALSE)</f>
        <v>MP7-1</v>
      </c>
      <c r="N54" s="249"/>
      <c r="O54" s="249" t="s">
        <v>600</v>
      </c>
      <c r="P54" s="248" t="str">
        <f t="shared" si="3"/>
        <v>SGM7J-04A</v>
      </c>
      <c r="Q54" s="248" t="str">
        <f>IF(MID($N53,5,1)&lt;&gt;"W",VLOOKUP(N54,[4]정격용량!$B$3:$K$633,4,FALSE),"X")</f>
        <v>X</v>
      </c>
      <c r="R54" s="245" t="str">
        <f>IF(MID(N53,5,1)&lt;&gt;"W",VLOOKUP(N54,[4]정격용량!$B$3:$K$633,3,FALSE),"X")</f>
        <v>X</v>
      </c>
      <c r="S54" s="245" t="str">
        <f>IF(MID(N53,5,1)&lt;&gt;"W",VLOOKUP(N54,[4]정격용량!$B$3:$K$633,6,FALSE),"X")</f>
        <v>X</v>
      </c>
      <c r="T54" s="247" t="str">
        <f t="shared" si="10"/>
        <v>X</v>
      </c>
      <c r="U54" s="246" t="str">
        <f>IF(MID($N53,5,1)&lt;&gt;"W",VLOOKUP(N54,[4]정격용량!$B$3:$K$633,9,FALSE),"X")</f>
        <v>X</v>
      </c>
      <c r="V54" s="245" t="str">
        <f>IFERROR(IF(J54="Z",VLOOKUP(P54,'[4]SERVO CABLE'!G:AD,8,FALSE),VLOOKUP(P54,'[4]SERVO CABLE'!G:AD,8,FALSE)),"")</f>
        <v>JZSP-C7M24F-□-E</v>
      </c>
      <c r="W54" s="245" t="str">
        <f>IFERROR(VLOOKUP(P54,'[4]SERVO CABLE'!G:AD,17,FALSE),"")</f>
        <v>JZSP-C7PA2D-□-E</v>
      </c>
      <c r="X54" s="197"/>
      <c r="Y54" s="197">
        <v>3</v>
      </c>
      <c r="Z54" s="244" t="str">
        <f t="shared" si="5"/>
        <v/>
      </c>
      <c r="AA54" s="244" t="str">
        <f t="shared" si="6"/>
        <v/>
      </c>
      <c r="AB54" s="244">
        <f t="shared" si="7"/>
        <v>0.25</v>
      </c>
      <c r="AC54" s="243" t="str">
        <f t="shared" si="8"/>
        <v>X</v>
      </c>
      <c r="AD54" s="242" t="str">
        <f t="shared" si="9"/>
        <v>X</v>
      </c>
      <c r="AF54" s="189"/>
      <c r="AL54" s="189"/>
    </row>
    <row r="55" spans="1:38">
      <c r="R55" s="241">
        <f>SUM(R9:R54)</f>
        <v>7.6299999999999981</v>
      </c>
      <c r="S55" s="241">
        <f>SUM(S9:S54)</f>
        <v>165.10000000000002</v>
      </c>
      <c r="T55" s="241">
        <f>SUM(T9:T54)</f>
        <v>62.450869565217403</v>
      </c>
      <c r="Z55" s="241">
        <f>SUM(Z9:Z54)</f>
        <v>2.25</v>
      </c>
      <c r="AA55" s="241">
        <f>SUM(AA9:AA54)</f>
        <v>2.25</v>
      </c>
      <c r="AB55" s="241">
        <f>SUM(AB9:AB54)</f>
        <v>2.25</v>
      </c>
      <c r="AC55" s="240"/>
    </row>
    <row r="56" spans="1:38" ht="12" customHeight="1">
      <c r="B56" s="180"/>
      <c r="C56" s="180"/>
      <c r="D56" s="180"/>
      <c r="E56" s="180"/>
      <c r="F56" s="180"/>
      <c r="G56" s="180"/>
      <c r="H56" s="180"/>
      <c r="I56" s="180"/>
      <c r="X56" s="239"/>
      <c r="Y56" s="239"/>
      <c r="AF56" s="183"/>
    </row>
    <row r="57" spans="1:38" ht="12" customHeight="1">
      <c r="B57" s="180"/>
      <c r="C57" s="180"/>
      <c r="D57" s="180"/>
      <c r="E57" s="180"/>
      <c r="F57" s="180"/>
      <c r="G57" s="180"/>
      <c r="H57" s="180"/>
      <c r="I57" s="180"/>
      <c r="X57" s="239"/>
      <c r="Y57" s="239"/>
      <c r="AF57" s="183"/>
    </row>
    <row r="58" spans="1:38" ht="12" customHeight="1">
      <c r="B58" s="180"/>
      <c r="C58" s="180"/>
      <c r="D58" s="180"/>
      <c r="E58" s="180"/>
      <c r="F58" s="180"/>
      <c r="G58" s="180"/>
      <c r="H58" s="180"/>
      <c r="I58" s="180"/>
      <c r="X58" s="239"/>
      <c r="Y58" s="239"/>
      <c r="AF58" s="183"/>
    </row>
    <row r="59" spans="1:38" ht="12" customHeight="1">
      <c r="B59" s="180"/>
      <c r="C59" s="180"/>
      <c r="D59" s="180"/>
      <c r="E59" s="180"/>
      <c r="F59" s="180"/>
      <c r="G59" s="180"/>
      <c r="H59" s="180"/>
      <c r="I59" s="180"/>
      <c r="X59" s="239"/>
      <c r="Y59" s="239"/>
      <c r="AF59" s="183"/>
    </row>
    <row r="60" spans="1:38" ht="12" customHeight="1">
      <c r="B60" s="180"/>
      <c r="C60" s="180"/>
      <c r="D60" s="180"/>
      <c r="E60" s="180"/>
      <c r="F60" s="180"/>
      <c r="G60" s="180"/>
      <c r="H60" s="180"/>
      <c r="I60" s="180"/>
      <c r="X60" s="239"/>
      <c r="Y60" s="239"/>
      <c r="AF60" s="183"/>
    </row>
    <row r="61" spans="1:38" ht="12" hidden="1" customHeight="1">
      <c r="B61" s="180"/>
      <c r="C61" s="180"/>
      <c r="D61" s="180"/>
      <c r="E61" s="180"/>
      <c r="F61" s="180"/>
      <c r="G61" s="180"/>
      <c r="H61" s="180"/>
      <c r="I61" s="180"/>
      <c r="X61" s="239"/>
      <c r="Y61" s="239"/>
      <c r="AF61" s="183"/>
    </row>
    <row r="62" spans="1:38" ht="12" hidden="1" customHeight="1">
      <c r="B62" s="180"/>
      <c r="C62" s="180"/>
      <c r="D62" s="180"/>
      <c r="E62" s="180"/>
      <c r="F62" s="180"/>
      <c r="G62" s="180"/>
      <c r="H62" s="180"/>
      <c r="I62" s="180"/>
      <c r="X62" s="239"/>
      <c r="Y62" s="239"/>
      <c r="AF62" s="183"/>
    </row>
    <row r="63" spans="1:38" ht="12" hidden="1" customHeight="1">
      <c r="B63" s="180"/>
      <c r="C63" s="180"/>
      <c r="D63" s="180"/>
      <c r="E63" s="180"/>
      <c r="F63" s="180"/>
      <c r="G63" s="180"/>
      <c r="H63" s="180"/>
      <c r="I63" s="180"/>
      <c r="X63" s="239"/>
      <c r="Y63" s="239"/>
      <c r="AF63" s="183"/>
    </row>
    <row r="64" spans="1:38" ht="12" hidden="1" customHeight="1">
      <c r="B64" s="180"/>
      <c r="C64" s="180"/>
      <c r="D64" s="180"/>
      <c r="E64" s="180"/>
      <c r="F64" s="180"/>
      <c r="G64" s="180"/>
      <c r="H64" s="180"/>
      <c r="I64" s="180"/>
      <c r="X64" s="239"/>
      <c r="Y64" s="239"/>
      <c r="AF64" s="183"/>
    </row>
    <row r="65" spans="2:32" ht="12" hidden="1" customHeight="1">
      <c r="B65" s="180"/>
      <c r="C65" s="180"/>
      <c r="D65" s="180"/>
      <c r="E65" s="180"/>
      <c r="F65" s="180"/>
      <c r="G65" s="180"/>
      <c r="H65" s="180"/>
      <c r="I65" s="180"/>
      <c r="X65" s="239"/>
      <c r="Y65" s="239"/>
      <c r="AF65" s="183"/>
    </row>
    <row r="66" spans="2:32" ht="12" hidden="1" customHeight="1">
      <c r="B66" s="180"/>
      <c r="C66" s="180"/>
      <c r="D66" s="180"/>
      <c r="E66" s="180"/>
      <c r="F66" s="180"/>
      <c r="G66" s="180"/>
      <c r="H66" s="180"/>
      <c r="I66" s="180"/>
      <c r="X66" s="239"/>
      <c r="Y66" s="239"/>
      <c r="AF66" s="183"/>
    </row>
    <row r="67" spans="2:32" ht="12" hidden="1" customHeight="1">
      <c r="B67" s="180"/>
      <c r="C67" s="180"/>
      <c r="D67" s="180"/>
      <c r="E67" s="180"/>
      <c r="F67" s="180"/>
      <c r="G67" s="180"/>
      <c r="H67" s="180"/>
      <c r="I67" s="180"/>
      <c r="X67" s="239"/>
      <c r="Y67" s="239"/>
      <c r="AF67" s="183"/>
    </row>
    <row r="68" spans="2:32" ht="12" hidden="1" customHeight="1">
      <c r="B68" s="180"/>
      <c r="C68" s="180"/>
      <c r="D68" s="180"/>
      <c r="E68" s="180"/>
      <c r="F68" s="180"/>
      <c r="G68" s="180"/>
      <c r="H68" s="180"/>
      <c r="I68" s="180"/>
      <c r="X68" s="239"/>
      <c r="Y68" s="239"/>
      <c r="AF68" s="183"/>
    </row>
    <row r="69" spans="2:32" ht="12" hidden="1" customHeight="1">
      <c r="B69" s="180"/>
      <c r="C69" s="180"/>
      <c r="D69" s="180"/>
      <c r="E69" s="180"/>
      <c r="F69" s="180"/>
      <c r="G69" s="180"/>
      <c r="H69" s="180"/>
      <c r="I69" s="180"/>
      <c r="X69" s="239"/>
      <c r="Y69" s="239"/>
      <c r="AF69" s="183"/>
    </row>
    <row r="70" spans="2:32" ht="12" hidden="1" customHeight="1">
      <c r="B70" s="180"/>
      <c r="C70" s="180"/>
      <c r="D70" s="180"/>
      <c r="E70" s="180"/>
      <c r="F70" s="180"/>
      <c r="G70" s="180"/>
      <c r="H70" s="180"/>
      <c r="I70" s="180"/>
      <c r="X70" s="239"/>
      <c r="Y70" s="239"/>
      <c r="AF70" s="183"/>
    </row>
    <row r="71" spans="2:32" ht="12" hidden="1" customHeight="1">
      <c r="B71" s="180"/>
      <c r="C71" s="180"/>
      <c r="D71" s="180"/>
      <c r="E71" s="180"/>
      <c r="F71" s="180"/>
      <c r="G71" s="180"/>
      <c r="H71" s="180"/>
      <c r="I71" s="180"/>
      <c r="X71" s="239"/>
      <c r="Y71" s="239"/>
      <c r="AF71" s="183"/>
    </row>
    <row r="72" spans="2:32" ht="12" hidden="1" customHeight="1">
      <c r="B72" s="180"/>
      <c r="C72" s="180"/>
      <c r="D72" s="180"/>
      <c r="E72" s="180"/>
      <c r="F72" s="180"/>
      <c r="G72" s="180"/>
      <c r="H72" s="180"/>
      <c r="I72" s="180"/>
      <c r="X72" s="239"/>
      <c r="Y72" s="239"/>
      <c r="AF72" s="183"/>
    </row>
    <row r="73" spans="2:32" ht="11.1" hidden="1" customHeight="1">
      <c r="B73" s="180"/>
      <c r="C73" s="180"/>
      <c r="D73" s="180"/>
      <c r="E73" s="180"/>
      <c r="F73" s="180"/>
      <c r="G73" s="180"/>
      <c r="H73" s="180"/>
      <c r="I73" s="180"/>
      <c r="X73" s="239"/>
      <c r="Y73" s="239"/>
      <c r="AF73" s="183"/>
    </row>
    <row r="74" spans="2:32" hidden="1">
      <c r="B74" s="180"/>
      <c r="C74" s="180"/>
      <c r="D74" s="180"/>
      <c r="E74" s="180"/>
      <c r="F74" s="180"/>
      <c r="G74" s="180"/>
      <c r="H74" s="180"/>
      <c r="I74" s="180"/>
      <c r="X74" s="239"/>
      <c r="Y74" s="239"/>
      <c r="AF74" s="183"/>
    </row>
    <row r="75" spans="2:32" ht="12.9" hidden="1" thickBot="1">
      <c r="B75" s="180"/>
      <c r="C75" s="180"/>
      <c r="D75" s="180"/>
      <c r="E75" s="180"/>
      <c r="F75" s="180"/>
      <c r="G75" s="180"/>
      <c r="H75" s="180"/>
      <c r="I75" s="180"/>
      <c r="N75" s="229"/>
      <c r="AF75" s="183"/>
    </row>
    <row r="76" spans="2:32" ht="16.5" hidden="1" customHeight="1">
      <c r="B76" s="238" t="s">
        <v>573</v>
      </c>
      <c r="C76" s="237">
        <f>SUM(R9:R54)</f>
        <v>7.6299999999999981</v>
      </c>
      <c r="D76" s="236" t="s">
        <v>599</v>
      </c>
      <c r="E76" s="236"/>
      <c r="F76" s="236"/>
      <c r="G76" s="236"/>
      <c r="H76" s="235" t="s">
        <v>598</v>
      </c>
      <c r="I76" s="234">
        <f>SUM(T9:T54)</f>
        <v>62.450869565217403</v>
      </c>
      <c r="N76" s="233"/>
      <c r="O76" s="231"/>
      <c r="P76" s="232"/>
      <c r="Q76" s="232"/>
      <c r="R76" s="231"/>
      <c r="S76" s="231"/>
      <c r="T76" s="230"/>
      <c r="V76" s="185"/>
      <c r="W76" s="474"/>
      <c r="X76" s="475"/>
      <c r="Y76" s="475"/>
      <c r="Z76" s="475"/>
      <c r="AA76" s="475"/>
      <c r="AB76" s="476"/>
      <c r="AC76" s="208"/>
      <c r="AF76" s="229"/>
    </row>
    <row r="77" spans="2:32" hidden="1">
      <c r="B77" s="207" t="s">
        <v>597</v>
      </c>
      <c r="C77" s="224">
        <f>SUM(S9:S54)</f>
        <v>165.10000000000002</v>
      </c>
      <c r="D77" s="205"/>
      <c r="E77" s="205"/>
      <c r="F77" s="205"/>
      <c r="G77" s="205"/>
      <c r="H77" s="204" t="s">
        <v>596</v>
      </c>
      <c r="I77" s="203"/>
      <c r="N77" s="228" t="s">
        <v>595</v>
      </c>
      <c r="O77" s="209" t="s">
        <v>594</v>
      </c>
      <c r="T77" s="218"/>
      <c r="W77" s="227" t="s">
        <v>593</v>
      </c>
      <c r="X77" s="202" t="s">
        <v>592</v>
      </c>
      <c r="Y77" s="498" t="s">
        <v>591</v>
      </c>
      <c r="Z77" s="498"/>
      <c r="AA77" s="498"/>
      <c r="AB77" s="499"/>
      <c r="AC77" s="226"/>
      <c r="AF77" s="225"/>
    </row>
    <row r="78" spans="2:32" hidden="1">
      <c r="B78" s="221"/>
      <c r="C78" s="224"/>
      <c r="D78" s="205"/>
      <c r="E78" s="205"/>
      <c r="F78" s="205"/>
      <c r="G78" s="205"/>
      <c r="H78" s="204" t="s">
        <v>590</v>
      </c>
      <c r="I78" s="203"/>
      <c r="N78" s="223">
        <f>C85</f>
        <v>0.37826086956521737</v>
      </c>
      <c r="O78" s="209">
        <f>T55</f>
        <v>62.450869565217403</v>
      </c>
      <c r="T78" s="218"/>
      <c r="W78" s="211" t="s">
        <v>589</v>
      </c>
      <c r="X78" s="209">
        <f>R55</f>
        <v>7.6299999999999981</v>
      </c>
      <c r="Y78" s="468"/>
      <c r="Z78" s="468"/>
      <c r="AA78" s="468"/>
      <c r="AB78" s="469"/>
    </row>
    <row r="79" spans="2:32" hidden="1">
      <c r="B79" s="207" t="s">
        <v>588</v>
      </c>
      <c r="C79" s="209">
        <f>C80+C81+C82</f>
        <v>46</v>
      </c>
      <c r="D79" s="205"/>
      <c r="E79" s="205"/>
      <c r="F79" s="205"/>
      <c r="G79" s="205"/>
      <c r="H79" s="204" t="s">
        <v>587</v>
      </c>
      <c r="I79" s="222"/>
      <c r="N79" s="221" t="s">
        <v>586</v>
      </c>
      <c r="O79" s="209">
        <f>S55</f>
        <v>165.10000000000002</v>
      </c>
      <c r="T79" s="218"/>
      <c r="W79" s="211" t="s">
        <v>585</v>
      </c>
      <c r="X79" s="220">
        <f>'[4]1-2. UPS1 기타전원 용량'!H53</f>
        <v>36.188552307692305</v>
      </c>
      <c r="Y79" s="468"/>
      <c r="Z79" s="468"/>
      <c r="AA79" s="468"/>
      <c r="AB79" s="469"/>
    </row>
    <row r="80" spans="2:32" hidden="1">
      <c r="B80" s="207" t="s">
        <v>584</v>
      </c>
      <c r="C80" s="209">
        <f>COUNTIF(A:A,"SC")</f>
        <v>29</v>
      </c>
      <c r="D80" s="205"/>
      <c r="E80" s="205"/>
      <c r="F80" s="205"/>
      <c r="G80" s="205"/>
      <c r="H80" s="204" t="s">
        <v>583</v>
      </c>
      <c r="I80" s="203"/>
      <c r="N80" s="219"/>
      <c r="T80" s="218"/>
      <c r="W80" s="217">
        <f>C85</f>
        <v>0.37826086956521737</v>
      </c>
      <c r="X80" s="216">
        <f>O78</f>
        <v>62.450869565217403</v>
      </c>
      <c r="Y80" s="468"/>
      <c r="Z80" s="468"/>
      <c r="AA80" s="468"/>
      <c r="AB80" s="469"/>
    </row>
    <row r="81" spans="2:38" hidden="1">
      <c r="B81" s="207" t="s">
        <v>582</v>
      </c>
      <c r="C81" s="209">
        <f>COUNTIF(A:A,"TR")</f>
        <v>12</v>
      </c>
      <c r="D81" s="205"/>
      <c r="E81" s="205"/>
      <c r="F81" s="205"/>
      <c r="G81" s="205"/>
      <c r="H81" s="204" t="s">
        <v>581</v>
      </c>
      <c r="I81" s="203"/>
      <c r="N81" s="488" t="s">
        <v>580</v>
      </c>
      <c r="O81" s="489"/>
      <c r="P81" s="202"/>
      <c r="Q81" s="202"/>
      <c r="R81" s="209" t="s">
        <v>579</v>
      </c>
      <c r="S81" s="209" t="s">
        <v>578</v>
      </c>
      <c r="T81" s="212" t="s">
        <v>577</v>
      </c>
      <c r="W81" s="211" t="s">
        <v>576</v>
      </c>
      <c r="X81" s="216">
        <f>(X78+X79+X80)*1.25</f>
        <v>132.83677734113712</v>
      </c>
      <c r="Y81" s="468"/>
      <c r="Z81" s="468"/>
      <c r="AA81" s="468"/>
      <c r="AB81" s="469"/>
    </row>
    <row r="82" spans="2:38" hidden="1">
      <c r="B82" s="207" t="s">
        <v>575</v>
      </c>
      <c r="C82" s="209">
        <f>COUNTIF(A:A,"RE")</f>
        <v>5</v>
      </c>
      <c r="D82" s="205"/>
      <c r="E82" s="205"/>
      <c r="F82" s="205"/>
      <c r="G82" s="205"/>
      <c r="H82" s="204" t="s">
        <v>574</v>
      </c>
      <c r="I82" s="203"/>
      <c r="N82" s="488" t="s">
        <v>573</v>
      </c>
      <c r="O82" s="489"/>
      <c r="P82" s="202"/>
      <c r="Q82" s="202"/>
      <c r="R82" s="214">
        <f>Z55</f>
        <v>2.25</v>
      </c>
      <c r="S82" s="214">
        <f>AA55</f>
        <v>2.25</v>
      </c>
      <c r="T82" s="213">
        <f>AB55</f>
        <v>2.25</v>
      </c>
      <c r="W82" s="211" t="s">
        <v>572</v>
      </c>
      <c r="X82" s="198" t="s">
        <v>571</v>
      </c>
      <c r="Y82" s="519" t="s">
        <v>570</v>
      </c>
      <c r="Z82" s="519"/>
      <c r="AA82" s="519"/>
      <c r="AB82" s="520"/>
      <c r="AC82" s="208"/>
    </row>
    <row r="83" spans="2:38" hidden="1">
      <c r="B83" s="207" t="s">
        <v>569</v>
      </c>
      <c r="C83" s="206">
        <v>0.6</v>
      </c>
      <c r="D83" s="205"/>
      <c r="E83" s="205"/>
      <c r="F83" s="205"/>
      <c r="G83" s="205"/>
      <c r="H83" s="204" t="s">
        <v>568</v>
      </c>
      <c r="I83" s="203"/>
      <c r="N83" s="488" t="s">
        <v>567</v>
      </c>
      <c r="O83" s="489"/>
      <c r="P83" s="202"/>
      <c r="Q83" s="202"/>
      <c r="R83" s="209"/>
      <c r="S83" s="209"/>
      <c r="T83" s="212"/>
      <c r="W83" s="211" t="s">
        <v>566</v>
      </c>
      <c r="X83" s="210" t="s">
        <v>560</v>
      </c>
      <c r="Y83" s="519" t="s">
        <v>565</v>
      </c>
      <c r="Z83" s="519"/>
      <c r="AA83" s="519"/>
      <c r="AB83" s="520"/>
      <c r="AC83" s="208"/>
    </row>
    <row r="84" spans="2:38" ht="12.9" hidden="1" thickBot="1">
      <c r="B84" s="207" t="s">
        <v>564</v>
      </c>
      <c r="C84" s="206">
        <f>MAX(C80:C82)/C79</f>
        <v>0.63043478260869568</v>
      </c>
      <c r="D84" s="205"/>
      <c r="E84" s="205"/>
      <c r="F84" s="205"/>
      <c r="G84" s="205"/>
      <c r="H84" s="204" t="s">
        <v>563</v>
      </c>
      <c r="I84" s="203"/>
      <c r="N84" s="488" t="s">
        <v>562</v>
      </c>
      <c r="O84" s="489"/>
      <c r="P84" s="202"/>
      <c r="Q84" s="202"/>
      <c r="R84" s="201">
        <f>SUM(R82:R83)</f>
        <v>2.25</v>
      </c>
      <c r="S84" s="201">
        <f>SUM(S82:S83)</f>
        <v>2.25</v>
      </c>
      <c r="T84" s="200">
        <f>SUM(T82:T83)</f>
        <v>2.25</v>
      </c>
      <c r="W84" s="199" t="s">
        <v>561</v>
      </c>
      <c r="X84" s="198" t="s">
        <v>560</v>
      </c>
      <c r="Y84" s="521"/>
      <c r="Z84" s="521"/>
      <c r="AA84" s="521"/>
      <c r="AB84" s="522"/>
    </row>
    <row r="85" spans="2:38" ht="12.9" hidden="1" thickBot="1">
      <c r="B85" s="196" t="s">
        <v>559</v>
      </c>
      <c r="C85" s="195">
        <f>1*C84*C83</f>
        <v>0.37826086956521737</v>
      </c>
      <c r="D85" s="194"/>
      <c r="E85" s="194"/>
      <c r="F85" s="194"/>
      <c r="G85" s="194"/>
      <c r="H85" s="193" t="s">
        <v>558</v>
      </c>
      <c r="I85" s="192">
        <f>SUM(I76:I84)</f>
        <v>62.450869565217403</v>
      </c>
      <c r="N85" s="508" t="s">
        <v>557</v>
      </c>
      <c r="O85" s="509"/>
      <c r="P85" s="191"/>
      <c r="Q85" s="191"/>
      <c r="R85" s="510">
        <f>1-(MIN(R84:T84)/MAX(R84:S84))</f>
        <v>0</v>
      </c>
      <c r="S85" s="510"/>
      <c r="T85" s="511"/>
    </row>
    <row r="86" spans="2:38" hidden="1">
      <c r="B86" s="180"/>
      <c r="C86" s="180"/>
      <c r="D86" s="180"/>
      <c r="E86" s="180"/>
      <c r="F86" s="180"/>
      <c r="G86" s="180"/>
      <c r="H86" s="180"/>
      <c r="I86" s="180"/>
    </row>
    <row r="87" spans="2:38" hidden="1">
      <c r="B87" s="180"/>
      <c r="C87" s="180"/>
      <c r="D87" s="180"/>
      <c r="E87" s="180"/>
      <c r="F87" s="180"/>
      <c r="G87" s="180"/>
      <c r="H87" s="180"/>
      <c r="I87" s="180"/>
    </row>
    <row r="88" spans="2:38" ht="16.5" hidden="1">
      <c r="B88" s="180"/>
      <c r="C88" s="180"/>
      <c r="D88" s="180"/>
      <c r="E88" s="180"/>
      <c r="F88" s="180"/>
      <c r="G88" s="180"/>
      <c r="H88" s="180"/>
      <c r="I88" s="180"/>
      <c r="P88" s="188" t="str">
        <f>IFERROR(IF(#REF!="Rotary",LEFT($O88,9),$O88),"")</f>
        <v/>
      </c>
      <c r="Q88" s="187"/>
      <c r="AL88" s="189"/>
    </row>
    <row r="89" spans="2:38" ht="16.5">
      <c r="B89" s="180"/>
      <c r="C89" s="180"/>
      <c r="D89" s="180"/>
      <c r="E89" s="180"/>
      <c r="F89" s="180"/>
      <c r="G89" s="180"/>
      <c r="H89" s="180"/>
      <c r="I89" s="180"/>
      <c r="P89" s="188" t="str">
        <f>IFERROR(IF(#REF!="Rotary",LEFT($O89,9),$O89),"")</f>
        <v/>
      </c>
      <c r="Q89" s="187"/>
      <c r="R89" s="180"/>
      <c r="T89" s="183"/>
      <c r="AL89" s="189"/>
    </row>
    <row r="90" spans="2:38" ht="16.5">
      <c r="B90" s="180"/>
      <c r="C90" s="180"/>
      <c r="D90" s="180"/>
      <c r="E90" s="180"/>
      <c r="F90" s="180"/>
      <c r="G90" s="180"/>
      <c r="H90" s="180"/>
      <c r="I90" s="180"/>
      <c r="P90" s="188" t="str">
        <f>IFERROR(IF(#REF!="Rotary",LEFT($O90,9),$O90),"")</f>
        <v/>
      </c>
      <c r="Q90" s="187"/>
      <c r="AL90" s="189"/>
    </row>
    <row r="91" spans="2:38" ht="16.5">
      <c r="B91" s="180"/>
      <c r="C91" s="180"/>
      <c r="D91" s="180"/>
      <c r="E91" s="180"/>
      <c r="F91" s="180"/>
      <c r="G91" s="180"/>
      <c r="H91" s="180"/>
      <c r="I91" s="180"/>
      <c r="P91" s="188" t="str">
        <f>IFERROR(IF(#REF!="Rotary",LEFT($O91,9),$O91),"")</f>
        <v/>
      </c>
      <c r="Q91" s="187"/>
      <c r="AL91" s="189"/>
    </row>
    <row r="92" spans="2:38" ht="16.5">
      <c r="B92" s="180"/>
      <c r="C92" s="180"/>
      <c r="D92" s="180"/>
      <c r="E92" s="180"/>
      <c r="F92" s="180"/>
      <c r="G92" s="180"/>
      <c r="H92" s="180"/>
      <c r="I92" s="180"/>
      <c r="P92" s="188" t="str">
        <f>IFERROR(IF(#REF!="Rotary",LEFT($O92,9),$O92),"")</f>
        <v/>
      </c>
      <c r="Q92" s="187"/>
      <c r="AL92" s="189"/>
    </row>
    <row r="93" spans="2:38" ht="16.5">
      <c r="B93" s="180"/>
      <c r="C93" s="180"/>
      <c r="D93" s="180"/>
      <c r="E93" s="180"/>
      <c r="F93" s="180"/>
      <c r="G93" s="180"/>
      <c r="H93" s="180"/>
      <c r="I93" s="180"/>
      <c r="P93" s="188" t="str">
        <f>IFERROR(IF(#REF!="Rotary",LEFT($O93,9),$O93),"")</f>
        <v/>
      </c>
      <c r="Q93" s="187"/>
      <c r="AL93" s="189"/>
    </row>
    <row r="94" spans="2:38" ht="16.5">
      <c r="B94" s="180"/>
      <c r="C94" s="180"/>
      <c r="D94" s="180"/>
      <c r="E94" s="180"/>
      <c r="F94" s="180"/>
      <c r="G94" s="180"/>
      <c r="H94" s="180"/>
      <c r="I94" s="180"/>
      <c r="P94" s="188" t="str">
        <f>IFERROR(IF(#REF!="Rotary",LEFT($O94,9),$O94),"")</f>
        <v/>
      </c>
      <c r="Q94" s="187"/>
      <c r="AL94" s="189"/>
    </row>
    <row r="95" spans="2:38" ht="16.5">
      <c r="P95" s="188">
        <f t="shared" ref="P95:P158" si="11">IFERROR(IF($I95="Rotary",LEFT($O95,9),$O95),"")</f>
        <v>0</v>
      </c>
      <c r="Q95" s="187"/>
      <c r="AL95" s="189"/>
    </row>
    <row r="96" spans="2:38" ht="16.5">
      <c r="P96" s="188">
        <f t="shared" si="11"/>
        <v>0</v>
      </c>
      <c r="Q96" s="187"/>
      <c r="AL96" s="189"/>
    </row>
    <row r="97" spans="16:38" ht="16.5">
      <c r="P97" s="188">
        <f t="shared" si="11"/>
        <v>0</v>
      </c>
      <c r="Q97" s="187"/>
      <c r="AL97" s="189"/>
    </row>
    <row r="98" spans="16:38" ht="16.5">
      <c r="P98" s="188">
        <f t="shared" si="11"/>
        <v>0</v>
      </c>
      <c r="Q98" s="187"/>
      <c r="AL98" s="189"/>
    </row>
    <row r="99" spans="16:38" ht="16.5">
      <c r="P99" s="188">
        <f t="shared" si="11"/>
        <v>0</v>
      </c>
      <c r="Q99" s="187"/>
      <c r="AL99" s="189"/>
    </row>
    <row r="100" spans="16:38" ht="16.5">
      <c r="P100" s="188">
        <f t="shared" si="11"/>
        <v>0</v>
      </c>
      <c r="Q100" s="187"/>
      <c r="AL100" s="189"/>
    </row>
    <row r="101" spans="16:38" ht="16.5">
      <c r="P101" s="188">
        <f t="shared" si="11"/>
        <v>0</v>
      </c>
      <c r="Q101" s="187"/>
      <c r="AL101" s="189"/>
    </row>
    <row r="102" spans="16:38" ht="16.5">
      <c r="P102" s="188">
        <f t="shared" si="11"/>
        <v>0</v>
      </c>
      <c r="Q102" s="187"/>
      <c r="AL102" s="189"/>
    </row>
    <row r="103" spans="16:38" ht="16.5">
      <c r="P103" s="188">
        <f t="shared" si="11"/>
        <v>0</v>
      </c>
      <c r="Q103" s="187"/>
      <c r="AL103" s="189"/>
    </row>
    <row r="104" spans="16:38" ht="16.5">
      <c r="P104" s="188">
        <f t="shared" si="11"/>
        <v>0</v>
      </c>
      <c r="Q104" s="187"/>
      <c r="AL104" s="189"/>
    </row>
    <row r="105" spans="16:38" ht="16.5">
      <c r="P105" s="188">
        <f t="shared" si="11"/>
        <v>0</v>
      </c>
      <c r="Q105" s="187"/>
      <c r="AL105" s="189"/>
    </row>
    <row r="106" spans="16:38" ht="16.5">
      <c r="P106" s="188">
        <f t="shared" si="11"/>
        <v>0</v>
      </c>
      <c r="Q106" s="187"/>
      <c r="AL106" s="189"/>
    </row>
    <row r="107" spans="16:38" ht="16.5">
      <c r="P107" s="188">
        <f t="shared" si="11"/>
        <v>0</v>
      </c>
      <c r="Q107" s="187"/>
      <c r="AL107" s="189"/>
    </row>
    <row r="108" spans="16:38" ht="16.5">
      <c r="P108" s="188">
        <f t="shared" si="11"/>
        <v>0</v>
      </c>
      <c r="Q108" s="187"/>
      <c r="AL108" s="189"/>
    </row>
    <row r="109" spans="16:38" ht="16.5">
      <c r="P109" s="188">
        <f t="shared" si="11"/>
        <v>0</v>
      </c>
      <c r="Q109" s="187"/>
      <c r="AL109" s="189"/>
    </row>
    <row r="110" spans="16:38" ht="16.5">
      <c r="P110" s="188">
        <f t="shared" si="11"/>
        <v>0</v>
      </c>
      <c r="Q110" s="187"/>
      <c r="AL110" s="189"/>
    </row>
    <row r="111" spans="16:38" ht="16.5">
      <c r="P111" s="188">
        <f t="shared" si="11"/>
        <v>0</v>
      </c>
      <c r="Q111" s="187"/>
      <c r="AL111" s="189"/>
    </row>
    <row r="112" spans="16:38" ht="16.5">
      <c r="P112" s="188">
        <f t="shared" si="11"/>
        <v>0</v>
      </c>
      <c r="Q112" s="187"/>
      <c r="AL112" s="189"/>
    </row>
    <row r="113" spans="16:38" ht="16.5">
      <c r="P113" s="188">
        <f t="shared" si="11"/>
        <v>0</v>
      </c>
      <c r="Q113" s="187"/>
      <c r="AL113" s="189"/>
    </row>
    <row r="114" spans="16:38" ht="16.5">
      <c r="P114" s="188">
        <f t="shared" si="11"/>
        <v>0</v>
      </c>
      <c r="Q114" s="187"/>
      <c r="AL114" s="189"/>
    </row>
    <row r="115" spans="16:38" ht="16.5">
      <c r="P115" s="188">
        <f t="shared" si="11"/>
        <v>0</v>
      </c>
      <c r="Q115" s="187"/>
      <c r="AL115" s="189"/>
    </row>
    <row r="116" spans="16:38" ht="16.5">
      <c r="P116" s="188">
        <f t="shared" si="11"/>
        <v>0</v>
      </c>
      <c r="Q116" s="187"/>
      <c r="AL116" s="189"/>
    </row>
    <row r="117" spans="16:38" ht="16.5">
      <c r="P117" s="188">
        <f t="shared" si="11"/>
        <v>0</v>
      </c>
      <c r="Q117" s="187"/>
      <c r="AL117" s="189"/>
    </row>
    <row r="118" spans="16:38" ht="16.5">
      <c r="P118" s="188">
        <f t="shared" si="11"/>
        <v>0</v>
      </c>
      <c r="Q118" s="187"/>
      <c r="AL118" s="189"/>
    </row>
    <row r="119" spans="16:38" ht="16.5">
      <c r="P119" s="188">
        <f t="shared" si="11"/>
        <v>0</v>
      </c>
      <c r="Q119" s="187"/>
      <c r="AL119" s="189"/>
    </row>
    <row r="120" spans="16:38" ht="16.5">
      <c r="P120" s="188">
        <f t="shared" si="11"/>
        <v>0</v>
      </c>
      <c r="Q120" s="187"/>
      <c r="AL120" s="189"/>
    </row>
    <row r="121" spans="16:38" ht="16.5">
      <c r="P121" s="188">
        <f t="shared" si="11"/>
        <v>0</v>
      </c>
      <c r="Q121" s="187"/>
      <c r="AL121" s="189"/>
    </row>
    <row r="122" spans="16:38" ht="16.5">
      <c r="P122" s="188">
        <f t="shared" si="11"/>
        <v>0</v>
      </c>
      <c r="Q122" s="187"/>
      <c r="AL122" s="189"/>
    </row>
    <row r="123" spans="16:38" ht="16.5">
      <c r="P123" s="188">
        <f t="shared" si="11"/>
        <v>0</v>
      </c>
      <c r="Q123" s="187"/>
      <c r="AL123" s="189"/>
    </row>
    <row r="124" spans="16:38" ht="16.5">
      <c r="P124" s="188">
        <f t="shared" si="11"/>
        <v>0</v>
      </c>
      <c r="Q124" s="187"/>
      <c r="AL124" s="189"/>
    </row>
    <row r="125" spans="16:38" ht="16.5">
      <c r="P125" s="188">
        <f t="shared" si="11"/>
        <v>0</v>
      </c>
      <c r="Q125" s="187"/>
      <c r="AL125" s="189"/>
    </row>
    <row r="126" spans="16:38" ht="16.5">
      <c r="P126" s="188">
        <f t="shared" si="11"/>
        <v>0</v>
      </c>
      <c r="Q126" s="187"/>
      <c r="AL126" s="189"/>
    </row>
    <row r="127" spans="16:38" ht="16.5">
      <c r="P127" s="188">
        <f t="shared" si="11"/>
        <v>0</v>
      </c>
      <c r="Q127" s="187"/>
      <c r="AL127" s="189"/>
    </row>
    <row r="128" spans="16:38" ht="16.5">
      <c r="P128" s="188">
        <f t="shared" si="11"/>
        <v>0</v>
      </c>
      <c r="Q128" s="187"/>
      <c r="AL128" s="189"/>
    </row>
    <row r="129" spans="16:38" ht="16.5">
      <c r="P129" s="188">
        <f t="shared" si="11"/>
        <v>0</v>
      </c>
      <c r="Q129" s="187"/>
      <c r="AL129" s="189"/>
    </row>
    <row r="130" spans="16:38" ht="16.5">
      <c r="P130" s="188">
        <f t="shared" si="11"/>
        <v>0</v>
      </c>
      <c r="Q130" s="187"/>
      <c r="AL130" s="189"/>
    </row>
    <row r="131" spans="16:38" ht="16.5">
      <c r="P131" s="188">
        <f t="shared" si="11"/>
        <v>0</v>
      </c>
      <c r="Q131" s="187"/>
      <c r="AL131" s="189"/>
    </row>
    <row r="132" spans="16:38" ht="16.5">
      <c r="P132" s="188">
        <f t="shared" si="11"/>
        <v>0</v>
      </c>
      <c r="Q132" s="187"/>
      <c r="AL132" s="189"/>
    </row>
    <row r="133" spans="16:38" ht="16.5">
      <c r="P133" s="188">
        <f t="shared" si="11"/>
        <v>0</v>
      </c>
      <c r="Q133" s="187"/>
      <c r="AL133" s="189"/>
    </row>
    <row r="134" spans="16:38" ht="16.5">
      <c r="P134" s="188">
        <f t="shared" si="11"/>
        <v>0</v>
      </c>
      <c r="Q134" s="187"/>
      <c r="AL134" s="189"/>
    </row>
    <row r="135" spans="16:38" ht="16.5">
      <c r="P135" s="188">
        <f t="shared" si="11"/>
        <v>0</v>
      </c>
      <c r="Q135" s="187"/>
      <c r="AL135" s="189"/>
    </row>
    <row r="136" spans="16:38" ht="16.5">
      <c r="P136" s="188">
        <f t="shared" si="11"/>
        <v>0</v>
      </c>
      <c r="Q136" s="187"/>
      <c r="AL136" s="189"/>
    </row>
    <row r="137" spans="16:38" ht="16.5">
      <c r="P137" s="188">
        <f t="shared" si="11"/>
        <v>0</v>
      </c>
      <c r="Q137" s="187"/>
      <c r="AL137" s="189"/>
    </row>
    <row r="138" spans="16:38" ht="16.5">
      <c r="P138" s="188">
        <f t="shared" si="11"/>
        <v>0</v>
      </c>
      <c r="Q138" s="187"/>
      <c r="AL138" s="189"/>
    </row>
    <row r="139" spans="16:38" ht="16.5">
      <c r="P139" s="188">
        <f t="shared" si="11"/>
        <v>0</v>
      </c>
      <c r="Q139" s="187"/>
      <c r="AL139" s="189"/>
    </row>
    <row r="140" spans="16:38" ht="16.5">
      <c r="P140" s="188">
        <f t="shared" si="11"/>
        <v>0</v>
      </c>
      <c r="Q140" s="187"/>
      <c r="AL140" s="189"/>
    </row>
    <row r="141" spans="16:38" ht="16.5">
      <c r="P141" s="188">
        <f t="shared" si="11"/>
        <v>0</v>
      </c>
      <c r="Q141" s="187"/>
      <c r="AL141" s="189"/>
    </row>
    <row r="142" spans="16:38" ht="16.5">
      <c r="P142" s="188">
        <f t="shared" si="11"/>
        <v>0</v>
      </c>
      <c r="Q142" s="187"/>
      <c r="AL142" s="189"/>
    </row>
    <row r="143" spans="16:38" ht="16.5">
      <c r="P143" s="188">
        <f t="shared" si="11"/>
        <v>0</v>
      </c>
      <c r="Q143" s="187"/>
      <c r="AL143" s="189"/>
    </row>
    <row r="144" spans="16:38" ht="16.5">
      <c r="P144" s="188">
        <f t="shared" si="11"/>
        <v>0</v>
      </c>
      <c r="Q144" s="187"/>
      <c r="AL144" s="189"/>
    </row>
    <row r="145" spans="16:38" ht="16.5">
      <c r="P145" s="188">
        <f t="shared" si="11"/>
        <v>0</v>
      </c>
      <c r="Q145" s="187"/>
      <c r="AL145" s="189"/>
    </row>
    <row r="146" spans="16:38" ht="16.5">
      <c r="P146" s="188">
        <f t="shared" si="11"/>
        <v>0</v>
      </c>
      <c r="Q146" s="187"/>
      <c r="AL146" s="189"/>
    </row>
    <row r="147" spans="16:38" ht="16.5">
      <c r="P147" s="188">
        <f t="shared" si="11"/>
        <v>0</v>
      </c>
      <c r="Q147" s="187"/>
      <c r="AL147" s="189"/>
    </row>
    <row r="148" spans="16:38" ht="16.5">
      <c r="P148" s="188">
        <f t="shared" si="11"/>
        <v>0</v>
      </c>
      <c r="Q148" s="187"/>
      <c r="AL148" s="189"/>
    </row>
    <row r="149" spans="16:38" ht="16.5">
      <c r="P149" s="188">
        <f t="shared" si="11"/>
        <v>0</v>
      </c>
      <c r="Q149" s="187"/>
      <c r="AL149" s="189"/>
    </row>
    <row r="150" spans="16:38" ht="16.5">
      <c r="P150" s="188">
        <f t="shared" si="11"/>
        <v>0</v>
      </c>
      <c r="Q150" s="187"/>
      <c r="AL150" s="189"/>
    </row>
    <row r="151" spans="16:38" ht="16.5">
      <c r="P151" s="188">
        <f t="shared" si="11"/>
        <v>0</v>
      </c>
      <c r="Q151" s="187"/>
      <c r="AL151" s="189"/>
    </row>
    <row r="152" spans="16:38" ht="16.5">
      <c r="P152" s="188">
        <f t="shared" si="11"/>
        <v>0</v>
      </c>
      <c r="Q152" s="187"/>
      <c r="AL152" s="189"/>
    </row>
    <row r="153" spans="16:38" ht="16.5">
      <c r="P153" s="188">
        <f t="shared" si="11"/>
        <v>0</v>
      </c>
      <c r="Q153" s="187"/>
      <c r="AL153" s="189"/>
    </row>
    <row r="154" spans="16:38" ht="16.5">
      <c r="P154" s="188">
        <f t="shared" si="11"/>
        <v>0</v>
      </c>
      <c r="Q154" s="187"/>
      <c r="AL154" s="189"/>
    </row>
    <row r="155" spans="16:38" ht="16.5">
      <c r="P155" s="188">
        <f t="shared" si="11"/>
        <v>0</v>
      </c>
      <c r="Q155" s="187"/>
      <c r="AL155" s="189"/>
    </row>
    <row r="156" spans="16:38" ht="16.5">
      <c r="P156" s="188">
        <f t="shared" si="11"/>
        <v>0</v>
      </c>
      <c r="Q156" s="187"/>
      <c r="AL156" s="189"/>
    </row>
    <row r="157" spans="16:38" ht="16.5">
      <c r="P157" s="188">
        <f t="shared" si="11"/>
        <v>0</v>
      </c>
      <c r="Q157" s="187"/>
      <c r="AL157" s="189"/>
    </row>
    <row r="158" spans="16:38" ht="16.5">
      <c r="P158" s="188">
        <f t="shared" si="11"/>
        <v>0</v>
      </c>
      <c r="Q158" s="187"/>
      <c r="AL158" s="189"/>
    </row>
    <row r="159" spans="16:38" ht="16.5">
      <c r="P159" s="188">
        <f t="shared" ref="P159:P222" si="12">IFERROR(IF($I159="Rotary",LEFT($O159,9),$O159),"")</f>
        <v>0</v>
      </c>
      <c r="Q159" s="187"/>
      <c r="AL159" s="189"/>
    </row>
    <row r="160" spans="16:38" ht="16.5">
      <c r="P160" s="188">
        <f t="shared" si="12"/>
        <v>0</v>
      </c>
      <c r="Q160" s="187"/>
      <c r="AL160" s="189"/>
    </row>
    <row r="161" spans="16:38" ht="16.5">
      <c r="P161" s="188">
        <f t="shared" si="12"/>
        <v>0</v>
      </c>
      <c r="Q161" s="187"/>
      <c r="AL161" s="189"/>
    </row>
    <row r="162" spans="16:38" ht="16.5">
      <c r="P162" s="188">
        <f t="shared" si="12"/>
        <v>0</v>
      </c>
      <c r="Q162" s="187"/>
      <c r="AL162" s="189"/>
    </row>
    <row r="163" spans="16:38" ht="16.5">
      <c r="P163" s="188">
        <f t="shared" si="12"/>
        <v>0</v>
      </c>
      <c r="Q163" s="187"/>
      <c r="AL163" s="189"/>
    </row>
    <row r="164" spans="16:38" ht="16.5">
      <c r="P164" s="188">
        <f t="shared" si="12"/>
        <v>0</v>
      </c>
      <c r="Q164" s="187"/>
      <c r="AL164" s="189"/>
    </row>
    <row r="165" spans="16:38" ht="16.5">
      <c r="P165" s="188">
        <f t="shared" si="12"/>
        <v>0</v>
      </c>
      <c r="Q165" s="187"/>
      <c r="AL165" s="189"/>
    </row>
    <row r="166" spans="16:38" ht="16.5">
      <c r="P166" s="188">
        <f t="shared" si="12"/>
        <v>0</v>
      </c>
      <c r="Q166" s="187"/>
      <c r="AL166" s="189"/>
    </row>
    <row r="167" spans="16:38" ht="16.5">
      <c r="P167" s="188">
        <f t="shared" si="12"/>
        <v>0</v>
      </c>
      <c r="Q167" s="187"/>
      <c r="AL167" s="189"/>
    </row>
    <row r="168" spans="16:38" ht="16.5">
      <c r="P168" s="188">
        <f t="shared" si="12"/>
        <v>0</v>
      </c>
      <c r="Q168" s="187"/>
      <c r="AL168" s="189"/>
    </row>
    <row r="169" spans="16:38" ht="16.5">
      <c r="P169" s="188">
        <f t="shared" si="12"/>
        <v>0</v>
      </c>
      <c r="Q169" s="187"/>
      <c r="AL169" s="189"/>
    </row>
    <row r="170" spans="16:38" ht="16.5">
      <c r="P170" s="188">
        <f t="shared" si="12"/>
        <v>0</v>
      </c>
      <c r="Q170" s="187"/>
      <c r="AL170" s="189"/>
    </row>
    <row r="171" spans="16:38" ht="16.5">
      <c r="P171" s="188">
        <f t="shared" si="12"/>
        <v>0</v>
      </c>
      <c r="Q171" s="187"/>
      <c r="AL171" s="189"/>
    </row>
    <row r="172" spans="16:38" ht="16.5">
      <c r="P172" s="188">
        <f t="shared" si="12"/>
        <v>0</v>
      </c>
      <c r="Q172" s="187"/>
      <c r="AL172" s="189"/>
    </row>
    <row r="173" spans="16:38" ht="16.5">
      <c r="P173" s="188">
        <f t="shared" si="12"/>
        <v>0</v>
      </c>
      <c r="Q173" s="187"/>
      <c r="AL173" s="189"/>
    </row>
    <row r="174" spans="16:38" ht="16.5">
      <c r="P174" s="188">
        <f t="shared" si="12"/>
        <v>0</v>
      </c>
      <c r="Q174" s="187"/>
      <c r="AL174" s="189"/>
    </row>
    <row r="175" spans="16:38" ht="16.5">
      <c r="P175" s="188">
        <f t="shared" si="12"/>
        <v>0</v>
      </c>
      <c r="Q175" s="187"/>
      <c r="AL175" s="189"/>
    </row>
    <row r="176" spans="16:38" ht="16.5">
      <c r="P176" s="188">
        <f t="shared" si="12"/>
        <v>0</v>
      </c>
      <c r="Q176" s="187"/>
      <c r="AL176" s="189"/>
    </row>
    <row r="177" spans="16:38" ht="16.5">
      <c r="P177" s="188">
        <f t="shared" si="12"/>
        <v>0</v>
      </c>
      <c r="Q177" s="187"/>
      <c r="AL177" s="189"/>
    </row>
    <row r="178" spans="16:38" ht="16.5">
      <c r="P178" s="188">
        <f t="shared" si="12"/>
        <v>0</v>
      </c>
      <c r="Q178" s="187"/>
      <c r="AL178" s="189"/>
    </row>
    <row r="179" spans="16:38" ht="16.5">
      <c r="P179" s="188">
        <f t="shared" si="12"/>
        <v>0</v>
      </c>
      <c r="Q179" s="187"/>
      <c r="AL179" s="189"/>
    </row>
    <row r="180" spans="16:38" ht="16.5">
      <c r="P180" s="188">
        <f t="shared" si="12"/>
        <v>0</v>
      </c>
      <c r="Q180" s="187"/>
      <c r="AL180" s="189"/>
    </row>
    <row r="181" spans="16:38" ht="16.5">
      <c r="P181" s="188">
        <f t="shared" si="12"/>
        <v>0</v>
      </c>
      <c r="Q181" s="187"/>
      <c r="AL181" s="189"/>
    </row>
    <row r="182" spans="16:38" ht="16.5">
      <c r="P182" s="188">
        <f t="shared" si="12"/>
        <v>0</v>
      </c>
      <c r="Q182" s="187"/>
      <c r="AL182" s="189"/>
    </row>
    <row r="183" spans="16:38" ht="16.5">
      <c r="P183" s="188">
        <f t="shared" si="12"/>
        <v>0</v>
      </c>
      <c r="Q183" s="187"/>
      <c r="AL183" s="189"/>
    </row>
    <row r="184" spans="16:38" ht="16.5">
      <c r="P184" s="188">
        <f t="shared" si="12"/>
        <v>0</v>
      </c>
      <c r="Q184" s="187"/>
      <c r="AL184" s="189"/>
    </row>
    <row r="185" spans="16:38" ht="16.5">
      <c r="P185" s="188">
        <f t="shared" si="12"/>
        <v>0</v>
      </c>
      <c r="Q185" s="187"/>
      <c r="AL185" s="189"/>
    </row>
    <row r="186" spans="16:38" ht="16.5">
      <c r="P186" s="188">
        <f t="shared" si="12"/>
        <v>0</v>
      </c>
      <c r="Q186" s="187"/>
      <c r="AL186" s="189"/>
    </row>
    <row r="187" spans="16:38" ht="16.5">
      <c r="P187" s="188">
        <f t="shared" si="12"/>
        <v>0</v>
      </c>
      <c r="Q187" s="187"/>
      <c r="AL187" s="189"/>
    </row>
    <row r="188" spans="16:38" ht="16.5">
      <c r="P188" s="188">
        <f t="shared" si="12"/>
        <v>0</v>
      </c>
      <c r="Q188" s="187"/>
      <c r="AL188" s="189"/>
    </row>
    <row r="189" spans="16:38" ht="16.5">
      <c r="P189" s="188">
        <f t="shared" si="12"/>
        <v>0</v>
      </c>
      <c r="Q189" s="187"/>
      <c r="AL189" s="189"/>
    </row>
    <row r="190" spans="16:38" ht="16.5">
      <c r="P190" s="188">
        <f t="shared" si="12"/>
        <v>0</v>
      </c>
      <c r="Q190" s="187"/>
      <c r="AL190" s="189"/>
    </row>
    <row r="191" spans="16:38" ht="16.5">
      <c r="P191" s="188">
        <f t="shared" si="12"/>
        <v>0</v>
      </c>
      <c r="Q191" s="187"/>
      <c r="AL191" s="189"/>
    </row>
    <row r="192" spans="16:38" ht="16.5">
      <c r="P192" s="188">
        <f t="shared" si="12"/>
        <v>0</v>
      </c>
      <c r="Q192" s="187"/>
      <c r="AL192" s="189"/>
    </row>
    <row r="193" spans="16:38" ht="16.5">
      <c r="P193" s="188">
        <f t="shared" si="12"/>
        <v>0</v>
      </c>
      <c r="Q193" s="187"/>
      <c r="AL193" s="189"/>
    </row>
    <row r="194" spans="16:38" ht="16.5">
      <c r="P194" s="188">
        <f t="shared" si="12"/>
        <v>0</v>
      </c>
      <c r="Q194" s="187"/>
      <c r="AL194" s="189"/>
    </row>
    <row r="195" spans="16:38" ht="16.5">
      <c r="P195" s="188">
        <f t="shared" si="12"/>
        <v>0</v>
      </c>
      <c r="Q195" s="187"/>
      <c r="AL195" s="189"/>
    </row>
    <row r="196" spans="16:38" ht="16.5">
      <c r="P196" s="188">
        <f t="shared" si="12"/>
        <v>0</v>
      </c>
      <c r="Q196" s="187"/>
      <c r="AL196" s="189"/>
    </row>
    <row r="197" spans="16:38" ht="16.5">
      <c r="P197" s="188">
        <f t="shared" si="12"/>
        <v>0</v>
      </c>
      <c r="Q197" s="187"/>
      <c r="AL197" s="189"/>
    </row>
    <row r="198" spans="16:38" ht="16.5">
      <c r="P198" s="188">
        <f t="shared" si="12"/>
        <v>0</v>
      </c>
      <c r="Q198" s="187"/>
      <c r="AL198" s="189"/>
    </row>
    <row r="199" spans="16:38" ht="16.5">
      <c r="P199" s="188">
        <f t="shared" si="12"/>
        <v>0</v>
      </c>
      <c r="Q199" s="187"/>
      <c r="AL199" s="189"/>
    </row>
    <row r="200" spans="16:38" ht="16.5">
      <c r="P200" s="188">
        <f t="shared" si="12"/>
        <v>0</v>
      </c>
      <c r="Q200" s="187"/>
      <c r="AL200" s="189"/>
    </row>
    <row r="201" spans="16:38" ht="16.5">
      <c r="P201" s="188">
        <f t="shared" si="12"/>
        <v>0</v>
      </c>
      <c r="Q201" s="187"/>
      <c r="AL201" s="189"/>
    </row>
    <row r="202" spans="16:38" ht="16.5">
      <c r="P202" s="188">
        <f t="shared" si="12"/>
        <v>0</v>
      </c>
      <c r="Q202" s="187"/>
      <c r="AL202" s="189"/>
    </row>
    <row r="203" spans="16:38" ht="16.5">
      <c r="P203" s="188">
        <f t="shared" si="12"/>
        <v>0</v>
      </c>
      <c r="Q203" s="187"/>
      <c r="AL203" s="189"/>
    </row>
    <row r="204" spans="16:38" ht="16.5">
      <c r="P204" s="188">
        <f t="shared" si="12"/>
        <v>0</v>
      </c>
      <c r="Q204" s="187"/>
      <c r="AL204" s="189"/>
    </row>
    <row r="205" spans="16:38" ht="16.5">
      <c r="P205" s="188">
        <f t="shared" si="12"/>
        <v>0</v>
      </c>
      <c r="Q205" s="187"/>
      <c r="AL205" s="189"/>
    </row>
    <row r="206" spans="16:38" ht="16.5">
      <c r="P206" s="188">
        <f t="shared" si="12"/>
        <v>0</v>
      </c>
      <c r="Q206" s="187"/>
      <c r="AL206" s="189"/>
    </row>
    <row r="207" spans="16:38" ht="16.5">
      <c r="P207" s="188">
        <f t="shared" si="12"/>
        <v>0</v>
      </c>
      <c r="Q207" s="187"/>
      <c r="AL207" s="189"/>
    </row>
    <row r="208" spans="16:38" ht="16.5">
      <c r="P208" s="188">
        <f t="shared" si="12"/>
        <v>0</v>
      </c>
      <c r="Q208" s="187"/>
      <c r="AL208" s="189"/>
    </row>
    <row r="209" spans="16:38" ht="16.5">
      <c r="P209" s="188">
        <f t="shared" si="12"/>
        <v>0</v>
      </c>
      <c r="Q209" s="187"/>
      <c r="AL209" s="189"/>
    </row>
    <row r="210" spans="16:38" ht="16.5">
      <c r="P210" s="188">
        <f t="shared" si="12"/>
        <v>0</v>
      </c>
      <c r="Q210" s="187"/>
      <c r="AL210" s="189"/>
    </row>
    <row r="211" spans="16:38" ht="16.5">
      <c r="P211" s="188">
        <f t="shared" si="12"/>
        <v>0</v>
      </c>
      <c r="Q211" s="187"/>
      <c r="AL211" s="189"/>
    </row>
    <row r="212" spans="16:38" ht="16.5">
      <c r="P212" s="188">
        <f t="shared" si="12"/>
        <v>0</v>
      </c>
      <c r="Q212" s="187"/>
      <c r="AL212" s="189"/>
    </row>
    <row r="213" spans="16:38" ht="16.5">
      <c r="P213" s="188">
        <f t="shared" si="12"/>
        <v>0</v>
      </c>
      <c r="Q213" s="187"/>
      <c r="AL213" s="189"/>
    </row>
    <row r="214" spans="16:38" ht="16.5">
      <c r="P214" s="188">
        <f t="shared" si="12"/>
        <v>0</v>
      </c>
      <c r="Q214" s="187"/>
      <c r="AL214" s="189"/>
    </row>
    <row r="215" spans="16:38" ht="16.5">
      <c r="P215" s="188">
        <f t="shared" si="12"/>
        <v>0</v>
      </c>
      <c r="Q215" s="187"/>
      <c r="AL215" s="189"/>
    </row>
    <row r="216" spans="16:38" ht="16.5">
      <c r="P216" s="188">
        <f t="shared" si="12"/>
        <v>0</v>
      </c>
      <c r="Q216" s="187"/>
      <c r="AL216" s="189"/>
    </row>
    <row r="217" spans="16:38" ht="16.5">
      <c r="P217" s="188">
        <f t="shared" si="12"/>
        <v>0</v>
      </c>
      <c r="Q217" s="187"/>
      <c r="AL217" s="189"/>
    </row>
    <row r="218" spans="16:38" ht="16.5">
      <c r="P218" s="188">
        <f t="shared" si="12"/>
        <v>0</v>
      </c>
      <c r="Q218" s="187"/>
      <c r="AL218" s="189"/>
    </row>
    <row r="219" spans="16:38">
      <c r="P219" s="188">
        <f t="shared" si="12"/>
        <v>0</v>
      </c>
      <c r="Q219" s="187"/>
    </row>
    <row r="220" spans="16:38">
      <c r="P220" s="188">
        <f t="shared" si="12"/>
        <v>0</v>
      </c>
      <c r="Q220" s="187"/>
    </row>
    <row r="221" spans="16:38">
      <c r="P221" s="188">
        <f t="shared" si="12"/>
        <v>0</v>
      </c>
      <c r="Q221" s="187"/>
    </row>
    <row r="222" spans="16:38">
      <c r="P222" s="188">
        <f t="shared" si="12"/>
        <v>0</v>
      </c>
      <c r="Q222" s="187"/>
    </row>
    <row r="223" spans="16:38">
      <c r="P223" s="188">
        <f t="shared" ref="P223:P286" si="13">IFERROR(IF($I223="Rotary",LEFT($O223,9),$O223),"")</f>
        <v>0</v>
      </c>
      <c r="Q223" s="187"/>
    </row>
    <row r="224" spans="16:38">
      <c r="P224" s="188">
        <f t="shared" si="13"/>
        <v>0</v>
      </c>
      <c r="Q224" s="187"/>
    </row>
    <row r="225" spans="16:17">
      <c r="P225" s="188">
        <f t="shared" si="13"/>
        <v>0</v>
      </c>
      <c r="Q225" s="187"/>
    </row>
    <row r="226" spans="16:17">
      <c r="P226" s="188">
        <f t="shared" si="13"/>
        <v>0</v>
      </c>
      <c r="Q226" s="187"/>
    </row>
    <row r="227" spans="16:17">
      <c r="P227" s="188">
        <f t="shared" si="13"/>
        <v>0</v>
      </c>
      <c r="Q227" s="187"/>
    </row>
    <row r="228" spans="16:17">
      <c r="P228" s="188">
        <f t="shared" si="13"/>
        <v>0</v>
      </c>
      <c r="Q228" s="187"/>
    </row>
    <row r="229" spans="16:17">
      <c r="P229" s="188">
        <f t="shared" si="13"/>
        <v>0</v>
      </c>
      <c r="Q229" s="187"/>
    </row>
    <row r="230" spans="16:17">
      <c r="P230" s="188">
        <f t="shared" si="13"/>
        <v>0</v>
      </c>
      <c r="Q230" s="187"/>
    </row>
    <row r="231" spans="16:17">
      <c r="P231" s="188">
        <f t="shared" si="13"/>
        <v>0</v>
      </c>
      <c r="Q231" s="187"/>
    </row>
    <row r="232" spans="16:17">
      <c r="P232" s="188">
        <f t="shared" si="13"/>
        <v>0</v>
      </c>
      <c r="Q232" s="187"/>
    </row>
    <row r="233" spans="16:17">
      <c r="P233" s="188">
        <f t="shared" si="13"/>
        <v>0</v>
      </c>
      <c r="Q233" s="187"/>
    </row>
    <row r="234" spans="16:17">
      <c r="P234" s="188">
        <f t="shared" si="13"/>
        <v>0</v>
      </c>
      <c r="Q234" s="187"/>
    </row>
    <row r="235" spans="16:17">
      <c r="P235" s="188">
        <f t="shared" si="13"/>
        <v>0</v>
      </c>
      <c r="Q235" s="187"/>
    </row>
    <row r="236" spans="16:17">
      <c r="P236" s="188">
        <f t="shared" si="13"/>
        <v>0</v>
      </c>
      <c r="Q236" s="187"/>
    </row>
    <row r="237" spans="16:17">
      <c r="P237" s="188">
        <f t="shared" si="13"/>
        <v>0</v>
      </c>
      <c r="Q237" s="187"/>
    </row>
    <row r="238" spans="16:17">
      <c r="P238" s="188">
        <f t="shared" si="13"/>
        <v>0</v>
      </c>
      <c r="Q238" s="187"/>
    </row>
    <row r="239" spans="16:17">
      <c r="P239" s="188">
        <f t="shared" si="13"/>
        <v>0</v>
      </c>
      <c r="Q239" s="187"/>
    </row>
    <row r="240" spans="16:17">
      <c r="P240" s="188">
        <f t="shared" si="13"/>
        <v>0</v>
      </c>
      <c r="Q240" s="187"/>
    </row>
    <row r="241" spans="16:17">
      <c r="P241" s="188">
        <f t="shared" si="13"/>
        <v>0</v>
      </c>
      <c r="Q241" s="187"/>
    </row>
    <row r="242" spans="16:17">
      <c r="P242" s="188">
        <f t="shared" si="13"/>
        <v>0</v>
      </c>
      <c r="Q242" s="187"/>
    </row>
    <row r="243" spans="16:17">
      <c r="P243" s="188">
        <f t="shared" si="13"/>
        <v>0</v>
      </c>
      <c r="Q243" s="187"/>
    </row>
    <row r="244" spans="16:17">
      <c r="P244" s="188">
        <f t="shared" si="13"/>
        <v>0</v>
      </c>
      <c r="Q244" s="187"/>
    </row>
    <row r="245" spans="16:17">
      <c r="P245" s="188">
        <f t="shared" si="13"/>
        <v>0</v>
      </c>
      <c r="Q245" s="187"/>
    </row>
    <row r="246" spans="16:17">
      <c r="P246" s="188">
        <f t="shared" si="13"/>
        <v>0</v>
      </c>
      <c r="Q246" s="187"/>
    </row>
    <row r="247" spans="16:17">
      <c r="P247" s="188">
        <f t="shared" si="13"/>
        <v>0</v>
      </c>
      <c r="Q247" s="187"/>
    </row>
    <row r="248" spans="16:17">
      <c r="P248" s="188">
        <f t="shared" si="13"/>
        <v>0</v>
      </c>
      <c r="Q248" s="187"/>
    </row>
    <row r="249" spans="16:17">
      <c r="P249" s="188">
        <f t="shared" si="13"/>
        <v>0</v>
      </c>
      <c r="Q249" s="187"/>
    </row>
    <row r="250" spans="16:17">
      <c r="P250" s="188">
        <f t="shared" si="13"/>
        <v>0</v>
      </c>
      <c r="Q250" s="187"/>
    </row>
    <row r="251" spans="16:17">
      <c r="P251" s="188">
        <f t="shared" si="13"/>
        <v>0</v>
      </c>
      <c r="Q251" s="187"/>
    </row>
    <row r="252" spans="16:17">
      <c r="P252" s="188">
        <f t="shared" si="13"/>
        <v>0</v>
      </c>
      <c r="Q252" s="187"/>
    </row>
    <row r="253" spans="16:17">
      <c r="P253" s="188">
        <f t="shared" si="13"/>
        <v>0</v>
      </c>
      <c r="Q253" s="187"/>
    </row>
    <row r="254" spans="16:17">
      <c r="P254" s="188">
        <f t="shared" si="13"/>
        <v>0</v>
      </c>
      <c r="Q254" s="187"/>
    </row>
    <row r="255" spans="16:17">
      <c r="P255" s="188">
        <f t="shared" si="13"/>
        <v>0</v>
      </c>
      <c r="Q255" s="187"/>
    </row>
    <row r="256" spans="16:17">
      <c r="P256" s="188">
        <f t="shared" si="13"/>
        <v>0</v>
      </c>
      <c r="Q256" s="187"/>
    </row>
    <row r="257" spans="16:17">
      <c r="P257" s="188">
        <f t="shared" si="13"/>
        <v>0</v>
      </c>
      <c r="Q257" s="187"/>
    </row>
    <row r="258" spans="16:17">
      <c r="P258" s="188">
        <f t="shared" si="13"/>
        <v>0</v>
      </c>
      <c r="Q258" s="187"/>
    </row>
    <row r="259" spans="16:17">
      <c r="P259" s="188">
        <f t="shared" si="13"/>
        <v>0</v>
      </c>
      <c r="Q259" s="187"/>
    </row>
    <row r="260" spans="16:17">
      <c r="P260" s="188">
        <f t="shared" si="13"/>
        <v>0</v>
      </c>
      <c r="Q260" s="187"/>
    </row>
    <row r="261" spans="16:17">
      <c r="P261" s="188">
        <f t="shared" si="13"/>
        <v>0</v>
      </c>
      <c r="Q261" s="187"/>
    </row>
    <row r="262" spans="16:17">
      <c r="P262" s="188">
        <f t="shared" si="13"/>
        <v>0</v>
      </c>
      <c r="Q262" s="187"/>
    </row>
    <row r="263" spans="16:17">
      <c r="P263" s="188">
        <f t="shared" si="13"/>
        <v>0</v>
      </c>
      <c r="Q263" s="187"/>
    </row>
    <row r="264" spans="16:17">
      <c r="P264" s="188">
        <f t="shared" si="13"/>
        <v>0</v>
      </c>
      <c r="Q264" s="187"/>
    </row>
    <row r="265" spans="16:17">
      <c r="P265" s="188">
        <f t="shared" si="13"/>
        <v>0</v>
      </c>
      <c r="Q265" s="187"/>
    </row>
    <row r="266" spans="16:17">
      <c r="P266" s="188">
        <f t="shared" si="13"/>
        <v>0</v>
      </c>
      <c r="Q266" s="187"/>
    </row>
    <row r="267" spans="16:17">
      <c r="P267" s="188">
        <f t="shared" si="13"/>
        <v>0</v>
      </c>
      <c r="Q267" s="187"/>
    </row>
    <row r="268" spans="16:17">
      <c r="P268" s="188">
        <f t="shared" si="13"/>
        <v>0</v>
      </c>
      <c r="Q268" s="187"/>
    </row>
    <row r="269" spans="16:17">
      <c r="P269" s="188">
        <f t="shared" si="13"/>
        <v>0</v>
      </c>
      <c r="Q269" s="187"/>
    </row>
    <row r="270" spans="16:17">
      <c r="P270" s="188">
        <f t="shared" si="13"/>
        <v>0</v>
      </c>
      <c r="Q270" s="187"/>
    </row>
    <row r="271" spans="16:17">
      <c r="P271" s="188">
        <f t="shared" si="13"/>
        <v>0</v>
      </c>
      <c r="Q271" s="187"/>
    </row>
    <row r="272" spans="16:17">
      <c r="P272" s="188">
        <f t="shared" si="13"/>
        <v>0</v>
      </c>
      <c r="Q272" s="187"/>
    </row>
    <row r="273" spans="16:17">
      <c r="P273" s="188">
        <f t="shared" si="13"/>
        <v>0</v>
      </c>
      <c r="Q273" s="187"/>
    </row>
    <row r="274" spans="16:17">
      <c r="P274" s="188">
        <f t="shared" si="13"/>
        <v>0</v>
      </c>
      <c r="Q274" s="187"/>
    </row>
    <row r="275" spans="16:17">
      <c r="P275" s="188">
        <f t="shared" si="13"/>
        <v>0</v>
      </c>
      <c r="Q275" s="187"/>
    </row>
    <row r="276" spans="16:17">
      <c r="P276" s="188">
        <f t="shared" si="13"/>
        <v>0</v>
      </c>
      <c r="Q276" s="187"/>
    </row>
    <row r="277" spans="16:17">
      <c r="P277" s="188">
        <f t="shared" si="13"/>
        <v>0</v>
      </c>
      <c r="Q277" s="187"/>
    </row>
    <row r="278" spans="16:17">
      <c r="P278" s="188">
        <f t="shared" si="13"/>
        <v>0</v>
      </c>
      <c r="Q278" s="187"/>
    </row>
    <row r="279" spans="16:17">
      <c r="P279" s="188">
        <f t="shared" si="13"/>
        <v>0</v>
      </c>
      <c r="Q279" s="187"/>
    </row>
    <row r="280" spans="16:17">
      <c r="P280" s="188">
        <f t="shared" si="13"/>
        <v>0</v>
      </c>
      <c r="Q280" s="187"/>
    </row>
    <row r="281" spans="16:17">
      <c r="P281" s="188">
        <f t="shared" si="13"/>
        <v>0</v>
      </c>
      <c r="Q281" s="187"/>
    </row>
    <row r="282" spans="16:17">
      <c r="P282" s="188">
        <f t="shared" si="13"/>
        <v>0</v>
      </c>
      <c r="Q282" s="187"/>
    </row>
    <row r="283" spans="16:17">
      <c r="P283" s="188">
        <f t="shared" si="13"/>
        <v>0</v>
      </c>
      <c r="Q283" s="187"/>
    </row>
    <row r="284" spans="16:17">
      <c r="P284" s="188">
        <f t="shared" si="13"/>
        <v>0</v>
      </c>
      <c r="Q284" s="187"/>
    </row>
    <row r="285" spans="16:17">
      <c r="P285" s="188">
        <f t="shared" si="13"/>
        <v>0</v>
      </c>
      <c r="Q285" s="187"/>
    </row>
    <row r="286" spans="16:17">
      <c r="P286" s="188">
        <f t="shared" si="13"/>
        <v>0</v>
      </c>
      <c r="Q286" s="187"/>
    </row>
    <row r="287" spans="16:17">
      <c r="P287" s="188">
        <f t="shared" ref="P287:P350" si="14">IFERROR(IF($I287="Rotary",LEFT($O287,9),$O287),"")</f>
        <v>0</v>
      </c>
      <c r="Q287" s="187"/>
    </row>
    <row r="288" spans="16:17">
      <c r="P288" s="188">
        <f t="shared" si="14"/>
        <v>0</v>
      </c>
      <c r="Q288" s="187"/>
    </row>
    <row r="289" spans="16:17">
      <c r="P289" s="188">
        <f t="shared" si="14"/>
        <v>0</v>
      </c>
      <c r="Q289" s="187"/>
    </row>
    <row r="290" spans="16:17">
      <c r="P290" s="188">
        <f t="shared" si="14"/>
        <v>0</v>
      </c>
      <c r="Q290" s="187"/>
    </row>
    <row r="291" spans="16:17">
      <c r="P291" s="188">
        <f t="shared" si="14"/>
        <v>0</v>
      </c>
      <c r="Q291" s="187"/>
    </row>
    <row r="292" spans="16:17">
      <c r="P292" s="188">
        <f t="shared" si="14"/>
        <v>0</v>
      </c>
      <c r="Q292" s="187"/>
    </row>
    <row r="293" spans="16:17">
      <c r="P293" s="188">
        <f t="shared" si="14"/>
        <v>0</v>
      </c>
      <c r="Q293" s="187"/>
    </row>
    <row r="294" spans="16:17">
      <c r="P294" s="188">
        <f t="shared" si="14"/>
        <v>0</v>
      </c>
      <c r="Q294" s="187"/>
    </row>
    <row r="295" spans="16:17">
      <c r="P295" s="188">
        <f t="shared" si="14"/>
        <v>0</v>
      </c>
      <c r="Q295" s="187"/>
    </row>
    <row r="296" spans="16:17">
      <c r="P296" s="188">
        <f t="shared" si="14"/>
        <v>0</v>
      </c>
      <c r="Q296" s="187"/>
    </row>
    <row r="297" spans="16:17">
      <c r="P297" s="188">
        <f t="shared" si="14"/>
        <v>0</v>
      </c>
      <c r="Q297" s="187"/>
    </row>
    <row r="298" spans="16:17">
      <c r="P298" s="188">
        <f t="shared" si="14"/>
        <v>0</v>
      </c>
      <c r="Q298" s="187"/>
    </row>
    <row r="299" spans="16:17">
      <c r="P299" s="188">
        <f t="shared" si="14"/>
        <v>0</v>
      </c>
      <c r="Q299" s="187"/>
    </row>
    <row r="300" spans="16:17">
      <c r="P300" s="188">
        <f t="shared" si="14"/>
        <v>0</v>
      </c>
      <c r="Q300" s="187"/>
    </row>
    <row r="301" spans="16:17">
      <c r="P301" s="188">
        <f t="shared" si="14"/>
        <v>0</v>
      </c>
      <c r="Q301" s="187"/>
    </row>
    <row r="302" spans="16:17">
      <c r="P302" s="188">
        <f t="shared" si="14"/>
        <v>0</v>
      </c>
      <c r="Q302" s="187"/>
    </row>
    <row r="303" spans="16:17">
      <c r="P303" s="188">
        <f t="shared" si="14"/>
        <v>0</v>
      </c>
      <c r="Q303" s="187"/>
    </row>
    <row r="304" spans="16:17">
      <c r="P304" s="188">
        <f t="shared" si="14"/>
        <v>0</v>
      </c>
      <c r="Q304" s="187"/>
    </row>
    <row r="305" spans="16:17">
      <c r="P305" s="188">
        <f t="shared" si="14"/>
        <v>0</v>
      </c>
      <c r="Q305" s="187"/>
    </row>
    <row r="306" spans="16:17">
      <c r="P306" s="188">
        <f t="shared" si="14"/>
        <v>0</v>
      </c>
      <c r="Q306" s="187"/>
    </row>
    <row r="307" spans="16:17">
      <c r="P307" s="188">
        <f t="shared" si="14"/>
        <v>0</v>
      </c>
      <c r="Q307" s="187"/>
    </row>
    <row r="308" spans="16:17">
      <c r="P308" s="188">
        <f t="shared" si="14"/>
        <v>0</v>
      </c>
      <c r="Q308" s="187"/>
    </row>
    <row r="309" spans="16:17">
      <c r="P309" s="188">
        <f t="shared" si="14"/>
        <v>0</v>
      </c>
      <c r="Q309" s="187"/>
    </row>
    <row r="310" spans="16:17">
      <c r="P310" s="188">
        <f t="shared" si="14"/>
        <v>0</v>
      </c>
      <c r="Q310" s="187"/>
    </row>
    <row r="311" spans="16:17">
      <c r="P311" s="188">
        <f t="shared" si="14"/>
        <v>0</v>
      </c>
      <c r="Q311" s="187"/>
    </row>
    <row r="312" spans="16:17">
      <c r="P312" s="188">
        <f t="shared" si="14"/>
        <v>0</v>
      </c>
      <c r="Q312" s="187"/>
    </row>
    <row r="313" spans="16:17">
      <c r="P313" s="188">
        <f t="shared" si="14"/>
        <v>0</v>
      </c>
      <c r="Q313" s="187"/>
    </row>
    <row r="314" spans="16:17">
      <c r="P314" s="188">
        <f t="shared" si="14"/>
        <v>0</v>
      </c>
      <c r="Q314" s="187"/>
    </row>
    <row r="315" spans="16:17">
      <c r="P315" s="188">
        <f t="shared" si="14"/>
        <v>0</v>
      </c>
      <c r="Q315" s="187"/>
    </row>
    <row r="316" spans="16:17">
      <c r="P316" s="188">
        <f t="shared" si="14"/>
        <v>0</v>
      </c>
      <c r="Q316" s="187"/>
    </row>
    <row r="317" spans="16:17">
      <c r="P317" s="188">
        <f t="shared" si="14"/>
        <v>0</v>
      </c>
      <c r="Q317" s="187"/>
    </row>
    <row r="318" spans="16:17">
      <c r="P318" s="188">
        <f t="shared" si="14"/>
        <v>0</v>
      </c>
      <c r="Q318" s="187"/>
    </row>
    <row r="319" spans="16:17">
      <c r="P319" s="188">
        <f t="shared" si="14"/>
        <v>0</v>
      </c>
      <c r="Q319" s="187"/>
    </row>
    <row r="320" spans="16:17">
      <c r="P320" s="188">
        <f t="shared" si="14"/>
        <v>0</v>
      </c>
      <c r="Q320" s="187"/>
    </row>
    <row r="321" spans="16:17">
      <c r="P321" s="188">
        <f t="shared" si="14"/>
        <v>0</v>
      </c>
      <c r="Q321" s="187"/>
    </row>
    <row r="322" spans="16:17">
      <c r="P322" s="188">
        <f t="shared" si="14"/>
        <v>0</v>
      </c>
      <c r="Q322" s="187"/>
    </row>
    <row r="323" spans="16:17">
      <c r="P323" s="188">
        <f t="shared" si="14"/>
        <v>0</v>
      </c>
      <c r="Q323" s="187"/>
    </row>
    <row r="324" spans="16:17">
      <c r="P324" s="188">
        <f t="shared" si="14"/>
        <v>0</v>
      </c>
      <c r="Q324" s="187"/>
    </row>
    <row r="325" spans="16:17">
      <c r="P325" s="188">
        <f t="shared" si="14"/>
        <v>0</v>
      </c>
      <c r="Q325" s="187"/>
    </row>
    <row r="326" spans="16:17">
      <c r="P326" s="188">
        <f t="shared" si="14"/>
        <v>0</v>
      </c>
      <c r="Q326" s="187"/>
    </row>
    <row r="327" spans="16:17">
      <c r="P327" s="188">
        <f t="shared" si="14"/>
        <v>0</v>
      </c>
      <c r="Q327" s="187"/>
    </row>
    <row r="328" spans="16:17">
      <c r="P328" s="188">
        <f t="shared" si="14"/>
        <v>0</v>
      </c>
      <c r="Q328" s="187"/>
    </row>
    <row r="329" spans="16:17">
      <c r="P329" s="188">
        <f t="shared" si="14"/>
        <v>0</v>
      </c>
      <c r="Q329" s="187"/>
    </row>
    <row r="330" spans="16:17">
      <c r="P330" s="188">
        <f t="shared" si="14"/>
        <v>0</v>
      </c>
      <c r="Q330" s="187"/>
    </row>
    <row r="331" spans="16:17">
      <c r="P331" s="188">
        <f t="shared" si="14"/>
        <v>0</v>
      </c>
      <c r="Q331" s="187"/>
    </row>
    <row r="332" spans="16:17">
      <c r="P332" s="188">
        <f t="shared" si="14"/>
        <v>0</v>
      </c>
      <c r="Q332" s="187"/>
    </row>
    <row r="333" spans="16:17">
      <c r="P333" s="188">
        <f t="shared" si="14"/>
        <v>0</v>
      </c>
      <c r="Q333" s="187"/>
    </row>
    <row r="334" spans="16:17">
      <c r="P334" s="188">
        <f t="shared" si="14"/>
        <v>0</v>
      </c>
      <c r="Q334" s="187"/>
    </row>
    <row r="335" spans="16:17">
      <c r="P335" s="188">
        <f t="shared" si="14"/>
        <v>0</v>
      </c>
      <c r="Q335" s="187"/>
    </row>
    <row r="336" spans="16:17">
      <c r="P336" s="188">
        <f t="shared" si="14"/>
        <v>0</v>
      </c>
      <c r="Q336" s="187"/>
    </row>
    <row r="337" spans="16:17">
      <c r="P337" s="188">
        <f t="shared" si="14"/>
        <v>0</v>
      </c>
      <c r="Q337" s="187"/>
    </row>
    <row r="338" spans="16:17">
      <c r="P338" s="188">
        <f t="shared" si="14"/>
        <v>0</v>
      </c>
      <c r="Q338" s="187"/>
    </row>
    <row r="339" spans="16:17">
      <c r="P339" s="188">
        <f t="shared" si="14"/>
        <v>0</v>
      </c>
      <c r="Q339" s="187"/>
    </row>
    <row r="340" spans="16:17">
      <c r="P340" s="188">
        <f t="shared" si="14"/>
        <v>0</v>
      </c>
      <c r="Q340" s="187"/>
    </row>
    <row r="341" spans="16:17">
      <c r="P341" s="188">
        <f t="shared" si="14"/>
        <v>0</v>
      </c>
      <c r="Q341" s="187"/>
    </row>
    <row r="342" spans="16:17">
      <c r="P342" s="188">
        <f t="shared" si="14"/>
        <v>0</v>
      </c>
      <c r="Q342" s="187"/>
    </row>
    <row r="343" spans="16:17">
      <c r="P343" s="188">
        <f t="shared" si="14"/>
        <v>0</v>
      </c>
      <c r="Q343" s="187"/>
    </row>
    <row r="344" spans="16:17">
      <c r="P344" s="188">
        <f t="shared" si="14"/>
        <v>0</v>
      </c>
      <c r="Q344" s="187"/>
    </row>
    <row r="345" spans="16:17">
      <c r="P345" s="188">
        <f t="shared" si="14"/>
        <v>0</v>
      </c>
      <c r="Q345" s="187"/>
    </row>
    <row r="346" spans="16:17">
      <c r="P346" s="188">
        <f t="shared" si="14"/>
        <v>0</v>
      </c>
      <c r="Q346" s="187"/>
    </row>
    <row r="347" spans="16:17">
      <c r="P347" s="188">
        <f t="shared" si="14"/>
        <v>0</v>
      </c>
      <c r="Q347" s="187"/>
    </row>
    <row r="348" spans="16:17">
      <c r="P348" s="188">
        <f t="shared" si="14"/>
        <v>0</v>
      </c>
      <c r="Q348" s="187"/>
    </row>
    <row r="349" spans="16:17">
      <c r="P349" s="188">
        <f t="shared" si="14"/>
        <v>0</v>
      </c>
      <c r="Q349" s="187"/>
    </row>
    <row r="350" spans="16:17">
      <c r="P350" s="188">
        <f t="shared" si="14"/>
        <v>0</v>
      </c>
      <c r="Q350" s="187"/>
    </row>
    <row r="351" spans="16:17">
      <c r="P351" s="188">
        <f t="shared" ref="P351:P414" si="15">IFERROR(IF($I351="Rotary",LEFT($O351,9),$O351),"")</f>
        <v>0</v>
      </c>
      <c r="Q351" s="187"/>
    </row>
    <row r="352" spans="16:17">
      <c r="P352" s="188">
        <f t="shared" si="15"/>
        <v>0</v>
      </c>
      <c r="Q352" s="187"/>
    </row>
    <row r="353" spans="16:17">
      <c r="P353" s="188">
        <f t="shared" si="15"/>
        <v>0</v>
      </c>
      <c r="Q353" s="187"/>
    </row>
    <row r="354" spans="16:17">
      <c r="P354" s="188">
        <f t="shared" si="15"/>
        <v>0</v>
      </c>
      <c r="Q354" s="187"/>
    </row>
    <row r="355" spans="16:17">
      <c r="P355" s="188">
        <f t="shared" si="15"/>
        <v>0</v>
      </c>
      <c r="Q355" s="187"/>
    </row>
    <row r="356" spans="16:17">
      <c r="P356" s="188">
        <f t="shared" si="15"/>
        <v>0</v>
      </c>
      <c r="Q356" s="187"/>
    </row>
    <row r="357" spans="16:17">
      <c r="P357" s="188">
        <f t="shared" si="15"/>
        <v>0</v>
      </c>
      <c r="Q357" s="187"/>
    </row>
    <row r="358" spans="16:17">
      <c r="P358" s="188">
        <f t="shared" si="15"/>
        <v>0</v>
      </c>
      <c r="Q358" s="187"/>
    </row>
    <row r="359" spans="16:17">
      <c r="P359" s="188">
        <f t="shared" si="15"/>
        <v>0</v>
      </c>
      <c r="Q359" s="187"/>
    </row>
    <row r="360" spans="16:17">
      <c r="P360" s="188">
        <f t="shared" si="15"/>
        <v>0</v>
      </c>
      <c r="Q360" s="187"/>
    </row>
    <row r="361" spans="16:17">
      <c r="P361" s="188">
        <f t="shared" si="15"/>
        <v>0</v>
      </c>
      <c r="Q361" s="187"/>
    </row>
    <row r="362" spans="16:17">
      <c r="P362" s="188">
        <f t="shared" si="15"/>
        <v>0</v>
      </c>
      <c r="Q362" s="187"/>
    </row>
    <row r="363" spans="16:17">
      <c r="P363" s="188">
        <f t="shared" si="15"/>
        <v>0</v>
      </c>
      <c r="Q363" s="187"/>
    </row>
    <row r="364" spans="16:17">
      <c r="P364" s="188">
        <f t="shared" si="15"/>
        <v>0</v>
      </c>
      <c r="Q364" s="187"/>
    </row>
    <row r="365" spans="16:17">
      <c r="P365" s="188">
        <f t="shared" si="15"/>
        <v>0</v>
      </c>
      <c r="Q365" s="187"/>
    </row>
    <row r="366" spans="16:17">
      <c r="P366" s="188">
        <f t="shared" si="15"/>
        <v>0</v>
      </c>
      <c r="Q366" s="187"/>
    </row>
    <row r="367" spans="16:17">
      <c r="P367" s="188">
        <f t="shared" si="15"/>
        <v>0</v>
      </c>
      <c r="Q367" s="187"/>
    </row>
    <row r="368" spans="16:17">
      <c r="P368" s="188">
        <f t="shared" si="15"/>
        <v>0</v>
      </c>
      <c r="Q368" s="187"/>
    </row>
    <row r="369" spans="16:17">
      <c r="P369" s="188">
        <f t="shared" si="15"/>
        <v>0</v>
      </c>
      <c r="Q369" s="187"/>
    </row>
    <row r="370" spans="16:17">
      <c r="P370" s="188">
        <f t="shared" si="15"/>
        <v>0</v>
      </c>
      <c r="Q370" s="187"/>
    </row>
    <row r="371" spans="16:17">
      <c r="P371" s="188">
        <f t="shared" si="15"/>
        <v>0</v>
      </c>
      <c r="Q371" s="187"/>
    </row>
    <row r="372" spans="16:17">
      <c r="P372" s="188">
        <f t="shared" si="15"/>
        <v>0</v>
      </c>
      <c r="Q372" s="187"/>
    </row>
    <row r="373" spans="16:17">
      <c r="P373" s="188">
        <f t="shared" si="15"/>
        <v>0</v>
      </c>
      <c r="Q373" s="187"/>
    </row>
    <row r="374" spans="16:17">
      <c r="P374" s="188">
        <f t="shared" si="15"/>
        <v>0</v>
      </c>
      <c r="Q374" s="187"/>
    </row>
    <row r="375" spans="16:17">
      <c r="P375" s="188">
        <f t="shared" si="15"/>
        <v>0</v>
      </c>
      <c r="Q375" s="187"/>
    </row>
    <row r="376" spans="16:17">
      <c r="P376" s="188">
        <f t="shared" si="15"/>
        <v>0</v>
      </c>
      <c r="Q376" s="187"/>
    </row>
    <row r="377" spans="16:17">
      <c r="P377" s="188">
        <f t="shared" si="15"/>
        <v>0</v>
      </c>
      <c r="Q377" s="187"/>
    </row>
    <row r="378" spans="16:17">
      <c r="P378" s="188">
        <f t="shared" si="15"/>
        <v>0</v>
      </c>
      <c r="Q378" s="187"/>
    </row>
    <row r="379" spans="16:17">
      <c r="P379" s="188">
        <f t="shared" si="15"/>
        <v>0</v>
      </c>
      <c r="Q379" s="187"/>
    </row>
    <row r="380" spans="16:17">
      <c r="P380" s="188">
        <f t="shared" si="15"/>
        <v>0</v>
      </c>
      <c r="Q380" s="187"/>
    </row>
    <row r="381" spans="16:17">
      <c r="P381" s="188">
        <f t="shared" si="15"/>
        <v>0</v>
      </c>
      <c r="Q381" s="187"/>
    </row>
    <row r="382" spans="16:17">
      <c r="P382" s="188">
        <f t="shared" si="15"/>
        <v>0</v>
      </c>
      <c r="Q382" s="187"/>
    </row>
    <row r="383" spans="16:17">
      <c r="P383" s="188">
        <f t="shared" si="15"/>
        <v>0</v>
      </c>
      <c r="Q383" s="187"/>
    </row>
    <row r="384" spans="16:17">
      <c r="P384" s="188">
        <f t="shared" si="15"/>
        <v>0</v>
      </c>
      <c r="Q384" s="187"/>
    </row>
    <row r="385" spans="16:17">
      <c r="P385" s="188">
        <f t="shared" si="15"/>
        <v>0</v>
      </c>
      <c r="Q385" s="187"/>
    </row>
    <row r="386" spans="16:17">
      <c r="P386" s="188">
        <f t="shared" si="15"/>
        <v>0</v>
      </c>
      <c r="Q386" s="187"/>
    </row>
    <row r="387" spans="16:17">
      <c r="P387" s="188">
        <f t="shared" si="15"/>
        <v>0</v>
      </c>
      <c r="Q387" s="187"/>
    </row>
    <row r="388" spans="16:17">
      <c r="P388" s="188">
        <f t="shared" si="15"/>
        <v>0</v>
      </c>
      <c r="Q388" s="187"/>
    </row>
    <row r="389" spans="16:17">
      <c r="P389" s="188">
        <f t="shared" si="15"/>
        <v>0</v>
      </c>
      <c r="Q389" s="187"/>
    </row>
    <row r="390" spans="16:17">
      <c r="P390" s="188">
        <f t="shared" si="15"/>
        <v>0</v>
      </c>
      <c r="Q390" s="187"/>
    </row>
    <row r="391" spans="16:17">
      <c r="P391" s="188">
        <f t="shared" si="15"/>
        <v>0</v>
      </c>
      <c r="Q391" s="187"/>
    </row>
    <row r="392" spans="16:17">
      <c r="P392" s="188">
        <f t="shared" si="15"/>
        <v>0</v>
      </c>
      <c r="Q392" s="187"/>
    </row>
    <row r="393" spans="16:17">
      <c r="P393" s="188">
        <f t="shared" si="15"/>
        <v>0</v>
      </c>
      <c r="Q393" s="187"/>
    </row>
    <row r="394" spans="16:17">
      <c r="P394" s="188">
        <f t="shared" si="15"/>
        <v>0</v>
      </c>
      <c r="Q394" s="187"/>
    </row>
    <row r="395" spans="16:17">
      <c r="P395" s="188">
        <f t="shared" si="15"/>
        <v>0</v>
      </c>
      <c r="Q395" s="187"/>
    </row>
    <row r="396" spans="16:17">
      <c r="P396" s="188">
        <f t="shared" si="15"/>
        <v>0</v>
      </c>
      <c r="Q396" s="187"/>
    </row>
    <row r="397" spans="16:17">
      <c r="P397" s="188">
        <f t="shared" si="15"/>
        <v>0</v>
      </c>
      <c r="Q397" s="187"/>
    </row>
    <row r="398" spans="16:17">
      <c r="P398" s="188">
        <f t="shared" si="15"/>
        <v>0</v>
      </c>
      <c r="Q398" s="187"/>
    </row>
    <row r="399" spans="16:17">
      <c r="P399" s="188">
        <f t="shared" si="15"/>
        <v>0</v>
      </c>
      <c r="Q399" s="187"/>
    </row>
    <row r="400" spans="16:17">
      <c r="P400" s="188">
        <f t="shared" si="15"/>
        <v>0</v>
      </c>
      <c r="Q400" s="187"/>
    </row>
    <row r="401" spans="16:17">
      <c r="P401" s="188">
        <f t="shared" si="15"/>
        <v>0</v>
      </c>
      <c r="Q401" s="187"/>
    </row>
    <row r="402" spans="16:17">
      <c r="P402" s="188">
        <f t="shared" si="15"/>
        <v>0</v>
      </c>
      <c r="Q402" s="187"/>
    </row>
    <row r="403" spans="16:17">
      <c r="P403" s="188">
        <f t="shared" si="15"/>
        <v>0</v>
      </c>
      <c r="Q403" s="187"/>
    </row>
    <row r="404" spans="16:17">
      <c r="P404" s="188">
        <f t="shared" si="15"/>
        <v>0</v>
      </c>
      <c r="Q404" s="187"/>
    </row>
    <row r="405" spans="16:17">
      <c r="P405" s="188">
        <f t="shared" si="15"/>
        <v>0</v>
      </c>
      <c r="Q405" s="187"/>
    </row>
    <row r="406" spans="16:17">
      <c r="P406" s="188">
        <f t="shared" si="15"/>
        <v>0</v>
      </c>
      <c r="Q406" s="187"/>
    </row>
    <row r="407" spans="16:17">
      <c r="P407" s="188">
        <f t="shared" si="15"/>
        <v>0</v>
      </c>
      <c r="Q407" s="187"/>
    </row>
    <row r="408" spans="16:17">
      <c r="P408" s="188">
        <f t="shared" si="15"/>
        <v>0</v>
      </c>
      <c r="Q408" s="187"/>
    </row>
    <row r="409" spans="16:17">
      <c r="P409" s="188">
        <f t="shared" si="15"/>
        <v>0</v>
      </c>
      <c r="Q409" s="187"/>
    </row>
    <row r="410" spans="16:17">
      <c r="P410" s="188">
        <f t="shared" si="15"/>
        <v>0</v>
      </c>
      <c r="Q410" s="187"/>
    </row>
    <row r="411" spans="16:17">
      <c r="P411" s="188">
        <f t="shared" si="15"/>
        <v>0</v>
      </c>
      <c r="Q411" s="187"/>
    </row>
    <row r="412" spans="16:17">
      <c r="P412" s="188">
        <f t="shared" si="15"/>
        <v>0</v>
      </c>
      <c r="Q412" s="187"/>
    </row>
    <row r="413" spans="16:17">
      <c r="P413" s="188">
        <f t="shared" si="15"/>
        <v>0</v>
      </c>
      <c r="Q413" s="187"/>
    </row>
    <row r="414" spans="16:17">
      <c r="P414" s="188">
        <f t="shared" si="15"/>
        <v>0</v>
      </c>
      <c r="Q414" s="187"/>
    </row>
    <row r="415" spans="16:17">
      <c r="P415" s="188">
        <f t="shared" ref="P415:P478" si="16">IFERROR(IF($I415="Rotary",LEFT($O415,9),$O415),"")</f>
        <v>0</v>
      </c>
      <c r="Q415" s="187"/>
    </row>
    <row r="416" spans="16:17">
      <c r="P416" s="188">
        <f t="shared" si="16"/>
        <v>0</v>
      </c>
      <c r="Q416" s="187"/>
    </row>
    <row r="417" spans="16:17">
      <c r="P417" s="188">
        <f t="shared" si="16"/>
        <v>0</v>
      </c>
      <c r="Q417" s="187"/>
    </row>
    <row r="418" spans="16:17">
      <c r="P418" s="188">
        <f t="shared" si="16"/>
        <v>0</v>
      </c>
      <c r="Q418" s="187"/>
    </row>
    <row r="419" spans="16:17">
      <c r="P419" s="188">
        <f t="shared" si="16"/>
        <v>0</v>
      </c>
      <c r="Q419" s="187"/>
    </row>
    <row r="420" spans="16:17">
      <c r="P420" s="188">
        <f t="shared" si="16"/>
        <v>0</v>
      </c>
      <c r="Q420" s="187"/>
    </row>
    <row r="421" spans="16:17">
      <c r="P421" s="188">
        <f t="shared" si="16"/>
        <v>0</v>
      </c>
      <c r="Q421" s="187"/>
    </row>
    <row r="422" spans="16:17">
      <c r="P422" s="188">
        <f t="shared" si="16"/>
        <v>0</v>
      </c>
      <c r="Q422" s="187"/>
    </row>
    <row r="423" spans="16:17">
      <c r="P423" s="188">
        <f t="shared" si="16"/>
        <v>0</v>
      </c>
      <c r="Q423" s="187"/>
    </row>
    <row r="424" spans="16:17">
      <c r="P424" s="188">
        <f t="shared" si="16"/>
        <v>0</v>
      </c>
      <c r="Q424" s="187"/>
    </row>
    <row r="425" spans="16:17">
      <c r="P425" s="188">
        <f t="shared" si="16"/>
        <v>0</v>
      </c>
      <c r="Q425" s="187"/>
    </row>
    <row r="426" spans="16:17">
      <c r="P426" s="188">
        <f t="shared" si="16"/>
        <v>0</v>
      </c>
      <c r="Q426" s="187"/>
    </row>
    <row r="427" spans="16:17">
      <c r="P427" s="188">
        <f t="shared" si="16"/>
        <v>0</v>
      </c>
      <c r="Q427" s="187"/>
    </row>
    <row r="428" spans="16:17">
      <c r="P428" s="188">
        <f t="shared" si="16"/>
        <v>0</v>
      </c>
      <c r="Q428" s="187"/>
    </row>
    <row r="429" spans="16:17">
      <c r="P429" s="188">
        <f t="shared" si="16"/>
        <v>0</v>
      </c>
      <c r="Q429" s="187"/>
    </row>
    <row r="430" spans="16:17">
      <c r="P430" s="188">
        <f t="shared" si="16"/>
        <v>0</v>
      </c>
      <c r="Q430" s="187"/>
    </row>
    <row r="431" spans="16:17">
      <c r="P431" s="188">
        <f t="shared" si="16"/>
        <v>0</v>
      </c>
      <c r="Q431" s="187"/>
    </row>
    <row r="432" spans="16:17">
      <c r="P432" s="188">
        <f t="shared" si="16"/>
        <v>0</v>
      </c>
      <c r="Q432" s="187"/>
    </row>
    <row r="433" spans="16:17">
      <c r="P433" s="188">
        <f t="shared" si="16"/>
        <v>0</v>
      </c>
      <c r="Q433" s="187"/>
    </row>
    <row r="434" spans="16:17">
      <c r="P434" s="188">
        <f t="shared" si="16"/>
        <v>0</v>
      </c>
      <c r="Q434" s="187"/>
    </row>
    <row r="435" spans="16:17">
      <c r="P435" s="188">
        <f t="shared" si="16"/>
        <v>0</v>
      </c>
      <c r="Q435" s="187"/>
    </row>
    <row r="436" spans="16:17">
      <c r="P436" s="188">
        <f t="shared" si="16"/>
        <v>0</v>
      </c>
      <c r="Q436" s="187"/>
    </row>
    <row r="437" spans="16:17">
      <c r="P437" s="188">
        <f t="shared" si="16"/>
        <v>0</v>
      </c>
      <c r="Q437" s="187"/>
    </row>
    <row r="438" spans="16:17">
      <c r="P438" s="188">
        <f t="shared" si="16"/>
        <v>0</v>
      </c>
      <c r="Q438" s="187"/>
    </row>
    <row r="439" spans="16:17">
      <c r="P439" s="188">
        <f t="shared" si="16"/>
        <v>0</v>
      </c>
      <c r="Q439" s="187"/>
    </row>
    <row r="440" spans="16:17">
      <c r="P440" s="188">
        <f t="shared" si="16"/>
        <v>0</v>
      </c>
      <c r="Q440" s="187"/>
    </row>
    <row r="441" spans="16:17">
      <c r="P441" s="188">
        <f t="shared" si="16"/>
        <v>0</v>
      </c>
      <c r="Q441" s="187"/>
    </row>
    <row r="442" spans="16:17">
      <c r="P442" s="188">
        <f t="shared" si="16"/>
        <v>0</v>
      </c>
      <c r="Q442" s="187"/>
    </row>
    <row r="443" spans="16:17">
      <c r="P443" s="188">
        <f t="shared" si="16"/>
        <v>0</v>
      </c>
      <c r="Q443" s="187"/>
    </row>
    <row r="444" spans="16:17">
      <c r="P444" s="188">
        <f t="shared" si="16"/>
        <v>0</v>
      </c>
      <c r="Q444" s="187"/>
    </row>
    <row r="445" spans="16:17">
      <c r="P445" s="188">
        <f t="shared" si="16"/>
        <v>0</v>
      </c>
      <c r="Q445" s="187"/>
    </row>
    <row r="446" spans="16:17">
      <c r="P446" s="188">
        <f t="shared" si="16"/>
        <v>0</v>
      </c>
      <c r="Q446" s="187"/>
    </row>
    <row r="447" spans="16:17">
      <c r="P447" s="188">
        <f t="shared" si="16"/>
        <v>0</v>
      </c>
      <c r="Q447" s="187"/>
    </row>
    <row r="448" spans="16:17">
      <c r="P448" s="188">
        <f t="shared" si="16"/>
        <v>0</v>
      </c>
      <c r="Q448" s="187"/>
    </row>
    <row r="449" spans="16:17">
      <c r="P449" s="188">
        <f t="shared" si="16"/>
        <v>0</v>
      </c>
      <c r="Q449" s="187"/>
    </row>
    <row r="450" spans="16:17">
      <c r="P450" s="188">
        <f t="shared" si="16"/>
        <v>0</v>
      </c>
      <c r="Q450" s="187"/>
    </row>
    <row r="451" spans="16:17">
      <c r="P451" s="188">
        <f t="shared" si="16"/>
        <v>0</v>
      </c>
      <c r="Q451" s="187"/>
    </row>
    <row r="452" spans="16:17">
      <c r="P452" s="188">
        <f t="shared" si="16"/>
        <v>0</v>
      </c>
      <c r="Q452" s="187"/>
    </row>
    <row r="453" spans="16:17">
      <c r="P453" s="188">
        <f t="shared" si="16"/>
        <v>0</v>
      </c>
      <c r="Q453" s="187"/>
    </row>
    <row r="454" spans="16:17">
      <c r="P454" s="188">
        <f t="shared" si="16"/>
        <v>0</v>
      </c>
      <c r="Q454" s="187"/>
    </row>
    <row r="455" spans="16:17">
      <c r="P455" s="188">
        <f t="shared" si="16"/>
        <v>0</v>
      </c>
      <c r="Q455" s="187"/>
    </row>
    <row r="456" spans="16:17">
      <c r="P456" s="188">
        <f t="shared" si="16"/>
        <v>0</v>
      </c>
      <c r="Q456" s="187"/>
    </row>
    <row r="457" spans="16:17">
      <c r="P457" s="188">
        <f t="shared" si="16"/>
        <v>0</v>
      </c>
      <c r="Q457" s="187"/>
    </row>
    <row r="458" spans="16:17">
      <c r="P458" s="188">
        <f t="shared" si="16"/>
        <v>0</v>
      </c>
      <c r="Q458" s="187"/>
    </row>
    <row r="459" spans="16:17">
      <c r="P459" s="188">
        <f t="shared" si="16"/>
        <v>0</v>
      </c>
      <c r="Q459" s="187"/>
    </row>
    <row r="460" spans="16:17">
      <c r="P460" s="188">
        <f t="shared" si="16"/>
        <v>0</v>
      </c>
      <c r="Q460" s="187"/>
    </row>
    <row r="461" spans="16:17">
      <c r="P461" s="188">
        <f t="shared" si="16"/>
        <v>0</v>
      </c>
      <c r="Q461" s="187"/>
    </row>
    <row r="462" spans="16:17">
      <c r="P462" s="188">
        <f t="shared" si="16"/>
        <v>0</v>
      </c>
      <c r="Q462" s="187"/>
    </row>
    <row r="463" spans="16:17">
      <c r="P463" s="188">
        <f t="shared" si="16"/>
        <v>0</v>
      </c>
      <c r="Q463" s="187"/>
    </row>
    <row r="464" spans="16:17">
      <c r="P464" s="188">
        <f t="shared" si="16"/>
        <v>0</v>
      </c>
      <c r="Q464" s="187"/>
    </row>
    <row r="465" spans="16:17">
      <c r="P465" s="188">
        <f t="shared" si="16"/>
        <v>0</v>
      </c>
      <c r="Q465" s="187"/>
    </row>
    <row r="466" spans="16:17">
      <c r="P466" s="188">
        <f t="shared" si="16"/>
        <v>0</v>
      </c>
      <c r="Q466" s="187"/>
    </row>
    <row r="467" spans="16:17">
      <c r="P467" s="188">
        <f t="shared" si="16"/>
        <v>0</v>
      </c>
      <c r="Q467" s="187"/>
    </row>
    <row r="468" spans="16:17">
      <c r="P468" s="188">
        <f t="shared" si="16"/>
        <v>0</v>
      </c>
      <c r="Q468" s="187"/>
    </row>
    <row r="469" spans="16:17">
      <c r="P469" s="188">
        <f t="shared" si="16"/>
        <v>0</v>
      </c>
      <c r="Q469" s="187"/>
    </row>
    <row r="470" spans="16:17">
      <c r="P470" s="188">
        <f t="shared" si="16"/>
        <v>0</v>
      </c>
      <c r="Q470" s="187"/>
    </row>
    <row r="471" spans="16:17">
      <c r="P471" s="188">
        <f t="shared" si="16"/>
        <v>0</v>
      </c>
      <c r="Q471" s="187"/>
    </row>
    <row r="472" spans="16:17">
      <c r="P472" s="188">
        <f t="shared" si="16"/>
        <v>0</v>
      </c>
      <c r="Q472" s="187"/>
    </row>
    <row r="473" spans="16:17">
      <c r="P473" s="188">
        <f t="shared" si="16"/>
        <v>0</v>
      </c>
      <c r="Q473" s="187"/>
    </row>
    <row r="474" spans="16:17">
      <c r="P474" s="188">
        <f t="shared" si="16"/>
        <v>0</v>
      </c>
      <c r="Q474" s="187"/>
    </row>
    <row r="475" spans="16:17">
      <c r="P475" s="188">
        <f t="shared" si="16"/>
        <v>0</v>
      </c>
      <c r="Q475" s="187"/>
    </row>
    <row r="476" spans="16:17">
      <c r="P476" s="188">
        <f t="shared" si="16"/>
        <v>0</v>
      </c>
      <c r="Q476" s="187"/>
    </row>
    <row r="477" spans="16:17">
      <c r="P477" s="188">
        <f t="shared" si="16"/>
        <v>0</v>
      </c>
      <c r="Q477" s="187"/>
    </row>
    <row r="478" spans="16:17">
      <c r="P478" s="188">
        <f t="shared" si="16"/>
        <v>0</v>
      </c>
      <c r="Q478" s="187"/>
    </row>
    <row r="479" spans="16:17">
      <c r="P479" s="188">
        <f t="shared" ref="P479:P542" si="17">IFERROR(IF($I479="Rotary",LEFT($O479,9),$O479),"")</f>
        <v>0</v>
      </c>
      <c r="Q479" s="187"/>
    </row>
    <row r="480" spans="16:17">
      <c r="P480" s="188">
        <f t="shared" si="17"/>
        <v>0</v>
      </c>
      <c r="Q480" s="187"/>
    </row>
    <row r="481" spans="16:17">
      <c r="P481" s="188">
        <f t="shared" si="17"/>
        <v>0</v>
      </c>
      <c r="Q481" s="187"/>
    </row>
    <row r="482" spans="16:17">
      <c r="P482" s="188">
        <f t="shared" si="17"/>
        <v>0</v>
      </c>
      <c r="Q482" s="187"/>
    </row>
    <row r="483" spans="16:17">
      <c r="P483" s="188">
        <f t="shared" si="17"/>
        <v>0</v>
      </c>
      <c r="Q483" s="187"/>
    </row>
    <row r="484" spans="16:17">
      <c r="P484" s="188">
        <f t="shared" si="17"/>
        <v>0</v>
      </c>
      <c r="Q484" s="187"/>
    </row>
    <row r="485" spans="16:17">
      <c r="P485" s="188">
        <f t="shared" si="17"/>
        <v>0</v>
      </c>
      <c r="Q485" s="187"/>
    </row>
    <row r="486" spans="16:17">
      <c r="P486" s="188">
        <f t="shared" si="17"/>
        <v>0</v>
      </c>
      <c r="Q486" s="187"/>
    </row>
    <row r="487" spans="16:17">
      <c r="P487" s="188">
        <f t="shared" si="17"/>
        <v>0</v>
      </c>
      <c r="Q487" s="187"/>
    </row>
    <row r="488" spans="16:17">
      <c r="P488" s="188">
        <f t="shared" si="17"/>
        <v>0</v>
      </c>
      <c r="Q488" s="187"/>
    </row>
    <row r="489" spans="16:17">
      <c r="P489" s="188">
        <f t="shared" si="17"/>
        <v>0</v>
      </c>
      <c r="Q489" s="187"/>
    </row>
    <row r="490" spans="16:17">
      <c r="P490" s="188">
        <f t="shared" si="17"/>
        <v>0</v>
      </c>
      <c r="Q490" s="187"/>
    </row>
    <row r="491" spans="16:17">
      <c r="P491" s="188">
        <f t="shared" si="17"/>
        <v>0</v>
      </c>
      <c r="Q491" s="187"/>
    </row>
    <row r="492" spans="16:17">
      <c r="P492" s="188">
        <f t="shared" si="17"/>
        <v>0</v>
      </c>
      <c r="Q492" s="187"/>
    </row>
    <row r="493" spans="16:17">
      <c r="P493" s="188">
        <f t="shared" si="17"/>
        <v>0</v>
      </c>
      <c r="Q493" s="187"/>
    </row>
    <row r="494" spans="16:17">
      <c r="P494" s="188">
        <f t="shared" si="17"/>
        <v>0</v>
      </c>
      <c r="Q494" s="187"/>
    </row>
    <row r="495" spans="16:17">
      <c r="P495" s="188">
        <f t="shared" si="17"/>
        <v>0</v>
      </c>
      <c r="Q495" s="187"/>
    </row>
    <row r="496" spans="16:17">
      <c r="P496" s="188">
        <f t="shared" si="17"/>
        <v>0</v>
      </c>
      <c r="Q496" s="187"/>
    </row>
    <row r="497" spans="16:17">
      <c r="P497" s="188">
        <f t="shared" si="17"/>
        <v>0</v>
      </c>
      <c r="Q497" s="187"/>
    </row>
    <row r="498" spans="16:17">
      <c r="P498" s="188">
        <f t="shared" si="17"/>
        <v>0</v>
      </c>
      <c r="Q498" s="187"/>
    </row>
    <row r="499" spans="16:17">
      <c r="P499" s="188">
        <f t="shared" si="17"/>
        <v>0</v>
      </c>
      <c r="Q499" s="187"/>
    </row>
    <row r="500" spans="16:17">
      <c r="P500" s="188">
        <f t="shared" si="17"/>
        <v>0</v>
      </c>
      <c r="Q500" s="187"/>
    </row>
    <row r="501" spans="16:17">
      <c r="P501" s="188">
        <f t="shared" si="17"/>
        <v>0</v>
      </c>
      <c r="Q501" s="187"/>
    </row>
    <row r="502" spans="16:17">
      <c r="P502" s="188">
        <f t="shared" si="17"/>
        <v>0</v>
      </c>
      <c r="Q502" s="187"/>
    </row>
    <row r="503" spans="16:17">
      <c r="P503" s="188">
        <f t="shared" si="17"/>
        <v>0</v>
      </c>
      <c r="Q503" s="187"/>
    </row>
    <row r="504" spans="16:17">
      <c r="P504" s="188">
        <f t="shared" si="17"/>
        <v>0</v>
      </c>
      <c r="Q504" s="187"/>
    </row>
    <row r="505" spans="16:17">
      <c r="P505" s="188">
        <f t="shared" si="17"/>
        <v>0</v>
      </c>
      <c r="Q505" s="187"/>
    </row>
    <row r="506" spans="16:17">
      <c r="P506" s="188">
        <f t="shared" si="17"/>
        <v>0</v>
      </c>
      <c r="Q506" s="187"/>
    </row>
    <row r="507" spans="16:17">
      <c r="P507" s="188">
        <f t="shared" si="17"/>
        <v>0</v>
      </c>
      <c r="Q507" s="187"/>
    </row>
    <row r="508" spans="16:17">
      <c r="P508" s="188">
        <f t="shared" si="17"/>
        <v>0</v>
      </c>
      <c r="Q508" s="187"/>
    </row>
    <row r="509" spans="16:17">
      <c r="P509" s="188">
        <f t="shared" si="17"/>
        <v>0</v>
      </c>
      <c r="Q509" s="187"/>
    </row>
    <row r="510" spans="16:17">
      <c r="P510" s="188">
        <f t="shared" si="17"/>
        <v>0</v>
      </c>
      <c r="Q510" s="187"/>
    </row>
    <row r="511" spans="16:17">
      <c r="P511" s="188">
        <f t="shared" si="17"/>
        <v>0</v>
      </c>
      <c r="Q511" s="187"/>
    </row>
    <row r="512" spans="16:17">
      <c r="P512" s="188">
        <f t="shared" si="17"/>
        <v>0</v>
      </c>
      <c r="Q512" s="187"/>
    </row>
    <row r="513" spans="16:17">
      <c r="P513" s="188">
        <f t="shared" si="17"/>
        <v>0</v>
      </c>
      <c r="Q513" s="187"/>
    </row>
    <row r="514" spans="16:17">
      <c r="P514" s="188">
        <f t="shared" si="17"/>
        <v>0</v>
      </c>
      <c r="Q514" s="187"/>
    </row>
    <row r="515" spans="16:17">
      <c r="P515" s="188">
        <f t="shared" si="17"/>
        <v>0</v>
      </c>
      <c r="Q515" s="187"/>
    </row>
    <row r="516" spans="16:17">
      <c r="P516" s="188">
        <f t="shared" si="17"/>
        <v>0</v>
      </c>
      <c r="Q516" s="187"/>
    </row>
    <row r="517" spans="16:17">
      <c r="P517" s="188">
        <f t="shared" si="17"/>
        <v>0</v>
      </c>
      <c r="Q517" s="187"/>
    </row>
    <row r="518" spans="16:17">
      <c r="P518" s="188">
        <f t="shared" si="17"/>
        <v>0</v>
      </c>
      <c r="Q518" s="187"/>
    </row>
    <row r="519" spans="16:17">
      <c r="P519" s="188">
        <f t="shared" si="17"/>
        <v>0</v>
      </c>
      <c r="Q519" s="187"/>
    </row>
    <row r="520" spans="16:17">
      <c r="P520" s="188">
        <f t="shared" si="17"/>
        <v>0</v>
      </c>
      <c r="Q520" s="187"/>
    </row>
    <row r="521" spans="16:17">
      <c r="P521" s="188">
        <f t="shared" si="17"/>
        <v>0</v>
      </c>
      <c r="Q521" s="187"/>
    </row>
    <row r="522" spans="16:17">
      <c r="P522" s="188">
        <f t="shared" si="17"/>
        <v>0</v>
      </c>
      <c r="Q522" s="187"/>
    </row>
    <row r="523" spans="16:17">
      <c r="P523" s="188">
        <f t="shared" si="17"/>
        <v>0</v>
      </c>
      <c r="Q523" s="187"/>
    </row>
    <row r="524" spans="16:17">
      <c r="P524" s="188">
        <f t="shared" si="17"/>
        <v>0</v>
      </c>
      <c r="Q524" s="187"/>
    </row>
    <row r="525" spans="16:17">
      <c r="P525" s="188">
        <f t="shared" si="17"/>
        <v>0</v>
      </c>
      <c r="Q525" s="187"/>
    </row>
    <row r="526" spans="16:17">
      <c r="P526" s="188">
        <f t="shared" si="17"/>
        <v>0</v>
      </c>
      <c r="Q526" s="187"/>
    </row>
    <row r="527" spans="16:17">
      <c r="P527" s="188">
        <f t="shared" si="17"/>
        <v>0</v>
      </c>
      <c r="Q527" s="187"/>
    </row>
    <row r="528" spans="16:17">
      <c r="P528" s="188">
        <f t="shared" si="17"/>
        <v>0</v>
      </c>
      <c r="Q528" s="187"/>
    </row>
    <row r="529" spans="16:17">
      <c r="P529" s="188">
        <f t="shared" si="17"/>
        <v>0</v>
      </c>
      <c r="Q529" s="187"/>
    </row>
    <row r="530" spans="16:17">
      <c r="P530" s="188">
        <f t="shared" si="17"/>
        <v>0</v>
      </c>
      <c r="Q530" s="187"/>
    </row>
    <row r="531" spans="16:17">
      <c r="P531" s="188">
        <f t="shared" si="17"/>
        <v>0</v>
      </c>
      <c r="Q531" s="187"/>
    </row>
    <row r="532" spans="16:17">
      <c r="P532" s="188">
        <f t="shared" si="17"/>
        <v>0</v>
      </c>
      <c r="Q532" s="187"/>
    </row>
    <row r="533" spans="16:17">
      <c r="P533" s="188">
        <f t="shared" si="17"/>
        <v>0</v>
      </c>
      <c r="Q533" s="187"/>
    </row>
    <row r="534" spans="16:17">
      <c r="P534" s="188">
        <f t="shared" si="17"/>
        <v>0</v>
      </c>
      <c r="Q534" s="187"/>
    </row>
    <row r="535" spans="16:17">
      <c r="P535" s="188">
        <f t="shared" si="17"/>
        <v>0</v>
      </c>
      <c r="Q535" s="187"/>
    </row>
    <row r="536" spans="16:17">
      <c r="P536" s="188">
        <f t="shared" si="17"/>
        <v>0</v>
      </c>
      <c r="Q536" s="187"/>
    </row>
    <row r="537" spans="16:17">
      <c r="P537" s="188">
        <f t="shared" si="17"/>
        <v>0</v>
      </c>
      <c r="Q537" s="187"/>
    </row>
    <row r="538" spans="16:17">
      <c r="P538" s="188">
        <f t="shared" si="17"/>
        <v>0</v>
      </c>
      <c r="Q538" s="187"/>
    </row>
    <row r="539" spans="16:17">
      <c r="P539" s="188">
        <f t="shared" si="17"/>
        <v>0</v>
      </c>
      <c r="Q539" s="187"/>
    </row>
    <row r="540" spans="16:17">
      <c r="P540" s="188">
        <f t="shared" si="17"/>
        <v>0</v>
      </c>
      <c r="Q540" s="187"/>
    </row>
    <row r="541" spans="16:17">
      <c r="P541" s="188">
        <f t="shared" si="17"/>
        <v>0</v>
      </c>
      <c r="Q541" s="187"/>
    </row>
    <row r="542" spans="16:17">
      <c r="P542" s="188">
        <f t="shared" si="17"/>
        <v>0</v>
      </c>
      <c r="Q542" s="187"/>
    </row>
    <row r="543" spans="16:17">
      <c r="P543" s="188">
        <f t="shared" ref="P543:P604" si="18">IFERROR(IF($I543="Rotary",LEFT($O543,9),$O543),"")</f>
        <v>0</v>
      </c>
      <c r="Q543" s="187"/>
    </row>
    <row r="544" spans="16:17">
      <c r="P544" s="188">
        <f t="shared" si="18"/>
        <v>0</v>
      </c>
      <c r="Q544" s="187"/>
    </row>
    <row r="545" spans="16:17">
      <c r="P545" s="188">
        <f t="shared" si="18"/>
        <v>0</v>
      </c>
      <c r="Q545" s="187"/>
    </row>
    <row r="546" spans="16:17">
      <c r="P546" s="188">
        <f t="shared" si="18"/>
        <v>0</v>
      </c>
      <c r="Q546" s="187"/>
    </row>
    <row r="547" spans="16:17">
      <c r="P547" s="188">
        <f t="shared" si="18"/>
        <v>0</v>
      </c>
      <c r="Q547" s="187"/>
    </row>
    <row r="548" spans="16:17">
      <c r="P548" s="188">
        <f t="shared" si="18"/>
        <v>0</v>
      </c>
      <c r="Q548" s="187"/>
    </row>
    <row r="549" spans="16:17">
      <c r="P549" s="188">
        <f t="shared" si="18"/>
        <v>0</v>
      </c>
      <c r="Q549" s="187"/>
    </row>
    <row r="550" spans="16:17">
      <c r="P550" s="188">
        <f t="shared" si="18"/>
        <v>0</v>
      </c>
      <c r="Q550" s="187"/>
    </row>
    <row r="551" spans="16:17">
      <c r="P551" s="188">
        <f t="shared" si="18"/>
        <v>0</v>
      </c>
      <c r="Q551" s="187"/>
    </row>
    <row r="552" spans="16:17">
      <c r="P552" s="188">
        <f t="shared" si="18"/>
        <v>0</v>
      </c>
      <c r="Q552" s="187"/>
    </row>
    <row r="553" spans="16:17">
      <c r="P553" s="188">
        <f t="shared" si="18"/>
        <v>0</v>
      </c>
      <c r="Q553" s="187"/>
    </row>
    <row r="554" spans="16:17">
      <c r="P554" s="188">
        <f t="shared" si="18"/>
        <v>0</v>
      </c>
      <c r="Q554" s="187"/>
    </row>
    <row r="555" spans="16:17">
      <c r="P555" s="188">
        <f t="shared" si="18"/>
        <v>0</v>
      </c>
      <c r="Q555" s="187"/>
    </row>
    <row r="556" spans="16:17">
      <c r="P556" s="188">
        <f t="shared" si="18"/>
        <v>0</v>
      </c>
      <c r="Q556" s="187"/>
    </row>
    <row r="557" spans="16:17">
      <c r="P557" s="188">
        <f t="shared" si="18"/>
        <v>0</v>
      </c>
      <c r="Q557" s="187"/>
    </row>
    <row r="558" spans="16:17">
      <c r="P558" s="188">
        <f t="shared" si="18"/>
        <v>0</v>
      </c>
      <c r="Q558" s="187"/>
    </row>
    <row r="559" spans="16:17">
      <c r="P559" s="188">
        <f t="shared" si="18"/>
        <v>0</v>
      </c>
      <c r="Q559" s="187"/>
    </row>
    <row r="560" spans="16:17">
      <c r="P560" s="188">
        <f t="shared" si="18"/>
        <v>0</v>
      </c>
      <c r="Q560" s="187"/>
    </row>
    <row r="561" spans="16:17">
      <c r="P561" s="188">
        <f t="shared" si="18"/>
        <v>0</v>
      </c>
      <c r="Q561" s="187"/>
    </row>
    <row r="562" spans="16:17">
      <c r="P562" s="188">
        <f t="shared" si="18"/>
        <v>0</v>
      </c>
      <c r="Q562" s="187"/>
    </row>
    <row r="563" spans="16:17">
      <c r="P563" s="188">
        <f t="shared" si="18"/>
        <v>0</v>
      </c>
      <c r="Q563" s="187"/>
    </row>
    <row r="564" spans="16:17">
      <c r="P564" s="188">
        <f t="shared" si="18"/>
        <v>0</v>
      </c>
      <c r="Q564" s="187"/>
    </row>
    <row r="565" spans="16:17">
      <c r="P565" s="188">
        <f t="shared" si="18"/>
        <v>0</v>
      </c>
      <c r="Q565" s="187"/>
    </row>
    <row r="566" spans="16:17">
      <c r="P566" s="188">
        <f t="shared" si="18"/>
        <v>0</v>
      </c>
      <c r="Q566" s="187"/>
    </row>
    <row r="567" spans="16:17">
      <c r="P567" s="188">
        <f t="shared" si="18"/>
        <v>0</v>
      </c>
      <c r="Q567" s="187"/>
    </row>
    <row r="568" spans="16:17">
      <c r="P568" s="188">
        <f t="shared" si="18"/>
        <v>0</v>
      </c>
      <c r="Q568" s="187"/>
    </row>
    <row r="569" spans="16:17">
      <c r="P569" s="188">
        <f t="shared" si="18"/>
        <v>0</v>
      </c>
      <c r="Q569" s="187"/>
    </row>
    <row r="570" spans="16:17">
      <c r="P570" s="188">
        <f t="shared" si="18"/>
        <v>0</v>
      </c>
      <c r="Q570" s="187"/>
    </row>
    <row r="571" spans="16:17">
      <c r="P571" s="188">
        <f t="shared" si="18"/>
        <v>0</v>
      </c>
      <c r="Q571" s="187"/>
    </row>
    <row r="572" spans="16:17">
      <c r="P572" s="188">
        <f t="shared" si="18"/>
        <v>0</v>
      </c>
      <c r="Q572" s="187"/>
    </row>
    <row r="573" spans="16:17">
      <c r="P573" s="188">
        <f t="shared" si="18"/>
        <v>0</v>
      </c>
      <c r="Q573" s="187"/>
    </row>
    <row r="574" spans="16:17">
      <c r="P574" s="188">
        <f t="shared" si="18"/>
        <v>0</v>
      </c>
      <c r="Q574" s="187"/>
    </row>
    <row r="575" spans="16:17">
      <c r="P575" s="188">
        <f t="shared" si="18"/>
        <v>0</v>
      </c>
      <c r="Q575" s="187"/>
    </row>
    <row r="576" spans="16:17">
      <c r="P576" s="188">
        <f t="shared" si="18"/>
        <v>0</v>
      </c>
      <c r="Q576" s="187"/>
    </row>
    <row r="577" spans="16:17">
      <c r="P577" s="188">
        <f t="shared" si="18"/>
        <v>0</v>
      </c>
      <c r="Q577" s="187"/>
    </row>
    <row r="578" spans="16:17">
      <c r="P578" s="188">
        <f t="shared" si="18"/>
        <v>0</v>
      </c>
      <c r="Q578" s="187"/>
    </row>
    <row r="579" spans="16:17">
      <c r="P579" s="188">
        <f t="shared" si="18"/>
        <v>0</v>
      </c>
      <c r="Q579" s="187"/>
    </row>
    <row r="580" spans="16:17">
      <c r="P580" s="188">
        <f t="shared" si="18"/>
        <v>0</v>
      </c>
      <c r="Q580" s="187"/>
    </row>
    <row r="581" spans="16:17">
      <c r="P581" s="188">
        <f t="shared" si="18"/>
        <v>0</v>
      </c>
      <c r="Q581" s="187"/>
    </row>
    <row r="582" spans="16:17">
      <c r="P582" s="188">
        <f t="shared" si="18"/>
        <v>0</v>
      </c>
      <c r="Q582" s="187"/>
    </row>
    <row r="583" spans="16:17">
      <c r="P583" s="188">
        <f t="shared" si="18"/>
        <v>0</v>
      </c>
      <c r="Q583" s="187"/>
    </row>
    <row r="584" spans="16:17">
      <c r="P584" s="188">
        <f t="shared" si="18"/>
        <v>0</v>
      </c>
      <c r="Q584" s="187"/>
    </row>
    <row r="585" spans="16:17">
      <c r="P585" s="188">
        <f t="shared" si="18"/>
        <v>0</v>
      </c>
      <c r="Q585" s="187"/>
    </row>
    <row r="586" spans="16:17">
      <c r="P586" s="188">
        <f t="shared" si="18"/>
        <v>0</v>
      </c>
      <c r="Q586" s="187"/>
    </row>
    <row r="587" spans="16:17">
      <c r="P587" s="188">
        <f t="shared" si="18"/>
        <v>0</v>
      </c>
      <c r="Q587" s="187"/>
    </row>
    <row r="588" spans="16:17">
      <c r="P588" s="188">
        <f t="shared" si="18"/>
        <v>0</v>
      </c>
      <c r="Q588" s="187"/>
    </row>
    <row r="589" spans="16:17">
      <c r="P589" s="188">
        <f t="shared" si="18"/>
        <v>0</v>
      </c>
      <c r="Q589" s="187"/>
    </row>
    <row r="590" spans="16:17">
      <c r="P590" s="188">
        <f t="shared" si="18"/>
        <v>0</v>
      </c>
      <c r="Q590" s="187"/>
    </row>
    <row r="591" spans="16:17">
      <c r="P591" s="188">
        <f t="shared" si="18"/>
        <v>0</v>
      </c>
      <c r="Q591" s="187"/>
    </row>
    <row r="592" spans="16:17">
      <c r="P592" s="188">
        <f t="shared" si="18"/>
        <v>0</v>
      </c>
      <c r="Q592" s="187"/>
    </row>
    <row r="593" spans="16:17">
      <c r="P593" s="188">
        <f t="shared" si="18"/>
        <v>0</v>
      </c>
      <c r="Q593" s="187"/>
    </row>
    <row r="594" spans="16:17">
      <c r="P594" s="188">
        <f t="shared" si="18"/>
        <v>0</v>
      </c>
      <c r="Q594" s="187"/>
    </row>
    <row r="595" spans="16:17">
      <c r="P595" s="188">
        <f t="shared" si="18"/>
        <v>0</v>
      </c>
      <c r="Q595" s="187"/>
    </row>
    <row r="596" spans="16:17">
      <c r="P596" s="188">
        <f t="shared" si="18"/>
        <v>0</v>
      </c>
      <c r="Q596" s="187"/>
    </row>
    <row r="597" spans="16:17">
      <c r="P597" s="188">
        <f t="shared" si="18"/>
        <v>0</v>
      </c>
      <c r="Q597" s="187"/>
    </row>
    <row r="598" spans="16:17">
      <c r="P598" s="188">
        <f t="shared" si="18"/>
        <v>0</v>
      </c>
      <c r="Q598" s="187"/>
    </row>
    <row r="599" spans="16:17">
      <c r="P599" s="188">
        <f t="shared" si="18"/>
        <v>0</v>
      </c>
      <c r="Q599" s="187"/>
    </row>
    <row r="600" spans="16:17">
      <c r="P600" s="188">
        <f t="shared" si="18"/>
        <v>0</v>
      </c>
      <c r="Q600" s="187"/>
    </row>
    <row r="601" spans="16:17">
      <c r="P601" s="188">
        <f t="shared" si="18"/>
        <v>0</v>
      </c>
      <c r="Q601" s="187"/>
    </row>
    <row r="602" spans="16:17">
      <c r="P602" s="188">
        <f t="shared" si="18"/>
        <v>0</v>
      </c>
      <c r="Q602" s="187"/>
    </row>
    <row r="603" spans="16:17">
      <c r="P603" s="188">
        <f t="shared" si="18"/>
        <v>0</v>
      </c>
      <c r="Q603" s="187"/>
    </row>
    <row r="604" spans="16:17">
      <c r="P604" s="188">
        <f t="shared" si="18"/>
        <v>0</v>
      </c>
      <c r="Q604" s="187"/>
    </row>
  </sheetData>
  <sheetProtection algorithmName="SHA-512" hashValue="GOjX5V2XqSdhHLRIQaLWPR2F+Pi6Sb1ZUOh9ZTV38V/aZ2u7agfudwA1eKouusV1bcSDzzILr0Wq2QePGDQTlA==" saltValue="bwCLaBDHmRCpI8S5BT9IFw==" spinCount="100000" sheet="1" objects="1" scenarios="1"/>
  <mergeCells count="41">
    <mergeCell ref="N85:O85"/>
    <mergeCell ref="R85:T85"/>
    <mergeCell ref="AD7:AD8"/>
    <mergeCell ref="I7:I8"/>
    <mergeCell ref="AB7:AB8"/>
    <mergeCell ref="Y7:Y8"/>
    <mergeCell ref="AA7:AA8"/>
    <mergeCell ref="V7:W7"/>
    <mergeCell ref="S7:S8"/>
    <mergeCell ref="Y82:AB82"/>
    <mergeCell ref="Y83:AB83"/>
    <mergeCell ref="Y84:AB84"/>
    <mergeCell ref="Y80:AB80"/>
    <mergeCell ref="N82:O82"/>
    <mergeCell ref="N83:O83"/>
    <mergeCell ref="N84:O84"/>
    <mergeCell ref="B2:AB4"/>
    <mergeCell ref="U7:U8"/>
    <mergeCell ref="N81:O81"/>
    <mergeCell ref="B7:C8"/>
    <mergeCell ref="H7:H8"/>
    <mergeCell ref="E7:E8"/>
    <mergeCell ref="F7:F8"/>
    <mergeCell ref="G7:G8"/>
    <mergeCell ref="P7:P8"/>
    <mergeCell ref="Y77:AB77"/>
    <mergeCell ref="Y78:AB78"/>
    <mergeCell ref="K7:M7"/>
    <mergeCell ref="X7:X8"/>
    <mergeCell ref="T7:T8"/>
    <mergeCell ref="Z7:Z8"/>
    <mergeCell ref="R7:R8"/>
    <mergeCell ref="D7:D8"/>
    <mergeCell ref="N7:N8"/>
    <mergeCell ref="J7:J8"/>
    <mergeCell ref="Y81:AB81"/>
    <mergeCell ref="AC7:AC8"/>
    <mergeCell ref="Q7:Q8"/>
    <mergeCell ref="O7:O8"/>
    <mergeCell ref="W76:AB76"/>
    <mergeCell ref="Y79:AB79"/>
  </mergeCells>
  <phoneticPr fontId="2" type="noConversion"/>
  <conditionalFormatting sqref="N3">
    <cfRule type="cellIs" dxfId="12" priority="2" operator="equal">
      <formula>0</formula>
    </cfRule>
  </conditionalFormatting>
  <conditionalFormatting sqref="N9:N33 N36:N54">
    <cfRule type="cellIs" dxfId="11" priority="3" operator="equal">
      <formula>0</formula>
    </cfRule>
  </conditionalFormatting>
  <conditionalFormatting sqref="Y9">
    <cfRule type="cellIs" dxfId="10" priority="1" operator="equal">
      <formula>$R9=0</formula>
    </cfRule>
  </conditionalFormatting>
  <hyperlinks>
    <hyperlink ref="B5" location="'SERVO CABLE'!A1" display="SERVO_CABLE" xr:uid="{FA06B8A8-87BC-4389-AB07-FB7330B6FD98}"/>
    <hyperlink ref="C5" location="정격용량!A1" display="정격전류" xr:uid="{B39289F9-D1B2-44CD-9DC6-A9FCA6EBE0F9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F253-F033-4697-BE9B-1B48221777E3}">
  <sheetPr>
    <tabColor theme="7" tint="0.39997558519241921"/>
  </sheetPr>
  <dimension ref="A1:W62"/>
  <sheetViews>
    <sheetView showGridLines="0" view="pageBreakPreview" zoomScale="70" zoomScaleNormal="85" zoomScaleSheetLayoutView="70" workbookViewId="0">
      <selection activeCell="H22" sqref="H22"/>
    </sheetView>
  </sheetViews>
  <sheetFormatPr defaultColWidth="2.68359375" defaultRowHeight="13.5" customHeight="1"/>
  <cols>
    <col min="1" max="3" width="2.41796875" style="57" customWidth="1"/>
    <col min="4" max="5" width="5.7890625" style="57" customWidth="1"/>
    <col min="6" max="6" width="30.20703125" style="57" customWidth="1"/>
    <col min="7" max="7" width="28.7890625" style="57" customWidth="1"/>
    <col min="8" max="8" width="60.89453125" style="57" bestFit="1" customWidth="1"/>
    <col min="9" max="9" width="17.7890625" style="57" customWidth="1"/>
    <col min="10" max="10" width="5" style="57" customWidth="1"/>
    <col min="11" max="11" width="4.1015625" style="57" customWidth="1"/>
    <col min="12" max="12" width="7" style="57" customWidth="1"/>
    <col min="13" max="13" width="41" style="57" customWidth="1"/>
    <col min="14" max="14" width="9.7890625" style="58" customWidth="1"/>
    <col min="15" max="16" width="11.7890625" style="58" customWidth="1"/>
    <col min="17" max="17" width="12.7890625" style="57" customWidth="1"/>
    <col min="18" max="18" width="9.7890625" style="57" customWidth="1"/>
    <col min="19" max="19" width="20.7890625" style="57" customWidth="1"/>
    <col min="20" max="20" width="2.68359375" style="57" customWidth="1"/>
    <col min="21" max="21" width="6" style="57" customWidth="1"/>
    <col min="22" max="23" width="2.68359375" style="57"/>
    <col min="24" max="24" width="19.20703125" style="57" customWidth="1"/>
    <col min="25" max="16384" width="2.68359375" style="57"/>
  </cols>
  <sheetData>
    <row r="1" spans="1:23" ht="5.25" customHeight="1"/>
    <row r="2" spans="1:23" ht="21" customHeight="1" thickBot="1">
      <c r="A2" s="57" t="s">
        <v>318</v>
      </c>
    </row>
    <row r="3" spans="1:23" ht="3.75" customHeight="1" thickTop="1" thickBo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60"/>
      <c r="P3" s="60"/>
      <c r="Q3" s="59"/>
      <c r="R3" s="59"/>
      <c r="S3" s="59"/>
      <c r="T3" s="59"/>
      <c r="U3" s="59"/>
      <c r="V3" s="59"/>
      <c r="W3" s="59"/>
    </row>
    <row r="4" spans="1:23" ht="20.55" customHeight="1" thickTop="1">
      <c r="C4" s="57" t="s">
        <v>315</v>
      </c>
      <c r="H4" s="427" t="s">
        <v>327</v>
      </c>
      <c r="I4" s="427"/>
      <c r="J4" s="427"/>
      <c r="K4" s="427"/>
      <c r="L4" s="427"/>
      <c r="M4" s="427"/>
      <c r="N4" s="427"/>
      <c r="S4" s="58" t="s">
        <v>53</v>
      </c>
    </row>
    <row r="5" spans="1:23" ht="20.55" customHeight="1">
      <c r="H5" s="428"/>
      <c r="I5" s="428"/>
      <c r="J5" s="428"/>
      <c r="K5" s="428"/>
      <c r="L5" s="428"/>
      <c r="M5" s="428"/>
      <c r="N5" s="428"/>
      <c r="S5" s="58" t="s">
        <v>54</v>
      </c>
    </row>
    <row r="6" spans="1:23" ht="19.95" customHeight="1" thickBot="1">
      <c r="D6" s="61" t="s">
        <v>395</v>
      </c>
      <c r="N6" s="57"/>
      <c r="O6" s="57"/>
      <c r="P6" s="57"/>
      <c r="S6" s="58" t="s">
        <v>55</v>
      </c>
    </row>
    <row r="7" spans="1:23" ht="19.95" customHeight="1">
      <c r="D7" s="415" t="s">
        <v>56</v>
      </c>
      <c r="E7" s="429" t="s">
        <v>72</v>
      </c>
      <c r="F7" s="417" t="s">
        <v>73</v>
      </c>
      <c r="G7" s="417" t="s">
        <v>74</v>
      </c>
      <c r="H7" s="417" t="s">
        <v>75</v>
      </c>
      <c r="I7" s="401" t="s">
        <v>197</v>
      </c>
      <c r="J7" s="62"/>
      <c r="K7" s="62"/>
      <c r="L7" s="62"/>
      <c r="M7" s="398" t="s">
        <v>348</v>
      </c>
      <c r="N7" s="398"/>
      <c r="O7" s="398"/>
      <c r="P7" s="398"/>
      <c r="Q7" s="398" t="s">
        <v>349</v>
      </c>
      <c r="R7" s="398"/>
      <c r="S7" s="399"/>
    </row>
    <row r="8" spans="1:23" ht="20.100000000000001" customHeight="1" thickBot="1">
      <c r="D8" s="416"/>
      <c r="E8" s="402"/>
      <c r="F8" s="418"/>
      <c r="G8" s="418"/>
      <c r="H8" s="418"/>
      <c r="I8" s="402"/>
      <c r="J8" s="63"/>
      <c r="K8" s="63"/>
      <c r="L8" s="63"/>
      <c r="M8" s="64" t="s">
        <v>76</v>
      </c>
      <c r="N8" s="65" t="s">
        <v>77</v>
      </c>
      <c r="O8" s="400" t="s">
        <v>78</v>
      </c>
      <c r="P8" s="400"/>
      <c r="Q8" s="64" t="s">
        <v>76</v>
      </c>
      <c r="R8" s="65" t="s">
        <v>77</v>
      </c>
      <c r="S8" s="66" t="s">
        <v>79</v>
      </c>
    </row>
    <row r="9" spans="1:23" ht="17.55" customHeight="1">
      <c r="D9" s="419">
        <v>1</v>
      </c>
      <c r="E9" s="406" t="s">
        <v>328</v>
      </c>
      <c r="F9" s="43" t="s">
        <v>329</v>
      </c>
      <c r="G9" s="43" t="s">
        <v>332</v>
      </c>
      <c r="H9" s="165" t="s">
        <v>334</v>
      </c>
      <c r="I9" s="174"/>
      <c r="J9" s="43"/>
      <c r="K9" s="43"/>
      <c r="L9" s="52"/>
      <c r="M9" s="40"/>
      <c r="N9" s="44"/>
      <c r="O9" s="424"/>
      <c r="P9" s="424"/>
      <c r="Q9" s="44"/>
      <c r="R9" s="44"/>
      <c r="S9" s="45"/>
    </row>
    <row r="10" spans="1:23" ht="20.100000000000001" customHeight="1">
      <c r="D10" s="420"/>
      <c r="E10" s="422"/>
      <c r="F10" s="53" t="s">
        <v>330</v>
      </c>
      <c r="G10" s="53" t="s">
        <v>333</v>
      </c>
      <c r="H10" s="166" t="s">
        <v>335</v>
      </c>
      <c r="I10" s="164"/>
      <c r="J10" s="54"/>
      <c r="K10" s="42"/>
      <c r="L10" s="46"/>
      <c r="M10" s="47"/>
      <c r="N10" s="32"/>
      <c r="O10" s="425"/>
      <c r="P10" s="425"/>
      <c r="Q10" s="32"/>
      <c r="R10" s="32"/>
      <c r="S10" s="48"/>
    </row>
    <row r="11" spans="1:23" ht="20.100000000000001" customHeight="1">
      <c r="D11" s="420"/>
      <c r="E11" s="422"/>
      <c r="F11" s="53" t="s">
        <v>331</v>
      </c>
      <c r="G11" s="53" t="s">
        <v>333</v>
      </c>
      <c r="H11" s="54" t="s">
        <v>337</v>
      </c>
      <c r="I11" s="175"/>
      <c r="J11" s="54"/>
      <c r="K11" s="42"/>
      <c r="L11" s="46"/>
      <c r="M11" s="47"/>
      <c r="N11" s="32"/>
      <c r="O11" s="425"/>
      <c r="P11" s="425"/>
      <c r="Q11" s="32"/>
      <c r="R11" s="32"/>
      <c r="S11" s="48"/>
    </row>
    <row r="12" spans="1:23" ht="20.100000000000001" customHeight="1">
      <c r="D12" s="420"/>
      <c r="E12" s="422"/>
      <c r="F12" s="21"/>
      <c r="G12" s="21"/>
      <c r="H12" s="166"/>
      <c r="I12" s="164"/>
      <c r="J12" s="42"/>
      <c r="K12" s="42"/>
      <c r="L12" s="46"/>
      <c r="M12" s="47"/>
      <c r="N12" s="32"/>
      <c r="O12" s="425"/>
      <c r="P12" s="425"/>
      <c r="Q12" s="32"/>
      <c r="R12" s="32"/>
      <c r="S12" s="48"/>
    </row>
    <row r="13" spans="1:23" ht="20.100000000000001" customHeight="1">
      <c r="D13" s="420"/>
      <c r="E13" s="422"/>
      <c r="F13" s="21"/>
      <c r="G13" s="21"/>
      <c r="H13" s="171"/>
      <c r="I13" s="176"/>
      <c r="J13" s="42"/>
      <c r="K13" s="42"/>
      <c r="L13" s="46"/>
      <c r="M13" s="47"/>
      <c r="N13" s="32"/>
      <c r="O13" s="425"/>
      <c r="P13" s="425"/>
      <c r="Q13" s="32"/>
      <c r="R13" s="32"/>
      <c r="S13" s="48"/>
    </row>
    <row r="14" spans="1:23" ht="20.100000000000001" customHeight="1">
      <c r="D14" s="420"/>
      <c r="E14" s="422"/>
      <c r="F14" s="42"/>
      <c r="G14" s="42"/>
      <c r="H14" s="172"/>
      <c r="I14" s="13"/>
      <c r="J14" s="42"/>
      <c r="K14" s="42"/>
      <c r="L14" s="46"/>
      <c r="M14" s="47"/>
      <c r="N14" s="32"/>
      <c r="O14" s="425"/>
      <c r="P14" s="425"/>
      <c r="Q14" s="32"/>
      <c r="R14" s="32"/>
      <c r="S14" s="48"/>
    </row>
    <row r="15" spans="1:23" ht="20.100000000000001" customHeight="1">
      <c r="D15" s="420"/>
      <c r="E15" s="422"/>
      <c r="F15" s="42"/>
      <c r="G15" s="42"/>
      <c r="H15" s="173"/>
      <c r="I15" s="15"/>
      <c r="J15" s="42"/>
      <c r="K15" s="42"/>
      <c r="L15" s="46"/>
      <c r="M15" s="47"/>
      <c r="N15" s="32"/>
      <c r="O15" s="425"/>
      <c r="P15" s="425"/>
      <c r="Q15" s="32"/>
      <c r="R15" s="32"/>
      <c r="S15" s="48"/>
    </row>
    <row r="16" spans="1:23" ht="20.100000000000001" customHeight="1" thickBot="1">
      <c r="D16" s="421"/>
      <c r="E16" s="423"/>
      <c r="F16" s="19"/>
      <c r="G16" s="19"/>
      <c r="H16" s="19"/>
      <c r="I16" s="19"/>
      <c r="J16" s="19"/>
      <c r="K16" s="19"/>
      <c r="L16" s="55"/>
      <c r="M16" s="56"/>
      <c r="N16" s="26"/>
      <c r="O16" s="426"/>
      <c r="P16" s="426"/>
      <c r="Q16" s="26"/>
      <c r="R16" s="26"/>
      <c r="S16" s="51"/>
    </row>
    <row r="17" spans="4:19" ht="19.95" customHeight="1">
      <c r="D17" s="415" t="s">
        <v>56</v>
      </c>
      <c r="E17" s="417" t="s">
        <v>72</v>
      </c>
      <c r="F17" s="417" t="s">
        <v>73</v>
      </c>
      <c r="G17" s="417" t="s">
        <v>80</v>
      </c>
      <c r="H17" s="417" t="s">
        <v>81</v>
      </c>
      <c r="I17" s="401" t="s">
        <v>197</v>
      </c>
      <c r="J17" s="62"/>
      <c r="K17" s="62"/>
      <c r="L17" s="67"/>
      <c r="M17" s="397" t="s">
        <v>348</v>
      </c>
      <c r="N17" s="398"/>
      <c r="O17" s="398"/>
      <c r="P17" s="398"/>
      <c r="Q17" s="398" t="s">
        <v>349</v>
      </c>
      <c r="R17" s="398"/>
      <c r="S17" s="399"/>
    </row>
    <row r="18" spans="4:19" ht="20.100000000000001" customHeight="1" thickBot="1">
      <c r="D18" s="416"/>
      <c r="E18" s="418"/>
      <c r="F18" s="418"/>
      <c r="G18" s="418"/>
      <c r="H18" s="418"/>
      <c r="I18" s="402"/>
      <c r="J18" s="63"/>
      <c r="K18" s="63"/>
      <c r="L18" s="68"/>
      <c r="M18" s="69" t="s">
        <v>76</v>
      </c>
      <c r="N18" s="65" t="s">
        <v>77</v>
      </c>
      <c r="O18" s="400" t="s">
        <v>78</v>
      </c>
      <c r="P18" s="400"/>
      <c r="Q18" s="64" t="s">
        <v>76</v>
      </c>
      <c r="R18" s="65" t="s">
        <v>77</v>
      </c>
      <c r="S18" s="66" t="s">
        <v>79</v>
      </c>
    </row>
    <row r="19" spans="4:19" ht="20.100000000000001" customHeight="1">
      <c r="D19" s="404" t="s">
        <v>66</v>
      </c>
      <c r="E19" s="406" t="s">
        <v>67</v>
      </c>
      <c r="F19" s="410" t="s">
        <v>340</v>
      </c>
      <c r="G19" s="93" t="s">
        <v>343</v>
      </c>
      <c r="H19" s="94" t="s">
        <v>728</v>
      </c>
      <c r="I19" s="94"/>
      <c r="J19" s="95"/>
      <c r="K19" s="95"/>
      <c r="L19" s="95"/>
      <c r="M19" s="100"/>
      <c r="N19" s="96"/>
      <c r="O19" s="409"/>
      <c r="P19" s="409"/>
      <c r="Q19" s="96"/>
      <c r="R19" s="96"/>
      <c r="S19" s="97"/>
    </row>
    <row r="20" spans="4:19" ht="20.100000000000001" customHeight="1">
      <c r="D20" s="405"/>
      <c r="E20" s="407"/>
      <c r="F20" s="411"/>
      <c r="G20" s="22" t="s">
        <v>344</v>
      </c>
      <c r="H20" s="98" t="s">
        <v>338</v>
      </c>
      <c r="I20" s="98"/>
      <c r="J20" s="16"/>
      <c r="K20" s="16"/>
      <c r="L20" s="16"/>
      <c r="M20" s="90"/>
      <c r="N20" s="49"/>
      <c r="O20" s="403"/>
      <c r="P20" s="403"/>
      <c r="Q20" s="49"/>
      <c r="R20" s="49"/>
      <c r="S20" s="48"/>
    </row>
    <row r="21" spans="4:19" ht="20.100000000000001" customHeight="1">
      <c r="D21" s="405"/>
      <c r="E21" s="408"/>
      <c r="F21" s="412"/>
      <c r="G21" s="22" t="s">
        <v>718</v>
      </c>
      <c r="H21" s="98"/>
      <c r="I21" s="98"/>
      <c r="J21" s="16"/>
      <c r="K21" s="16"/>
      <c r="L21" s="16"/>
      <c r="M21" s="90"/>
      <c r="N21" s="49"/>
      <c r="O21" s="347"/>
      <c r="P21" s="347"/>
      <c r="Q21" s="49"/>
      <c r="R21" s="49"/>
      <c r="S21" s="48"/>
    </row>
    <row r="22" spans="4:19" ht="20.100000000000001" customHeight="1">
      <c r="D22" s="405"/>
      <c r="E22" s="407"/>
      <c r="F22" s="403" t="s">
        <v>393</v>
      </c>
      <c r="G22" s="22" t="s">
        <v>343</v>
      </c>
      <c r="H22" s="98" t="s">
        <v>722</v>
      </c>
      <c r="I22" s="98"/>
      <c r="J22" s="22"/>
      <c r="K22" s="22"/>
      <c r="L22" s="22"/>
      <c r="M22" s="163"/>
      <c r="N22" s="49"/>
      <c r="O22" s="403"/>
      <c r="P22" s="403"/>
      <c r="Q22" s="49"/>
      <c r="R22" s="49"/>
      <c r="S22" s="48"/>
    </row>
    <row r="23" spans="4:19" ht="20.100000000000001" customHeight="1">
      <c r="D23" s="405"/>
      <c r="E23" s="407"/>
      <c r="F23" s="403"/>
      <c r="G23" s="22" t="s">
        <v>344</v>
      </c>
      <c r="H23" s="98" t="s">
        <v>723</v>
      </c>
      <c r="I23" s="98"/>
      <c r="J23" s="22"/>
      <c r="K23" s="22"/>
      <c r="L23" s="22"/>
      <c r="M23" s="163"/>
      <c r="N23" s="49"/>
      <c r="O23" s="403"/>
      <c r="P23" s="403"/>
      <c r="Q23" s="49"/>
      <c r="R23" s="49"/>
      <c r="S23" s="48"/>
    </row>
    <row r="24" spans="4:19" ht="20.100000000000001" customHeight="1">
      <c r="D24" s="405"/>
      <c r="E24" s="407"/>
      <c r="F24" s="403"/>
      <c r="G24" s="22" t="s">
        <v>345</v>
      </c>
      <c r="H24" s="98" t="s">
        <v>724</v>
      </c>
      <c r="I24" s="98"/>
      <c r="J24" s="22"/>
      <c r="K24" s="22"/>
      <c r="L24" s="22"/>
      <c r="M24" s="163"/>
      <c r="N24" s="49"/>
      <c r="O24" s="403"/>
      <c r="P24" s="403"/>
      <c r="Q24" s="49"/>
      <c r="R24" s="49"/>
      <c r="S24" s="48"/>
    </row>
    <row r="25" spans="4:19" ht="20.100000000000001" customHeight="1">
      <c r="D25" s="405"/>
      <c r="E25" s="407"/>
      <c r="F25" s="403"/>
      <c r="G25" s="22" t="s">
        <v>346</v>
      </c>
      <c r="H25" s="98" t="s">
        <v>725</v>
      </c>
      <c r="I25" s="98"/>
      <c r="J25" s="22"/>
      <c r="K25" s="22"/>
      <c r="L25" s="22"/>
      <c r="M25" s="89"/>
      <c r="N25" s="49"/>
      <c r="O25" s="403"/>
      <c r="P25" s="403"/>
      <c r="Q25" s="49"/>
      <c r="R25" s="49"/>
      <c r="S25" s="48"/>
    </row>
    <row r="26" spans="4:19" ht="20.100000000000001" customHeight="1">
      <c r="D26" s="58"/>
      <c r="E26" s="58"/>
      <c r="F26" s="58"/>
      <c r="G26" s="58"/>
      <c r="H26" s="58"/>
      <c r="I26" s="58"/>
      <c r="J26" s="58"/>
      <c r="K26" s="58"/>
      <c r="L26" s="58"/>
      <c r="M26" s="70"/>
      <c r="O26" s="71"/>
      <c r="P26" s="71"/>
      <c r="Q26" s="58"/>
      <c r="R26" s="58"/>
      <c r="S26" s="58"/>
    </row>
    <row r="27" spans="4:19" ht="20.100000000000001" customHeight="1"/>
    <row r="28" spans="4:19" ht="20.100000000000001" customHeight="1" thickBot="1">
      <c r="D28" s="78"/>
      <c r="E28" s="78"/>
      <c r="F28" s="79"/>
      <c r="G28" s="79"/>
      <c r="H28" s="79"/>
      <c r="I28" s="79"/>
      <c r="J28" s="79"/>
      <c r="K28" s="79"/>
      <c r="L28" s="79"/>
      <c r="M28" s="80"/>
      <c r="N28" s="78"/>
      <c r="O28" s="81"/>
      <c r="P28" s="82"/>
      <c r="Q28" s="80"/>
      <c r="R28" s="78"/>
      <c r="S28" s="81"/>
    </row>
    <row r="29" spans="4:19" ht="19.95" customHeight="1"/>
    <row r="30" spans="4:19" ht="19.95" customHeight="1"/>
    <row r="31" spans="4:19" ht="19.95" customHeight="1"/>
    <row r="32" spans="4:19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</sheetData>
  <mergeCells count="39">
    <mergeCell ref="Q17:S17"/>
    <mergeCell ref="O18:P18"/>
    <mergeCell ref="H4:N5"/>
    <mergeCell ref="D7:D8"/>
    <mergeCell ref="E7:E8"/>
    <mergeCell ref="F7:F8"/>
    <mergeCell ref="G7:G8"/>
    <mergeCell ref="H7:H8"/>
    <mergeCell ref="M7:P7"/>
    <mergeCell ref="I7:I8"/>
    <mergeCell ref="Q7:S7"/>
    <mergeCell ref="O8:P8"/>
    <mergeCell ref="D9:D16"/>
    <mergeCell ref="E9:E16"/>
    <mergeCell ref="O9:P9"/>
    <mergeCell ref="O10:P10"/>
    <mergeCell ref="O24:P24"/>
    <mergeCell ref="O25:P25"/>
    <mergeCell ref="O11:P11"/>
    <mergeCell ref="O12:P12"/>
    <mergeCell ref="O13:P13"/>
    <mergeCell ref="O14:P14"/>
    <mergeCell ref="O16:P16"/>
    <mergeCell ref="F19:F21"/>
    <mergeCell ref="O15:P15"/>
    <mergeCell ref="D17:D18"/>
    <mergeCell ref="E17:E18"/>
    <mergeCell ref="F17:F18"/>
    <mergeCell ref="I17:I18"/>
    <mergeCell ref="D19:D25"/>
    <mergeCell ref="E19:E25"/>
    <mergeCell ref="O19:P19"/>
    <mergeCell ref="O20:P20"/>
    <mergeCell ref="G17:G18"/>
    <mergeCell ref="H17:H18"/>
    <mergeCell ref="M17:P17"/>
    <mergeCell ref="F22:F25"/>
    <mergeCell ref="O22:P22"/>
    <mergeCell ref="O23:P23"/>
  </mergeCells>
  <phoneticPr fontId="2" type="noConversion"/>
  <dataValidations disablePrompts="1" count="1">
    <dataValidation type="list" allowBlank="1" showInputMessage="1" showErrorMessage="1" sqref="R9:R16 N28 R28 N9:N16 N19:N25 R19:R25" xr:uid="{2A7FAB96-1BC5-4BC3-92AC-15AFE15026B0}">
      <formula1>$S$4:$S$6</formula1>
    </dataValidation>
  </dataValidations>
  <pageMargins left="0.39" right="0.39" top="0.59" bottom="0.59" header="0.12" footer="0.31"/>
  <pageSetup paperSize="8" scale="47" orientation="portrait" horizontalDpi="300" verticalDpi="300" r:id="rId1"/>
  <headerFooter alignWithMargins="0">
    <oddHeader>&amp;L&amp;G&amp;R&amp;8&amp;A</oddHeader>
    <oddFooter>&amp;C&amp;9&amp;[&amp;P</oddFooter>
  </headerFooter>
  <rowBreaks count="1" manualBreakCount="1">
    <brk id="26" max="21" man="1"/>
  </rowBreaks>
  <drawing r:id="rId2"/>
  <legacyDrawing r:id="rId3"/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A251-D26F-46BE-97C2-8558667F1B0B}">
  <sheetPr>
    <tabColor rgb="FFFFC000"/>
  </sheetPr>
  <dimension ref="A1:V223"/>
  <sheetViews>
    <sheetView showGridLines="0" view="pageBreakPreview" topLeftCell="G16" zoomScale="85" zoomScaleNormal="85" zoomScaleSheetLayoutView="85" workbookViewId="0">
      <selection activeCell="H24" sqref="H24"/>
    </sheetView>
  </sheetViews>
  <sheetFormatPr defaultColWidth="2.68359375" defaultRowHeight="13.5" customHeight="1"/>
  <cols>
    <col min="1" max="3" width="2.41796875" style="57" customWidth="1"/>
    <col min="4" max="5" width="5.7890625" style="57" customWidth="1"/>
    <col min="6" max="6" width="30.20703125" style="57" customWidth="1"/>
    <col min="7" max="7" width="28.7890625" style="57" customWidth="1"/>
    <col min="8" max="8" width="60.89453125" style="57" bestFit="1" customWidth="1"/>
    <col min="9" max="9" width="5" style="57" customWidth="1"/>
    <col min="10" max="10" width="4.1015625" style="57" customWidth="1"/>
    <col min="11" max="11" width="7" style="57" customWidth="1"/>
    <col min="12" max="12" width="41" style="57" customWidth="1"/>
    <col min="13" max="13" width="9.7890625" style="58" customWidth="1"/>
    <col min="14" max="15" width="11.7890625" style="58" customWidth="1"/>
    <col min="16" max="16" width="12.7890625" style="57" customWidth="1"/>
    <col min="17" max="17" width="9.7890625" style="57" customWidth="1"/>
    <col min="18" max="18" width="20.7890625" style="57" customWidth="1"/>
    <col min="19" max="19" width="2.68359375" style="57" customWidth="1"/>
    <col min="20" max="20" width="6" style="57" customWidth="1"/>
    <col min="21" max="22" width="2.68359375" style="57"/>
    <col min="23" max="23" width="19.20703125" style="57" customWidth="1"/>
    <col min="24" max="16384" width="2.68359375" style="57"/>
  </cols>
  <sheetData>
    <row r="1" spans="1:22" ht="5.25" customHeight="1"/>
    <row r="2" spans="1:22" ht="21" customHeight="1" thickBot="1">
      <c r="A2" s="57" t="s">
        <v>319</v>
      </c>
    </row>
    <row r="3" spans="1:22" ht="3.75" customHeight="1" thickTop="1" thickBo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60"/>
      <c r="N3" s="60"/>
      <c r="O3" s="60"/>
      <c r="P3" s="59"/>
      <c r="Q3" s="59"/>
      <c r="R3" s="59"/>
      <c r="S3" s="59"/>
      <c r="T3" s="59"/>
      <c r="U3" s="59"/>
      <c r="V3" s="59"/>
    </row>
    <row r="4" spans="1:22" ht="20.55" customHeight="1" thickTop="1">
      <c r="C4" s="57" t="s">
        <v>315</v>
      </c>
      <c r="H4" s="427" t="s">
        <v>327</v>
      </c>
      <c r="I4" s="427"/>
      <c r="J4" s="427"/>
      <c r="K4" s="427"/>
      <c r="L4" s="427"/>
      <c r="M4" s="427"/>
      <c r="R4" s="58" t="s">
        <v>53</v>
      </c>
    </row>
    <row r="5" spans="1:22" ht="20.55" customHeight="1">
      <c r="H5" s="428"/>
      <c r="I5" s="428"/>
      <c r="J5" s="428"/>
      <c r="K5" s="428"/>
      <c r="L5" s="428"/>
      <c r="M5" s="428"/>
      <c r="R5" s="58" t="s">
        <v>54</v>
      </c>
    </row>
    <row r="6" spans="1:22" ht="19.95" customHeight="1" thickBot="1">
      <c r="D6" s="61" t="s">
        <v>395</v>
      </c>
      <c r="M6" s="57"/>
      <c r="N6" s="57"/>
      <c r="O6" s="57"/>
      <c r="R6" s="58" t="s">
        <v>55</v>
      </c>
    </row>
    <row r="7" spans="1:22" ht="19.95" customHeight="1">
      <c r="D7" s="415" t="s">
        <v>56</v>
      </c>
      <c r="E7" s="429" t="s">
        <v>72</v>
      </c>
      <c r="F7" s="417" t="s">
        <v>73</v>
      </c>
      <c r="G7" s="417" t="s">
        <v>74</v>
      </c>
      <c r="H7" s="417" t="s">
        <v>75</v>
      </c>
      <c r="I7" s="62"/>
      <c r="J7" s="62"/>
      <c r="K7" s="62"/>
      <c r="L7" s="398" t="s">
        <v>348</v>
      </c>
      <c r="M7" s="398"/>
      <c r="N7" s="398"/>
      <c r="O7" s="398"/>
      <c r="P7" s="398" t="s">
        <v>349</v>
      </c>
      <c r="Q7" s="398"/>
      <c r="R7" s="399"/>
    </row>
    <row r="8" spans="1:22" ht="20.100000000000001" customHeight="1" thickBot="1">
      <c r="D8" s="416"/>
      <c r="E8" s="402"/>
      <c r="F8" s="418"/>
      <c r="G8" s="418"/>
      <c r="H8" s="418"/>
      <c r="I8" s="63"/>
      <c r="J8" s="63"/>
      <c r="K8" s="63"/>
      <c r="L8" s="64" t="s">
        <v>76</v>
      </c>
      <c r="M8" s="65" t="s">
        <v>77</v>
      </c>
      <c r="N8" s="400" t="s">
        <v>78</v>
      </c>
      <c r="O8" s="400"/>
      <c r="P8" s="64" t="s">
        <v>76</v>
      </c>
      <c r="Q8" s="65" t="s">
        <v>77</v>
      </c>
      <c r="R8" s="66" t="s">
        <v>79</v>
      </c>
    </row>
    <row r="9" spans="1:22" ht="17.55" customHeight="1">
      <c r="D9" s="419">
        <v>1</v>
      </c>
      <c r="E9" s="406" t="s">
        <v>328</v>
      </c>
      <c r="F9" s="43" t="s">
        <v>329</v>
      </c>
      <c r="G9" s="43" t="s">
        <v>332</v>
      </c>
      <c r="H9" s="165" t="s">
        <v>334</v>
      </c>
      <c r="I9" s="43"/>
      <c r="J9" s="43"/>
      <c r="K9" s="52"/>
      <c r="L9" s="40"/>
      <c r="M9" s="44"/>
      <c r="N9" s="424"/>
      <c r="O9" s="424"/>
      <c r="P9" s="44"/>
      <c r="Q9" s="44"/>
      <c r="R9" s="45"/>
    </row>
    <row r="10" spans="1:22" ht="20.100000000000001" customHeight="1">
      <c r="D10" s="420"/>
      <c r="E10" s="422"/>
      <c r="F10" s="53" t="s">
        <v>330</v>
      </c>
      <c r="G10" s="53" t="s">
        <v>333</v>
      </c>
      <c r="H10" s="166" t="s">
        <v>335</v>
      </c>
      <c r="I10" s="54"/>
      <c r="J10" s="42"/>
      <c r="K10" s="46"/>
      <c r="L10" s="47"/>
      <c r="M10" s="32"/>
      <c r="N10" s="425"/>
      <c r="O10" s="425"/>
      <c r="P10" s="32"/>
      <c r="Q10" s="32"/>
      <c r="R10" s="48"/>
    </row>
    <row r="11" spans="1:22" ht="20.100000000000001" customHeight="1">
      <c r="D11" s="420"/>
      <c r="E11" s="422"/>
      <c r="F11" s="53" t="s">
        <v>331</v>
      </c>
      <c r="G11" s="53" t="s">
        <v>333</v>
      </c>
      <c r="H11" s="54" t="s">
        <v>337</v>
      </c>
      <c r="I11" s="54"/>
      <c r="J11" s="42"/>
      <c r="K11" s="46"/>
      <c r="L11" s="47"/>
      <c r="M11" s="32"/>
      <c r="N11" s="425"/>
      <c r="O11" s="425"/>
      <c r="P11" s="32"/>
      <c r="Q11" s="32"/>
      <c r="R11" s="48"/>
    </row>
    <row r="12" spans="1:22" ht="20.100000000000001" customHeight="1">
      <c r="D12" s="420"/>
      <c r="E12" s="422"/>
      <c r="F12" s="21"/>
      <c r="G12" s="21"/>
      <c r="H12" s="166"/>
      <c r="I12" s="42"/>
      <c r="J12" s="42"/>
      <c r="K12" s="46"/>
      <c r="L12" s="47"/>
      <c r="M12" s="32"/>
      <c r="N12" s="425"/>
      <c r="O12" s="425"/>
      <c r="P12" s="32"/>
      <c r="Q12" s="32"/>
      <c r="R12" s="48"/>
    </row>
    <row r="13" spans="1:22" ht="20.100000000000001" customHeight="1">
      <c r="D13" s="420"/>
      <c r="E13" s="422"/>
      <c r="F13" s="21"/>
      <c r="G13" s="21"/>
      <c r="H13" s="171"/>
      <c r="I13" s="42"/>
      <c r="J13" s="42"/>
      <c r="K13" s="46"/>
      <c r="L13" s="47"/>
      <c r="M13" s="32"/>
      <c r="N13" s="425"/>
      <c r="O13" s="425"/>
      <c r="P13" s="32"/>
      <c r="Q13" s="32"/>
      <c r="R13" s="48"/>
    </row>
    <row r="14" spans="1:22" ht="20.100000000000001" customHeight="1">
      <c r="D14" s="420"/>
      <c r="E14" s="422"/>
      <c r="F14" s="42"/>
      <c r="G14" s="42"/>
      <c r="H14" s="32"/>
      <c r="I14" s="42"/>
      <c r="J14" s="42"/>
      <c r="K14" s="46"/>
      <c r="L14" s="47"/>
      <c r="M14" s="32"/>
      <c r="N14" s="425"/>
      <c r="O14" s="425"/>
      <c r="P14" s="32"/>
      <c r="Q14" s="32"/>
      <c r="R14" s="48"/>
    </row>
    <row r="15" spans="1:22" ht="20.100000000000001" customHeight="1">
      <c r="D15" s="420"/>
      <c r="E15" s="422"/>
      <c r="F15" s="42"/>
      <c r="G15" s="42"/>
      <c r="H15" s="42"/>
      <c r="I15" s="42"/>
      <c r="J15" s="42"/>
      <c r="K15" s="46"/>
      <c r="L15" s="47"/>
      <c r="M15" s="32"/>
      <c r="N15" s="425"/>
      <c r="O15" s="425"/>
      <c r="P15" s="32"/>
      <c r="Q15" s="32"/>
      <c r="R15" s="48"/>
    </row>
    <row r="16" spans="1:22" ht="20.100000000000001" customHeight="1" thickBot="1">
      <c r="D16" s="421"/>
      <c r="E16" s="423"/>
      <c r="F16" s="19"/>
      <c r="G16" s="19"/>
      <c r="H16" s="19"/>
      <c r="I16" s="19"/>
      <c r="J16" s="19"/>
      <c r="K16" s="55"/>
      <c r="L16" s="56"/>
      <c r="M16" s="26"/>
      <c r="N16" s="426"/>
      <c r="O16" s="426"/>
      <c r="P16" s="26"/>
      <c r="Q16" s="26"/>
      <c r="R16" s="51"/>
    </row>
    <row r="17" spans="4:19" ht="19.95" customHeight="1">
      <c r="D17" s="415" t="s">
        <v>56</v>
      </c>
      <c r="E17" s="417" t="s">
        <v>72</v>
      </c>
      <c r="F17" s="417" t="s">
        <v>73</v>
      </c>
      <c r="G17" s="417" t="s">
        <v>80</v>
      </c>
      <c r="H17" s="417" t="s">
        <v>81</v>
      </c>
      <c r="I17" s="62"/>
      <c r="J17" s="62"/>
      <c r="K17" s="67"/>
      <c r="L17" s="397" t="s">
        <v>348</v>
      </c>
      <c r="M17" s="398"/>
      <c r="N17" s="398"/>
      <c r="O17" s="398"/>
      <c r="P17" s="398" t="s">
        <v>349</v>
      </c>
      <c r="Q17" s="398"/>
      <c r="R17" s="399"/>
    </row>
    <row r="18" spans="4:19" ht="20.100000000000001" customHeight="1" thickBot="1">
      <c r="D18" s="416"/>
      <c r="E18" s="418"/>
      <c r="F18" s="418"/>
      <c r="G18" s="418"/>
      <c r="H18" s="418"/>
      <c r="I18" s="63"/>
      <c r="J18" s="63"/>
      <c r="K18" s="68"/>
      <c r="L18" s="69" t="s">
        <v>76</v>
      </c>
      <c r="M18" s="65" t="s">
        <v>77</v>
      </c>
      <c r="N18" s="400" t="s">
        <v>78</v>
      </c>
      <c r="O18" s="400"/>
      <c r="P18" s="64" t="s">
        <v>76</v>
      </c>
      <c r="Q18" s="65" t="s">
        <v>77</v>
      </c>
      <c r="R18" s="66" t="s">
        <v>79</v>
      </c>
    </row>
    <row r="19" spans="4:19" ht="20.100000000000001" customHeight="1">
      <c r="D19" s="404" t="s">
        <v>66</v>
      </c>
      <c r="E19" s="406" t="s">
        <v>67</v>
      </c>
      <c r="F19" s="465" t="s">
        <v>340</v>
      </c>
      <c r="G19" s="140" t="s">
        <v>343</v>
      </c>
      <c r="H19" s="94" t="s">
        <v>729</v>
      </c>
      <c r="I19" s="140"/>
      <c r="J19" s="140"/>
      <c r="K19" s="158"/>
      <c r="L19" s="159"/>
      <c r="M19" s="148"/>
      <c r="N19" s="462"/>
      <c r="O19" s="462"/>
      <c r="P19" s="148"/>
      <c r="Q19" s="148"/>
      <c r="R19" s="45"/>
    </row>
    <row r="20" spans="4:19" ht="20.100000000000001" customHeight="1">
      <c r="D20" s="405"/>
      <c r="E20" s="407"/>
      <c r="F20" s="452"/>
      <c r="G20" s="16" t="s">
        <v>344</v>
      </c>
      <c r="H20" s="348" t="s">
        <v>726</v>
      </c>
      <c r="I20" s="16"/>
      <c r="J20" s="16"/>
      <c r="K20" s="46"/>
      <c r="L20" s="47"/>
      <c r="M20" s="49"/>
      <c r="N20" s="403"/>
      <c r="O20" s="403"/>
      <c r="P20" s="49"/>
      <c r="Q20" s="49"/>
      <c r="R20" s="48"/>
    </row>
    <row r="21" spans="4:19" ht="20.100000000000001" customHeight="1">
      <c r="D21" s="405"/>
      <c r="E21" s="408"/>
      <c r="F21" s="453"/>
      <c r="G21" s="22" t="s">
        <v>718</v>
      </c>
      <c r="H21" s="595"/>
      <c r="I21" s="98"/>
      <c r="J21" s="16"/>
      <c r="K21" s="16"/>
      <c r="L21" s="16"/>
      <c r="M21" s="90"/>
      <c r="N21" s="49"/>
      <c r="O21" s="347"/>
      <c r="P21" s="347"/>
      <c r="Q21" s="49"/>
      <c r="R21" s="49"/>
      <c r="S21" s="48"/>
    </row>
    <row r="22" spans="4:19" ht="20.100000000000001" customHeight="1">
      <c r="D22" s="405"/>
      <c r="E22" s="407"/>
      <c r="F22" s="403" t="s">
        <v>394</v>
      </c>
      <c r="G22" s="16" t="s">
        <v>343</v>
      </c>
      <c r="H22" s="348" t="s">
        <v>734</v>
      </c>
      <c r="I22" s="16"/>
      <c r="J22" s="16"/>
      <c r="K22" s="46"/>
      <c r="L22" s="160"/>
      <c r="M22" s="49"/>
      <c r="N22" s="403"/>
      <c r="O22" s="403"/>
      <c r="P22" s="49"/>
      <c r="Q22" s="49"/>
      <c r="R22" s="48"/>
    </row>
    <row r="23" spans="4:19" ht="20.100000000000001" customHeight="1">
      <c r="D23" s="405"/>
      <c r="E23" s="407"/>
      <c r="F23" s="403"/>
      <c r="G23" s="16" t="s">
        <v>344</v>
      </c>
      <c r="H23" s="595" t="s">
        <v>735</v>
      </c>
      <c r="I23" s="16"/>
      <c r="J23" s="16"/>
      <c r="K23" s="46"/>
      <c r="L23" s="47"/>
      <c r="M23" s="49"/>
      <c r="N23" s="403"/>
      <c r="O23" s="403"/>
      <c r="P23" s="49"/>
      <c r="Q23" s="49"/>
      <c r="R23" s="48"/>
    </row>
    <row r="24" spans="4:19" ht="20.100000000000001" customHeight="1">
      <c r="D24" s="405"/>
      <c r="E24" s="407"/>
      <c r="F24" s="403"/>
      <c r="G24" s="16" t="s">
        <v>345</v>
      </c>
      <c r="H24" s="595"/>
      <c r="I24" s="16"/>
      <c r="J24" s="16"/>
      <c r="K24" s="46"/>
      <c r="L24" s="47"/>
      <c r="M24" s="49"/>
      <c r="N24" s="403"/>
      <c r="O24" s="403"/>
      <c r="P24" s="49"/>
      <c r="Q24" s="49"/>
      <c r="R24" s="48"/>
    </row>
    <row r="25" spans="4:19" ht="20.100000000000001" customHeight="1">
      <c r="D25" s="405"/>
      <c r="E25" s="407"/>
      <c r="F25" s="403"/>
      <c r="G25" s="16" t="s">
        <v>346</v>
      </c>
      <c r="H25" s="85"/>
      <c r="I25" s="16"/>
      <c r="J25" s="16"/>
      <c r="K25" s="46"/>
      <c r="L25" s="47"/>
      <c r="M25" s="49"/>
      <c r="N25" s="403"/>
      <c r="O25" s="403"/>
      <c r="P25" s="49"/>
      <c r="Q25" s="49"/>
      <c r="R25" s="48"/>
    </row>
    <row r="26" spans="4:19" ht="20.100000000000001" customHeight="1">
      <c r="D26" s="405"/>
      <c r="E26" s="407"/>
      <c r="F26" s="450" t="s">
        <v>347</v>
      </c>
      <c r="G26" s="450" t="s">
        <v>679</v>
      </c>
      <c r="H26" s="348" t="s">
        <v>676</v>
      </c>
      <c r="I26" s="596">
        <v>33</v>
      </c>
      <c r="J26" s="16"/>
      <c r="K26" s="46"/>
      <c r="L26" s="160"/>
      <c r="M26" s="49"/>
      <c r="N26" s="403"/>
      <c r="O26" s="403"/>
      <c r="P26" s="49"/>
      <c r="Q26" s="49"/>
      <c r="R26" s="48"/>
    </row>
    <row r="27" spans="4:19" ht="20.100000000000001" customHeight="1">
      <c r="D27" s="405"/>
      <c r="E27" s="407"/>
      <c r="F27" s="451"/>
      <c r="G27" s="451"/>
      <c r="H27" s="348" t="s">
        <v>677</v>
      </c>
      <c r="I27" s="596">
        <v>34</v>
      </c>
      <c r="J27" s="16"/>
      <c r="K27" s="46"/>
      <c r="L27" s="160"/>
      <c r="M27" s="49"/>
      <c r="N27" s="403"/>
      <c r="O27" s="403"/>
      <c r="P27" s="49"/>
      <c r="Q27" s="49"/>
      <c r="R27" s="48"/>
    </row>
    <row r="28" spans="4:19" ht="20.100000000000001" customHeight="1">
      <c r="D28" s="405"/>
      <c r="E28" s="407"/>
      <c r="F28" s="451"/>
      <c r="G28" s="451"/>
      <c r="H28" s="85" t="s">
        <v>152</v>
      </c>
      <c r="I28" s="596">
        <v>35</v>
      </c>
      <c r="J28" s="16"/>
      <c r="K28" s="46"/>
      <c r="L28" s="160"/>
      <c r="M28" s="49"/>
      <c r="N28" s="403"/>
      <c r="O28" s="403"/>
      <c r="P28" s="49"/>
      <c r="Q28" s="49"/>
      <c r="R28" s="48"/>
    </row>
    <row r="29" spans="4:19" ht="20.100000000000001" customHeight="1">
      <c r="D29" s="405"/>
      <c r="E29" s="407"/>
      <c r="F29" s="451"/>
      <c r="G29" s="451"/>
      <c r="H29" s="85" t="s">
        <v>191</v>
      </c>
      <c r="I29" s="596">
        <v>36</v>
      </c>
      <c r="J29" s="16"/>
      <c r="K29" s="46"/>
      <c r="L29" s="160"/>
      <c r="M29" s="49"/>
      <c r="N29" s="403"/>
      <c r="O29" s="403"/>
      <c r="P29" s="49"/>
      <c r="Q29" s="49"/>
      <c r="R29" s="48"/>
    </row>
    <row r="30" spans="4:19" ht="20.100000000000001" customHeight="1">
      <c r="D30" s="405"/>
      <c r="E30" s="407"/>
      <c r="F30" s="451"/>
      <c r="G30" s="451"/>
      <c r="H30" s="348" t="s">
        <v>192</v>
      </c>
      <c r="I30" s="596">
        <v>37</v>
      </c>
      <c r="J30" s="16"/>
      <c r="K30" s="46"/>
      <c r="L30" s="160"/>
      <c r="M30" s="49"/>
      <c r="N30" s="403"/>
      <c r="O30" s="403"/>
      <c r="P30" s="49"/>
      <c r="Q30" s="49"/>
      <c r="R30" s="48"/>
    </row>
    <row r="31" spans="4:19" ht="20.100000000000001" customHeight="1">
      <c r="D31" s="405"/>
      <c r="E31" s="407"/>
      <c r="F31" s="451"/>
      <c r="G31" s="451"/>
      <c r="H31" s="348" t="s">
        <v>683</v>
      </c>
      <c r="I31" s="596">
        <v>38</v>
      </c>
      <c r="J31" s="16"/>
      <c r="K31" s="46"/>
      <c r="L31" s="160"/>
      <c r="M31" s="49"/>
      <c r="N31" s="403"/>
      <c r="O31" s="403"/>
      <c r="P31" s="49"/>
      <c r="Q31" s="49"/>
      <c r="R31" s="48"/>
    </row>
    <row r="32" spans="4:19" ht="20.100000000000001" customHeight="1">
      <c r="D32" s="405"/>
      <c r="E32" s="407"/>
      <c r="F32" s="451"/>
      <c r="G32" s="451"/>
      <c r="H32" s="348" t="s">
        <v>685</v>
      </c>
      <c r="I32" s="596">
        <v>39</v>
      </c>
      <c r="J32" s="16"/>
      <c r="K32" s="46"/>
      <c r="L32" s="160"/>
      <c r="M32" s="49"/>
      <c r="N32" s="403"/>
      <c r="O32" s="403"/>
      <c r="P32" s="49"/>
      <c r="Q32" s="49"/>
      <c r="R32" s="48"/>
    </row>
    <row r="33" spans="4:18" ht="20.100000000000001" customHeight="1">
      <c r="D33" s="405"/>
      <c r="E33" s="407"/>
      <c r="F33" s="451"/>
      <c r="G33" s="451"/>
      <c r="H33" s="348" t="s">
        <v>684</v>
      </c>
      <c r="I33" s="596">
        <v>40</v>
      </c>
      <c r="J33" s="16"/>
      <c r="K33" s="46"/>
      <c r="L33" s="160"/>
      <c r="M33" s="49"/>
      <c r="N33" s="403"/>
      <c r="O33" s="403"/>
      <c r="P33" s="49"/>
      <c r="Q33" s="49"/>
      <c r="R33" s="48"/>
    </row>
    <row r="34" spans="4:18" ht="20.100000000000001" hidden="1" customHeight="1">
      <c r="D34" s="405"/>
      <c r="E34" s="407"/>
      <c r="F34" s="451"/>
      <c r="G34" s="451"/>
      <c r="H34" s="348" t="s">
        <v>148</v>
      </c>
      <c r="I34" s="596"/>
      <c r="J34" s="16"/>
      <c r="K34" s="46"/>
      <c r="L34" s="160"/>
      <c r="M34" s="49"/>
      <c r="N34" s="403"/>
      <c r="O34" s="403"/>
      <c r="P34" s="49"/>
      <c r="Q34" s="49"/>
      <c r="R34" s="48"/>
    </row>
    <row r="35" spans="4:18" ht="20.100000000000001" hidden="1" customHeight="1">
      <c r="D35" s="405"/>
      <c r="E35" s="407"/>
      <c r="F35" s="451"/>
      <c r="G35" s="451"/>
      <c r="H35" s="348" t="s">
        <v>149</v>
      </c>
      <c r="I35" s="596"/>
      <c r="J35" s="16"/>
      <c r="K35" s="46"/>
      <c r="L35" s="160"/>
      <c r="M35" s="49"/>
      <c r="N35" s="403"/>
      <c r="O35" s="403"/>
      <c r="P35" s="49"/>
      <c r="Q35" s="49"/>
      <c r="R35" s="48"/>
    </row>
    <row r="36" spans="4:18" ht="20.100000000000001" hidden="1" customHeight="1">
      <c r="D36" s="405"/>
      <c r="E36" s="407"/>
      <c r="F36" s="451"/>
      <c r="G36" s="451"/>
      <c r="H36" s="348" t="s">
        <v>150</v>
      </c>
      <c r="I36" s="596"/>
      <c r="J36" s="16"/>
      <c r="K36" s="46"/>
      <c r="L36" s="160"/>
      <c r="M36" s="49"/>
      <c r="N36" s="403"/>
      <c r="O36" s="403"/>
      <c r="P36" s="49"/>
      <c r="Q36" s="49"/>
      <c r="R36" s="48"/>
    </row>
    <row r="37" spans="4:18" ht="20.100000000000001" hidden="1" customHeight="1">
      <c r="D37" s="405"/>
      <c r="E37" s="407"/>
      <c r="F37" s="451"/>
      <c r="G37" s="451"/>
      <c r="H37" s="348" t="s">
        <v>133</v>
      </c>
      <c r="I37" s="596"/>
      <c r="J37" s="16"/>
      <c r="K37" s="46"/>
      <c r="L37" s="160"/>
      <c r="M37" s="49"/>
      <c r="N37" s="403"/>
      <c r="O37" s="403"/>
      <c r="P37" s="49"/>
      <c r="Q37" s="49"/>
      <c r="R37" s="48"/>
    </row>
    <row r="38" spans="4:18" ht="20.100000000000001" hidden="1" customHeight="1">
      <c r="D38" s="405"/>
      <c r="E38" s="407"/>
      <c r="F38" s="451"/>
      <c r="G38" s="451"/>
      <c r="H38" s="348" t="s">
        <v>134</v>
      </c>
      <c r="I38" s="596"/>
      <c r="J38" s="16"/>
      <c r="K38" s="46"/>
      <c r="L38" s="160"/>
      <c r="M38" s="49"/>
      <c r="N38" s="403"/>
      <c r="O38" s="403"/>
      <c r="P38" s="49"/>
      <c r="Q38" s="49"/>
      <c r="R38" s="48"/>
    </row>
    <row r="39" spans="4:18" ht="20.100000000000001" hidden="1" customHeight="1">
      <c r="D39" s="405"/>
      <c r="E39" s="407"/>
      <c r="F39" s="451"/>
      <c r="G39" s="451"/>
      <c r="H39" s="348" t="s">
        <v>135</v>
      </c>
      <c r="I39" s="596"/>
      <c r="J39" s="16"/>
      <c r="K39" s="46"/>
      <c r="L39" s="160"/>
      <c r="M39" s="49"/>
      <c r="N39" s="403"/>
      <c r="O39" s="403"/>
      <c r="P39" s="49"/>
      <c r="Q39" s="49"/>
      <c r="R39" s="48"/>
    </row>
    <row r="40" spans="4:18" ht="20.100000000000001" hidden="1" customHeight="1">
      <c r="D40" s="405"/>
      <c r="E40" s="407"/>
      <c r="F40" s="451"/>
      <c r="G40" s="451"/>
      <c r="H40" s="348" t="s">
        <v>136</v>
      </c>
      <c r="I40" s="596"/>
      <c r="J40" s="16"/>
      <c r="K40" s="46"/>
      <c r="L40" s="160"/>
      <c r="M40" s="49"/>
      <c r="N40" s="403"/>
      <c r="O40" s="403"/>
      <c r="P40" s="49"/>
      <c r="Q40" s="49"/>
      <c r="R40" s="48"/>
    </row>
    <row r="41" spans="4:18" ht="20.100000000000001" hidden="1" customHeight="1">
      <c r="D41" s="405"/>
      <c r="E41" s="407"/>
      <c r="F41" s="453"/>
      <c r="G41" s="453"/>
      <c r="H41" s="348" t="s">
        <v>137</v>
      </c>
      <c r="I41" s="596"/>
      <c r="J41" s="16"/>
      <c r="K41" s="46"/>
      <c r="L41" s="160"/>
      <c r="M41" s="49"/>
      <c r="N41" s="403"/>
      <c r="O41" s="403"/>
      <c r="P41" s="49"/>
      <c r="Q41" s="49"/>
      <c r="R41" s="48"/>
    </row>
    <row r="42" spans="4:18" ht="20.100000000000001" customHeight="1">
      <c r="D42" s="405"/>
      <c r="E42" s="407"/>
      <c r="F42" s="450" t="s">
        <v>347</v>
      </c>
      <c r="G42" s="450" t="s">
        <v>680</v>
      </c>
      <c r="H42" s="348" t="s">
        <v>296</v>
      </c>
      <c r="I42" s="596">
        <v>17</v>
      </c>
      <c r="J42" s="16"/>
      <c r="K42" s="46"/>
      <c r="L42" s="160"/>
      <c r="M42" s="49"/>
      <c r="N42" s="403"/>
      <c r="O42" s="403"/>
      <c r="P42" s="49"/>
      <c r="Q42" s="49"/>
      <c r="R42" s="48"/>
    </row>
    <row r="43" spans="4:18" ht="20.100000000000001" customHeight="1">
      <c r="D43" s="405"/>
      <c r="E43" s="407"/>
      <c r="F43" s="451"/>
      <c r="G43" s="451"/>
      <c r="H43" s="348" t="s">
        <v>297</v>
      </c>
      <c r="I43" s="596">
        <v>18</v>
      </c>
      <c r="J43" s="16"/>
      <c r="K43" s="46"/>
      <c r="L43" s="160"/>
      <c r="M43" s="49"/>
      <c r="N43" s="403"/>
      <c r="O43" s="403"/>
      <c r="P43" s="49"/>
      <c r="Q43" s="49"/>
      <c r="R43" s="48"/>
    </row>
    <row r="44" spans="4:18" ht="20.100000000000001" customHeight="1">
      <c r="D44" s="405"/>
      <c r="E44" s="407"/>
      <c r="F44" s="451"/>
      <c r="G44" s="451"/>
      <c r="H44" s="348" t="s">
        <v>298</v>
      </c>
      <c r="I44" s="596">
        <v>19</v>
      </c>
      <c r="J44" s="16"/>
      <c r="K44" s="46"/>
      <c r="L44" s="160"/>
      <c r="M44" s="49"/>
      <c r="N44" s="403"/>
      <c r="O44" s="403"/>
      <c r="P44" s="49"/>
      <c r="Q44" s="49"/>
      <c r="R44" s="48"/>
    </row>
    <row r="45" spans="4:18" ht="20.100000000000001" customHeight="1">
      <c r="D45" s="405"/>
      <c r="E45" s="407"/>
      <c r="F45" s="451"/>
      <c r="G45" s="451"/>
      <c r="H45" s="348" t="s">
        <v>299</v>
      </c>
      <c r="I45" s="596">
        <v>20</v>
      </c>
      <c r="J45" s="16"/>
      <c r="K45" s="46"/>
      <c r="L45" s="160"/>
      <c r="M45" s="49"/>
      <c r="N45" s="403"/>
      <c r="O45" s="403"/>
      <c r="P45" s="49"/>
      <c r="Q45" s="49"/>
      <c r="R45" s="48"/>
    </row>
    <row r="46" spans="4:18" ht="20.100000000000001" customHeight="1">
      <c r="D46" s="405"/>
      <c r="E46" s="407"/>
      <c r="F46" s="451"/>
      <c r="G46" s="451"/>
      <c r="H46" s="348" t="s">
        <v>682</v>
      </c>
      <c r="I46" s="596">
        <v>21</v>
      </c>
      <c r="J46" s="16"/>
      <c r="K46" s="46"/>
      <c r="L46" s="160"/>
      <c r="M46" s="49"/>
      <c r="N46" s="403"/>
      <c r="O46" s="403"/>
      <c r="P46" s="49"/>
      <c r="Q46" s="49"/>
      <c r="R46" s="48"/>
    </row>
    <row r="47" spans="4:18" ht="20.100000000000001" customHeight="1">
      <c r="D47" s="405"/>
      <c r="E47" s="407"/>
      <c r="F47" s="451"/>
      <c r="G47" s="451"/>
      <c r="H47" s="348" t="s">
        <v>188</v>
      </c>
      <c r="I47" s="596">
        <v>22</v>
      </c>
      <c r="J47" s="16"/>
      <c r="K47" s="46"/>
      <c r="L47" s="160"/>
      <c r="M47" s="49"/>
      <c r="N47" s="403"/>
      <c r="O47" s="403"/>
      <c r="P47" s="49"/>
      <c r="Q47" s="49"/>
      <c r="R47" s="48"/>
    </row>
    <row r="48" spans="4:18" ht="20.100000000000001" customHeight="1">
      <c r="D48" s="405"/>
      <c r="E48" s="407"/>
      <c r="F48" s="451"/>
      <c r="G48" s="451"/>
      <c r="H48" s="348" t="s">
        <v>189</v>
      </c>
      <c r="I48" s="596">
        <v>23</v>
      </c>
      <c r="J48" s="16"/>
      <c r="K48" s="46"/>
      <c r="L48" s="160"/>
      <c r="M48" s="49"/>
      <c r="N48" s="403"/>
      <c r="O48" s="403"/>
      <c r="P48" s="49"/>
      <c r="Q48" s="49"/>
      <c r="R48" s="48"/>
    </row>
    <row r="49" spans="4:18" ht="20.100000000000001" customHeight="1">
      <c r="D49" s="405"/>
      <c r="E49" s="407"/>
      <c r="F49" s="451"/>
      <c r="G49" s="451"/>
      <c r="H49" s="348" t="s">
        <v>681</v>
      </c>
      <c r="I49" s="596">
        <v>24</v>
      </c>
      <c r="J49" s="16"/>
      <c r="K49" s="46"/>
      <c r="L49" s="160"/>
      <c r="M49" s="49"/>
      <c r="N49" s="403"/>
      <c r="O49" s="403"/>
      <c r="P49" s="49"/>
      <c r="Q49" s="49"/>
      <c r="R49" s="48"/>
    </row>
    <row r="50" spans="4:18" ht="20.100000000000001" customHeight="1">
      <c r="D50" s="405"/>
      <c r="E50" s="407"/>
      <c r="F50" s="451"/>
      <c r="G50" s="451"/>
      <c r="H50" s="348" t="s">
        <v>693</v>
      </c>
      <c r="I50" s="596">
        <v>25</v>
      </c>
      <c r="J50" s="16"/>
      <c r="K50" s="46"/>
      <c r="L50" s="160"/>
      <c r="M50" s="49"/>
      <c r="N50" s="403"/>
      <c r="O50" s="403"/>
      <c r="P50" s="49"/>
      <c r="Q50" s="49"/>
      <c r="R50" s="48"/>
    </row>
    <row r="51" spans="4:18" ht="20.100000000000001" customHeight="1">
      <c r="D51" s="405"/>
      <c r="E51" s="407"/>
      <c r="F51" s="451"/>
      <c r="G51" s="451"/>
      <c r="H51" s="348" t="s">
        <v>694</v>
      </c>
      <c r="I51" s="596">
        <v>26</v>
      </c>
      <c r="J51" s="16"/>
      <c r="K51" s="46"/>
      <c r="L51" s="160"/>
      <c r="M51" s="49"/>
      <c r="N51" s="403"/>
      <c r="O51" s="403"/>
      <c r="P51" s="49"/>
      <c r="Q51" s="49"/>
      <c r="R51" s="48"/>
    </row>
    <row r="52" spans="4:18" ht="20.100000000000001" customHeight="1">
      <c r="D52" s="405"/>
      <c r="E52" s="407"/>
      <c r="F52" s="451"/>
      <c r="G52" s="451"/>
      <c r="H52" s="348" t="s">
        <v>695</v>
      </c>
      <c r="I52" s="596">
        <v>27</v>
      </c>
      <c r="J52" s="16"/>
      <c r="K52" s="46"/>
      <c r="L52" s="160"/>
      <c r="M52" s="49"/>
      <c r="N52" s="403"/>
      <c r="O52" s="403"/>
      <c r="P52" s="49"/>
      <c r="Q52" s="49"/>
      <c r="R52" s="48"/>
    </row>
    <row r="53" spans="4:18" ht="20.100000000000001" customHeight="1">
      <c r="D53" s="405"/>
      <c r="E53" s="407"/>
      <c r="F53" s="451"/>
      <c r="G53" s="451"/>
      <c r="H53" s="348" t="s">
        <v>696</v>
      </c>
      <c r="I53" s="596">
        <v>28</v>
      </c>
      <c r="J53" s="16"/>
      <c r="K53" s="46"/>
      <c r="L53" s="160"/>
      <c r="M53" s="49"/>
      <c r="N53" s="403"/>
      <c r="O53" s="403"/>
      <c r="P53" s="49"/>
      <c r="Q53" s="49"/>
      <c r="R53" s="48"/>
    </row>
    <row r="54" spans="4:18" ht="20.100000000000001" customHeight="1">
      <c r="D54" s="405"/>
      <c r="E54" s="407"/>
      <c r="F54" s="451"/>
      <c r="G54" s="451"/>
      <c r="H54" s="348" t="s">
        <v>697</v>
      </c>
      <c r="I54" s="596">
        <v>29</v>
      </c>
      <c r="J54" s="16"/>
      <c r="K54" s="46"/>
      <c r="L54" s="160"/>
      <c r="M54" s="49"/>
      <c r="N54" s="403"/>
      <c r="O54" s="403"/>
      <c r="P54" s="49"/>
      <c r="Q54" s="49"/>
      <c r="R54" s="48"/>
    </row>
    <row r="55" spans="4:18" ht="20.100000000000001" customHeight="1">
      <c r="D55" s="405"/>
      <c r="E55" s="407"/>
      <c r="F55" s="451"/>
      <c r="G55" s="451"/>
      <c r="H55" s="348" t="s">
        <v>698</v>
      </c>
      <c r="I55" s="596">
        <v>30</v>
      </c>
      <c r="J55" s="16"/>
      <c r="K55" s="46"/>
      <c r="L55" s="160"/>
      <c r="M55" s="49"/>
      <c r="N55" s="403"/>
      <c r="O55" s="403"/>
      <c r="P55" s="49"/>
      <c r="Q55" s="49"/>
      <c r="R55" s="48"/>
    </row>
    <row r="56" spans="4:18" ht="20.100000000000001" customHeight="1">
      <c r="D56" s="405"/>
      <c r="E56" s="407"/>
      <c r="F56" s="451"/>
      <c r="G56" s="451"/>
      <c r="H56" s="348" t="s">
        <v>699</v>
      </c>
      <c r="I56" s="596">
        <v>31</v>
      </c>
      <c r="J56" s="16"/>
      <c r="K56" s="46"/>
      <c r="L56" s="160"/>
      <c r="M56" s="49"/>
      <c r="N56" s="403"/>
      <c r="O56" s="403"/>
      <c r="P56" s="49"/>
      <c r="Q56" s="49"/>
      <c r="R56" s="48"/>
    </row>
    <row r="57" spans="4:18" ht="20.100000000000001" customHeight="1">
      <c r="D57" s="405"/>
      <c r="E57" s="407"/>
      <c r="F57" s="453"/>
      <c r="G57" s="453"/>
      <c r="H57" s="348" t="s">
        <v>700</v>
      </c>
      <c r="I57" s="596">
        <v>32</v>
      </c>
      <c r="J57" s="16"/>
      <c r="K57" s="46"/>
      <c r="L57" s="160"/>
      <c r="M57" s="49"/>
      <c r="N57" s="403"/>
      <c r="O57" s="403"/>
      <c r="P57" s="49"/>
      <c r="Q57" s="49"/>
      <c r="R57" s="48"/>
    </row>
    <row r="58" spans="4:18" ht="20.100000000000001" customHeight="1">
      <c r="D58" s="405"/>
      <c r="E58" s="407"/>
      <c r="F58" s="455" t="s">
        <v>355</v>
      </c>
      <c r="G58" s="16" t="s">
        <v>343</v>
      </c>
      <c r="H58" s="348" t="s">
        <v>372</v>
      </c>
      <c r="I58" s="16"/>
      <c r="J58" s="16"/>
      <c r="K58" s="46"/>
      <c r="L58" s="47"/>
      <c r="M58" s="49"/>
      <c r="N58" s="403"/>
      <c r="O58" s="403"/>
      <c r="P58" s="49"/>
      <c r="Q58" s="49"/>
      <c r="R58" s="48"/>
    </row>
    <row r="59" spans="4:18" ht="20.100000000000001" customHeight="1">
      <c r="D59" s="405"/>
      <c r="E59" s="407"/>
      <c r="F59" s="451"/>
      <c r="G59" s="16" t="s">
        <v>344</v>
      </c>
      <c r="H59" s="348" t="s">
        <v>522</v>
      </c>
      <c r="I59" s="16"/>
      <c r="J59" s="16"/>
      <c r="K59" s="46"/>
      <c r="L59" s="47"/>
      <c r="M59" s="49"/>
      <c r="N59" s="403"/>
      <c r="O59" s="403"/>
      <c r="P59" s="49"/>
      <c r="Q59" s="49"/>
      <c r="R59" s="48"/>
    </row>
    <row r="60" spans="4:18" ht="20.100000000000001" customHeight="1">
      <c r="D60" s="405"/>
      <c r="E60" s="407"/>
      <c r="F60" s="451"/>
      <c r="G60" s="16" t="s">
        <v>345</v>
      </c>
      <c r="H60" s="348" t="s">
        <v>373</v>
      </c>
      <c r="I60" s="16"/>
      <c r="J60" s="16"/>
      <c r="K60" s="46"/>
      <c r="L60" s="47"/>
      <c r="M60" s="49"/>
      <c r="N60" s="403"/>
      <c r="O60" s="403"/>
      <c r="P60" s="49"/>
      <c r="Q60" s="49"/>
      <c r="R60" s="48"/>
    </row>
    <row r="61" spans="4:18" ht="20.100000000000001" customHeight="1">
      <c r="D61" s="405"/>
      <c r="E61" s="407"/>
      <c r="F61" s="453"/>
      <c r="G61" s="16" t="s">
        <v>346</v>
      </c>
      <c r="H61" s="348" t="s">
        <v>523</v>
      </c>
      <c r="I61" s="16"/>
      <c r="J61" s="16"/>
      <c r="K61" s="46"/>
      <c r="L61" s="47"/>
      <c r="M61" s="49"/>
      <c r="N61" s="403"/>
      <c r="O61" s="403"/>
      <c r="P61" s="49"/>
      <c r="Q61" s="49"/>
      <c r="R61" s="48"/>
    </row>
    <row r="62" spans="4:18" ht="20.100000000000001" customHeight="1">
      <c r="D62" s="464">
        <v>2</v>
      </c>
      <c r="E62" s="463" t="s">
        <v>142</v>
      </c>
      <c r="F62" s="140" t="s">
        <v>383</v>
      </c>
      <c r="G62" s="16" t="s">
        <v>145</v>
      </c>
      <c r="H62" s="350"/>
      <c r="I62" s="16"/>
      <c r="J62" s="16"/>
      <c r="K62" s="46"/>
      <c r="L62" s="47"/>
      <c r="M62" s="49"/>
      <c r="N62" s="403"/>
      <c r="O62" s="403"/>
      <c r="P62" s="49"/>
      <c r="Q62" s="49"/>
      <c r="R62" s="48"/>
    </row>
    <row r="63" spans="4:18" ht="20.100000000000001" customHeight="1">
      <c r="D63" s="433"/>
      <c r="E63" s="407"/>
      <c r="F63" s="140" t="s">
        <v>143</v>
      </c>
      <c r="G63" s="161" t="s">
        <v>144</v>
      </c>
      <c r="H63" s="351" t="s">
        <v>381</v>
      </c>
      <c r="I63" s="16"/>
      <c r="J63" s="16"/>
      <c r="K63" s="46"/>
      <c r="L63" s="47"/>
      <c r="M63" s="49"/>
      <c r="N63" s="403"/>
      <c r="O63" s="403"/>
      <c r="P63" s="49"/>
      <c r="Q63" s="49"/>
      <c r="R63" s="48"/>
    </row>
    <row r="64" spans="4:18" ht="20.100000000000001" customHeight="1">
      <c r="D64" s="433"/>
      <c r="E64" s="407"/>
      <c r="F64" s="140" t="s">
        <v>384</v>
      </c>
      <c r="G64" s="161" t="s">
        <v>146</v>
      </c>
      <c r="H64" s="351" t="s">
        <v>382</v>
      </c>
      <c r="I64" s="16"/>
      <c r="J64" s="16"/>
      <c r="K64" s="46"/>
      <c r="L64" s="47"/>
      <c r="M64" s="49"/>
      <c r="N64" s="403"/>
      <c r="O64" s="403"/>
      <c r="P64" s="49"/>
      <c r="Q64" s="49"/>
      <c r="R64" s="48"/>
    </row>
    <row r="65" spans="4:18" ht="20.100000000000001" customHeight="1">
      <c r="D65" s="433"/>
      <c r="E65" s="407"/>
      <c r="F65" s="140" t="s">
        <v>377</v>
      </c>
      <c r="G65" s="161" t="s">
        <v>138</v>
      </c>
      <c r="H65" s="15" t="s">
        <v>387</v>
      </c>
      <c r="I65" s="16"/>
      <c r="J65" s="16"/>
      <c r="K65" s="46"/>
      <c r="L65" s="47"/>
      <c r="M65" s="49"/>
      <c r="N65" s="403"/>
      <c r="O65" s="403"/>
      <c r="P65" s="49"/>
      <c r="Q65" s="49"/>
      <c r="R65" s="48"/>
    </row>
    <row r="66" spans="4:18" ht="20.100000000000001" customHeight="1">
      <c r="D66" s="433"/>
      <c r="E66" s="407"/>
      <c r="F66" s="140" t="s">
        <v>378</v>
      </c>
      <c r="G66" s="161" t="s">
        <v>138</v>
      </c>
      <c r="H66" s="15" t="s">
        <v>387</v>
      </c>
      <c r="I66" s="16"/>
      <c r="J66" s="16"/>
      <c r="K66" s="46"/>
      <c r="L66" s="47"/>
      <c r="M66" s="49"/>
      <c r="N66" s="403"/>
      <c r="O66" s="403"/>
      <c r="P66" s="49"/>
      <c r="Q66" s="49"/>
      <c r="R66" s="48"/>
    </row>
    <row r="67" spans="4:18" ht="20.100000000000001" customHeight="1">
      <c r="D67" s="433"/>
      <c r="E67" s="407"/>
      <c r="F67" s="140" t="s">
        <v>379</v>
      </c>
      <c r="G67" s="161" t="s">
        <v>138</v>
      </c>
      <c r="H67" s="15" t="s">
        <v>387</v>
      </c>
      <c r="I67" s="16"/>
      <c r="J67" s="16"/>
      <c r="K67" s="46"/>
      <c r="L67" s="47"/>
      <c r="M67" s="49"/>
      <c r="N67" s="403"/>
      <c r="O67" s="403"/>
      <c r="P67" s="49"/>
      <c r="Q67" s="49"/>
      <c r="R67" s="48"/>
    </row>
    <row r="68" spans="4:18" ht="20.100000000000001" customHeight="1">
      <c r="D68" s="433"/>
      <c r="E68" s="407"/>
      <c r="F68" s="140" t="s">
        <v>380</v>
      </c>
      <c r="G68" s="161" t="s">
        <v>138</v>
      </c>
      <c r="H68" s="15" t="s">
        <v>387</v>
      </c>
      <c r="I68" s="16"/>
      <c r="J68" s="16"/>
      <c r="K68" s="46"/>
      <c r="M68" s="49"/>
      <c r="N68" s="403"/>
      <c r="O68" s="403"/>
      <c r="P68" s="49"/>
      <c r="Q68" s="49"/>
      <c r="R68" s="48"/>
    </row>
    <row r="69" spans="4:18" ht="20.100000000000001" customHeight="1">
      <c r="D69" s="433"/>
      <c r="E69" s="407"/>
      <c r="F69" s="140" t="s">
        <v>674</v>
      </c>
      <c r="G69" s="161" t="s">
        <v>140</v>
      </c>
      <c r="H69" s="15" t="s">
        <v>390</v>
      </c>
      <c r="I69" s="16"/>
      <c r="J69" s="16"/>
      <c r="K69" s="46"/>
      <c r="L69" s="160"/>
      <c r="M69" s="49"/>
      <c r="N69" s="403"/>
      <c r="O69" s="403"/>
      <c r="P69" s="49"/>
      <c r="Q69" s="49"/>
      <c r="R69" s="48"/>
    </row>
    <row r="70" spans="4:18" ht="20.100000000000001" customHeight="1">
      <c r="D70" s="433"/>
      <c r="E70" s="407"/>
      <c r="F70" s="140" t="s">
        <v>675</v>
      </c>
      <c r="G70" s="16" t="s">
        <v>139</v>
      </c>
      <c r="H70" s="15" t="s">
        <v>391</v>
      </c>
      <c r="I70" s="16"/>
      <c r="J70" s="16"/>
      <c r="K70" s="46"/>
      <c r="L70" s="47"/>
      <c r="M70" s="49"/>
      <c r="N70" s="403"/>
      <c r="O70" s="403"/>
      <c r="P70" s="49"/>
      <c r="Q70" s="49"/>
      <c r="R70" s="48"/>
    </row>
    <row r="71" spans="4:18" ht="20.100000000000001" customHeight="1">
      <c r="D71" s="433"/>
      <c r="E71" s="407"/>
      <c r="F71" s="140" t="s">
        <v>386</v>
      </c>
      <c r="G71" s="16" t="s">
        <v>139</v>
      </c>
      <c r="H71" s="15" t="s">
        <v>391</v>
      </c>
      <c r="I71" s="16"/>
      <c r="J71" s="16"/>
      <c r="K71" s="46"/>
      <c r="L71" s="47"/>
      <c r="M71" s="49"/>
      <c r="N71" s="403"/>
      <c r="O71" s="403"/>
      <c r="P71" s="49"/>
      <c r="Q71" s="49"/>
      <c r="R71" s="48"/>
    </row>
    <row r="72" spans="4:18" ht="20.100000000000001" customHeight="1">
      <c r="D72" s="433"/>
      <c r="E72" s="407"/>
      <c r="F72" s="450" t="s">
        <v>339</v>
      </c>
      <c r="G72" s="450" t="s">
        <v>147</v>
      </c>
      <c r="H72" s="15"/>
      <c r="I72" s="16"/>
      <c r="J72" s="16"/>
      <c r="K72" s="46"/>
      <c r="L72" s="47"/>
      <c r="M72" s="49"/>
      <c r="N72" s="403"/>
      <c r="O72" s="403"/>
      <c r="P72" s="49"/>
      <c r="Q72" s="49"/>
      <c r="R72" s="48"/>
    </row>
    <row r="73" spans="4:18" ht="20.100000000000001" customHeight="1" thickBot="1">
      <c r="D73" s="434"/>
      <c r="E73" s="423"/>
      <c r="F73" s="456"/>
      <c r="G73" s="456"/>
      <c r="H73" s="20" t="s">
        <v>392</v>
      </c>
      <c r="I73" s="19"/>
      <c r="J73" s="19"/>
      <c r="K73" s="55"/>
      <c r="L73" s="56"/>
      <c r="M73" s="26"/>
      <c r="N73" s="426"/>
      <c r="O73" s="426"/>
      <c r="P73" s="26"/>
      <c r="Q73" s="26"/>
      <c r="R73" s="51"/>
    </row>
    <row r="74" spans="4:18" ht="20.100000000000001" customHeight="1">
      <c r="D74" s="58"/>
      <c r="E74" s="58"/>
      <c r="F74" s="58"/>
      <c r="G74" s="58"/>
      <c r="H74" s="58"/>
      <c r="I74" s="58"/>
      <c r="J74" s="58"/>
      <c r="K74" s="58"/>
      <c r="L74" s="70"/>
      <c r="N74" s="71"/>
      <c r="O74" s="71"/>
      <c r="P74" s="58"/>
      <c r="Q74" s="58"/>
      <c r="R74" s="58"/>
    </row>
    <row r="75" spans="4:18" ht="19.95" customHeight="1"/>
    <row r="76" spans="4:18" ht="19.95" customHeight="1" thickBot="1">
      <c r="D76" s="57" t="s">
        <v>317</v>
      </c>
    </row>
    <row r="77" spans="4:18" ht="19.95" customHeight="1" thickBot="1">
      <c r="D77" s="135" t="s">
        <v>517</v>
      </c>
      <c r="E77" s="77"/>
      <c r="F77" s="77"/>
      <c r="G77" s="126"/>
      <c r="H77" s="77"/>
      <c r="I77" s="77"/>
      <c r="J77" s="77"/>
      <c r="K77" s="77"/>
      <c r="L77" s="77"/>
      <c r="M77" s="76"/>
      <c r="N77" s="76"/>
      <c r="O77" s="76"/>
      <c r="P77" s="77"/>
      <c r="Q77" s="77"/>
      <c r="R77" s="133"/>
    </row>
    <row r="78" spans="4:18" ht="19.95" customHeight="1">
      <c r="D78" s="415" t="s">
        <v>82</v>
      </c>
      <c r="E78" s="417" t="s">
        <v>34</v>
      </c>
      <c r="F78" s="417" t="s">
        <v>73</v>
      </c>
      <c r="G78" s="398" t="s">
        <v>118</v>
      </c>
      <c r="H78" s="417" t="s">
        <v>75</v>
      </c>
      <c r="I78" s="417" t="s">
        <v>83</v>
      </c>
      <c r="J78" s="417"/>
      <c r="K78" s="417"/>
      <c r="L78" s="398" t="s">
        <v>348</v>
      </c>
      <c r="M78" s="398"/>
      <c r="N78" s="398"/>
      <c r="O78" s="398"/>
      <c r="P78" s="398" t="s">
        <v>349</v>
      </c>
      <c r="Q78" s="398"/>
      <c r="R78" s="399"/>
    </row>
    <row r="79" spans="4:18" ht="20.100000000000001" customHeight="1" thickBot="1">
      <c r="D79" s="416"/>
      <c r="E79" s="418"/>
      <c r="F79" s="418"/>
      <c r="G79" s="418"/>
      <c r="H79" s="418"/>
      <c r="I79" s="63" t="s">
        <v>57</v>
      </c>
      <c r="J79" s="63" t="s">
        <v>58</v>
      </c>
      <c r="K79" s="63" t="s">
        <v>82</v>
      </c>
      <c r="L79" s="64" t="s">
        <v>76</v>
      </c>
      <c r="M79" s="65" t="s">
        <v>77</v>
      </c>
      <c r="N79" s="400" t="s">
        <v>78</v>
      </c>
      <c r="O79" s="400"/>
      <c r="P79" s="64" t="s">
        <v>76</v>
      </c>
      <c r="Q79" s="65" t="s">
        <v>77</v>
      </c>
      <c r="R79" s="66" t="s">
        <v>79</v>
      </c>
    </row>
    <row r="80" spans="4:18" ht="20.100000000000001" customHeight="1">
      <c r="D80" s="419">
        <v>1</v>
      </c>
      <c r="E80" s="139">
        <v>1</v>
      </c>
      <c r="F80" s="342" t="s">
        <v>627</v>
      </c>
      <c r="G80" s="141" t="s">
        <v>229</v>
      </c>
      <c r="H80" s="8" t="s">
        <v>546</v>
      </c>
      <c r="I80" s="143">
        <v>0</v>
      </c>
      <c r="J80" s="143">
        <v>3</v>
      </c>
      <c r="K80" s="144" t="s">
        <v>119</v>
      </c>
      <c r="L80" s="145"/>
      <c r="M80" s="146"/>
      <c r="N80" s="523"/>
      <c r="O80" s="523"/>
      <c r="P80" s="147"/>
      <c r="Q80" s="148"/>
      <c r="R80" s="138"/>
    </row>
    <row r="81" spans="4:18" ht="20.100000000000001" customHeight="1">
      <c r="D81" s="420"/>
      <c r="E81" s="50">
        <v>2</v>
      </c>
      <c r="F81" s="6"/>
      <c r="G81" s="141"/>
      <c r="H81" s="8"/>
      <c r="I81" s="88">
        <v>0</v>
      </c>
      <c r="J81" s="88">
        <v>4</v>
      </c>
      <c r="K81" s="87" t="str">
        <f>K80</f>
        <v>MP1-1</v>
      </c>
      <c r="L81" s="90"/>
      <c r="M81" s="50"/>
      <c r="N81" s="413"/>
      <c r="O81" s="413"/>
      <c r="P81" s="90"/>
      <c r="Q81" s="49"/>
      <c r="R81" s="33"/>
    </row>
    <row r="82" spans="4:18" ht="20.100000000000001" customHeight="1">
      <c r="D82" s="420"/>
      <c r="E82" s="50">
        <v>3</v>
      </c>
      <c r="F82" s="6" t="s">
        <v>153</v>
      </c>
      <c r="G82" s="141" t="s">
        <v>230</v>
      </c>
      <c r="H82" s="8" t="s">
        <v>547</v>
      </c>
      <c r="I82" s="88">
        <v>0</v>
      </c>
      <c r="J82" s="88">
        <v>5</v>
      </c>
      <c r="K82" s="87" t="str">
        <f t="shared" ref="K82:K95" si="0">K81</f>
        <v>MP1-1</v>
      </c>
      <c r="L82" s="89"/>
      <c r="M82" s="50"/>
      <c r="N82" s="413"/>
      <c r="O82" s="413"/>
      <c r="P82" s="90"/>
      <c r="Q82" s="49"/>
      <c r="R82" s="33"/>
    </row>
    <row r="83" spans="4:18" ht="20.100000000000001" customHeight="1">
      <c r="D83" s="420"/>
      <c r="E83" s="50">
        <v>4</v>
      </c>
      <c r="F83" s="6"/>
      <c r="G83" s="141"/>
      <c r="H83" s="8"/>
      <c r="I83" s="88">
        <v>0</v>
      </c>
      <c r="J83" s="88">
        <v>6</v>
      </c>
      <c r="K83" s="87" t="str">
        <f t="shared" si="0"/>
        <v>MP1-1</v>
      </c>
      <c r="L83" s="89"/>
      <c r="M83" s="50"/>
      <c r="N83" s="413"/>
      <c r="O83" s="413"/>
      <c r="P83" s="90"/>
      <c r="Q83" s="49"/>
      <c r="R83" s="33"/>
    </row>
    <row r="84" spans="4:18" ht="20.100000000000001" customHeight="1">
      <c r="D84" s="420"/>
      <c r="E84" s="50">
        <v>5</v>
      </c>
      <c r="F84" s="6"/>
      <c r="G84" s="141"/>
      <c r="H84" s="8"/>
      <c r="I84" s="88">
        <v>0</v>
      </c>
      <c r="J84" s="88">
        <v>7</v>
      </c>
      <c r="K84" s="87" t="str">
        <f t="shared" si="0"/>
        <v>MP1-1</v>
      </c>
      <c r="L84" s="89"/>
      <c r="M84" s="50"/>
      <c r="N84" s="413"/>
      <c r="O84" s="413"/>
      <c r="P84" s="90"/>
      <c r="Q84" s="49"/>
      <c r="R84" s="33"/>
    </row>
    <row r="85" spans="4:18" ht="20.100000000000001" customHeight="1">
      <c r="D85" s="420"/>
      <c r="E85" s="50">
        <v>6</v>
      </c>
      <c r="F85" s="6"/>
      <c r="G85" s="141"/>
      <c r="H85" s="8"/>
      <c r="I85" s="88">
        <v>0</v>
      </c>
      <c r="J85" s="88">
        <v>8</v>
      </c>
      <c r="K85" s="87" t="str">
        <f t="shared" si="0"/>
        <v>MP1-1</v>
      </c>
      <c r="L85" s="89"/>
      <c r="M85" s="50"/>
      <c r="N85" s="413"/>
      <c r="O85" s="413"/>
      <c r="P85" s="90"/>
      <c r="Q85" s="49"/>
      <c r="R85" s="33"/>
    </row>
    <row r="86" spans="4:18" ht="20.100000000000001" customHeight="1">
      <c r="D86" s="420"/>
      <c r="E86" s="50">
        <v>7</v>
      </c>
      <c r="F86" s="6"/>
      <c r="G86" s="141"/>
      <c r="H86" s="8"/>
      <c r="I86" s="88">
        <v>0</v>
      </c>
      <c r="J86" s="88">
        <v>9</v>
      </c>
      <c r="K86" s="87" t="str">
        <f t="shared" si="0"/>
        <v>MP1-1</v>
      </c>
      <c r="L86" s="89"/>
      <c r="M86" s="50"/>
      <c r="N86" s="413"/>
      <c r="O86" s="413"/>
      <c r="P86" s="90"/>
      <c r="Q86" s="49"/>
      <c r="R86" s="33"/>
    </row>
    <row r="87" spans="4:18" ht="20.100000000000001" customHeight="1">
      <c r="D87" s="420"/>
      <c r="E87" s="50">
        <v>8</v>
      </c>
      <c r="F87" s="6"/>
      <c r="G87" s="141"/>
      <c r="H87" s="9"/>
      <c r="I87" s="88">
        <v>0</v>
      </c>
      <c r="J87" s="88" t="s">
        <v>59</v>
      </c>
      <c r="K87" s="87" t="str">
        <f t="shared" si="0"/>
        <v>MP1-1</v>
      </c>
      <c r="L87" s="90"/>
      <c r="M87" s="50"/>
      <c r="N87" s="413"/>
      <c r="O87" s="413"/>
      <c r="P87" s="90"/>
      <c r="Q87" s="49"/>
      <c r="R87" s="33"/>
    </row>
    <row r="88" spans="4:18" ht="20.100000000000001" customHeight="1">
      <c r="D88" s="420"/>
      <c r="E88" s="50">
        <v>9</v>
      </c>
      <c r="F88" s="6"/>
      <c r="G88" s="141"/>
      <c r="H88" s="9"/>
      <c r="I88" s="88">
        <v>0</v>
      </c>
      <c r="J88" s="88" t="s">
        <v>60</v>
      </c>
      <c r="K88" s="87" t="str">
        <f t="shared" si="0"/>
        <v>MP1-1</v>
      </c>
      <c r="L88" s="90"/>
      <c r="M88" s="50"/>
      <c r="N88" s="413"/>
      <c r="O88" s="413"/>
      <c r="P88" s="90"/>
      <c r="Q88" s="49"/>
      <c r="R88" s="33"/>
    </row>
    <row r="89" spans="4:18" ht="20.100000000000001" customHeight="1">
      <c r="D89" s="420"/>
      <c r="E89" s="50">
        <v>10</v>
      </c>
      <c r="F89" s="6"/>
      <c r="G89" s="141"/>
      <c r="H89" s="9"/>
      <c r="I89" s="88">
        <v>0</v>
      </c>
      <c r="J89" s="88" t="s">
        <v>61</v>
      </c>
      <c r="K89" s="87" t="str">
        <f t="shared" si="0"/>
        <v>MP1-1</v>
      </c>
      <c r="L89" s="90"/>
      <c r="M89" s="50"/>
      <c r="N89" s="413"/>
      <c r="O89" s="413"/>
      <c r="P89" s="90"/>
      <c r="Q89" s="49"/>
      <c r="R89" s="33"/>
    </row>
    <row r="90" spans="4:18" ht="20.100000000000001" customHeight="1">
      <c r="D90" s="420"/>
      <c r="E90" s="50">
        <v>11</v>
      </c>
      <c r="F90" s="6"/>
      <c r="G90" s="141"/>
      <c r="H90" s="9"/>
      <c r="I90" s="88">
        <v>0</v>
      </c>
      <c r="J90" s="88" t="s">
        <v>62</v>
      </c>
      <c r="K90" s="87" t="str">
        <f t="shared" si="0"/>
        <v>MP1-1</v>
      </c>
      <c r="L90" s="89"/>
      <c r="M90" s="50"/>
      <c r="N90" s="413"/>
      <c r="O90" s="413"/>
      <c r="P90" s="90"/>
      <c r="Q90" s="49"/>
      <c r="R90" s="33"/>
    </row>
    <row r="91" spans="4:18" ht="20.100000000000001" customHeight="1">
      <c r="D91" s="420"/>
      <c r="E91" s="50">
        <v>12</v>
      </c>
      <c r="F91" s="10"/>
      <c r="G91" s="11"/>
      <c r="H91" s="12"/>
      <c r="I91" s="88">
        <v>0</v>
      </c>
      <c r="J91" s="88" t="s">
        <v>63</v>
      </c>
      <c r="K91" s="87" t="str">
        <f t="shared" si="0"/>
        <v>MP1-1</v>
      </c>
      <c r="L91" s="89"/>
      <c r="M91" s="50"/>
      <c r="N91" s="413"/>
      <c r="O91" s="413"/>
      <c r="P91" s="90"/>
      <c r="Q91" s="49"/>
      <c r="R91" s="33"/>
    </row>
    <row r="92" spans="4:18" ht="20.100000000000001" customHeight="1">
      <c r="D92" s="420"/>
      <c r="E92" s="50">
        <v>13</v>
      </c>
      <c r="F92" s="16"/>
      <c r="G92" s="17"/>
      <c r="H92" s="15"/>
      <c r="I92" s="88">
        <v>0</v>
      </c>
      <c r="J92" s="88" t="s">
        <v>64</v>
      </c>
      <c r="K92" s="87" t="str">
        <f t="shared" si="0"/>
        <v>MP1-1</v>
      </c>
      <c r="L92" s="89"/>
      <c r="M92" s="50"/>
      <c r="N92" s="413"/>
      <c r="O92" s="413"/>
      <c r="P92" s="90"/>
      <c r="Q92" s="49"/>
      <c r="R92" s="33"/>
    </row>
    <row r="93" spans="4:18" ht="20.100000000000001" customHeight="1">
      <c r="D93" s="420"/>
      <c r="E93" s="50">
        <v>14</v>
      </c>
      <c r="F93" s="14"/>
      <c r="G93" s="17"/>
      <c r="H93" s="142"/>
      <c r="I93" s="88">
        <v>1</v>
      </c>
      <c r="J93" s="88">
        <v>0</v>
      </c>
      <c r="K93" s="87" t="str">
        <f t="shared" si="0"/>
        <v>MP1-1</v>
      </c>
      <c r="L93" s="18"/>
      <c r="M93" s="50"/>
      <c r="N93" s="413"/>
      <c r="O93" s="413"/>
      <c r="P93" s="90"/>
      <c r="Q93" s="49"/>
      <c r="R93" s="33"/>
    </row>
    <row r="94" spans="4:18" ht="20.100000000000001" customHeight="1">
      <c r="D94" s="420"/>
      <c r="E94" s="50">
        <v>15</v>
      </c>
      <c r="F94" s="16"/>
      <c r="G94" s="17"/>
      <c r="H94" s="15"/>
      <c r="I94" s="88">
        <v>1</v>
      </c>
      <c r="J94" s="88">
        <v>1</v>
      </c>
      <c r="K94" s="87" t="str">
        <f t="shared" si="0"/>
        <v>MP1-1</v>
      </c>
      <c r="L94" s="18"/>
      <c r="M94" s="50"/>
      <c r="N94" s="413"/>
      <c r="O94" s="413"/>
      <c r="P94" s="90"/>
      <c r="Q94" s="49"/>
      <c r="R94" s="33"/>
    </row>
    <row r="95" spans="4:18" ht="20.100000000000001" customHeight="1">
      <c r="D95" s="420"/>
      <c r="E95" s="50">
        <v>16</v>
      </c>
      <c r="F95" s="16"/>
      <c r="G95" s="17"/>
      <c r="H95" s="15"/>
      <c r="I95" s="86">
        <v>1</v>
      </c>
      <c r="J95" s="86">
        <v>2</v>
      </c>
      <c r="K95" s="87" t="str">
        <f t="shared" si="0"/>
        <v>MP1-1</v>
      </c>
      <c r="L95" s="34"/>
      <c r="M95" s="50"/>
      <c r="N95" s="413"/>
      <c r="O95" s="413"/>
      <c r="P95" s="90"/>
      <c r="Q95" s="49"/>
      <c r="R95" s="33"/>
    </row>
    <row r="96" spans="4:18" ht="20.100000000000001" customHeight="1">
      <c r="D96" s="420"/>
      <c r="E96" s="50">
        <v>17</v>
      </c>
      <c r="F96" s="16"/>
      <c r="G96" s="17"/>
      <c r="H96" s="15"/>
      <c r="I96" s="86">
        <v>1</v>
      </c>
      <c r="J96" s="86">
        <v>3</v>
      </c>
      <c r="K96" s="87" t="s">
        <v>120</v>
      </c>
      <c r="L96" s="34"/>
      <c r="M96" s="50"/>
      <c r="N96" s="413"/>
      <c r="O96" s="413"/>
      <c r="P96" s="90"/>
      <c r="Q96" s="49"/>
      <c r="R96" s="33"/>
    </row>
    <row r="97" spans="4:18" ht="20.100000000000001" customHeight="1">
      <c r="D97" s="420"/>
      <c r="E97" s="50">
        <v>18</v>
      </c>
      <c r="F97" s="16"/>
      <c r="G97" s="17"/>
      <c r="H97" s="15"/>
      <c r="I97" s="86">
        <v>1</v>
      </c>
      <c r="J97" s="86">
        <v>4</v>
      </c>
      <c r="K97" s="87" t="str">
        <f>K96</f>
        <v>MP1-2</v>
      </c>
      <c r="L97" s="89"/>
      <c r="M97" s="50"/>
      <c r="N97" s="413"/>
      <c r="O97" s="413"/>
      <c r="P97" s="90"/>
      <c r="Q97" s="49"/>
      <c r="R97" s="33"/>
    </row>
    <row r="98" spans="4:18" ht="20.100000000000001" customHeight="1">
      <c r="D98" s="420"/>
      <c r="E98" s="50">
        <v>19</v>
      </c>
      <c r="F98" s="16"/>
      <c r="G98" s="17"/>
      <c r="H98" s="15"/>
      <c r="I98" s="86">
        <v>1</v>
      </c>
      <c r="J98" s="86">
        <v>5</v>
      </c>
      <c r="K98" s="87" t="str">
        <f t="shared" ref="K98:K108" si="1">K97</f>
        <v>MP1-2</v>
      </c>
      <c r="L98" s="91"/>
      <c r="M98" s="50"/>
      <c r="N98" s="413"/>
      <c r="O98" s="413"/>
      <c r="P98" s="90"/>
      <c r="Q98" s="49"/>
      <c r="R98" s="33"/>
    </row>
    <row r="99" spans="4:18" ht="20.100000000000001" customHeight="1">
      <c r="D99" s="420"/>
      <c r="E99" s="50">
        <v>20</v>
      </c>
      <c r="F99" s="16"/>
      <c r="G99" s="17"/>
      <c r="H99" s="15"/>
      <c r="I99" s="86">
        <v>1</v>
      </c>
      <c r="J99" s="86">
        <v>6</v>
      </c>
      <c r="K99" s="87" t="str">
        <f t="shared" si="1"/>
        <v>MP1-2</v>
      </c>
      <c r="L99" s="89"/>
      <c r="M99" s="50"/>
      <c r="N99" s="413"/>
      <c r="O99" s="413"/>
      <c r="P99" s="90"/>
      <c r="Q99" s="49"/>
      <c r="R99" s="33"/>
    </row>
    <row r="100" spans="4:18" ht="20.100000000000001" customHeight="1">
      <c r="D100" s="420"/>
      <c r="E100" s="50">
        <v>21</v>
      </c>
      <c r="F100" s="16"/>
      <c r="G100" s="17"/>
      <c r="H100" s="15"/>
      <c r="I100" s="86">
        <v>1</v>
      </c>
      <c r="J100" s="86">
        <v>7</v>
      </c>
      <c r="K100" s="87" t="str">
        <f t="shared" si="1"/>
        <v>MP1-2</v>
      </c>
      <c r="L100" s="91"/>
      <c r="M100" s="50"/>
      <c r="N100" s="413"/>
      <c r="O100" s="413"/>
      <c r="P100" s="90"/>
      <c r="Q100" s="49"/>
      <c r="R100" s="33"/>
    </row>
    <row r="101" spans="4:18" ht="20.100000000000001" customHeight="1">
      <c r="D101" s="420"/>
      <c r="E101" s="50">
        <v>22</v>
      </c>
      <c r="F101" s="16"/>
      <c r="G101" s="17"/>
      <c r="H101" s="15"/>
      <c r="I101" s="86">
        <v>1</v>
      </c>
      <c r="J101" s="86">
        <v>8</v>
      </c>
      <c r="K101" s="87" t="str">
        <f t="shared" si="1"/>
        <v>MP1-2</v>
      </c>
      <c r="L101" s="91"/>
      <c r="M101" s="50"/>
      <c r="N101" s="413"/>
      <c r="O101" s="413"/>
      <c r="P101" s="90"/>
      <c r="Q101" s="49"/>
      <c r="R101" s="33"/>
    </row>
    <row r="102" spans="4:18" ht="20.100000000000001" customHeight="1">
      <c r="D102" s="420"/>
      <c r="E102" s="50">
        <v>23</v>
      </c>
      <c r="F102" s="16"/>
      <c r="G102" s="17"/>
      <c r="H102" s="15"/>
      <c r="I102" s="86">
        <v>1</v>
      </c>
      <c r="J102" s="86">
        <v>9</v>
      </c>
      <c r="K102" s="87" t="str">
        <f t="shared" si="1"/>
        <v>MP1-2</v>
      </c>
      <c r="L102" s="91"/>
      <c r="M102" s="50"/>
      <c r="N102" s="413"/>
      <c r="O102" s="413"/>
      <c r="P102" s="90"/>
      <c r="Q102" s="49"/>
      <c r="R102" s="33"/>
    </row>
    <row r="103" spans="4:18" ht="20.100000000000001" customHeight="1">
      <c r="D103" s="420"/>
      <c r="E103" s="50">
        <v>24</v>
      </c>
      <c r="F103" s="6"/>
      <c r="G103" s="11"/>
      <c r="H103" s="12"/>
      <c r="I103" s="104">
        <v>1</v>
      </c>
      <c r="J103" s="104" t="s">
        <v>59</v>
      </c>
      <c r="K103" s="87" t="str">
        <f t="shared" si="1"/>
        <v>MP1-2</v>
      </c>
      <c r="L103" s="91"/>
      <c r="M103" s="50"/>
      <c r="N103" s="413"/>
      <c r="O103" s="413"/>
      <c r="P103" s="90"/>
      <c r="Q103" s="49"/>
      <c r="R103" s="33"/>
    </row>
    <row r="104" spans="4:18" ht="20.100000000000001" customHeight="1">
      <c r="D104" s="420"/>
      <c r="E104" s="50">
        <v>25</v>
      </c>
      <c r="F104" s="10"/>
      <c r="G104" s="11"/>
      <c r="H104" s="12"/>
      <c r="I104" s="104">
        <v>1</v>
      </c>
      <c r="J104" s="86" t="s">
        <v>60</v>
      </c>
      <c r="K104" s="87" t="str">
        <f t="shared" si="1"/>
        <v>MP1-2</v>
      </c>
      <c r="L104" s="91"/>
      <c r="M104" s="50"/>
      <c r="N104" s="413"/>
      <c r="O104" s="413"/>
      <c r="P104" s="90"/>
      <c r="Q104" s="49"/>
      <c r="R104" s="33"/>
    </row>
    <row r="105" spans="4:18" ht="20.100000000000001" customHeight="1">
      <c r="D105" s="420"/>
      <c r="E105" s="50">
        <v>26</v>
      </c>
      <c r="F105" s="6"/>
      <c r="G105" s="7"/>
      <c r="H105" s="105"/>
      <c r="I105" s="104">
        <v>1</v>
      </c>
      <c r="J105" s="86" t="s">
        <v>61</v>
      </c>
      <c r="K105" s="87" t="str">
        <f t="shared" si="1"/>
        <v>MP1-2</v>
      </c>
      <c r="L105" s="91"/>
      <c r="M105" s="50"/>
      <c r="N105" s="413"/>
      <c r="O105" s="413"/>
      <c r="P105" s="90"/>
      <c r="Q105" s="49"/>
      <c r="R105" s="33"/>
    </row>
    <row r="106" spans="4:18" ht="20.100000000000001" customHeight="1">
      <c r="D106" s="420"/>
      <c r="E106" s="50">
        <v>27</v>
      </c>
      <c r="F106" s="6"/>
      <c r="G106" s="7"/>
      <c r="H106" s="105"/>
      <c r="I106" s="104">
        <v>1</v>
      </c>
      <c r="J106" s="86" t="s">
        <v>62</v>
      </c>
      <c r="K106" s="87" t="str">
        <f t="shared" si="1"/>
        <v>MP1-2</v>
      </c>
      <c r="L106" s="91"/>
      <c r="M106" s="50"/>
      <c r="N106" s="413"/>
      <c r="O106" s="413"/>
      <c r="P106" s="90"/>
      <c r="Q106" s="49"/>
      <c r="R106" s="33"/>
    </row>
    <row r="107" spans="4:18" ht="20.100000000000001" customHeight="1">
      <c r="D107" s="420"/>
      <c r="E107" s="50">
        <v>28</v>
      </c>
      <c r="F107" s="10" t="s">
        <v>88</v>
      </c>
      <c r="G107" s="11" t="s">
        <v>89</v>
      </c>
      <c r="H107" s="105" t="s">
        <v>420</v>
      </c>
      <c r="I107" s="104">
        <v>1</v>
      </c>
      <c r="J107" s="86" t="s">
        <v>63</v>
      </c>
      <c r="K107" s="87" t="str">
        <f t="shared" si="1"/>
        <v>MP1-2</v>
      </c>
      <c r="L107" s="89"/>
      <c r="N107" s="413"/>
      <c r="O107" s="413"/>
      <c r="P107" s="90"/>
      <c r="Q107" s="49"/>
      <c r="R107" s="33"/>
    </row>
    <row r="108" spans="4:18" ht="20.100000000000001" customHeight="1">
      <c r="D108" s="420"/>
      <c r="E108" s="50">
        <v>29</v>
      </c>
      <c r="F108" s="10" t="s">
        <v>88</v>
      </c>
      <c r="G108" s="11" t="s">
        <v>89</v>
      </c>
      <c r="H108" s="105" t="s">
        <v>423</v>
      </c>
      <c r="I108" s="104">
        <v>1</v>
      </c>
      <c r="J108" s="86" t="s">
        <v>64</v>
      </c>
      <c r="K108" s="87" t="str">
        <f t="shared" si="1"/>
        <v>MP1-2</v>
      </c>
      <c r="L108" s="91"/>
      <c r="M108" s="50"/>
      <c r="N108" s="524"/>
      <c r="O108" s="524"/>
      <c r="P108" s="90"/>
      <c r="Q108" s="49"/>
      <c r="R108" s="33"/>
    </row>
    <row r="109" spans="4:18" ht="20.100000000000001" customHeight="1">
      <c r="D109" s="420"/>
      <c r="E109" s="50">
        <v>30</v>
      </c>
      <c r="F109" s="86"/>
      <c r="G109" s="86"/>
      <c r="H109" s="15"/>
      <c r="I109" s="104"/>
      <c r="J109" s="104"/>
      <c r="K109" s="87"/>
      <c r="L109" s="89"/>
      <c r="M109" s="50"/>
      <c r="N109" s="524"/>
      <c r="O109" s="524"/>
      <c r="P109" s="90"/>
      <c r="Q109" s="49"/>
      <c r="R109" s="33"/>
    </row>
    <row r="110" spans="4:18" ht="20.100000000000001" customHeight="1">
      <c r="D110" s="420"/>
      <c r="E110" s="50">
        <v>31</v>
      </c>
      <c r="F110" s="16"/>
      <c r="G110" s="17"/>
      <c r="H110" s="15"/>
      <c r="I110" s="104"/>
      <c r="J110" s="86"/>
      <c r="K110" s="87"/>
      <c r="L110" s="91"/>
      <c r="M110" s="50"/>
      <c r="N110" s="524"/>
      <c r="O110" s="524"/>
      <c r="P110" s="90"/>
      <c r="Q110" s="49"/>
      <c r="R110" s="33"/>
    </row>
    <row r="111" spans="4:18" ht="20.100000000000001" customHeight="1">
      <c r="D111" s="420"/>
      <c r="E111" s="50">
        <v>32</v>
      </c>
      <c r="F111" s="16"/>
      <c r="G111" s="17"/>
      <c r="H111" s="15"/>
      <c r="I111" s="101"/>
      <c r="J111" s="88"/>
      <c r="K111" s="87"/>
      <c r="L111" s="91"/>
      <c r="M111" s="50"/>
      <c r="N111" s="524"/>
      <c r="O111" s="524"/>
      <c r="P111" s="90"/>
      <c r="Q111" s="49"/>
      <c r="R111" s="33"/>
    </row>
    <row r="112" spans="4:18" ht="20.100000000000001" customHeight="1">
      <c r="D112" s="420"/>
      <c r="E112" s="50">
        <v>33</v>
      </c>
      <c r="F112" s="14"/>
      <c r="G112" s="17"/>
      <c r="H112" s="15"/>
      <c r="I112" s="101"/>
      <c r="J112" s="88"/>
      <c r="K112" s="87"/>
      <c r="L112" s="91"/>
      <c r="M112" s="89"/>
      <c r="N112" s="524"/>
      <c r="O112" s="524"/>
      <c r="P112" s="90"/>
      <c r="Q112" s="49"/>
      <c r="R112" s="33"/>
    </row>
    <row r="113" spans="4:18" ht="20.100000000000001" customHeight="1">
      <c r="D113" s="420"/>
      <c r="E113" s="50">
        <v>34</v>
      </c>
      <c r="F113" s="16"/>
      <c r="G113" s="17"/>
      <c r="H113" s="15"/>
      <c r="I113" s="101"/>
      <c r="J113" s="88"/>
      <c r="K113" s="87"/>
      <c r="L113" s="91"/>
      <c r="M113" s="89"/>
      <c r="N113" s="524"/>
      <c r="O113" s="524"/>
      <c r="P113" s="90"/>
      <c r="Q113" s="49"/>
      <c r="R113" s="33"/>
    </row>
    <row r="114" spans="4:18" ht="20.100000000000001" customHeight="1">
      <c r="D114" s="420"/>
      <c r="E114" s="50">
        <v>35</v>
      </c>
      <c r="F114" s="16"/>
      <c r="G114" s="17"/>
      <c r="H114" s="15"/>
      <c r="I114" s="101"/>
      <c r="J114" s="88"/>
      <c r="K114" s="87"/>
      <c r="L114" s="91"/>
      <c r="M114" s="89"/>
      <c r="N114" s="524"/>
      <c r="O114" s="524"/>
      <c r="P114" s="90"/>
      <c r="Q114" s="49"/>
      <c r="R114" s="33"/>
    </row>
    <row r="115" spans="4:18" ht="20.100000000000001" customHeight="1">
      <c r="D115" s="420"/>
      <c r="E115" s="50">
        <v>36</v>
      </c>
      <c r="F115" s="16"/>
      <c r="G115" s="17"/>
      <c r="H115" s="15"/>
      <c r="I115" s="101"/>
      <c r="J115" s="88"/>
      <c r="K115" s="87"/>
      <c r="L115" s="91"/>
      <c r="M115" s="50"/>
      <c r="N115" s="524"/>
      <c r="O115" s="524"/>
      <c r="P115" s="90"/>
      <c r="Q115" s="49"/>
      <c r="R115" s="33"/>
    </row>
    <row r="116" spans="4:18" ht="20.100000000000001" customHeight="1">
      <c r="D116" s="420"/>
      <c r="E116" s="50">
        <v>37</v>
      </c>
      <c r="F116" s="16"/>
      <c r="G116" s="17"/>
      <c r="H116" s="15"/>
      <c r="I116" s="101"/>
      <c r="J116" s="88"/>
      <c r="K116" s="87"/>
      <c r="L116" s="91"/>
      <c r="M116" s="50"/>
      <c r="N116" s="524"/>
      <c r="O116" s="524"/>
      <c r="P116" s="90"/>
      <c r="Q116" s="49"/>
      <c r="R116" s="33"/>
    </row>
    <row r="117" spans="4:18" ht="20.100000000000001" customHeight="1">
      <c r="D117" s="420"/>
      <c r="E117" s="50">
        <v>38</v>
      </c>
      <c r="F117" s="16"/>
      <c r="G117" s="17"/>
      <c r="H117" s="15"/>
      <c r="I117" s="101"/>
      <c r="J117" s="88"/>
      <c r="K117" s="87"/>
      <c r="L117" s="91"/>
      <c r="M117" s="50"/>
      <c r="N117" s="524"/>
      <c r="O117" s="524"/>
      <c r="P117" s="90"/>
      <c r="Q117" s="49"/>
      <c r="R117" s="33"/>
    </row>
    <row r="118" spans="4:18" ht="20.100000000000001" customHeight="1">
      <c r="D118" s="420"/>
      <c r="E118" s="50">
        <v>39</v>
      </c>
      <c r="F118" s="16"/>
      <c r="G118" s="17"/>
      <c r="H118" s="15"/>
      <c r="I118" s="101"/>
      <c r="J118" s="88"/>
      <c r="K118" s="87"/>
      <c r="L118" s="91"/>
      <c r="M118" s="50"/>
      <c r="N118" s="524"/>
      <c r="O118" s="524"/>
      <c r="P118" s="90"/>
      <c r="Q118" s="49"/>
      <c r="R118" s="33"/>
    </row>
    <row r="119" spans="4:18" ht="20.100000000000001" customHeight="1">
      <c r="D119" s="420"/>
      <c r="E119" s="50">
        <v>40</v>
      </c>
      <c r="F119" s="6"/>
      <c r="G119" s="11"/>
      <c r="H119" s="8"/>
      <c r="I119" s="101"/>
      <c r="J119" s="101"/>
      <c r="K119" s="87"/>
      <c r="L119" s="91"/>
      <c r="M119" s="50"/>
      <c r="N119" s="524"/>
      <c r="O119" s="524"/>
      <c r="P119" s="90"/>
      <c r="Q119" s="49"/>
      <c r="R119" s="33"/>
    </row>
    <row r="120" spans="4:18" ht="20.100000000000001" customHeight="1">
      <c r="D120" s="420"/>
      <c r="E120" s="50">
        <v>41</v>
      </c>
      <c r="F120" s="10"/>
      <c r="G120" s="11"/>
      <c r="H120" s="12"/>
      <c r="I120" s="101"/>
      <c r="J120" s="88"/>
      <c r="K120" s="87"/>
      <c r="L120" s="89"/>
      <c r="M120" s="50"/>
      <c r="N120" s="524"/>
      <c r="O120" s="524"/>
      <c r="P120" s="90"/>
      <c r="Q120" s="49"/>
      <c r="R120" s="33"/>
    </row>
    <row r="121" spans="4:18" ht="20.100000000000001" customHeight="1" thickBot="1">
      <c r="D121" s="421"/>
      <c r="E121" s="25">
        <v>42</v>
      </c>
      <c r="F121" s="132"/>
      <c r="G121" s="127"/>
      <c r="H121" s="129"/>
      <c r="I121" s="102"/>
      <c r="J121" s="103"/>
      <c r="K121" s="92"/>
      <c r="L121" s="130"/>
      <c r="M121" s="25"/>
      <c r="N121" s="525"/>
      <c r="O121" s="525"/>
      <c r="P121" s="37"/>
      <c r="Q121" s="26"/>
      <c r="R121" s="38"/>
    </row>
    <row r="122" spans="4:18" ht="20.100000000000001" customHeight="1">
      <c r="D122" s="58"/>
      <c r="E122" s="58"/>
      <c r="F122" s="72"/>
      <c r="G122" s="72"/>
      <c r="H122" s="72"/>
      <c r="I122" s="72"/>
      <c r="J122" s="72"/>
      <c r="K122" s="72"/>
      <c r="L122" s="70"/>
      <c r="N122" s="71"/>
      <c r="O122" s="57"/>
      <c r="P122" s="70"/>
      <c r="Q122" s="58"/>
      <c r="R122" s="71"/>
    </row>
    <row r="123" spans="4:18" ht="20.100000000000001" customHeight="1" thickBot="1">
      <c r="D123" s="58"/>
      <c r="E123" s="58"/>
      <c r="F123" s="72"/>
      <c r="G123" s="72"/>
      <c r="H123" s="72"/>
      <c r="I123" s="72"/>
      <c r="J123" s="72"/>
      <c r="K123" s="72"/>
      <c r="L123" s="70"/>
      <c r="N123" s="71"/>
      <c r="O123" s="57"/>
      <c r="P123" s="70"/>
      <c r="Q123" s="58"/>
      <c r="R123" s="71"/>
    </row>
    <row r="124" spans="4:18" ht="20.100000000000001" customHeight="1" thickBot="1">
      <c r="D124" s="149" t="s">
        <v>518</v>
      </c>
      <c r="E124" s="134"/>
      <c r="F124" s="73"/>
      <c r="G124" s="74"/>
      <c r="H124" s="75"/>
      <c r="I124" s="150"/>
      <c r="J124" s="150"/>
      <c r="K124" s="150"/>
      <c r="L124" s="151"/>
      <c r="M124" s="136"/>
      <c r="N124" s="152"/>
      <c r="O124" s="126"/>
      <c r="P124" s="151"/>
      <c r="Q124" s="136"/>
      <c r="R124" s="153"/>
    </row>
    <row r="125" spans="4:18" ht="19.95" customHeight="1">
      <c r="D125" s="415" t="s">
        <v>82</v>
      </c>
      <c r="E125" s="417" t="s">
        <v>34</v>
      </c>
      <c r="F125" s="417" t="s">
        <v>73</v>
      </c>
      <c r="G125" s="398" t="s">
        <v>118</v>
      </c>
      <c r="H125" s="417" t="s">
        <v>75</v>
      </c>
      <c r="I125" s="417" t="s">
        <v>83</v>
      </c>
      <c r="J125" s="417"/>
      <c r="K125" s="417"/>
      <c r="L125" s="398" t="s">
        <v>348</v>
      </c>
      <c r="M125" s="398"/>
      <c r="N125" s="398"/>
      <c r="O125" s="398"/>
      <c r="P125" s="398" t="s">
        <v>349</v>
      </c>
      <c r="Q125" s="398"/>
      <c r="R125" s="399"/>
    </row>
    <row r="126" spans="4:18" ht="20.100000000000001" customHeight="1" thickBot="1">
      <c r="D126" s="416"/>
      <c r="E126" s="418"/>
      <c r="F126" s="418"/>
      <c r="G126" s="418"/>
      <c r="H126" s="418"/>
      <c r="I126" s="63" t="s">
        <v>57</v>
      </c>
      <c r="J126" s="63" t="s">
        <v>58</v>
      </c>
      <c r="K126" s="63" t="s">
        <v>82</v>
      </c>
      <c r="L126" s="64" t="s">
        <v>76</v>
      </c>
      <c r="M126" s="65" t="s">
        <v>77</v>
      </c>
      <c r="N126" s="400" t="s">
        <v>78</v>
      </c>
      <c r="O126" s="400"/>
      <c r="P126" s="64" t="s">
        <v>76</v>
      </c>
      <c r="Q126" s="65" t="s">
        <v>77</v>
      </c>
      <c r="R126" s="66" t="s">
        <v>79</v>
      </c>
    </row>
    <row r="127" spans="4:18" ht="20.100000000000001" customHeight="1">
      <c r="D127" s="420">
        <v>5</v>
      </c>
      <c r="E127" s="29">
        <v>1</v>
      </c>
      <c r="F127" s="140" t="s">
        <v>95</v>
      </c>
      <c r="G127" s="141" t="s">
        <v>268</v>
      </c>
      <c r="H127" s="142" t="s">
        <v>513</v>
      </c>
      <c r="I127" s="21">
        <v>0</v>
      </c>
      <c r="J127" s="21">
        <v>3</v>
      </c>
      <c r="K127" s="154" t="s">
        <v>84</v>
      </c>
      <c r="L127" s="30"/>
      <c r="M127" s="32"/>
      <c r="N127" s="425"/>
      <c r="O127" s="425"/>
      <c r="P127" s="31"/>
      <c r="Q127" s="32"/>
      <c r="R127" s="39"/>
    </row>
    <row r="128" spans="4:18" ht="20.100000000000001" customHeight="1">
      <c r="D128" s="420"/>
      <c r="E128" s="23">
        <v>2</v>
      </c>
      <c r="F128" s="16" t="s">
        <v>68</v>
      </c>
      <c r="G128" s="17" t="s">
        <v>269</v>
      </c>
      <c r="H128" s="15" t="s">
        <v>357</v>
      </c>
      <c r="I128" s="21">
        <v>0</v>
      </c>
      <c r="J128" s="21">
        <v>4</v>
      </c>
      <c r="K128" s="21" t="str">
        <f>K127</f>
        <v>MP5-1</v>
      </c>
      <c r="L128" s="30"/>
      <c r="M128" s="32"/>
      <c r="N128" s="425"/>
      <c r="O128" s="425"/>
      <c r="P128" s="31"/>
      <c r="Q128" s="32"/>
      <c r="R128" s="39"/>
    </row>
    <row r="129" spans="4:18" ht="20.100000000000001" customHeight="1">
      <c r="D129" s="420"/>
      <c r="E129" s="23">
        <v>3</v>
      </c>
      <c r="F129" s="14" t="s">
        <v>97</v>
      </c>
      <c r="G129" s="17" t="s">
        <v>270</v>
      </c>
      <c r="H129" s="15" t="s">
        <v>431</v>
      </c>
      <c r="I129" s="21">
        <v>0</v>
      </c>
      <c r="J129" s="21">
        <v>5</v>
      </c>
      <c r="K129" s="21" t="str">
        <f t="shared" ref="K129:K142" si="2">K128</f>
        <v>MP5-1</v>
      </c>
      <c r="L129" s="30"/>
      <c r="M129" s="32"/>
      <c r="N129" s="425"/>
      <c r="O129" s="425"/>
      <c r="P129" s="31"/>
      <c r="Q129" s="32"/>
      <c r="R129" s="39"/>
    </row>
    <row r="130" spans="4:18" ht="20.100000000000001" customHeight="1">
      <c r="D130" s="420"/>
      <c r="E130" s="23">
        <v>4</v>
      </c>
      <c r="F130" s="16" t="s">
        <v>97</v>
      </c>
      <c r="G130" s="17" t="s">
        <v>271</v>
      </c>
      <c r="H130" s="15" t="s">
        <v>426</v>
      </c>
      <c r="I130" s="21">
        <v>0</v>
      </c>
      <c r="J130" s="21">
        <v>6</v>
      </c>
      <c r="K130" s="21" t="str">
        <f t="shared" si="2"/>
        <v>MP5-1</v>
      </c>
      <c r="L130" s="30"/>
      <c r="M130" s="32"/>
      <c r="N130" s="425"/>
      <c r="O130" s="425"/>
      <c r="P130" s="31"/>
      <c r="Q130" s="32"/>
      <c r="R130" s="39"/>
    </row>
    <row r="131" spans="4:18" ht="20.100000000000001" customHeight="1">
      <c r="D131" s="420"/>
      <c r="E131" s="23">
        <v>5</v>
      </c>
      <c r="F131" s="16"/>
      <c r="G131" s="17"/>
      <c r="H131" s="15"/>
      <c r="I131" s="21">
        <v>0</v>
      </c>
      <c r="J131" s="21">
        <v>7</v>
      </c>
      <c r="K131" s="21" t="str">
        <f t="shared" si="2"/>
        <v>MP5-1</v>
      </c>
      <c r="L131" s="30"/>
      <c r="M131" s="32"/>
      <c r="N131" s="425"/>
      <c r="O131" s="425"/>
      <c r="P131" s="31"/>
      <c r="Q131" s="32"/>
      <c r="R131" s="39"/>
    </row>
    <row r="132" spans="4:18" ht="20.100000000000001" customHeight="1">
      <c r="D132" s="420"/>
      <c r="E132" s="23">
        <v>6</v>
      </c>
      <c r="F132" s="16" t="s">
        <v>95</v>
      </c>
      <c r="G132" s="17" t="s">
        <v>198</v>
      </c>
      <c r="H132" s="15" t="s">
        <v>363</v>
      </c>
      <c r="I132" s="21">
        <v>0</v>
      </c>
      <c r="J132" s="21">
        <v>8</v>
      </c>
      <c r="K132" s="21" t="str">
        <f t="shared" si="2"/>
        <v>MP5-1</v>
      </c>
      <c r="L132" s="30"/>
      <c r="M132" s="32"/>
      <c r="N132" s="425"/>
      <c r="O132" s="425"/>
      <c r="P132" s="31"/>
      <c r="Q132" s="32"/>
      <c r="R132" s="39"/>
    </row>
    <row r="133" spans="4:18" ht="20.100000000000001" customHeight="1">
      <c r="D133" s="420"/>
      <c r="E133" s="23">
        <v>7</v>
      </c>
      <c r="F133" s="16" t="s">
        <v>70</v>
      </c>
      <c r="G133" s="17" t="s">
        <v>199</v>
      </c>
      <c r="H133" s="15" t="s">
        <v>524</v>
      </c>
      <c r="I133" s="21">
        <v>0</v>
      </c>
      <c r="J133" s="21">
        <v>9</v>
      </c>
      <c r="K133" s="21" t="str">
        <f t="shared" si="2"/>
        <v>MP5-1</v>
      </c>
      <c r="L133" s="40"/>
      <c r="M133" s="32"/>
      <c r="N133" s="425"/>
      <c r="O133" s="425"/>
      <c r="P133" s="31"/>
      <c r="Q133" s="32"/>
      <c r="R133" s="39"/>
    </row>
    <row r="134" spans="4:18" ht="20.100000000000001" customHeight="1">
      <c r="D134" s="420"/>
      <c r="E134" s="23">
        <v>8</v>
      </c>
      <c r="F134" s="16" t="s">
        <v>95</v>
      </c>
      <c r="G134" s="17" t="s">
        <v>272</v>
      </c>
      <c r="H134" s="15" t="s">
        <v>364</v>
      </c>
      <c r="I134" s="21">
        <v>0</v>
      </c>
      <c r="J134" s="21" t="s">
        <v>59</v>
      </c>
      <c r="K134" s="21" t="str">
        <f t="shared" si="2"/>
        <v>MP5-1</v>
      </c>
      <c r="L134" s="40"/>
      <c r="M134" s="32"/>
      <c r="N134" s="425"/>
      <c r="O134" s="425"/>
      <c r="P134" s="31"/>
      <c r="Q134" s="32"/>
      <c r="R134" s="39"/>
    </row>
    <row r="135" spans="4:18" ht="20.100000000000001" customHeight="1">
      <c r="D135" s="420"/>
      <c r="E135" s="23">
        <v>9</v>
      </c>
      <c r="F135" s="16" t="s">
        <v>71</v>
      </c>
      <c r="G135" s="17" t="s">
        <v>200</v>
      </c>
      <c r="H135" s="15" t="s">
        <v>525</v>
      </c>
      <c r="I135" s="21">
        <v>0</v>
      </c>
      <c r="J135" s="21" t="s">
        <v>60</v>
      </c>
      <c r="K135" s="21" t="str">
        <f t="shared" si="2"/>
        <v>MP5-1</v>
      </c>
      <c r="L135" s="40"/>
      <c r="M135" s="32"/>
      <c r="N135" s="425"/>
      <c r="O135" s="425"/>
      <c r="P135" s="31"/>
      <c r="Q135" s="32"/>
      <c r="R135" s="39"/>
    </row>
    <row r="136" spans="4:18" ht="20.100000000000001" customHeight="1">
      <c r="D136" s="420"/>
      <c r="E136" s="23">
        <v>10</v>
      </c>
      <c r="F136" s="16"/>
      <c r="G136" s="17"/>
      <c r="H136" s="15"/>
      <c r="I136" s="21">
        <v>0</v>
      </c>
      <c r="J136" s="21" t="s">
        <v>61</v>
      </c>
      <c r="K136" s="21" t="str">
        <f t="shared" si="2"/>
        <v>MP5-1</v>
      </c>
      <c r="L136" s="40"/>
      <c r="M136" s="32"/>
      <c r="N136" s="425"/>
      <c r="O136" s="425"/>
      <c r="P136" s="31"/>
      <c r="Q136" s="32"/>
      <c r="R136" s="39"/>
    </row>
    <row r="137" spans="4:18" ht="20.100000000000001" customHeight="1">
      <c r="D137" s="420"/>
      <c r="E137" s="23">
        <v>11</v>
      </c>
      <c r="F137" s="10" t="s">
        <v>94</v>
      </c>
      <c r="G137" s="11" t="s">
        <v>201</v>
      </c>
      <c r="H137" s="12" t="s">
        <v>538</v>
      </c>
      <c r="I137" s="21">
        <v>0</v>
      </c>
      <c r="J137" s="21" t="s">
        <v>62</v>
      </c>
      <c r="K137" s="21" t="str">
        <f t="shared" si="2"/>
        <v>MP5-1</v>
      </c>
      <c r="L137" s="30"/>
      <c r="M137" s="32"/>
      <c r="N137" s="425"/>
      <c r="O137" s="425"/>
      <c r="P137" s="31"/>
      <c r="Q137" s="32"/>
      <c r="R137" s="39"/>
    </row>
    <row r="138" spans="4:18" ht="20.100000000000001" customHeight="1">
      <c r="D138" s="420"/>
      <c r="E138" s="23">
        <v>12</v>
      </c>
      <c r="F138" s="10" t="s">
        <v>69</v>
      </c>
      <c r="G138" s="11" t="s">
        <v>202</v>
      </c>
      <c r="H138" s="12" t="s">
        <v>539</v>
      </c>
      <c r="I138" s="21">
        <v>0</v>
      </c>
      <c r="J138" s="21" t="s">
        <v>63</v>
      </c>
      <c r="K138" s="21" t="str">
        <f t="shared" si="2"/>
        <v>MP5-1</v>
      </c>
      <c r="L138" s="30"/>
      <c r="M138" s="32"/>
      <c r="N138" s="425"/>
      <c r="O138" s="425"/>
      <c r="P138" s="31"/>
      <c r="Q138" s="32"/>
      <c r="R138" s="39"/>
    </row>
    <row r="139" spans="4:18" ht="20.100000000000001" customHeight="1">
      <c r="D139" s="420"/>
      <c r="E139" s="23">
        <v>13</v>
      </c>
      <c r="F139" s="6"/>
      <c r="G139" s="7"/>
      <c r="H139" s="105"/>
      <c r="I139" s="21">
        <v>0</v>
      </c>
      <c r="J139" s="21" t="s">
        <v>64</v>
      </c>
      <c r="K139" s="21" t="str">
        <f t="shared" si="2"/>
        <v>MP5-1</v>
      </c>
      <c r="L139" s="30"/>
      <c r="M139" s="32"/>
      <c r="N139" s="425"/>
      <c r="O139" s="425"/>
      <c r="P139" s="31"/>
      <c r="Q139" s="32"/>
      <c r="R139" s="39"/>
    </row>
    <row r="140" spans="4:18" ht="20.100000000000001" customHeight="1">
      <c r="D140" s="420"/>
      <c r="E140" s="23">
        <v>14</v>
      </c>
      <c r="F140" s="6"/>
      <c r="G140" s="7"/>
      <c r="H140" s="105"/>
      <c r="I140" s="21">
        <v>1</v>
      </c>
      <c r="J140" s="21">
        <v>0</v>
      </c>
      <c r="K140" s="21" t="str">
        <f t="shared" si="2"/>
        <v>MP5-1</v>
      </c>
      <c r="L140" s="30"/>
      <c r="M140" s="32"/>
      <c r="N140" s="425"/>
      <c r="O140" s="425"/>
      <c r="P140" s="31"/>
      <c r="Q140" s="32"/>
      <c r="R140" s="39"/>
    </row>
    <row r="141" spans="4:18" ht="20.100000000000001" customHeight="1">
      <c r="D141" s="420"/>
      <c r="E141" s="23">
        <v>15</v>
      </c>
      <c r="F141" s="16"/>
      <c r="G141" s="17"/>
      <c r="H141" s="105"/>
      <c r="I141" s="21">
        <v>1</v>
      </c>
      <c r="J141" s="21">
        <v>1</v>
      </c>
      <c r="K141" s="21" t="str">
        <f t="shared" si="2"/>
        <v>MP5-1</v>
      </c>
      <c r="L141" s="40"/>
      <c r="M141" s="32"/>
      <c r="N141" s="425"/>
      <c r="O141" s="425"/>
      <c r="P141" s="31"/>
      <c r="Q141" s="32"/>
      <c r="R141" s="39"/>
    </row>
    <row r="142" spans="4:18" ht="20.100000000000001" customHeight="1">
      <c r="D142" s="420"/>
      <c r="E142" s="23">
        <v>16</v>
      </c>
      <c r="F142" s="6"/>
      <c r="G142" s="7"/>
      <c r="H142" s="105"/>
      <c r="I142" s="21">
        <v>1</v>
      </c>
      <c r="J142" s="21">
        <v>2</v>
      </c>
      <c r="K142" s="21" t="str">
        <f t="shared" si="2"/>
        <v>MP5-1</v>
      </c>
      <c r="L142" s="41"/>
      <c r="M142" s="32"/>
      <c r="N142" s="425"/>
      <c r="O142" s="425"/>
      <c r="P142" s="31"/>
      <c r="Q142" s="32"/>
      <c r="R142" s="39"/>
    </row>
    <row r="143" spans="4:18" ht="20.100000000000001" customHeight="1">
      <c r="D143" s="420"/>
      <c r="E143" s="32">
        <v>17</v>
      </c>
      <c r="F143" s="6"/>
      <c r="G143" s="7"/>
      <c r="H143" s="106"/>
      <c r="I143" s="88">
        <v>1</v>
      </c>
      <c r="J143" s="88">
        <v>3</v>
      </c>
      <c r="K143" s="21" t="s">
        <v>85</v>
      </c>
      <c r="L143" s="31"/>
      <c r="M143" s="32"/>
      <c r="N143" s="425"/>
      <c r="O143" s="425"/>
      <c r="P143" s="31"/>
      <c r="Q143" s="32"/>
      <c r="R143" s="39"/>
    </row>
    <row r="144" spans="4:18" ht="20.100000000000001" customHeight="1">
      <c r="D144" s="420"/>
      <c r="E144" s="32">
        <v>18</v>
      </c>
      <c r="F144" s="16"/>
      <c r="G144" s="17"/>
      <c r="H144" s="157"/>
      <c r="I144" s="88">
        <v>1</v>
      </c>
      <c r="J144" s="88">
        <v>4</v>
      </c>
      <c r="K144" s="21" t="str">
        <f>K143</f>
        <v>MP5-2</v>
      </c>
      <c r="L144" s="31"/>
      <c r="M144" s="32"/>
      <c r="N144" s="425"/>
      <c r="O144" s="425"/>
      <c r="P144" s="31"/>
      <c r="Q144" s="32"/>
      <c r="R144" s="39"/>
    </row>
    <row r="145" spans="4:20" ht="20.100000000000001" customHeight="1">
      <c r="D145" s="420"/>
      <c r="E145" s="32">
        <v>19</v>
      </c>
      <c r="F145" s="6"/>
      <c r="G145" s="7"/>
      <c r="H145" s="105"/>
      <c r="I145" s="88">
        <v>1</v>
      </c>
      <c r="J145" s="88">
        <v>5</v>
      </c>
      <c r="K145" s="21" t="str">
        <f>K144</f>
        <v>MP5-2</v>
      </c>
      <c r="L145" s="31"/>
      <c r="M145" s="32"/>
      <c r="N145" s="425"/>
      <c r="O145" s="425"/>
      <c r="P145" s="31"/>
      <c r="Q145" s="32"/>
      <c r="R145" s="39"/>
    </row>
    <row r="146" spans="4:20" ht="20.100000000000001" customHeight="1">
      <c r="D146" s="420"/>
      <c r="E146" s="32">
        <v>20</v>
      </c>
      <c r="F146" s="6"/>
      <c r="G146" s="7"/>
      <c r="H146" s="105"/>
      <c r="I146" s="88">
        <v>1</v>
      </c>
      <c r="J146" s="88">
        <v>6</v>
      </c>
      <c r="K146" s="21" t="str">
        <f>K145</f>
        <v>MP5-2</v>
      </c>
      <c r="L146" s="31"/>
      <c r="M146" s="32"/>
      <c r="N146" s="425"/>
      <c r="O146" s="425"/>
      <c r="P146" s="31"/>
      <c r="Q146" s="32"/>
      <c r="R146" s="39"/>
    </row>
    <row r="147" spans="4:20" ht="20.100000000000001" customHeight="1" thickBot="1">
      <c r="D147" s="421"/>
      <c r="E147" s="26">
        <v>21</v>
      </c>
      <c r="F147" s="19"/>
      <c r="G147" s="155"/>
      <c r="H147" s="156"/>
      <c r="I147" s="103">
        <v>1</v>
      </c>
      <c r="J147" s="103">
        <v>7</v>
      </c>
      <c r="K147" s="24" t="str">
        <f>K146</f>
        <v>MP5-2</v>
      </c>
      <c r="L147" s="37"/>
      <c r="M147" s="26"/>
      <c r="N147" s="426"/>
      <c r="O147" s="426"/>
      <c r="P147" s="37"/>
      <c r="Q147" s="26"/>
      <c r="R147" s="38"/>
    </row>
    <row r="148" spans="4:20" ht="20.100000000000001" customHeight="1" thickBot="1">
      <c r="D148" s="78"/>
      <c r="E148" s="78"/>
      <c r="F148" s="79"/>
      <c r="G148" s="79"/>
      <c r="H148" s="79"/>
      <c r="I148" s="79"/>
      <c r="J148" s="79"/>
      <c r="K148" s="79"/>
      <c r="L148" s="80"/>
      <c r="M148" s="78"/>
      <c r="N148" s="81"/>
      <c r="O148" s="82"/>
      <c r="P148" s="80"/>
      <c r="Q148" s="78"/>
      <c r="R148" s="81"/>
    </row>
    <row r="149" spans="4:20" ht="20.100000000000001" customHeight="1" thickBot="1">
      <c r="D149" s="149" t="s">
        <v>519</v>
      </c>
      <c r="E149" s="134"/>
      <c r="F149" s="73"/>
      <c r="G149" s="74"/>
      <c r="H149" s="75"/>
      <c r="I149" s="150"/>
      <c r="J149" s="150"/>
      <c r="K149" s="150"/>
      <c r="L149" s="151"/>
      <c r="M149" s="136"/>
      <c r="N149" s="152"/>
      <c r="O149" s="126"/>
      <c r="P149" s="151"/>
      <c r="Q149" s="136"/>
      <c r="R149" s="153"/>
    </row>
    <row r="150" spans="4:20" ht="19.95" customHeight="1">
      <c r="D150" s="415" t="s">
        <v>82</v>
      </c>
      <c r="E150" s="417" t="s">
        <v>34</v>
      </c>
      <c r="F150" s="417" t="s">
        <v>73</v>
      </c>
      <c r="G150" s="398" t="s">
        <v>118</v>
      </c>
      <c r="H150" s="417" t="s">
        <v>75</v>
      </c>
      <c r="I150" s="417" t="s">
        <v>83</v>
      </c>
      <c r="J150" s="417"/>
      <c r="K150" s="417"/>
      <c r="L150" s="398" t="s">
        <v>348</v>
      </c>
      <c r="M150" s="398"/>
      <c r="N150" s="398"/>
      <c r="O150" s="398"/>
      <c r="P150" s="398" t="s">
        <v>349</v>
      </c>
      <c r="Q150" s="398"/>
      <c r="R150" s="399"/>
    </row>
    <row r="151" spans="4:20" ht="19.95" customHeight="1" thickBot="1">
      <c r="D151" s="416"/>
      <c r="E151" s="418"/>
      <c r="F151" s="418"/>
      <c r="G151" s="418"/>
      <c r="H151" s="418"/>
      <c r="I151" s="63" t="s">
        <v>57</v>
      </c>
      <c r="J151" s="63" t="s">
        <v>58</v>
      </c>
      <c r="K151" s="63" t="s">
        <v>82</v>
      </c>
      <c r="L151" s="64" t="s">
        <v>76</v>
      </c>
      <c r="M151" s="65" t="s">
        <v>77</v>
      </c>
      <c r="N151" s="400" t="s">
        <v>78</v>
      </c>
      <c r="O151" s="400"/>
      <c r="P151" s="64" t="s">
        <v>76</v>
      </c>
      <c r="Q151" s="65" t="s">
        <v>77</v>
      </c>
      <c r="R151" s="66" t="s">
        <v>79</v>
      </c>
    </row>
    <row r="152" spans="4:20" ht="19.95" customHeight="1">
      <c r="D152" s="420">
        <v>6</v>
      </c>
      <c r="E152" s="29">
        <v>1</v>
      </c>
      <c r="F152" s="6" t="s">
        <v>95</v>
      </c>
      <c r="G152" s="7" t="s">
        <v>258</v>
      </c>
      <c r="H152" s="105" t="s">
        <v>445</v>
      </c>
      <c r="I152" s="21">
        <v>0</v>
      </c>
      <c r="J152" s="21">
        <v>3</v>
      </c>
      <c r="K152" s="154" t="s">
        <v>86</v>
      </c>
      <c r="L152" s="91"/>
      <c r="M152" s="32"/>
      <c r="N152" s="425"/>
      <c r="O152" s="425"/>
      <c r="P152" s="31"/>
      <c r="Q152" s="32"/>
      <c r="R152" s="39"/>
      <c r="T152" s="83"/>
    </row>
    <row r="153" spans="4:20" ht="19.95" customHeight="1">
      <c r="D153" s="420"/>
      <c r="E153" s="23">
        <v>2</v>
      </c>
      <c r="F153" s="6" t="s">
        <v>68</v>
      </c>
      <c r="G153" s="7" t="s">
        <v>259</v>
      </c>
      <c r="H153" s="106" t="s">
        <v>526</v>
      </c>
      <c r="I153" s="21">
        <v>0</v>
      </c>
      <c r="J153" s="21">
        <v>4</v>
      </c>
      <c r="K153" s="21" t="str">
        <f>K152</f>
        <v>MP6-1</v>
      </c>
      <c r="L153" s="91"/>
      <c r="M153" s="32"/>
      <c r="N153" s="425"/>
      <c r="O153" s="425"/>
      <c r="P153" s="31"/>
      <c r="Q153" s="32"/>
      <c r="R153" s="39"/>
      <c r="T153" s="84"/>
    </row>
    <row r="154" spans="4:20" ht="19.95" customHeight="1">
      <c r="D154" s="420"/>
      <c r="E154" s="23">
        <v>3</v>
      </c>
      <c r="F154" s="6" t="s">
        <v>94</v>
      </c>
      <c r="G154" s="7" t="s">
        <v>257</v>
      </c>
      <c r="H154" s="105" t="s">
        <v>446</v>
      </c>
      <c r="I154" s="21">
        <v>0</v>
      </c>
      <c r="J154" s="21">
        <v>5</v>
      </c>
      <c r="K154" s="21" t="str">
        <f t="shared" ref="K154:K167" si="3">K153</f>
        <v>MP6-1</v>
      </c>
      <c r="L154" s="30"/>
      <c r="M154" s="32"/>
      <c r="N154" s="425"/>
      <c r="O154" s="425"/>
      <c r="P154" s="31"/>
      <c r="Q154" s="32"/>
      <c r="R154" s="39"/>
      <c r="T154" s="84"/>
    </row>
    <row r="155" spans="4:20" ht="19.95" customHeight="1">
      <c r="D155" s="420"/>
      <c r="E155" s="23">
        <v>4</v>
      </c>
      <c r="F155" s="6" t="s">
        <v>156</v>
      </c>
      <c r="G155" s="7" t="s">
        <v>203</v>
      </c>
      <c r="H155" s="105" t="s">
        <v>447</v>
      </c>
      <c r="I155" s="21">
        <v>0</v>
      </c>
      <c r="J155" s="21">
        <v>6</v>
      </c>
      <c r="K155" s="21" t="str">
        <f t="shared" si="3"/>
        <v>MP6-1</v>
      </c>
      <c r="L155" s="30"/>
      <c r="M155" s="32"/>
      <c r="N155" s="425"/>
      <c r="O155" s="425"/>
      <c r="P155" s="31"/>
      <c r="Q155" s="32"/>
      <c r="R155" s="39"/>
      <c r="T155" s="84"/>
    </row>
    <row r="156" spans="4:20" ht="19.95" customHeight="1">
      <c r="D156" s="420"/>
      <c r="E156" s="23">
        <v>5</v>
      </c>
      <c r="F156" s="6" t="s">
        <v>93</v>
      </c>
      <c r="G156" s="7" t="s">
        <v>204</v>
      </c>
      <c r="H156" s="105" t="s">
        <v>448</v>
      </c>
      <c r="I156" s="42">
        <v>0</v>
      </c>
      <c r="J156" s="42">
        <v>7</v>
      </c>
      <c r="K156" s="21" t="str">
        <f t="shared" si="3"/>
        <v>MP6-1</v>
      </c>
      <c r="L156" s="12"/>
      <c r="M156" s="32"/>
      <c r="N156" s="425"/>
      <c r="O156" s="425"/>
      <c r="P156" s="31"/>
      <c r="Q156" s="32"/>
      <c r="R156" s="39"/>
      <c r="T156" s="84"/>
    </row>
    <row r="157" spans="4:20" ht="19.95" customHeight="1">
      <c r="D157" s="420"/>
      <c r="E157" s="23">
        <v>6</v>
      </c>
      <c r="F157" s="6" t="s">
        <v>93</v>
      </c>
      <c r="G157" s="7" t="s">
        <v>205</v>
      </c>
      <c r="H157" s="105" t="s">
        <v>449</v>
      </c>
      <c r="I157" s="42">
        <v>0</v>
      </c>
      <c r="J157" s="42">
        <v>8</v>
      </c>
      <c r="K157" s="21" t="str">
        <f t="shared" si="3"/>
        <v>MP6-1</v>
      </c>
      <c r="L157" s="13"/>
      <c r="M157" s="32"/>
      <c r="N157" s="425"/>
      <c r="O157" s="425"/>
      <c r="P157" s="31"/>
      <c r="Q157" s="32"/>
      <c r="R157" s="39"/>
      <c r="T157" s="84"/>
    </row>
    <row r="158" spans="4:20" ht="19.95" customHeight="1">
      <c r="D158" s="420"/>
      <c r="E158" s="23">
        <v>7</v>
      </c>
      <c r="F158" s="6" t="s">
        <v>93</v>
      </c>
      <c r="G158" s="7" t="s">
        <v>206</v>
      </c>
      <c r="H158" s="105" t="s">
        <v>450</v>
      </c>
      <c r="I158" s="42">
        <v>0</v>
      </c>
      <c r="J158" s="42">
        <v>9</v>
      </c>
      <c r="K158" s="21" t="str">
        <f t="shared" si="3"/>
        <v>MP6-1</v>
      </c>
      <c r="L158" s="15"/>
      <c r="M158" s="32"/>
      <c r="N158" s="425"/>
      <c r="O158" s="425"/>
      <c r="P158" s="31"/>
      <c r="Q158" s="32"/>
      <c r="R158" s="39"/>
      <c r="T158" s="84"/>
    </row>
    <row r="159" spans="4:20" ht="19.95" customHeight="1">
      <c r="D159" s="420"/>
      <c r="E159" s="23">
        <v>8</v>
      </c>
      <c r="F159" s="16"/>
      <c r="G159" s="17"/>
      <c r="H159" s="15"/>
      <c r="I159" s="42">
        <v>0</v>
      </c>
      <c r="J159" s="42" t="s">
        <v>59</v>
      </c>
      <c r="K159" s="21" t="str">
        <f t="shared" si="3"/>
        <v>MP6-1</v>
      </c>
      <c r="L159" s="15"/>
      <c r="M159" s="32"/>
      <c r="N159" s="425"/>
      <c r="O159" s="425"/>
      <c r="P159" s="31"/>
      <c r="Q159" s="32"/>
      <c r="R159" s="39"/>
      <c r="T159" s="84"/>
    </row>
    <row r="160" spans="4:20" ht="19.95" customHeight="1">
      <c r="D160" s="420"/>
      <c r="E160" s="23">
        <v>9</v>
      </c>
      <c r="F160" s="16" t="s">
        <v>94</v>
      </c>
      <c r="G160" s="17" t="s">
        <v>260</v>
      </c>
      <c r="H160" s="15" t="s">
        <v>498</v>
      </c>
      <c r="I160" s="21">
        <v>0</v>
      </c>
      <c r="J160" s="21" t="s">
        <v>60</v>
      </c>
      <c r="K160" s="21" t="str">
        <f t="shared" si="3"/>
        <v>MP6-1</v>
      </c>
      <c r="L160" s="15"/>
      <c r="M160" s="32"/>
      <c r="N160" s="425"/>
      <c r="O160" s="425"/>
      <c r="P160" s="31"/>
      <c r="Q160" s="32"/>
      <c r="R160" s="39"/>
      <c r="T160" s="84"/>
    </row>
    <row r="161" spans="4:20" ht="19.95" customHeight="1">
      <c r="D161" s="420"/>
      <c r="E161" s="23">
        <v>10</v>
      </c>
      <c r="F161" s="16" t="s">
        <v>231</v>
      </c>
      <c r="G161" s="17" t="s">
        <v>261</v>
      </c>
      <c r="H161" s="15" t="s">
        <v>499</v>
      </c>
      <c r="I161" s="21">
        <v>0</v>
      </c>
      <c r="J161" s="21" t="s">
        <v>61</v>
      </c>
      <c r="K161" s="21" t="str">
        <f t="shared" si="3"/>
        <v>MP6-1</v>
      </c>
      <c r="L161" s="31"/>
      <c r="M161" s="32"/>
      <c r="N161" s="425"/>
      <c r="O161" s="425"/>
      <c r="P161" s="31"/>
      <c r="Q161" s="32"/>
      <c r="R161" s="39"/>
      <c r="T161" s="84"/>
    </row>
    <row r="162" spans="4:20" ht="19.95" customHeight="1">
      <c r="D162" s="420"/>
      <c r="E162" s="23">
        <v>11</v>
      </c>
      <c r="F162" s="16" t="s">
        <v>90</v>
      </c>
      <c r="G162" s="17" t="s">
        <v>262</v>
      </c>
      <c r="H162" s="15" t="s">
        <v>500</v>
      </c>
      <c r="I162" s="21">
        <v>0</v>
      </c>
      <c r="J162" s="21" t="s">
        <v>62</v>
      </c>
      <c r="K162" s="21" t="str">
        <f t="shared" si="3"/>
        <v>MP6-1</v>
      </c>
      <c r="L162" s="31"/>
      <c r="M162" s="32"/>
      <c r="N162" s="526"/>
      <c r="O162" s="526"/>
      <c r="P162" s="31"/>
      <c r="Q162" s="32"/>
      <c r="R162" s="39"/>
      <c r="T162" s="84"/>
    </row>
    <row r="163" spans="4:20" ht="19.95" customHeight="1">
      <c r="D163" s="420"/>
      <c r="E163" s="23">
        <v>12</v>
      </c>
      <c r="F163" s="10" t="s">
        <v>94</v>
      </c>
      <c r="G163" s="11" t="s">
        <v>263</v>
      </c>
      <c r="H163" s="12" t="s">
        <v>474</v>
      </c>
      <c r="I163" s="21">
        <v>0</v>
      </c>
      <c r="J163" s="21" t="s">
        <v>63</v>
      </c>
      <c r="K163" s="21" t="str">
        <f t="shared" si="3"/>
        <v>MP6-1</v>
      </c>
      <c r="L163" s="31"/>
      <c r="M163" s="32"/>
      <c r="N163" s="425"/>
      <c r="O163" s="425"/>
      <c r="P163" s="31"/>
      <c r="Q163" s="32"/>
      <c r="R163" s="39"/>
      <c r="T163" s="84"/>
    </row>
    <row r="164" spans="4:20" ht="19.95" customHeight="1">
      <c r="D164" s="420"/>
      <c r="E164" s="23">
        <v>13</v>
      </c>
      <c r="F164" s="6" t="s">
        <v>92</v>
      </c>
      <c r="G164" s="11" t="s">
        <v>264</v>
      </c>
      <c r="H164" s="13" t="s">
        <v>475</v>
      </c>
      <c r="I164" s="21">
        <v>0</v>
      </c>
      <c r="J164" s="21" t="s">
        <v>64</v>
      </c>
      <c r="K164" s="21" t="str">
        <f t="shared" si="3"/>
        <v>MP6-1</v>
      </c>
      <c r="L164" s="40"/>
      <c r="M164" s="32"/>
      <c r="N164" s="425"/>
      <c r="O164" s="425"/>
      <c r="P164" s="31"/>
      <c r="Q164" s="32"/>
      <c r="R164" s="39"/>
      <c r="T164" s="84"/>
    </row>
    <row r="165" spans="4:20" ht="19.95" customHeight="1">
      <c r="D165" s="420"/>
      <c r="E165" s="23">
        <v>14</v>
      </c>
      <c r="F165" s="16" t="s">
        <v>94</v>
      </c>
      <c r="G165" s="17" t="s">
        <v>265</v>
      </c>
      <c r="H165" s="15" t="s">
        <v>476</v>
      </c>
      <c r="I165" s="21">
        <v>1</v>
      </c>
      <c r="J165" s="21">
        <v>0</v>
      </c>
      <c r="K165" s="21" t="str">
        <f t="shared" si="3"/>
        <v>MP6-1</v>
      </c>
      <c r="L165" s="40"/>
      <c r="M165" s="32"/>
      <c r="N165" s="425"/>
      <c r="O165" s="425"/>
      <c r="P165" s="31"/>
      <c r="Q165" s="32"/>
      <c r="R165" s="39"/>
      <c r="T165" s="84"/>
    </row>
    <row r="166" spans="4:20" ht="19.95" customHeight="1">
      <c r="D166" s="420"/>
      <c r="E166" s="23">
        <v>15</v>
      </c>
      <c r="F166" s="16" t="s">
        <v>246</v>
      </c>
      <c r="G166" s="17" t="s">
        <v>266</v>
      </c>
      <c r="H166" s="15" t="s">
        <v>477</v>
      </c>
      <c r="I166" s="21">
        <v>1</v>
      </c>
      <c r="J166" s="21">
        <v>1</v>
      </c>
      <c r="K166" s="21" t="str">
        <f t="shared" si="3"/>
        <v>MP6-1</v>
      </c>
      <c r="L166" s="40"/>
      <c r="M166" s="32"/>
      <c r="N166" s="425"/>
      <c r="O166" s="425"/>
      <c r="P166" s="31"/>
      <c r="Q166" s="32"/>
      <c r="R166" s="39"/>
      <c r="T166" s="84"/>
    </row>
    <row r="167" spans="4:20" ht="19.95" customHeight="1">
      <c r="D167" s="420"/>
      <c r="E167" s="23">
        <v>16</v>
      </c>
      <c r="F167" s="16" t="s">
        <v>90</v>
      </c>
      <c r="G167" s="17" t="s">
        <v>267</v>
      </c>
      <c r="H167" s="15" t="s">
        <v>478</v>
      </c>
      <c r="I167" s="42">
        <v>1</v>
      </c>
      <c r="J167" s="42">
        <v>2</v>
      </c>
      <c r="K167" s="21" t="str">
        <f t="shared" si="3"/>
        <v>MP6-1</v>
      </c>
      <c r="L167" s="31"/>
      <c r="M167" s="32"/>
      <c r="N167" s="425"/>
      <c r="O167" s="425"/>
      <c r="P167" s="31"/>
      <c r="Q167" s="32"/>
      <c r="R167" s="39"/>
    </row>
    <row r="168" spans="4:20" ht="19.95" customHeight="1">
      <c r="D168" s="420"/>
      <c r="E168" s="23">
        <v>17</v>
      </c>
      <c r="F168" s="16"/>
      <c r="G168" s="17"/>
      <c r="H168" s="15"/>
      <c r="I168" s="88">
        <v>1</v>
      </c>
      <c r="J168" s="88">
        <v>3</v>
      </c>
      <c r="K168" s="21" t="s">
        <v>87</v>
      </c>
      <c r="L168" s="31"/>
      <c r="M168" s="31"/>
      <c r="N168" s="425"/>
      <c r="O168" s="425"/>
      <c r="P168" s="31"/>
      <c r="Q168" s="32"/>
      <c r="R168" s="39"/>
    </row>
    <row r="169" spans="4:20" ht="19.95" customHeight="1">
      <c r="D169" s="420"/>
      <c r="E169" s="23">
        <v>18</v>
      </c>
      <c r="F169" s="16"/>
      <c r="G169" s="17"/>
      <c r="H169" s="15"/>
      <c r="I169" s="88">
        <v>1</v>
      </c>
      <c r="J169" s="88">
        <v>4</v>
      </c>
      <c r="K169" s="21" t="str">
        <f>K168</f>
        <v>MP6-2</v>
      </c>
      <c r="L169" s="31"/>
      <c r="M169" s="32"/>
      <c r="N169" s="425"/>
      <c r="O169" s="425"/>
      <c r="P169" s="31"/>
      <c r="Q169" s="32"/>
      <c r="R169" s="39"/>
    </row>
    <row r="170" spans="4:20" ht="19.95" customHeight="1">
      <c r="D170" s="420"/>
      <c r="E170" s="23">
        <v>19</v>
      </c>
      <c r="F170" s="16"/>
      <c r="G170" s="17"/>
      <c r="H170" s="15"/>
      <c r="I170" s="88">
        <v>1</v>
      </c>
      <c r="J170" s="88">
        <v>5</v>
      </c>
      <c r="K170" s="21" t="str">
        <f>K169</f>
        <v>MP6-2</v>
      </c>
      <c r="L170" s="31"/>
      <c r="M170" s="32"/>
      <c r="N170" s="425"/>
      <c r="O170" s="425"/>
      <c r="P170" s="31"/>
      <c r="Q170" s="32"/>
      <c r="R170" s="39"/>
    </row>
    <row r="171" spans="4:20" ht="19.95" customHeight="1">
      <c r="D171" s="420"/>
      <c r="E171" s="23">
        <v>20</v>
      </c>
      <c r="F171" s="16"/>
      <c r="G171" s="17"/>
      <c r="H171" s="15"/>
      <c r="I171" s="88">
        <v>1</v>
      </c>
      <c r="J171" s="88">
        <v>6</v>
      </c>
      <c r="K171" s="21" t="str">
        <f>K170</f>
        <v>MP6-2</v>
      </c>
      <c r="L171" s="31"/>
      <c r="M171" s="32"/>
      <c r="N171" s="425"/>
      <c r="O171" s="425"/>
      <c r="P171" s="31"/>
      <c r="Q171" s="32"/>
      <c r="R171" s="39"/>
      <c r="T171" s="83"/>
    </row>
    <row r="172" spans="4:20" ht="19.95" customHeight="1" thickBot="1">
      <c r="D172" s="421"/>
      <c r="E172" s="26">
        <v>21</v>
      </c>
      <c r="F172" s="19"/>
      <c r="G172" s="19"/>
      <c r="H172" s="20"/>
      <c r="I172" s="103">
        <v>1</v>
      </c>
      <c r="J172" s="103">
        <v>7</v>
      </c>
      <c r="K172" s="24" t="str">
        <f>K171</f>
        <v>MP6-2</v>
      </c>
      <c r="L172" s="37"/>
      <c r="M172" s="26"/>
      <c r="N172" s="426"/>
      <c r="O172" s="426"/>
      <c r="P172" s="37"/>
      <c r="Q172" s="26"/>
      <c r="R172" s="38"/>
      <c r="T172" s="83"/>
    </row>
    <row r="173" spans="4:20" ht="19.95" customHeight="1" thickBot="1"/>
    <row r="174" spans="4:20" ht="19.95" customHeight="1" thickBot="1">
      <c r="D174" s="149" t="s">
        <v>518</v>
      </c>
      <c r="E174" s="134"/>
      <c r="F174" s="73"/>
      <c r="G174" s="74"/>
      <c r="H174" s="75"/>
      <c r="I174" s="150"/>
      <c r="J174" s="150"/>
      <c r="K174" s="150"/>
      <c r="L174" s="151"/>
      <c r="M174" s="136"/>
      <c r="N174" s="152"/>
      <c r="O174" s="126"/>
      <c r="P174" s="151"/>
      <c r="Q174" s="136"/>
      <c r="R174" s="153"/>
    </row>
    <row r="175" spans="4:20" ht="19.95" customHeight="1">
      <c r="D175" s="415" t="s">
        <v>82</v>
      </c>
      <c r="E175" s="417" t="s">
        <v>34</v>
      </c>
      <c r="F175" s="417" t="s">
        <v>73</v>
      </c>
      <c r="G175" s="398" t="s">
        <v>118</v>
      </c>
      <c r="H175" s="417" t="s">
        <v>75</v>
      </c>
      <c r="I175" s="417" t="s">
        <v>83</v>
      </c>
      <c r="J175" s="417"/>
      <c r="K175" s="417"/>
      <c r="L175" s="398" t="s">
        <v>348</v>
      </c>
      <c r="M175" s="398"/>
      <c r="N175" s="398"/>
      <c r="O175" s="398"/>
      <c r="P175" s="398" t="s">
        <v>349</v>
      </c>
      <c r="Q175" s="398"/>
      <c r="R175" s="399"/>
    </row>
    <row r="176" spans="4:20" ht="20.100000000000001" customHeight="1" thickBot="1">
      <c r="D176" s="416"/>
      <c r="E176" s="418"/>
      <c r="F176" s="418"/>
      <c r="G176" s="418"/>
      <c r="H176" s="418"/>
      <c r="I176" s="63" t="s">
        <v>57</v>
      </c>
      <c r="J176" s="63" t="s">
        <v>58</v>
      </c>
      <c r="K176" s="63" t="s">
        <v>82</v>
      </c>
      <c r="L176" s="64" t="s">
        <v>76</v>
      </c>
      <c r="M176" s="65" t="s">
        <v>77</v>
      </c>
      <c r="N176" s="400" t="s">
        <v>78</v>
      </c>
      <c r="O176" s="400"/>
      <c r="P176" s="64" t="s">
        <v>76</v>
      </c>
      <c r="Q176" s="65" t="s">
        <v>77</v>
      </c>
      <c r="R176" s="66" t="s">
        <v>79</v>
      </c>
    </row>
    <row r="177" spans="4:18" ht="20.100000000000001" customHeight="1">
      <c r="D177" s="419">
        <v>7</v>
      </c>
      <c r="E177" s="139">
        <v>1</v>
      </c>
      <c r="F177" s="140" t="s">
        <v>95</v>
      </c>
      <c r="G177" s="17" t="s">
        <v>247</v>
      </c>
      <c r="H177" s="142" t="s">
        <v>514</v>
      </c>
      <c r="I177" s="143">
        <v>0</v>
      </c>
      <c r="J177" s="143">
        <v>3</v>
      </c>
      <c r="K177" s="154" t="s">
        <v>154</v>
      </c>
      <c r="L177" s="145"/>
      <c r="M177" s="148"/>
      <c r="N177" s="462"/>
      <c r="O177" s="462"/>
      <c r="P177" s="147"/>
      <c r="Q177" s="148"/>
      <c r="R177" s="138"/>
    </row>
    <row r="178" spans="4:18" ht="20.100000000000001" customHeight="1">
      <c r="D178" s="420"/>
      <c r="E178" s="23">
        <v>2</v>
      </c>
      <c r="F178" s="16" t="s">
        <v>68</v>
      </c>
      <c r="G178" s="17" t="s">
        <v>248</v>
      </c>
      <c r="H178" s="15" t="s">
        <v>358</v>
      </c>
      <c r="I178" s="88">
        <v>0</v>
      </c>
      <c r="J178" s="88">
        <v>4</v>
      </c>
      <c r="K178" s="21" t="str">
        <f>K177</f>
        <v>MP7-1</v>
      </c>
      <c r="L178" s="30"/>
      <c r="M178" s="32"/>
      <c r="N178" s="425"/>
      <c r="O178" s="425"/>
      <c r="P178" s="31"/>
      <c r="Q178" s="32"/>
      <c r="R178" s="39"/>
    </row>
    <row r="179" spans="4:18" ht="20.100000000000001" customHeight="1">
      <c r="D179" s="420"/>
      <c r="E179" s="23">
        <v>3</v>
      </c>
      <c r="F179" s="14" t="s">
        <v>97</v>
      </c>
      <c r="G179" s="17" t="s">
        <v>253</v>
      </c>
      <c r="H179" s="15" t="s">
        <v>432</v>
      </c>
      <c r="I179" s="88">
        <v>0</v>
      </c>
      <c r="J179" s="88">
        <v>5</v>
      </c>
      <c r="K179" s="21" t="str">
        <f t="shared" ref="K179:K192" si="4">K178</f>
        <v>MP7-1</v>
      </c>
      <c r="L179" s="30"/>
      <c r="M179" s="32"/>
      <c r="N179" s="425"/>
      <c r="O179" s="425"/>
      <c r="P179" s="31"/>
      <c r="Q179" s="32"/>
      <c r="R179" s="39"/>
    </row>
    <row r="180" spans="4:18" ht="20.100000000000001" customHeight="1">
      <c r="D180" s="420"/>
      <c r="E180" s="23">
        <v>4</v>
      </c>
      <c r="F180" s="16" t="s">
        <v>97</v>
      </c>
      <c r="G180" s="17" t="s">
        <v>249</v>
      </c>
      <c r="H180" s="15" t="s">
        <v>427</v>
      </c>
      <c r="I180" s="88">
        <v>0</v>
      </c>
      <c r="J180" s="88">
        <v>6</v>
      </c>
      <c r="K180" s="21" t="str">
        <f t="shared" si="4"/>
        <v>MP7-1</v>
      </c>
      <c r="L180" s="30"/>
      <c r="M180" s="32"/>
      <c r="N180" s="425"/>
      <c r="O180" s="425"/>
      <c r="P180" s="31"/>
      <c r="Q180" s="32"/>
      <c r="R180" s="39"/>
    </row>
    <row r="181" spans="4:18" ht="20.100000000000001" customHeight="1">
      <c r="D181" s="420"/>
      <c r="E181" s="23">
        <v>5</v>
      </c>
      <c r="F181" s="16"/>
      <c r="G181" s="17"/>
      <c r="H181" s="15"/>
      <c r="I181" s="88">
        <v>0</v>
      </c>
      <c r="J181" s="88">
        <v>7</v>
      </c>
      <c r="K181" s="21" t="str">
        <f t="shared" si="4"/>
        <v>MP7-1</v>
      </c>
      <c r="L181" s="30"/>
      <c r="M181" s="32"/>
      <c r="N181" s="425"/>
      <c r="O181" s="425"/>
      <c r="P181" s="31"/>
      <c r="Q181" s="32"/>
      <c r="R181" s="39"/>
    </row>
    <row r="182" spans="4:18" ht="20.100000000000001" customHeight="1">
      <c r="D182" s="420"/>
      <c r="E182" s="23">
        <v>6</v>
      </c>
      <c r="F182" s="16" t="s">
        <v>95</v>
      </c>
      <c r="G182" s="17" t="s">
        <v>250</v>
      </c>
      <c r="H182" s="15" t="s">
        <v>365</v>
      </c>
      <c r="I182" s="88">
        <v>0</v>
      </c>
      <c r="J182" s="88">
        <v>8</v>
      </c>
      <c r="K182" s="21" t="str">
        <f t="shared" si="4"/>
        <v>MP7-1</v>
      </c>
      <c r="L182" s="30"/>
      <c r="M182" s="32"/>
      <c r="N182" s="425"/>
      <c r="O182" s="425"/>
      <c r="P182" s="31"/>
      <c r="Q182" s="32"/>
      <c r="R182" s="39"/>
    </row>
    <row r="183" spans="4:18" ht="20.100000000000001" customHeight="1">
      <c r="D183" s="420"/>
      <c r="E183" s="23">
        <v>7</v>
      </c>
      <c r="F183" s="16" t="s">
        <v>70</v>
      </c>
      <c r="G183" s="17" t="s">
        <v>251</v>
      </c>
      <c r="H183" s="15" t="s">
        <v>527</v>
      </c>
      <c r="I183" s="88">
        <v>0</v>
      </c>
      <c r="J183" s="88">
        <v>9</v>
      </c>
      <c r="K183" s="21" t="str">
        <f t="shared" si="4"/>
        <v>MP7-1</v>
      </c>
      <c r="L183" s="40"/>
      <c r="M183" s="32"/>
      <c r="N183" s="425"/>
      <c r="O183" s="425"/>
      <c r="P183" s="31"/>
      <c r="Q183" s="32"/>
      <c r="R183" s="39"/>
    </row>
    <row r="184" spans="4:18" ht="20.100000000000001" customHeight="1">
      <c r="D184" s="420"/>
      <c r="E184" s="23">
        <v>8</v>
      </c>
      <c r="F184" s="16" t="s">
        <v>95</v>
      </c>
      <c r="G184" s="17" t="s">
        <v>254</v>
      </c>
      <c r="H184" s="15" t="s">
        <v>366</v>
      </c>
      <c r="I184" s="88">
        <v>0</v>
      </c>
      <c r="J184" s="88" t="s">
        <v>59</v>
      </c>
      <c r="K184" s="21" t="str">
        <f t="shared" si="4"/>
        <v>MP7-1</v>
      </c>
      <c r="L184" s="40"/>
      <c r="M184" s="32"/>
      <c r="N184" s="425"/>
      <c r="O184" s="425"/>
      <c r="P184" s="31"/>
      <c r="Q184" s="32"/>
      <c r="R184" s="39"/>
    </row>
    <row r="185" spans="4:18" ht="20.100000000000001" customHeight="1">
      <c r="D185" s="420"/>
      <c r="E185" s="23">
        <v>9</v>
      </c>
      <c r="F185" s="16" t="s">
        <v>71</v>
      </c>
      <c r="G185" s="17" t="s">
        <v>252</v>
      </c>
      <c r="H185" s="15" t="s">
        <v>528</v>
      </c>
      <c r="I185" s="88">
        <v>0</v>
      </c>
      <c r="J185" s="88" t="s">
        <v>60</v>
      </c>
      <c r="K185" s="21" t="str">
        <f t="shared" si="4"/>
        <v>MP7-1</v>
      </c>
      <c r="L185" s="40"/>
      <c r="M185" s="32"/>
      <c r="N185" s="425"/>
      <c r="O185" s="425"/>
      <c r="P185" s="31"/>
      <c r="Q185" s="32"/>
      <c r="R185" s="39"/>
    </row>
    <row r="186" spans="4:18" ht="20.100000000000001" customHeight="1">
      <c r="D186" s="420"/>
      <c r="E186" s="23">
        <v>10</v>
      </c>
      <c r="F186" s="16"/>
      <c r="G186" s="17"/>
      <c r="H186" s="15"/>
      <c r="I186" s="88">
        <v>0</v>
      </c>
      <c r="J186" s="88" t="s">
        <v>61</v>
      </c>
      <c r="K186" s="21" t="str">
        <f t="shared" si="4"/>
        <v>MP7-1</v>
      </c>
      <c r="L186" s="40"/>
      <c r="M186" s="32"/>
      <c r="N186" s="425"/>
      <c r="O186" s="425"/>
      <c r="P186" s="31"/>
      <c r="Q186" s="32"/>
      <c r="R186" s="39"/>
    </row>
    <row r="187" spans="4:18" ht="20.100000000000001" customHeight="1">
      <c r="D187" s="420"/>
      <c r="E187" s="23">
        <v>11</v>
      </c>
      <c r="F187" s="10" t="s">
        <v>94</v>
      </c>
      <c r="G187" s="17" t="s">
        <v>255</v>
      </c>
      <c r="H187" s="12" t="s">
        <v>540</v>
      </c>
      <c r="I187" s="88">
        <v>0</v>
      </c>
      <c r="J187" s="88" t="s">
        <v>62</v>
      </c>
      <c r="K187" s="21" t="str">
        <f t="shared" si="4"/>
        <v>MP7-1</v>
      </c>
      <c r="L187" s="30"/>
      <c r="M187" s="32"/>
      <c r="N187" s="425"/>
      <c r="O187" s="425"/>
      <c r="P187" s="31"/>
      <c r="Q187" s="32"/>
      <c r="R187" s="39"/>
    </row>
    <row r="188" spans="4:18" ht="20.100000000000001" customHeight="1">
      <c r="D188" s="420"/>
      <c r="E188" s="23">
        <v>12</v>
      </c>
      <c r="F188" s="10" t="s">
        <v>69</v>
      </c>
      <c r="G188" s="17" t="s">
        <v>256</v>
      </c>
      <c r="H188" s="12" t="s">
        <v>541</v>
      </c>
      <c r="I188" s="88">
        <v>0</v>
      </c>
      <c r="J188" s="88" t="s">
        <v>63</v>
      </c>
      <c r="K188" s="21" t="str">
        <f t="shared" si="4"/>
        <v>MP7-1</v>
      </c>
      <c r="L188" s="30"/>
      <c r="M188" s="32"/>
      <c r="N188" s="425"/>
      <c r="O188" s="425"/>
      <c r="P188" s="31"/>
      <c r="Q188" s="32"/>
      <c r="R188" s="39"/>
    </row>
    <row r="189" spans="4:18" ht="20.100000000000001" customHeight="1">
      <c r="D189" s="420"/>
      <c r="E189" s="23">
        <v>13</v>
      </c>
      <c r="F189" s="6"/>
      <c r="G189" s="7"/>
      <c r="H189" s="13"/>
      <c r="I189" s="88">
        <v>0</v>
      </c>
      <c r="J189" s="88" t="s">
        <v>64</v>
      </c>
      <c r="K189" s="21" t="str">
        <f t="shared" si="4"/>
        <v>MP7-1</v>
      </c>
      <c r="L189" s="30"/>
      <c r="M189" s="32"/>
      <c r="N189" s="425"/>
      <c r="O189" s="425"/>
      <c r="P189" s="31"/>
      <c r="Q189" s="32"/>
      <c r="R189" s="39"/>
    </row>
    <row r="190" spans="4:18" ht="20.100000000000001" customHeight="1">
      <c r="D190" s="420"/>
      <c r="E190" s="23">
        <v>14</v>
      </c>
      <c r="F190" s="6"/>
      <c r="G190" s="17"/>
      <c r="H190" s="15"/>
      <c r="I190" s="88">
        <v>1</v>
      </c>
      <c r="J190" s="88">
        <v>0</v>
      </c>
      <c r="K190" s="21" t="str">
        <f t="shared" si="4"/>
        <v>MP7-1</v>
      </c>
      <c r="L190" s="30"/>
      <c r="M190" s="32"/>
      <c r="N190" s="425"/>
      <c r="O190" s="425"/>
      <c r="P190" s="31"/>
      <c r="Q190" s="32"/>
      <c r="R190" s="39"/>
    </row>
    <row r="191" spans="4:18" ht="20.100000000000001" customHeight="1">
      <c r="D191" s="420"/>
      <c r="E191" s="23">
        <v>15</v>
      </c>
      <c r="F191" s="16"/>
      <c r="G191" s="17"/>
      <c r="H191" s="15"/>
      <c r="I191" s="88">
        <v>1</v>
      </c>
      <c r="J191" s="88">
        <v>1</v>
      </c>
      <c r="K191" s="21" t="str">
        <f t="shared" si="4"/>
        <v>MP7-1</v>
      </c>
      <c r="L191" s="40"/>
      <c r="M191" s="32"/>
      <c r="N191" s="425"/>
      <c r="O191" s="425"/>
      <c r="P191" s="31"/>
      <c r="Q191" s="32"/>
      <c r="R191" s="39"/>
    </row>
    <row r="192" spans="4:18" ht="20.100000000000001" customHeight="1">
      <c r="D192" s="420"/>
      <c r="E192" s="23">
        <v>16</v>
      </c>
      <c r="F192" s="6"/>
      <c r="G192" s="17"/>
      <c r="H192" s="15"/>
      <c r="I192" s="88">
        <v>1</v>
      </c>
      <c r="J192" s="88">
        <v>2</v>
      </c>
      <c r="K192" s="21" t="str">
        <f t="shared" si="4"/>
        <v>MP7-1</v>
      </c>
      <c r="L192" s="41"/>
      <c r="M192" s="32"/>
      <c r="N192" s="425"/>
      <c r="O192" s="425"/>
      <c r="P192" s="31"/>
      <c r="Q192" s="32"/>
      <c r="R192" s="39"/>
    </row>
    <row r="193" spans="4:18" ht="20.100000000000001" customHeight="1">
      <c r="D193" s="420"/>
      <c r="E193" s="32">
        <v>17</v>
      </c>
      <c r="F193" s="6"/>
      <c r="G193" s="11"/>
      <c r="H193" s="15"/>
      <c r="I193" s="88">
        <v>1</v>
      </c>
      <c r="J193" s="88">
        <v>3</v>
      </c>
      <c r="K193" s="21" t="s">
        <v>155</v>
      </c>
      <c r="L193" s="31"/>
      <c r="M193" s="32"/>
      <c r="N193" s="425"/>
      <c r="O193" s="425"/>
      <c r="P193" s="31"/>
      <c r="Q193" s="32"/>
      <c r="R193" s="39"/>
    </row>
    <row r="194" spans="4:18" ht="20.100000000000001" customHeight="1">
      <c r="D194" s="420"/>
      <c r="E194" s="32">
        <v>18</v>
      </c>
      <c r="F194" s="16"/>
      <c r="G194" s="17"/>
      <c r="H194" s="15"/>
      <c r="I194" s="88">
        <v>1</v>
      </c>
      <c r="J194" s="88">
        <v>4</v>
      </c>
      <c r="K194" s="21" t="str">
        <f>K193</f>
        <v>MP7-2</v>
      </c>
      <c r="L194" s="31"/>
      <c r="M194" s="32"/>
      <c r="N194" s="425"/>
      <c r="O194" s="425"/>
      <c r="P194" s="31"/>
      <c r="Q194" s="32"/>
      <c r="R194" s="39"/>
    </row>
    <row r="195" spans="4:18" ht="20.100000000000001" customHeight="1">
      <c r="D195" s="420"/>
      <c r="E195" s="32">
        <v>19</v>
      </c>
      <c r="F195" s="6"/>
      <c r="G195" s="17"/>
      <c r="H195" s="15"/>
      <c r="I195" s="88">
        <v>1</v>
      </c>
      <c r="J195" s="88">
        <v>5</v>
      </c>
      <c r="K195" s="21" t="str">
        <f>K194</f>
        <v>MP7-2</v>
      </c>
      <c r="L195" s="31"/>
      <c r="M195" s="32"/>
      <c r="N195" s="425"/>
      <c r="O195" s="425"/>
      <c r="P195" s="31"/>
      <c r="Q195" s="32"/>
      <c r="R195" s="39"/>
    </row>
    <row r="196" spans="4:18" ht="20.100000000000001" customHeight="1">
      <c r="D196" s="420"/>
      <c r="E196" s="32">
        <v>20</v>
      </c>
      <c r="F196" s="6"/>
      <c r="G196" s="17"/>
      <c r="H196" s="15"/>
      <c r="I196" s="88">
        <v>1</v>
      </c>
      <c r="J196" s="88">
        <v>6</v>
      </c>
      <c r="K196" s="21" t="str">
        <f>K195</f>
        <v>MP7-2</v>
      </c>
      <c r="L196" s="31"/>
      <c r="M196" s="32"/>
      <c r="N196" s="425"/>
      <c r="O196" s="425"/>
      <c r="P196" s="31"/>
      <c r="Q196" s="32"/>
      <c r="R196" s="39"/>
    </row>
    <row r="197" spans="4:18" ht="20.100000000000001" customHeight="1" thickBot="1">
      <c r="D197" s="421"/>
      <c r="E197" s="26">
        <v>21</v>
      </c>
      <c r="F197" s="19"/>
      <c r="G197" s="155"/>
      <c r="H197" s="20"/>
      <c r="I197" s="103">
        <v>1</v>
      </c>
      <c r="J197" s="103">
        <v>7</v>
      </c>
      <c r="K197" s="24" t="str">
        <f>K196</f>
        <v>MP7-2</v>
      </c>
      <c r="L197" s="37"/>
      <c r="M197" s="26"/>
      <c r="N197" s="426"/>
      <c r="O197" s="426"/>
      <c r="P197" s="37"/>
      <c r="Q197" s="26"/>
      <c r="R197" s="38"/>
    </row>
    <row r="198" spans="4:18" ht="19.95" customHeight="1" thickBot="1">
      <c r="F198" s="79"/>
    </row>
    <row r="199" spans="4:18" ht="19.95" customHeight="1" thickBot="1">
      <c r="D199" s="149" t="s">
        <v>518</v>
      </c>
      <c r="E199" s="134"/>
      <c r="F199" s="73"/>
      <c r="G199" s="74"/>
      <c r="H199" s="75"/>
      <c r="I199" s="150"/>
      <c r="J199" s="150"/>
      <c r="K199" s="150"/>
      <c r="L199" s="151"/>
      <c r="M199" s="136"/>
      <c r="N199" s="152"/>
      <c r="O199" s="126"/>
      <c r="P199" s="151"/>
      <c r="Q199" s="136"/>
      <c r="R199" s="153"/>
    </row>
    <row r="200" spans="4:18" ht="19.95" customHeight="1">
      <c r="D200" s="415" t="s">
        <v>82</v>
      </c>
      <c r="E200" s="417" t="s">
        <v>34</v>
      </c>
      <c r="F200" s="417" t="s">
        <v>73</v>
      </c>
      <c r="G200" s="398" t="s">
        <v>118</v>
      </c>
      <c r="H200" s="417" t="s">
        <v>75</v>
      </c>
      <c r="I200" s="417" t="s">
        <v>83</v>
      </c>
      <c r="J200" s="417"/>
      <c r="K200" s="417"/>
      <c r="L200" s="398" t="s">
        <v>348</v>
      </c>
      <c r="M200" s="398"/>
      <c r="N200" s="398"/>
      <c r="O200" s="398"/>
      <c r="P200" s="398" t="s">
        <v>349</v>
      </c>
      <c r="Q200" s="398"/>
      <c r="R200" s="399"/>
    </row>
    <row r="201" spans="4:18" ht="20.100000000000001" customHeight="1" thickBot="1">
      <c r="D201" s="416"/>
      <c r="E201" s="418"/>
      <c r="F201" s="418"/>
      <c r="G201" s="418"/>
      <c r="H201" s="418"/>
      <c r="I201" s="63" t="s">
        <v>57</v>
      </c>
      <c r="J201" s="63" t="s">
        <v>58</v>
      </c>
      <c r="K201" s="63" t="s">
        <v>82</v>
      </c>
      <c r="L201" s="64" t="s">
        <v>76</v>
      </c>
      <c r="M201" s="65" t="s">
        <v>77</v>
      </c>
      <c r="N201" s="400" t="s">
        <v>78</v>
      </c>
      <c r="O201" s="400"/>
      <c r="P201" s="64" t="s">
        <v>76</v>
      </c>
      <c r="Q201" s="65" t="s">
        <v>77</v>
      </c>
      <c r="R201" s="66" t="s">
        <v>79</v>
      </c>
    </row>
    <row r="202" spans="4:18" ht="20.100000000000001" customHeight="1">
      <c r="D202" s="419">
        <v>8</v>
      </c>
      <c r="E202" s="139">
        <v>1</v>
      </c>
      <c r="F202" s="6" t="s">
        <v>95</v>
      </c>
      <c r="G202" s="7" t="s">
        <v>242</v>
      </c>
      <c r="H202" s="105" t="s">
        <v>451</v>
      </c>
      <c r="I202" s="143">
        <v>0</v>
      </c>
      <c r="J202" s="143">
        <v>3</v>
      </c>
      <c r="K202" s="154" t="s">
        <v>195</v>
      </c>
      <c r="L202" s="145"/>
      <c r="M202" s="148"/>
      <c r="N202" s="462"/>
      <c r="O202" s="462"/>
      <c r="P202" s="147"/>
      <c r="Q202" s="148"/>
      <c r="R202" s="138"/>
    </row>
    <row r="203" spans="4:18" ht="20.100000000000001" customHeight="1">
      <c r="D203" s="420"/>
      <c r="E203" s="23">
        <v>2</v>
      </c>
      <c r="F203" s="6" t="s">
        <v>68</v>
      </c>
      <c r="G203" s="7" t="s">
        <v>243</v>
      </c>
      <c r="H203" s="106" t="s">
        <v>529</v>
      </c>
      <c r="I203" s="88">
        <v>0</v>
      </c>
      <c r="J203" s="88">
        <v>4</v>
      </c>
      <c r="K203" s="21" t="str">
        <f>K202</f>
        <v>MP8-1</v>
      </c>
      <c r="L203" s="30"/>
      <c r="M203" s="32"/>
      <c r="N203" s="425"/>
      <c r="O203" s="425"/>
      <c r="P203" s="31"/>
      <c r="Q203" s="32"/>
      <c r="R203" s="39"/>
    </row>
    <row r="204" spans="4:18" ht="20.100000000000001" customHeight="1">
      <c r="D204" s="420"/>
      <c r="E204" s="23">
        <v>3</v>
      </c>
      <c r="F204" s="6" t="s">
        <v>94</v>
      </c>
      <c r="G204" s="7" t="s">
        <v>244</v>
      </c>
      <c r="H204" s="105" t="s">
        <v>452</v>
      </c>
      <c r="I204" s="88">
        <v>0</v>
      </c>
      <c r="J204" s="88">
        <v>5</v>
      </c>
      <c r="K204" s="21" t="str">
        <f t="shared" ref="K204:K217" si="5">K203</f>
        <v>MP8-1</v>
      </c>
      <c r="L204" s="30"/>
      <c r="M204" s="32"/>
      <c r="N204" s="425"/>
      <c r="O204" s="425"/>
      <c r="P204" s="31"/>
      <c r="Q204" s="32"/>
      <c r="R204" s="39"/>
    </row>
    <row r="205" spans="4:18" ht="20.100000000000001" customHeight="1">
      <c r="D205" s="420"/>
      <c r="E205" s="23">
        <v>4</v>
      </c>
      <c r="F205" s="6" t="s">
        <v>156</v>
      </c>
      <c r="G205" s="7" t="s">
        <v>245</v>
      </c>
      <c r="H205" s="105" t="s">
        <v>453</v>
      </c>
      <c r="I205" s="88">
        <v>0</v>
      </c>
      <c r="J205" s="88">
        <v>6</v>
      </c>
      <c r="K205" s="21" t="str">
        <f t="shared" si="5"/>
        <v>MP8-1</v>
      </c>
      <c r="L205" s="30"/>
      <c r="M205" s="32"/>
      <c r="N205" s="425"/>
      <c r="O205" s="425"/>
      <c r="P205" s="31"/>
      <c r="Q205" s="32"/>
      <c r="R205" s="39"/>
    </row>
    <row r="206" spans="4:18" ht="20.100000000000001" customHeight="1">
      <c r="D206" s="420"/>
      <c r="E206" s="23">
        <v>5</v>
      </c>
      <c r="F206" s="6" t="s">
        <v>93</v>
      </c>
      <c r="G206" s="7" t="s">
        <v>240</v>
      </c>
      <c r="H206" s="105" t="s">
        <v>454</v>
      </c>
      <c r="I206" s="88">
        <v>0</v>
      </c>
      <c r="J206" s="88">
        <v>7</v>
      </c>
      <c r="K206" s="21" t="str">
        <f t="shared" si="5"/>
        <v>MP8-1</v>
      </c>
      <c r="L206" s="30"/>
      <c r="M206" s="32"/>
      <c r="N206" s="425"/>
      <c r="O206" s="425"/>
      <c r="P206" s="31"/>
      <c r="Q206" s="32"/>
      <c r="R206" s="39"/>
    </row>
    <row r="207" spans="4:18" ht="20.100000000000001" customHeight="1">
      <c r="D207" s="420"/>
      <c r="E207" s="23">
        <v>6</v>
      </c>
      <c r="F207" s="6" t="s">
        <v>93</v>
      </c>
      <c r="G207" s="7" t="s">
        <v>238</v>
      </c>
      <c r="H207" s="105" t="s">
        <v>455</v>
      </c>
      <c r="I207" s="88">
        <v>0</v>
      </c>
      <c r="J207" s="88">
        <v>8</v>
      </c>
      <c r="K207" s="21" t="str">
        <f t="shared" si="5"/>
        <v>MP8-1</v>
      </c>
      <c r="L207" s="30"/>
      <c r="M207" s="32"/>
      <c r="N207" s="425"/>
      <c r="O207" s="425"/>
      <c r="P207" s="31"/>
      <c r="Q207" s="32"/>
      <c r="R207" s="39"/>
    </row>
    <row r="208" spans="4:18" ht="20.100000000000001" customHeight="1">
      <c r="D208" s="420"/>
      <c r="E208" s="23">
        <v>7</v>
      </c>
      <c r="F208" s="6" t="s">
        <v>93</v>
      </c>
      <c r="G208" s="7" t="s">
        <v>239</v>
      </c>
      <c r="H208" s="105" t="s">
        <v>456</v>
      </c>
      <c r="I208" s="88">
        <v>0</v>
      </c>
      <c r="J208" s="88">
        <v>9</v>
      </c>
      <c r="K208" s="21" t="str">
        <f t="shared" si="5"/>
        <v>MP8-1</v>
      </c>
      <c r="L208" s="40"/>
      <c r="M208" s="32"/>
      <c r="N208" s="425"/>
      <c r="O208" s="425"/>
      <c r="P208" s="31"/>
      <c r="Q208" s="32"/>
      <c r="R208" s="39"/>
    </row>
    <row r="209" spans="4:18" ht="20.100000000000001" customHeight="1">
      <c r="D209" s="420"/>
      <c r="E209" s="23">
        <v>8</v>
      </c>
      <c r="F209" s="16"/>
      <c r="G209" s="141"/>
      <c r="H209" s="9"/>
      <c r="I209" s="88">
        <v>0</v>
      </c>
      <c r="J209" s="88" t="s">
        <v>59</v>
      </c>
      <c r="K209" s="21" t="str">
        <f t="shared" si="5"/>
        <v>MP8-1</v>
      </c>
      <c r="L209" s="40"/>
      <c r="M209" s="32"/>
      <c r="N209" s="425"/>
      <c r="O209" s="425"/>
      <c r="P209" s="31"/>
      <c r="Q209" s="32"/>
      <c r="R209" s="39"/>
    </row>
    <row r="210" spans="4:18" ht="20.100000000000001" customHeight="1">
      <c r="D210" s="420"/>
      <c r="E210" s="23">
        <v>9</v>
      </c>
      <c r="F210" s="16" t="s">
        <v>94</v>
      </c>
      <c r="G210" s="17" t="s">
        <v>234</v>
      </c>
      <c r="H210" s="15" t="s">
        <v>501</v>
      </c>
      <c r="I210" s="88">
        <v>0</v>
      </c>
      <c r="J210" s="88" t="s">
        <v>60</v>
      </c>
      <c r="K210" s="21" t="str">
        <f t="shared" si="5"/>
        <v>MP8-1</v>
      </c>
      <c r="L210" s="40"/>
      <c r="M210" s="32"/>
      <c r="N210" s="425"/>
      <c r="O210" s="425"/>
      <c r="P210" s="31"/>
      <c r="Q210" s="32"/>
      <c r="R210" s="39"/>
    </row>
    <row r="211" spans="4:18" ht="20.100000000000001" customHeight="1">
      <c r="D211" s="420"/>
      <c r="E211" s="23">
        <v>10</v>
      </c>
      <c r="F211" s="16" t="s">
        <v>231</v>
      </c>
      <c r="G211" s="17" t="s">
        <v>235</v>
      </c>
      <c r="H211" s="15" t="s">
        <v>502</v>
      </c>
      <c r="I211" s="88">
        <v>0</v>
      </c>
      <c r="J211" s="88" t="s">
        <v>61</v>
      </c>
      <c r="K211" s="21" t="str">
        <f t="shared" si="5"/>
        <v>MP8-1</v>
      </c>
      <c r="L211" s="40"/>
      <c r="M211" s="32"/>
      <c r="N211" s="425"/>
      <c r="O211" s="425"/>
      <c r="P211" s="31"/>
      <c r="Q211" s="32"/>
      <c r="R211" s="39"/>
    </row>
    <row r="212" spans="4:18" ht="20.100000000000001" customHeight="1">
      <c r="D212" s="420"/>
      <c r="E212" s="23">
        <v>11</v>
      </c>
      <c r="F212" s="16" t="s">
        <v>90</v>
      </c>
      <c r="G212" s="17" t="s">
        <v>232</v>
      </c>
      <c r="H212" s="15" t="s">
        <v>503</v>
      </c>
      <c r="I212" s="88">
        <v>0</v>
      </c>
      <c r="J212" s="88" t="s">
        <v>62</v>
      </c>
      <c r="K212" s="21" t="str">
        <f t="shared" si="5"/>
        <v>MP8-1</v>
      </c>
      <c r="L212" s="30"/>
      <c r="M212" s="32"/>
      <c r="N212" s="425"/>
      <c r="O212" s="425"/>
      <c r="P212" s="31"/>
      <c r="Q212" s="32"/>
      <c r="R212" s="39"/>
    </row>
    <row r="213" spans="4:18" ht="20.100000000000001" customHeight="1">
      <c r="D213" s="420"/>
      <c r="E213" s="23">
        <v>12</v>
      </c>
      <c r="F213" s="10" t="s">
        <v>94</v>
      </c>
      <c r="G213" s="11" t="s">
        <v>233</v>
      </c>
      <c r="H213" s="15" t="s">
        <v>479</v>
      </c>
      <c r="I213" s="88">
        <v>0</v>
      </c>
      <c r="J213" s="88" t="s">
        <v>63</v>
      </c>
      <c r="K213" s="21" t="str">
        <f t="shared" si="5"/>
        <v>MP8-1</v>
      </c>
      <c r="L213" s="30"/>
      <c r="M213" s="32"/>
      <c r="N213" s="425"/>
      <c r="O213" s="425"/>
      <c r="P213" s="31"/>
      <c r="Q213" s="32"/>
      <c r="R213" s="39"/>
    </row>
    <row r="214" spans="4:18" ht="20.100000000000001" customHeight="1">
      <c r="D214" s="420"/>
      <c r="E214" s="23">
        <v>13</v>
      </c>
      <c r="F214" s="6" t="s">
        <v>92</v>
      </c>
      <c r="G214" s="17" t="s">
        <v>301</v>
      </c>
      <c r="H214" s="15" t="s">
        <v>480</v>
      </c>
      <c r="I214" s="88">
        <v>0</v>
      </c>
      <c r="J214" s="88" t="s">
        <v>64</v>
      </c>
      <c r="K214" s="21" t="str">
        <f t="shared" si="5"/>
        <v>MP8-1</v>
      </c>
      <c r="L214" s="30"/>
      <c r="M214" s="32"/>
      <c r="N214" s="425"/>
      <c r="O214" s="425"/>
      <c r="P214" s="31"/>
      <c r="Q214" s="32"/>
      <c r="R214" s="39"/>
    </row>
    <row r="215" spans="4:18" ht="20.100000000000001" customHeight="1">
      <c r="D215" s="420"/>
      <c r="E215" s="23">
        <v>14</v>
      </c>
      <c r="F215" s="16" t="s">
        <v>94</v>
      </c>
      <c r="G215" s="17" t="s">
        <v>236</v>
      </c>
      <c r="H215" s="15" t="s">
        <v>481</v>
      </c>
      <c r="I215" s="88">
        <v>1</v>
      </c>
      <c r="J215" s="88">
        <v>0</v>
      </c>
      <c r="K215" s="21" t="str">
        <f t="shared" si="5"/>
        <v>MP8-1</v>
      </c>
      <c r="L215" s="30"/>
      <c r="M215" s="32"/>
      <c r="N215" s="425"/>
      <c r="O215" s="425"/>
      <c r="P215" s="31"/>
      <c r="Q215" s="32"/>
      <c r="R215" s="39"/>
    </row>
    <row r="216" spans="4:18" ht="20.100000000000001" customHeight="1">
      <c r="D216" s="420"/>
      <c r="E216" s="23">
        <v>15</v>
      </c>
      <c r="F216" s="16" t="s">
        <v>246</v>
      </c>
      <c r="G216" s="17" t="s">
        <v>237</v>
      </c>
      <c r="H216" s="15" t="s">
        <v>482</v>
      </c>
      <c r="I216" s="88">
        <v>1</v>
      </c>
      <c r="J216" s="88">
        <v>1</v>
      </c>
      <c r="K216" s="21" t="str">
        <f t="shared" si="5"/>
        <v>MP8-1</v>
      </c>
      <c r="L216" s="40"/>
      <c r="M216" s="32"/>
      <c r="N216" s="425"/>
      <c r="O216" s="425"/>
      <c r="P216" s="31"/>
      <c r="Q216" s="32"/>
      <c r="R216" s="39"/>
    </row>
    <row r="217" spans="4:18" ht="20.100000000000001" customHeight="1">
      <c r="D217" s="420"/>
      <c r="E217" s="23">
        <v>16</v>
      </c>
      <c r="F217" s="16" t="s">
        <v>90</v>
      </c>
      <c r="G217" s="17" t="s">
        <v>241</v>
      </c>
      <c r="H217" s="15" t="s">
        <v>483</v>
      </c>
      <c r="I217" s="88">
        <v>1</v>
      </c>
      <c r="J217" s="88">
        <v>2</v>
      </c>
      <c r="K217" s="21" t="str">
        <f t="shared" si="5"/>
        <v>MP8-1</v>
      </c>
      <c r="L217" s="41"/>
      <c r="M217" s="32"/>
      <c r="N217" s="425"/>
      <c r="O217" s="425"/>
      <c r="P217" s="31"/>
      <c r="Q217" s="32"/>
      <c r="R217" s="39"/>
    </row>
    <row r="218" spans="4:18" ht="20.100000000000001" customHeight="1">
      <c r="D218" s="420"/>
      <c r="E218" s="32">
        <v>17</v>
      </c>
      <c r="F218" s="16"/>
      <c r="G218" s="17"/>
      <c r="H218" s="15"/>
      <c r="I218" s="88">
        <v>1</v>
      </c>
      <c r="J218" s="88">
        <v>3</v>
      </c>
      <c r="K218" s="21" t="s">
        <v>196</v>
      </c>
      <c r="L218" s="31"/>
      <c r="M218" s="32"/>
      <c r="N218" s="425"/>
      <c r="O218" s="425"/>
      <c r="P218" s="31"/>
      <c r="Q218" s="32"/>
      <c r="R218" s="39"/>
    </row>
    <row r="219" spans="4:18" ht="20.100000000000001" customHeight="1">
      <c r="D219" s="420"/>
      <c r="E219" s="32">
        <v>18</v>
      </c>
      <c r="F219" s="16"/>
      <c r="G219" s="17"/>
      <c r="H219" s="15"/>
      <c r="I219" s="88">
        <v>1</v>
      </c>
      <c r="J219" s="88">
        <v>4</v>
      </c>
      <c r="K219" s="21" t="str">
        <f>K218</f>
        <v>MP8-2</v>
      </c>
      <c r="L219" s="31"/>
      <c r="M219" s="32"/>
      <c r="N219" s="425"/>
      <c r="O219" s="425"/>
      <c r="P219" s="31"/>
      <c r="Q219" s="32"/>
      <c r="R219" s="39"/>
    </row>
    <row r="220" spans="4:18" ht="20.100000000000001" customHeight="1">
      <c r="D220" s="420"/>
      <c r="E220" s="32">
        <v>19</v>
      </c>
      <c r="F220" s="16"/>
      <c r="G220" s="17"/>
      <c r="H220" s="15"/>
      <c r="I220" s="88">
        <v>1</v>
      </c>
      <c r="J220" s="88">
        <v>5</v>
      </c>
      <c r="K220" s="21" t="str">
        <f>K219</f>
        <v>MP8-2</v>
      </c>
      <c r="M220" s="32"/>
      <c r="N220" s="425"/>
      <c r="O220" s="425"/>
      <c r="P220" s="31"/>
      <c r="Q220" s="32"/>
      <c r="R220" s="39"/>
    </row>
    <row r="221" spans="4:18" ht="20.100000000000001" customHeight="1">
      <c r="D221" s="420"/>
      <c r="E221" s="32">
        <v>20</v>
      </c>
      <c r="F221" s="6"/>
      <c r="G221" s="7"/>
      <c r="H221" s="105"/>
      <c r="I221" s="88">
        <v>1</v>
      </c>
      <c r="J221" s="88">
        <v>6</v>
      </c>
      <c r="K221" s="21" t="str">
        <f>K220</f>
        <v>MP8-2</v>
      </c>
      <c r="L221" s="31"/>
      <c r="M221" s="32"/>
      <c r="N221" s="425"/>
      <c r="O221" s="425"/>
      <c r="P221" s="31"/>
      <c r="Q221" s="32"/>
      <c r="R221" s="39"/>
    </row>
    <row r="222" spans="4:18" ht="20.100000000000001" customHeight="1" thickBot="1">
      <c r="D222" s="421"/>
      <c r="E222" s="26">
        <v>21</v>
      </c>
      <c r="F222" s="19"/>
      <c r="G222" s="155"/>
      <c r="H222" s="20"/>
      <c r="I222" s="103">
        <v>1</v>
      </c>
      <c r="J222" s="103">
        <v>7</v>
      </c>
      <c r="K222" s="24" t="str">
        <f>K221</f>
        <v>MP8-2</v>
      </c>
      <c r="L222" s="37"/>
      <c r="M222" s="26"/>
      <c r="N222" s="426"/>
      <c r="O222" s="426"/>
      <c r="P222" s="37"/>
      <c r="Q222" s="26"/>
      <c r="R222" s="38"/>
    </row>
    <row r="223" spans="4:18" ht="19.95" customHeight="1"/>
  </sheetData>
  <mergeCells count="270">
    <mergeCell ref="P150:R150"/>
    <mergeCell ref="N151:O151"/>
    <mergeCell ref="D152:D172"/>
    <mergeCell ref="N152:O152"/>
    <mergeCell ref="N153:O153"/>
    <mergeCell ref="N154:O154"/>
    <mergeCell ref="N155:O155"/>
    <mergeCell ref="N156:O156"/>
    <mergeCell ref="N157:O157"/>
    <mergeCell ref="N158:O158"/>
    <mergeCell ref="N171:O171"/>
    <mergeCell ref="N172:O172"/>
    <mergeCell ref="N165:O165"/>
    <mergeCell ref="N166:O166"/>
    <mergeCell ref="N167:O167"/>
    <mergeCell ref="N168:O168"/>
    <mergeCell ref="N169:O169"/>
    <mergeCell ref="N170:O170"/>
    <mergeCell ref="N159:O159"/>
    <mergeCell ref="N160:O160"/>
    <mergeCell ref="N161:O161"/>
    <mergeCell ref="N162:O162"/>
    <mergeCell ref="N163:O163"/>
    <mergeCell ref="N164:O164"/>
    <mergeCell ref="N135:O135"/>
    <mergeCell ref="N136:O136"/>
    <mergeCell ref="N137:O137"/>
    <mergeCell ref="N138:O138"/>
    <mergeCell ref="N145:O145"/>
    <mergeCell ref="N146:O146"/>
    <mergeCell ref="N147:O147"/>
    <mergeCell ref="D150:D151"/>
    <mergeCell ref="E150:E151"/>
    <mergeCell ref="F150:F151"/>
    <mergeCell ref="G150:G151"/>
    <mergeCell ref="H150:H151"/>
    <mergeCell ref="I150:K150"/>
    <mergeCell ref="L150:O150"/>
    <mergeCell ref="L125:O125"/>
    <mergeCell ref="P125:R125"/>
    <mergeCell ref="N126:O126"/>
    <mergeCell ref="D127:D147"/>
    <mergeCell ref="N127:O127"/>
    <mergeCell ref="N128:O128"/>
    <mergeCell ref="N129:O129"/>
    <mergeCell ref="N130:O130"/>
    <mergeCell ref="N131:O131"/>
    <mergeCell ref="N132:O132"/>
    <mergeCell ref="D125:D126"/>
    <mergeCell ref="E125:E126"/>
    <mergeCell ref="F125:F126"/>
    <mergeCell ref="G125:G126"/>
    <mergeCell ref="H125:H126"/>
    <mergeCell ref="I125:K125"/>
    <mergeCell ref="N139:O139"/>
    <mergeCell ref="N140:O140"/>
    <mergeCell ref="N141:O141"/>
    <mergeCell ref="N142:O142"/>
    <mergeCell ref="N143:O143"/>
    <mergeCell ref="N144:O144"/>
    <mergeCell ref="N133:O133"/>
    <mergeCell ref="N134:O134"/>
    <mergeCell ref="N116:O116"/>
    <mergeCell ref="N117:O117"/>
    <mergeCell ref="N118:O118"/>
    <mergeCell ref="N119:O119"/>
    <mergeCell ref="N120:O120"/>
    <mergeCell ref="N121:O121"/>
    <mergeCell ref="N110:O110"/>
    <mergeCell ref="N111:O111"/>
    <mergeCell ref="N112:O112"/>
    <mergeCell ref="N113:O113"/>
    <mergeCell ref="N114:O114"/>
    <mergeCell ref="N115:O115"/>
    <mergeCell ref="G42:G57"/>
    <mergeCell ref="N42:O42"/>
    <mergeCell ref="N43:O43"/>
    <mergeCell ref="N44:O44"/>
    <mergeCell ref="N45:O45"/>
    <mergeCell ref="N46:O46"/>
    <mergeCell ref="N71:O71"/>
    <mergeCell ref="F72:F73"/>
    <mergeCell ref="G72:G73"/>
    <mergeCell ref="N72:O72"/>
    <mergeCell ref="N73:O73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61:O61"/>
    <mergeCell ref="F58:F61"/>
    <mergeCell ref="P17:R17"/>
    <mergeCell ref="N18:O18"/>
    <mergeCell ref="D19:D61"/>
    <mergeCell ref="E19:E61"/>
    <mergeCell ref="N19:O19"/>
    <mergeCell ref="H4:M5"/>
    <mergeCell ref="D7:D8"/>
    <mergeCell ref="E7:E8"/>
    <mergeCell ref="F7:F8"/>
    <mergeCell ref="G7:G8"/>
    <mergeCell ref="H7:H8"/>
    <mergeCell ref="L7:O7"/>
    <mergeCell ref="D17:D18"/>
    <mergeCell ref="E17:E18"/>
    <mergeCell ref="F17:F18"/>
    <mergeCell ref="G17:G18"/>
    <mergeCell ref="H17:H18"/>
    <mergeCell ref="L17:O17"/>
    <mergeCell ref="N36:O36"/>
    <mergeCell ref="N37:O37"/>
    <mergeCell ref="N38:O38"/>
    <mergeCell ref="N59:O59"/>
    <mergeCell ref="N60:O60"/>
    <mergeCell ref="F42:F57"/>
    <mergeCell ref="P7:R7"/>
    <mergeCell ref="N8:O8"/>
    <mergeCell ref="D9:D16"/>
    <mergeCell ref="E9:E16"/>
    <mergeCell ref="N9:O9"/>
    <mergeCell ref="N10:O10"/>
    <mergeCell ref="N11:O11"/>
    <mergeCell ref="N12:O12"/>
    <mergeCell ref="N13:O13"/>
    <mergeCell ref="N14:O14"/>
    <mergeCell ref="N15:O15"/>
    <mergeCell ref="N16:O16"/>
    <mergeCell ref="N20:O20"/>
    <mergeCell ref="F22:F25"/>
    <mergeCell ref="N22:O22"/>
    <mergeCell ref="N23:O23"/>
    <mergeCell ref="N24:O24"/>
    <mergeCell ref="N25:O25"/>
    <mergeCell ref="F26:F41"/>
    <mergeCell ref="G26:G41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9:O39"/>
    <mergeCell ref="N40:O40"/>
    <mergeCell ref="N41:O41"/>
    <mergeCell ref="F19:F21"/>
    <mergeCell ref="D175:D176"/>
    <mergeCell ref="E175:E176"/>
    <mergeCell ref="F175:F176"/>
    <mergeCell ref="G175:G176"/>
    <mergeCell ref="H175:H176"/>
    <mergeCell ref="I175:K175"/>
    <mergeCell ref="L175:O175"/>
    <mergeCell ref="D62:D73"/>
    <mergeCell ref="E62:E73"/>
    <mergeCell ref="N62:O62"/>
    <mergeCell ref="N63:O63"/>
    <mergeCell ref="N64:O64"/>
    <mergeCell ref="N65:O65"/>
    <mergeCell ref="N176:O176"/>
    <mergeCell ref="N79:O79"/>
    <mergeCell ref="D80:D121"/>
    <mergeCell ref="N80:O80"/>
    <mergeCell ref="N81:O81"/>
    <mergeCell ref="N82:O82"/>
    <mergeCell ref="N83:O83"/>
    <mergeCell ref="N84:O84"/>
    <mergeCell ref="N85:O85"/>
    <mergeCell ref="D78:D79"/>
    <mergeCell ref="E78:E79"/>
    <mergeCell ref="N58:O58"/>
    <mergeCell ref="L78:O78"/>
    <mergeCell ref="N66:O66"/>
    <mergeCell ref="N67:O67"/>
    <mergeCell ref="N68:O68"/>
    <mergeCell ref="N69:O69"/>
    <mergeCell ref="N70:O70"/>
    <mergeCell ref="P175:R175"/>
    <mergeCell ref="P78:R78"/>
    <mergeCell ref="N97:O97"/>
    <mergeCell ref="N90:O90"/>
    <mergeCell ref="N91:O91"/>
    <mergeCell ref="N104:O104"/>
    <mergeCell ref="N105:O105"/>
    <mergeCell ref="N106:O106"/>
    <mergeCell ref="N107:O107"/>
    <mergeCell ref="N108:O108"/>
    <mergeCell ref="N109:O109"/>
    <mergeCell ref="N98:O98"/>
    <mergeCell ref="N99:O99"/>
    <mergeCell ref="N100:O100"/>
    <mergeCell ref="N101:O101"/>
    <mergeCell ref="N102:O102"/>
    <mergeCell ref="N103:O103"/>
    <mergeCell ref="F78:F79"/>
    <mergeCell ref="G78:G79"/>
    <mergeCell ref="H78:H79"/>
    <mergeCell ref="I78:K78"/>
    <mergeCell ref="N92:O92"/>
    <mergeCell ref="N93:O93"/>
    <mergeCell ref="N94:O94"/>
    <mergeCell ref="N95:O95"/>
    <mergeCell ref="N96:O96"/>
    <mergeCell ref="N86:O86"/>
    <mergeCell ref="N87:O87"/>
    <mergeCell ref="N88:O88"/>
    <mergeCell ref="N89:O89"/>
    <mergeCell ref="D177:D197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D200:D201"/>
    <mergeCell ref="E200:E201"/>
    <mergeCell ref="F200:F201"/>
    <mergeCell ref="G200:G201"/>
    <mergeCell ref="H200:H201"/>
    <mergeCell ref="I200:K200"/>
    <mergeCell ref="L200:O200"/>
    <mergeCell ref="P200:R200"/>
    <mergeCell ref="N201:O201"/>
    <mergeCell ref="D202:D222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</mergeCells>
  <phoneticPr fontId="2" type="noConversion"/>
  <conditionalFormatting sqref="F80">
    <cfRule type="cellIs" dxfId="9" priority="1" operator="equal">
      <formula>0</formula>
    </cfRule>
  </conditionalFormatting>
  <dataValidations count="2">
    <dataValidation type="list" allowBlank="1" showInputMessage="1" showErrorMessage="1" sqref="M152:M167 M22:M73 Q177:Q197 M199 Q199 M202:M222 Q202:Q222 M169:M172 Q127:Q149 Q152:Q172 Q80:Q124 M80:M106 M108:M111 M115:M124 M127:M149 Q9:Q16 M9:M16 M174 Q174 M177:M197 M19:M20 Q19:Q20 Q22:Q73" xr:uid="{81E5AF31-3ACE-4384-958B-33BF16121E7F}">
      <formula1>$R$4:$R$6</formula1>
    </dataValidation>
    <dataValidation type="list" allowBlank="1" showInputMessage="1" showErrorMessage="1" sqref="N21 R21" xr:uid="{55D1680C-0ABC-4897-B074-D58B4AF1D4F4}">
      <formula1>$S$4:$S$6</formula1>
    </dataValidation>
  </dataValidations>
  <pageMargins left="0.39" right="0.39" top="0.59" bottom="0.59" header="0.12" footer="0.31"/>
  <pageSetup paperSize="8" scale="47" orientation="portrait" horizontalDpi="300" verticalDpi="300" r:id="rId1"/>
  <headerFooter alignWithMargins="0">
    <oddHeader>&amp;L&amp;G&amp;R&amp;8&amp;A</oddHeader>
    <oddFooter>&amp;C&amp;9&amp;[&amp;P</oddFooter>
  </headerFooter>
  <rowBreaks count="2" manualBreakCount="2">
    <brk id="74" max="22" man="1"/>
    <brk id="122" max="22" man="1"/>
  </rowBreaks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781D-0E1D-4C92-AA92-07D742222F43}">
  <sheetPr>
    <tabColor theme="0" tint="-0.249977111117893"/>
  </sheetPr>
  <dimension ref="A1:AL570"/>
  <sheetViews>
    <sheetView workbookViewId="0">
      <pane xSplit="8" ySplit="8" topLeftCell="L9" activePane="bottomRight" state="frozen"/>
      <selection activeCell="H24" sqref="H24"/>
      <selection pane="topRight" activeCell="H24" sqref="H24"/>
      <selection pane="bottomLeft" activeCell="H24" sqref="H24"/>
      <selection pane="bottomRight" activeCell="V18" sqref="V18"/>
    </sheetView>
  </sheetViews>
  <sheetFormatPr defaultColWidth="8.68359375" defaultRowHeight="12.6"/>
  <cols>
    <col min="1" max="1" width="4" style="180" customWidth="1"/>
    <col min="2" max="2" width="10.1015625" style="183" customWidth="1"/>
    <col min="3" max="3" width="14.7890625" style="183" bestFit="1" customWidth="1"/>
    <col min="4" max="4" width="8.68359375" style="183"/>
    <col min="5" max="6" width="8.68359375" style="183" hidden="1" customWidth="1"/>
    <col min="7" max="7" width="25.20703125" style="183" hidden="1" customWidth="1"/>
    <col min="8" max="8" width="26.7890625" style="183" customWidth="1"/>
    <col min="9" max="9" width="9.3125" style="183" bestFit="1" customWidth="1"/>
    <col min="10" max="13" width="5" style="183" customWidth="1"/>
    <col min="14" max="14" width="27.3125" style="183" customWidth="1"/>
    <col min="15" max="15" width="26.41796875" style="183" customWidth="1"/>
    <col min="16" max="16" width="26.41796875" style="186" hidden="1" customWidth="1"/>
    <col min="17" max="17" width="8.3125" style="186" hidden="1" customWidth="1"/>
    <col min="18" max="19" width="8.68359375" style="183"/>
    <col min="20" max="20" width="7.89453125" style="185" hidden="1" customWidth="1"/>
    <col min="21" max="21" width="7.89453125" style="184" customWidth="1"/>
    <col min="22" max="22" width="15.1015625" style="183" bestFit="1" customWidth="1"/>
    <col min="23" max="23" width="16.3125" style="183" customWidth="1"/>
    <col min="24" max="24" width="8.68359375" style="180"/>
    <col min="25" max="25" width="4.1015625" style="180" customWidth="1"/>
    <col min="26" max="28" width="4.3125" style="180" customWidth="1"/>
    <col min="29" max="29" width="7.20703125" style="182" customWidth="1"/>
    <col min="30" max="30" width="8.68359375" style="181"/>
    <col min="31" max="31" width="8.68359375" style="180"/>
    <col min="32" max="32" width="45" style="180" customWidth="1"/>
    <col min="33" max="37" width="8.68359375" style="180"/>
    <col min="38" max="38" width="12.3125" style="180" bestFit="1" customWidth="1"/>
    <col min="39" max="16384" width="8.68359375" style="180"/>
  </cols>
  <sheetData>
    <row r="1" spans="1:38" ht="13.2" customHeight="1" thickBot="1">
      <c r="C1" s="312"/>
      <c r="AF1" s="311"/>
    </row>
    <row r="2" spans="1:38" ht="13.2" customHeight="1">
      <c r="B2" s="477" t="str">
        <f>[4]표지!F19</f>
        <v>SDV SISW-OLED2300-4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  <c r="X2" s="478"/>
      <c r="Y2" s="478"/>
      <c r="Z2" s="478"/>
      <c r="AA2" s="478"/>
      <c r="AB2" s="479"/>
      <c r="AC2" s="310"/>
    </row>
    <row r="3" spans="1:38" ht="13.2" customHeight="1">
      <c r="B3" s="480"/>
      <c r="C3" s="481"/>
      <c r="D3" s="481"/>
      <c r="E3" s="481"/>
      <c r="F3" s="481"/>
      <c r="G3" s="481"/>
      <c r="H3" s="481"/>
      <c r="I3" s="481"/>
      <c r="J3" s="481"/>
      <c r="K3" s="481"/>
      <c r="L3" s="481"/>
      <c r="M3" s="481"/>
      <c r="N3" s="481"/>
      <c r="O3" s="481"/>
      <c r="P3" s="481"/>
      <c r="Q3" s="481"/>
      <c r="R3" s="481"/>
      <c r="S3" s="481"/>
      <c r="T3" s="481"/>
      <c r="U3" s="481"/>
      <c r="V3" s="481"/>
      <c r="W3" s="481"/>
      <c r="X3" s="481"/>
      <c r="Y3" s="481"/>
      <c r="Z3" s="481"/>
      <c r="AA3" s="481"/>
      <c r="AB3" s="482"/>
      <c r="AC3" s="310"/>
      <c r="AF3" s="189"/>
    </row>
    <row r="4" spans="1:38" ht="13.2" customHeight="1" thickBot="1">
      <c r="B4" s="483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  <c r="O4" s="484"/>
      <c r="P4" s="484"/>
      <c r="Q4" s="484"/>
      <c r="R4" s="484"/>
      <c r="S4" s="484"/>
      <c r="T4" s="484"/>
      <c r="U4" s="484"/>
      <c r="V4" s="484"/>
      <c r="W4" s="484"/>
      <c r="X4" s="484"/>
      <c r="Y4" s="484"/>
      <c r="Z4" s="484"/>
      <c r="AA4" s="484"/>
      <c r="AB4" s="485"/>
      <c r="AC4" s="310"/>
      <c r="AF4" s="189"/>
    </row>
    <row r="5" spans="1:38" ht="13.2" customHeight="1">
      <c r="B5" s="309"/>
      <c r="C5" s="308"/>
      <c r="AF5" s="189"/>
    </row>
    <row r="6" spans="1:38" ht="13.2" customHeight="1" thickBot="1">
      <c r="B6" s="307" t="s">
        <v>671</v>
      </c>
      <c r="Z6" s="306">
        <f>SUM(Z9:Z60)</f>
        <v>2.1999999999999997</v>
      </c>
      <c r="AA6" s="306">
        <f t="shared" ref="AA6:AB6" si="0">SUM(AA9:AA60)</f>
        <v>2.1999999999999997</v>
      </c>
      <c r="AB6" s="306">
        <f t="shared" si="0"/>
        <v>2.4</v>
      </c>
      <c r="AF6" s="189"/>
    </row>
    <row r="7" spans="1:38" ht="13.2" customHeight="1">
      <c r="B7" s="490" t="s">
        <v>658</v>
      </c>
      <c r="C7" s="491"/>
      <c r="D7" s="466" t="s">
        <v>657</v>
      </c>
      <c r="E7" s="494"/>
      <c r="F7" s="494"/>
      <c r="G7" s="494"/>
      <c r="H7" s="466" t="s">
        <v>656</v>
      </c>
      <c r="I7" s="466" t="s">
        <v>655</v>
      </c>
      <c r="J7" s="466" t="s">
        <v>654</v>
      </c>
      <c r="K7" s="500" t="s">
        <v>653</v>
      </c>
      <c r="L7" s="501"/>
      <c r="M7" s="502"/>
      <c r="N7" s="466" t="s">
        <v>652</v>
      </c>
      <c r="O7" s="466" t="s">
        <v>598</v>
      </c>
      <c r="P7" s="496" t="s">
        <v>651</v>
      </c>
      <c r="Q7" s="472" t="s">
        <v>650</v>
      </c>
      <c r="R7" s="472" t="s">
        <v>649</v>
      </c>
      <c r="S7" s="472" t="s">
        <v>648</v>
      </c>
      <c r="T7" s="504" t="s">
        <v>647</v>
      </c>
      <c r="U7" s="486" t="s">
        <v>646</v>
      </c>
      <c r="V7" s="466" t="s">
        <v>645</v>
      </c>
      <c r="W7" s="518"/>
      <c r="X7" s="503" t="s">
        <v>644</v>
      </c>
      <c r="Y7" s="516" t="s">
        <v>643</v>
      </c>
      <c r="Z7" s="506" t="s">
        <v>579</v>
      </c>
      <c r="AA7" s="506" t="s">
        <v>577</v>
      </c>
      <c r="AB7" s="514" t="s">
        <v>578</v>
      </c>
      <c r="AC7" s="470" t="s">
        <v>642</v>
      </c>
      <c r="AD7" s="512" t="s">
        <v>641</v>
      </c>
      <c r="AF7" s="189"/>
    </row>
    <row r="8" spans="1:38" ht="13.2" customHeight="1" thickBot="1">
      <c r="B8" s="533"/>
      <c r="C8" s="536"/>
      <c r="D8" s="537"/>
      <c r="E8" s="538"/>
      <c r="F8" s="538"/>
      <c r="G8" s="538"/>
      <c r="H8" s="537"/>
      <c r="I8" s="537"/>
      <c r="J8" s="537"/>
      <c r="K8" s="313" t="s">
        <v>640</v>
      </c>
      <c r="L8" s="313" t="s">
        <v>639</v>
      </c>
      <c r="M8" s="313" t="s">
        <v>638</v>
      </c>
      <c r="N8" s="537"/>
      <c r="O8" s="537"/>
      <c r="P8" s="539"/>
      <c r="Q8" s="535"/>
      <c r="R8" s="535"/>
      <c r="S8" s="535"/>
      <c r="T8" s="531"/>
      <c r="U8" s="532"/>
      <c r="V8" s="313" t="s">
        <v>637</v>
      </c>
      <c r="W8" s="314" t="s">
        <v>636</v>
      </c>
      <c r="X8" s="533"/>
      <c r="Y8" s="534"/>
      <c r="Z8" s="527"/>
      <c r="AA8" s="527"/>
      <c r="AB8" s="528"/>
      <c r="AC8" s="529"/>
      <c r="AD8" s="530"/>
      <c r="AF8" s="189"/>
    </row>
    <row r="9" spans="1:38" ht="13.2" customHeight="1">
      <c r="A9" s="180" t="s">
        <v>623</v>
      </c>
      <c r="B9" s="315"/>
      <c r="C9" s="316"/>
      <c r="D9" s="317" t="s">
        <v>229</v>
      </c>
      <c r="E9" s="318"/>
      <c r="F9" s="318"/>
      <c r="G9" s="319" t="s">
        <v>546</v>
      </c>
      <c r="H9" s="315" t="str">
        <f>E9&amp;F9&amp;" "&amp;G9</f>
        <v xml:space="preserve"> LCCT Stick Transfer2 X</v>
      </c>
      <c r="I9" s="320" t="str">
        <f t="shared" ref="I9:I60" si="1">IF(OR(LEFT(O9,3)="SGL",LEFT(O9,5)="SGMCS"),"LINEAR","Rotary")</f>
        <v>Rotary</v>
      </c>
      <c r="J9" s="321" t="str">
        <f t="shared" ref="J9:J60" si="2">IF(OR(RIGHT($H9,1)="Z",LEFT(RIGHT($H9,2),1)="Z",LEFT(RIGHT($H9,3),1)="Z"),"Z",IF(OR(RIGHT($H9,1)="X",LEFT(RIGHT($H9,2),1)="X",LEFT(RIGHT($H9,3),1)="X"),"X",IF(OR(RIGHT($H9,1)="Y",LEFT(RIGHT($H9,2),1)="Y",LEFT(RIGHT($H9,3),1)="Y"),"Y","T")))</f>
        <v>X</v>
      </c>
      <c r="K9" s="322">
        <f>VLOOKUP($D9,[4]회선정보!B:F,3,FALSE)</f>
        <v>0</v>
      </c>
      <c r="L9" s="322">
        <f>VLOOKUP($D9,[4]회선정보!B:F,4,FALSE)</f>
        <v>3</v>
      </c>
      <c r="M9" s="322" t="str">
        <f>VLOOKUP($D9,[4]회선정보!B:F,5,FALSE)</f>
        <v>MP1-1</v>
      </c>
      <c r="N9" s="323" t="s">
        <v>627</v>
      </c>
      <c r="O9" s="323" t="s">
        <v>662</v>
      </c>
      <c r="P9" s="188" t="str">
        <f t="shared" ref="P9:P60" si="3">IFERROR(IF($I9="Rotary",LEFT($O9,9),$O9),"")</f>
        <v>SGM7G-09A</v>
      </c>
      <c r="Q9" s="188">
        <f>IF(MID($N8,5,1)&lt;&gt;"W",VLOOKUP(N9,[4]정격용량!$B$3:$K$633,4,FALSE),"X")</f>
        <v>1000</v>
      </c>
      <c r="R9" s="324">
        <f>IF(MID($N8,5,1)&lt;&gt;"W",VLOOKUP(N9,[4]정격용량!$B$3:$K$633,3,FALSE),"X")</f>
        <v>0.2</v>
      </c>
      <c r="S9" s="324">
        <f>IF(MID($N8,5,1)&lt;&gt;"W",VLOOKUP(N9,[4]정격용량!$B$3:$K$633,6,FALSE),"X")</f>
        <v>5.7</v>
      </c>
      <c r="T9" s="325" t="e">
        <f>IF(MID($N8,5,1)&lt;&gt;"W",S9*#REF!,"X")</f>
        <v>#REF!</v>
      </c>
      <c r="U9" s="326">
        <f>IF(MID($N8,5,1)&lt;&gt;"W",VLOOKUP(N9,[4]정격용량!$B$3:$K$633,9,FALSE),"X")</f>
        <v>7</v>
      </c>
      <c r="V9" s="324" t="str">
        <f>IFERROR(IF(J9="Z",VLOOKUP(P9,'[4]SERVO CABLE'!G:AD,8,FALSE),VLOOKUP(P9,'[4]SERVO CABLE'!G:AD,4,FALSE)),"")</f>
        <v>JZSP-UVA122-□-E</v>
      </c>
      <c r="W9" s="324" t="str">
        <f>IFERROR(VLOOKUP(P9,'[4]SERVO CABLE'!G:AD,17,FALSE),"")</f>
        <v>JZSP-CVP27-□-E</v>
      </c>
      <c r="X9" s="327"/>
      <c r="Y9" s="327">
        <v>1</v>
      </c>
      <c r="Z9" s="328">
        <f>IF($Y9=1,$R$9,"")</f>
        <v>0.2</v>
      </c>
      <c r="AA9" s="328" t="str">
        <f>IF($Y9=2,$R$9,"")</f>
        <v/>
      </c>
      <c r="AB9" s="328" t="str">
        <f>IF($Y9=3,$R$9,"")</f>
        <v/>
      </c>
      <c r="AC9" s="329">
        <f t="shared" ref="AC9:AC40" si="4">IF(MID($N8,5,1)&lt;&gt;"W",((700*700)/$Q9*1.509)/1000,"X")</f>
        <v>0.73941000000000001</v>
      </c>
      <c r="AD9" s="330" t="str">
        <f>IF($AC9="X","X",IF($AC9&lt;0.1,"X",IF($AC9&lt;0.27,"IRV60",IF($AC9&lt;0.91,"IRV80",IF($AC9&lt;1.1,"IRV100",IF($AC9&lt;1.3,"IRV120",IF($AC9&lt;1.6,"IRV150",IF($AC9&lt;2.2,"IRV200",IF($AC9&lt;2.7,"IRV300",IF($AC9&lt;4.3,"IRV400",IF($AC9&lt;6.8,"IRV500","X")))))))))))</f>
        <v>IRV80</v>
      </c>
      <c r="AF9" s="189"/>
    </row>
    <row r="10" spans="1:38" ht="16.5">
      <c r="A10" s="180" t="s">
        <v>623</v>
      </c>
      <c r="B10" s="209"/>
      <c r="C10" s="280"/>
      <c r="D10" s="270" t="s">
        <v>230</v>
      </c>
      <c r="E10" s="331"/>
      <c r="F10" s="331"/>
      <c r="G10" s="332" t="s">
        <v>547</v>
      </c>
      <c r="H10" s="209" t="str">
        <f t="shared" ref="H10:H60" si="5">E10&amp;F10&amp;" "&amp;G10</f>
        <v xml:space="preserve"> LCCT Stick Transfer2 Z</v>
      </c>
      <c r="I10" s="202" t="str">
        <f t="shared" si="1"/>
        <v>Rotary</v>
      </c>
      <c r="J10" s="267" t="str">
        <f t="shared" si="2"/>
        <v>Z</v>
      </c>
      <c r="K10" s="266">
        <f>VLOOKUP($D10,[4]회선정보!B:F,3,FALSE)</f>
        <v>0</v>
      </c>
      <c r="L10" s="266">
        <f>VLOOKUP($D10,[4]회선정보!B:F,4,FALSE)</f>
        <v>5</v>
      </c>
      <c r="M10" s="266" t="str">
        <f>VLOOKUP($D10,[4]회선정보!B:F,5,FALSE)</f>
        <v>MP1-1</v>
      </c>
      <c r="N10" s="265" t="s">
        <v>663</v>
      </c>
      <c r="O10" s="265" t="s">
        <v>604</v>
      </c>
      <c r="P10" s="263" t="str">
        <f t="shared" si="3"/>
        <v>SGM7J-08A</v>
      </c>
      <c r="Q10" s="263">
        <f>IF(MID($N9,5,1)&lt;&gt;"W",VLOOKUP(N10,[4]정격용량!$B$3:$K$633,4,FALSE),"X")</f>
        <v>750</v>
      </c>
      <c r="R10" s="260">
        <f>IF(MID(N9,5,1)&lt;&gt;"W",VLOOKUP(N10,[4]정격용량!$B$3:$K$633,3,FALSE),"X")</f>
        <v>0.2</v>
      </c>
      <c r="S10" s="260">
        <f>IF(MID(N9,5,1)&lt;&gt;"W",VLOOKUP(N10,[4]정격용량!$B$3:$K$633,6,FALSE),"X")</f>
        <v>4.0999999999999996</v>
      </c>
      <c r="T10" s="262" t="e">
        <f>IF(MID($N9,5,1)&lt;&gt;"W",S10*#REF!,"X")</f>
        <v>#REF!</v>
      </c>
      <c r="U10" s="261">
        <f>IF(MID($N9,5,1)&lt;&gt;"W",VLOOKUP(N10,[4]정격용량!$B$3:$K$633,9,FALSE),"X")</f>
        <v>5</v>
      </c>
      <c r="V10" s="260" t="str">
        <f>IFERROR(IF(J10="Z",VLOOKUP(P10,'[4]SERVO CABLE'!G:AD,8,FALSE),VLOOKUP(P10,'[4]SERVO CABLE'!G:AD,4,FALSE)),"")</f>
        <v>JZSP-C7M34F-□-E</v>
      </c>
      <c r="W10" s="260" t="str">
        <f>IFERROR(VLOOKUP(P10,'[4]SERVO CABLE'!G:AD,17,FALSE),"")</f>
        <v>JZSP-C7PA2D-□-E</v>
      </c>
      <c r="X10" s="215"/>
      <c r="Y10" s="215">
        <v>2</v>
      </c>
      <c r="Z10" s="259" t="str">
        <f t="shared" ref="Z10:Z60" si="6">IF($Y10=1,$R$9,"")</f>
        <v/>
      </c>
      <c r="AA10" s="259">
        <f t="shared" ref="AA10:AA60" si="7">IF($Y10=2,$R$9,"")</f>
        <v>0.2</v>
      </c>
      <c r="AB10" s="259" t="str">
        <f t="shared" ref="AB10:AB60" si="8">IF($Y10=3,$R$9,"")</f>
        <v/>
      </c>
      <c r="AC10" s="258">
        <f t="shared" si="4"/>
        <v>0.98587999999999998</v>
      </c>
      <c r="AD10" s="333" t="str">
        <f t="shared" ref="AD10:AD60" si="9">IF($AC10="X","X",IF($AC10&lt;0.1,"X",IF($AC10&lt;0.27,"IRV60",IF($AC10&lt;0.91,"IRV80",IF($AC10&lt;1.1,"IRV100",IF($AC10&lt;1.3,"IRV120",IF($AC10&lt;1.6,"IRV150",IF($AC10&lt;2.2,"IRV200",IF($AC10&lt;2.7,"IRV300",IF($AC10&lt;4.3,"IRV400",IF($AC10&lt;6.8,"IRV500","X")))))))))))</f>
        <v>IRV100</v>
      </c>
      <c r="AF10" s="189"/>
    </row>
    <row r="11" spans="1:38" ht="16.5">
      <c r="A11" s="180" t="s">
        <v>601</v>
      </c>
      <c r="B11" s="209"/>
      <c r="C11" s="280"/>
      <c r="D11" s="270" t="s">
        <v>268</v>
      </c>
      <c r="E11" s="331"/>
      <c r="F11" s="331"/>
      <c r="G11" s="332" t="s">
        <v>513</v>
      </c>
      <c r="H11" s="209" t="str">
        <f t="shared" si="5"/>
        <v xml:space="preserve"> LCCTL Cutter X</v>
      </c>
      <c r="I11" s="202" t="str">
        <f t="shared" si="1"/>
        <v>LINEAR</v>
      </c>
      <c r="J11" s="267" t="str">
        <f t="shared" si="2"/>
        <v>X</v>
      </c>
      <c r="K11" s="266">
        <f>VLOOKUP($D11,[4]회선정보!B:F,3,FALSE)</f>
        <v>0</v>
      </c>
      <c r="L11" s="266">
        <f>VLOOKUP($D11,[4]회선정보!B:F,4,FALSE)</f>
        <v>3</v>
      </c>
      <c r="M11" s="266" t="str">
        <f>VLOOKUP($D11,[4]회선정보!B:F,5,FALSE)</f>
        <v>MP5-1</v>
      </c>
      <c r="N11" s="265" t="s">
        <v>612</v>
      </c>
      <c r="O11" s="265" t="s">
        <v>622</v>
      </c>
      <c r="P11" s="263" t="str">
        <f t="shared" si="3"/>
        <v>SGLGW-60A140C</v>
      </c>
      <c r="Q11" s="263">
        <f>IF(MID($N10,5,1)&lt;&gt;"W",VLOOKUP(N11,[4]정격용량!$B$3:$K$633,4,FALSE),"X")</f>
        <v>400</v>
      </c>
      <c r="R11" s="260">
        <f>IF(MID(N10,5,1)&lt;&gt;"W",VLOOKUP(N11,[4]정격용량!$B$3:$K$633,3,FALSE),"X")</f>
        <v>0.3</v>
      </c>
      <c r="S11" s="260">
        <f>IF(MID(N10,5,1)&lt;&gt;"W",VLOOKUP(N11,[4]정격용량!$B$3:$K$633,6,FALSE),"X")</f>
        <v>2.5</v>
      </c>
      <c r="T11" s="262" t="e">
        <f>IF(MID($N10,5,1)&lt;&gt;"W",S11*#REF!,"X")</f>
        <v>#REF!</v>
      </c>
      <c r="U11" s="261">
        <f>IF(MID($N10,5,1)&lt;&gt;"W",VLOOKUP(N11,[4]정격용량!$B$3:$K$633,9,FALSE),"X")</f>
        <v>3</v>
      </c>
      <c r="V11" s="260" t="str">
        <f>IFERROR(IF(J11="Z",VLOOKUP(P11,'[4]SERVO CABLE'!G:AD,8,FALSE),VLOOKUP(P11,'[4]SERVO CABLE'!G:AD,4,FALSE)),"")</f>
        <v>JZSP-CLN11-□</v>
      </c>
      <c r="W11" s="260" t="str">
        <f>IFERROR(VLOOKUP(P11,'[4]SERVO CABLE'!G:AD,17,FALSE),"")</f>
        <v>JZSP-CLP70-□-ER</v>
      </c>
      <c r="X11" s="215"/>
      <c r="Y11" s="215">
        <v>3</v>
      </c>
      <c r="Z11" s="259" t="str">
        <f t="shared" si="6"/>
        <v/>
      </c>
      <c r="AA11" s="259" t="str">
        <f t="shared" si="7"/>
        <v/>
      </c>
      <c r="AB11" s="259">
        <f t="shared" si="8"/>
        <v>0.2</v>
      </c>
      <c r="AC11" s="258">
        <f t="shared" si="4"/>
        <v>1.848525</v>
      </c>
      <c r="AD11" s="333" t="str">
        <f t="shared" si="9"/>
        <v>IRV200</v>
      </c>
      <c r="AF11" s="189"/>
    </row>
    <row r="12" spans="1:38" ht="16.5">
      <c r="A12" s="180" t="s">
        <v>601</v>
      </c>
      <c r="B12" s="209"/>
      <c r="C12" s="280"/>
      <c r="D12" s="270" t="s">
        <v>269</v>
      </c>
      <c r="E12" s="331"/>
      <c r="F12" s="331"/>
      <c r="G12" s="332" t="s">
        <v>357</v>
      </c>
      <c r="H12" s="209" t="str">
        <f t="shared" si="5"/>
        <v xml:space="preserve"> LCCTL Camera X</v>
      </c>
      <c r="I12" s="202" t="str">
        <f t="shared" si="1"/>
        <v>LINEAR</v>
      </c>
      <c r="J12" s="267" t="str">
        <f t="shared" si="2"/>
        <v>X</v>
      </c>
      <c r="K12" s="266">
        <f>VLOOKUP($D12,[4]회선정보!B:F,3,FALSE)</f>
        <v>0</v>
      </c>
      <c r="L12" s="266">
        <f>VLOOKUP($D12,[4]회선정보!B:F,4,FALSE)</f>
        <v>4</v>
      </c>
      <c r="M12" s="266" t="str">
        <f>VLOOKUP($D12,[4]회선정보!B:F,5,FALSE)</f>
        <v>MP5-1</v>
      </c>
      <c r="N12" s="265"/>
      <c r="O12" s="265" t="s">
        <v>622</v>
      </c>
      <c r="P12" s="263" t="str">
        <f t="shared" si="3"/>
        <v>SGLGW-60A140C</v>
      </c>
      <c r="Q12" s="263" t="str">
        <f>IF(MID($N11,5,1)&lt;&gt;"W",VLOOKUP(N12,[4]정격용량!$B$3:$K$633,4,FALSE),"X")</f>
        <v>X</v>
      </c>
      <c r="R12" s="260" t="str">
        <f>IF(MID(N11,5,1)&lt;&gt;"W",VLOOKUP(N12,[4]정격용량!$B$3:$K$633,3,FALSE),"X")</f>
        <v>X</v>
      </c>
      <c r="S12" s="260" t="str">
        <f>IF(MID(N11,5,1)&lt;&gt;"W",VLOOKUP(N12,[4]정격용량!$B$3:$K$633,6,FALSE),"X")</f>
        <v>X</v>
      </c>
      <c r="T12" s="262" t="str">
        <f>IF(MID($N11,5,1)&lt;&gt;"W",S12*#REF!,"X")</f>
        <v>X</v>
      </c>
      <c r="U12" s="261" t="str">
        <f>IF(MID($N11,5,1)&lt;&gt;"W",VLOOKUP(N12,[4]정격용량!$B$3:$K$633,9,FALSE),"X")</f>
        <v>X</v>
      </c>
      <c r="V12" s="260" t="str">
        <f>IFERROR(IF(J12="Z",VLOOKUP(P12,'[4]SERVO CABLE'!G:AD,8,FALSE),VLOOKUP(P12,'[4]SERVO CABLE'!G:AD,4,FALSE)),"")</f>
        <v>JZSP-CLN11-□</v>
      </c>
      <c r="W12" s="260" t="str">
        <f>IFERROR(VLOOKUP(P12,'[4]SERVO CABLE'!G:AD,17,FALSE),"")</f>
        <v>JZSP-CLP70-□-ER</v>
      </c>
      <c r="X12" s="215"/>
      <c r="Y12" s="215"/>
      <c r="Z12" s="259" t="str">
        <f t="shared" si="6"/>
        <v/>
      </c>
      <c r="AA12" s="259" t="str">
        <f t="shared" si="7"/>
        <v/>
      </c>
      <c r="AB12" s="259" t="str">
        <f t="shared" si="8"/>
        <v/>
      </c>
      <c r="AC12" s="258" t="str">
        <f t="shared" si="4"/>
        <v>X</v>
      </c>
      <c r="AD12" s="333" t="str">
        <f t="shared" si="9"/>
        <v>X</v>
      </c>
      <c r="AF12" s="189"/>
      <c r="AL12" s="189"/>
    </row>
    <row r="13" spans="1:38" ht="16.5">
      <c r="A13" s="180" t="s">
        <v>601</v>
      </c>
      <c r="B13" s="209"/>
      <c r="C13" s="280"/>
      <c r="D13" s="270" t="s">
        <v>270</v>
      </c>
      <c r="E13" s="331"/>
      <c r="F13" s="331"/>
      <c r="G13" s="332" t="s">
        <v>431</v>
      </c>
      <c r="H13" s="209" t="str">
        <f t="shared" si="5"/>
        <v xml:space="preserve"> LCCTL Cutter Z</v>
      </c>
      <c r="I13" s="202" t="str">
        <f t="shared" si="1"/>
        <v>Rotary</v>
      </c>
      <c r="J13" s="267" t="str">
        <f t="shared" si="2"/>
        <v>Z</v>
      </c>
      <c r="K13" s="266">
        <f>VLOOKUP($D13,[4]회선정보!B:F,3,FALSE)</f>
        <v>0</v>
      </c>
      <c r="L13" s="266">
        <f>VLOOKUP($D13,[4]회선정보!B:F,4,FALSE)</f>
        <v>5</v>
      </c>
      <c r="M13" s="266" t="str">
        <f>VLOOKUP($D13,[4]회선정보!B:F,5,FALSE)</f>
        <v>MP5-1</v>
      </c>
      <c r="N13" s="265" t="s">
        <v>619</v>
      </c>
      <c r="O13" s="265" t="s">
        <v>618</v>
      </c>
      <c r="P13" s="263" t="str">
        <f t="shared" si="3"/>
        <v>SGM7A-A5A</v>
      </c>
      <c r="Q13" s="263">
        <f>IF(MID($N12,5,1)&lt;&gt;"W",VLOOKUP(N13,[4]정격용량!$B$3:$K$633,4,FALSE),"X")</f>
        <v>50</v>
      </c>
      <c r="R13" s="260">
        <f>IF(MID(N12,5,1)&lt;&gt;"W",VLOOKUP(N13,[4]정격용량!$B$3:$K$633,3,FALSE),"X")</f>
        <v>0.2</v>
      </c>
      <c r="S13" s="260">
        <f>IF(MID(N12,5,1)&lt;&gt;"W",VLOOKUP(N13,[4]정격용량!$B$3:$K$633,6,FALSE),"X")</f>
        <v>0.4</v>
      </c>
      <c r="T13" s="262" t="e">
        <f>IF(MID($N12,5,1)&lt;&gt;"W",S13*#REF!,"X")</f>
        <v>#REF!</v>
      </c>
      <c r="U13" s="261">
        <f>IF(MID($N12,5,1)&lt;&gt;"W",VLOOKUP(N13,[4]정격용량!$B$3:$K$633,9,FALSE),"X")</f>
        <v>1</v>
      </c>
      <c r="V13" s="260" t="str">
        <f>IFERROR(IF(J13="Z",VLOOKUP(P13,'[4]SERVO CABLE'!G:AD,8,FALSE),VLOOKUP(P13,'[4]SERVO CABLE'!G:AD,4,FALSE)),"")</f>
        <v>JZSP-C7M14F-□-E</v>
      </c>
      <c r="W13" s="260" t="str">
        <f>IFERROR(VLOOKUP(P13,'[4]SERVO CABLE'!G:AD,17,FALSE),"")</f>
        <v>JZSP-C7PA2D-□-E</v>
      </c>
      <c r="X13" s="215"/>
      <c r="Y13" s="215">
        <v>1</v>
      </c>
      <c r="Z13" s="259">
        <f t="shared" si="6"/>
        <v>0.2</v>
      </c>
      <c r="AA13" s="259" t="str">
        <f t="shared" si="7"/>
        <v/>
      </c>
      <c r="AB13" s="259" t="str">
        <f t="shared" si="8"/>
        <v/>
      </c>
      <c r="AC13" s="258">
        <f t="shared" si="4"/>
        <v>14.7882</v>
      </c>
      <c r="AD13" s="333" t="str">
        <f t="shared" si="9"/>
        <v>X</v>
      </c>
      <c r="AF13" s="189"/>
      <c r="AL13" s="189"/>
    </row>
    <row r="14" spans="1:38" ht="16.5">
      <c r="A14" s="180" t="s">
        <v>601</v>
      </c>
      <c r="B14" s="209"/>
      <c r="C14" s="280"/>
      <c r="D14" s="270" t="s">
        <v>271</v>
      </c>
      <c r="E14" s="331"/>
      <c r="F14" s="331"/>
      <c r="G14" s="332" t="s">
        <v>426</v>
      </c>
      <c r="H14" s="209" t="str">
        <f t="shared" si="5"/>
        <v xml:space="preserve"> LCCTL Cutter Shift</v>
      </c>
      <c r="I14" s="202" t="str">
        <f t="shared" si="1"/>
        <v>Rotary</v>
      </c>
      <c r="J14" s="267" t="str">
        <f t="shared" si="2"/>
        <v>T</v>
      </c>
      <c r="K14" s="266">
        <f>VLOOKUP($D14,[4]회선정보!B:F,3,FALSE)</f>
        <v>0</v>
      </c>
      <c r="L14" s="266">
        <f>VLOOKUP($D14,[4]회선정보!B:F,4,FALSE)</f>
        <v>6</v>
      </c>
      <c r="M14" s="266" t="str">
        <f>VLOOKUP($D14,[4]회선정보!B:F,5,FALSE)</f>
        <v>MP5-1</v>
      </c>
      <c r="N14" s="285" t="s">
        <v>619</v>
      </c>
      <c r="O14" s="285" t="s">
        <v>618</v>
      </c>
      <c r="P14" s="263" t="str">
        <f t="shared" si="3"/>
        <v>SGM7A-A5A</v>
      </c>
      <c r="Q14" s="263">
        <f>IF(MID($N13,5,1)&lt;&gt;"W",VLOOKUP(N14,[4]정격용량!$B$3:$K$633,4,FALSE),"X")</f>
        <v>50</v>
      </c>
      <c r="R14" s="260">
        <f>IF(MID(N13,5,1)&lt;&gt;"W",VLOOKUP(N14,[4]정격용량!$B$3:$K$633,3,FALSE),"X")</f>
        <v>0.2</v>
      </c>
      <c r="S14" s="260">
        <f>IF(MID(N13,5,1)&lt;&gt;"W",VLOOKUP(N14,[4]정격용량!$B$3:$K$633,6,FALSE),"X")</f>
        <v>0.4</v>
      </c>
      <c r="T14" s="262" t="e">
        <f>IF(MID($N13,5,1)&lt;&gt;"W",S14*#REF!,"X")</f>
        <v>#REF!</v>
      </c>
      <c r="U14" s="261">
        <f>IF(MID($N13,5,1)&lt;&gt;"W",VLOOKUP(N14,[4]정격용량!$B$3:$K$633,9,FALSE),"X")</f>
        <v>1</v>
      </c>
      <c r="V14" s="260" t="str">
        <f>IFERROR(IF(J14="Z",VLOOKUP(P14,'[4]SERVO CABLE'!G:AD,8,FALSE),VLOOKUP(P14,'[4]SERVO CABLE'!G:AD,4,FALSE)),"")</f>
        <v>JZSP-C7M12F-□-E</v>
      </c>
      <c r="W14" s="260" t="str">
        <f>IFERROR(VLOOKUP(P14,'[4]SERVO CABLE'!G:AD,17,FALSE),"")</f>
        <v>JZSP-C7PA2D-□-E</v>
      </c>
      <c r="X14" s="215"/>
      <c r="Y14" s="215">
        <v>2</v>
      </c>
      <c r="Z14" s="259" t="str">
        <f t="shared" si="6"/>
        <v/>
      </c>
      <c r="AA14" s="259">
        <f t="shared" si="7"/>
        <v>0.2</v>
      </c>
      <c r="AB14" s="259" t="str">
        <f t="shared" si="8"/>
        <v/>
      </c>
      <c r="AC14" s="258">
        <f t="shared" si="4"/>
        <v>14.7882</v>
      </c>
      <c r="AD14" s="333" t="str">
        <f t="shared" si="9"/>
        <v>X</v>
      </c>
      <c r="AF14" s="189"/>
      <c r="AL14" s="189"/>
    </row>
    <row r="15" spans="1:38" ht="16.5">
      <c r="A15" s="180" t="s">
        <v>601</v>
      </c>
      <c r="B15" s="209"/>
      <c r="C15" s="280"/>
      <c r="D15" s="270" t="s">
        <v>198</v>
      </c>
      <c r="E15" s="331"/>
      <c r="F15" s="331"/>
      <c r="G15" s="332" t="s">
        <v>363</v>
      </c>
      <c r="H15" s="209" t="str">
        <f t="shared" si="5"/>
        <v xml:space="preserve"> LCCTL Left Camera Y1</v>
      </c>
      <c r="I15" s="202" t="str">
        <f t="shared" si="1"/>
        <v>Rotary</v>
      </c>
      <c r="J15" s="267" t="str">
        <f t="shared" si="2"/>
        <v>Y</v>
      </c>
      <c r="K15" s="266">
        <f>VLOOKUP($D15,[4]회선정보!B:F,3,FALSE)</f>
        <v>0</v>
      </c>
      <c r="L15" s="266">
        <f>VLOOKUP($D15,[4]회선정보!B:F,4,FALSE)</f>
        <v>8</v>
      </c>
      <c r="M15" s="266" t="str">
        <f>VLOOKUP($D15,[4]회선정보!B:F,5,FALSE)</f>
        <v>MP5-1</v>
      </c>
      <c r="N15" s="284" t="s">
        <v>612</v>
      </c>
      <c r="O15" s="265" t="s">
        <v>616</v>
      </c>
      <c r="P15" s="263" t="str">
        <f t="shared" si="3"/>
        <v>SGM7M-A3A</v>
      </c>
      <c r="Q15" s="263">
        <f>IF(MID($N14,5,1)&lt;&gt;"W",VLOOKUP(N15,[4]정격용량!$B$3:$K$633,4,FALSE),"X")</f>
        <v>400</v>
      </c>
      <c r="R15" s="260">
        <f>IF(MID(N14,5,1)&lt;&gt;"W",VLOOKUP(N15,[4]정격용량!$B$3:$K$633,3,FALSE),"X")</f>
        <v>0.3</v>
      </c>
      <c r="S15" s="260">
        <f>IF(MID(N14,5,1)&lt;&gt;"W",VLOOKUP(N15,[4]정격용량!$B$3:$K$633,6,FALSE),"X")</f>
        <v>2.5</v>
      </c>
      <c r="T15" s="262" t="e">
        <f>IF(MID($N14,5,1)&lt;&gt;"W",S15*#REF!,"X")</f>
        <v>#REF!</v>
      </c>
      <c r="U15" s="261">
        <f>IF(MID($N14,5,1)&lt;&gt;"W",VLOOKUP(N15,[4]정격용량!$B$3:$K$633,9,FALSE),"X")</f>
        <v>3</v>
      </c>
      <c r="V15" s="260" t="str">
        <f>IFERROR(IF(J15="Z",VLOOKUP(P15,'[4]SERVO CABLE'!G:AD,8,FALSE),VLOOKUP(P15,'[4]SERVO CABLE'!G:AD,4,FALSE)),"")</f>
        <v>JZSP-CF2M20-□-E</v>
      </c>
      <c r="W15" s="260" t="str">
        <f>IFERROR(VLOOKUP(P15,'[4]SERVO CABLE'!G:AD,17,FALSE),"")</f>
        <v>JZSP-C7MP29-□-E</v>
      </c>
      <c r="X15" s="215"/>
      <c r="Y15" s="215">
        <v>3</v>
      </c>
      <c r="Z15" s="259" t="str">
        <f t="shared" si="6"/>
        <v/>
      </c>
      <c r="AA15" s="259" t="str">
        <f t="shared" si="7"/>
        <v/>
      </c>
      <c r="AB15" s="259">
        <f t="shared" si="8"/>
        <v>0.2</v>
      </c>
      <c r="AC15" s="258">
        <f t="shared" si="4"/>
        <v>1.848525</v>
      </c>
      <c r="AD15" s="333" t="str">
        <f t="shared" si="9"/>
        <v>IRV200</v>
      </c>
      <c r="AF15" s="189"/>
      <c r="AL15" s="189"/>
    </row>
    <row r="16" spans="1:38" ht="16.5">
      <c r="A16" s="180" t="s">
        <v>603</v>
      </c>
      <c r="B16" s="209"/>
      <c r="C16" s="280"/>
      <c r="D16" s="270" t="s">
        <v>199</v>
      </c>
      <c r="E16" s="331"/>
      <c r="F16" s="331"/>
      <c r="G16" s="332" t="s">
        <v>524</v>
      </c>
      <c r="H16" s="209" t="str">
        <f t="shared" si="5"/>
        <v xml:space="preserve"> LCCTL Right Camera Y1</v>
      </c>
      <c r="I16" s="202" t="str">
        <f t="shared" si="1"/>
        <v>Rotary</v>
      </c>
      <c r="J16" s="267" t="str">
        <f t="shared" si="2"/>
        <v>Y</v>
      </c>
      <c r="K16" s="266">
        <f>VLOOKUP($D16,[4]회선정보!B:F,3,FALSE)</f>
        <v>0</v>
      </c>
      <c r="L16" s="266">
        <f>VLOOKUP($D16,[4]회선정보!B:F,4,FALSE)</f>
        <v>9</v>
      </c>
      <c r="M16" s="266" t="str">
        <f>VLOOKUP($D16,[4]회선정보!B:F,5,FALSE)</f>
        <v>MP5-1</v>
      </c>
      <c r="N16" s="284"/>
      <c r="O16" s="265" t="s">
        <v>616</v>
      </c>
      <c r="P16" s="263" t="str">
        <f t="shared" si="3"/>
        <v>SGM7M-A3A</v>
      </c>
      <c r="Q16" s="263" t="str">
        <f>IF(MID($N15,5,1)&lt;&gt;"W",VLOOKUP(N16,[4]정격용량!$B$3:$K$633,4,FALSE),"X")</f>
        <v>X</v>
      </c>
      <c r="R16" s="260" t="str">
        <f>IF(MID(N15,5,1)&lt;&gt;"W",VLOOKUP(N16,[4]정격용량!$B$3:$K$633,3,FALSE),"X")</f>
        <v>X</v>
      </c>
      <c r="S16" s="260" t="str">
        <f>IF(MID(N15,5,1)&lt;&gt;"W",VLOOKUP(N16,[4]정격용량!$B$3:$K$633,6,FALSE),"X")</f>
        <v>X</v>
      </c>
      <c r="T16" s="262" t="str">
        <f>IF(MID($N15,5,1)&lt;&gt;"W",S16*#REF!,"X")</f>
        <v>X</v>
      </c>
      <c r="U16" s="261" t="str">
        <f>IF(MID($N15,5,1)&lt;&gt;"W",VLOOKUP(N16,[4]정격용량!$B$3:$K$633,9,FALSE),"X")</f>
        <v>X</v>
      </c>
      <c r="V16" s="260" t="str">
        <f>IFERROR(IF(J16="Z",VLOOKUP(P16,'[4]SERVO CABLE'!G:AD,8,FALSE),VLOOKUP(P16,'[4]SERVO CABLE'!G:AD,4,FALSE)),"")</f>
        <v>JZSP-CF2M20-□-E</v>
      </c>
      <c r="W16" s="260" t="str">
        <f>IFERROR(VLOOKUP(P16,'[4]SERVO CABLE'!G:AD,17,FALSE),"")</f>
        <v>JZSP-C7MP29-□-E</v>
      </c>
      <c r="X16" s="215"/>
      <c r="Y16" s="215"/>
      <c r="Z16" s="259" t="str">
        <f t="shared" si="6"/>
        <v/>
      </c>
      <c r="AA16" s="259" t="str">
        <f t="shared" si="7"/>
        <v/>
      </c>
      <c r="AB16" s="259" t="str">
        <f t="shared" si="8"/>
        <v/>
      </c>
      <c r="AC16" s="258" t="str">
        <f t="shared" si="4"/>
        <v>X</v>
      </c>
      <c r="AD16" s="333" t="str">
        <f t="shared" si="9"/>
        <v>X</v>
      </c>
      <c r="AF16" s="189"/>
      <c r="AL16" s="189"/>
    </row>
    <row r="17" spans="1:38" ht="16.5">
      <c r="A17" s="180" t="s">
        <v>603</v>
      </c>
      <c r="B17" s="280"/>
      <c r="C17" s="280"/>
      <c r="D17" s="270" t="s">
        <v>272</v>
      </c>
      <c r="E17" s="331"/>
      <c r="F17" s="331"/>
      <c r="G17" s="332" t="s">
        <v>364</v>
      </c>
      <c r="H17" s="209" t="str">
        <f t="shared" si="5"/>
        <v xml:space="preserve"> LCCTL Left Camera Z1</v>
      </c>
      <c r="I17" s="202" t="str">
        <f t="shared" si="1"/>
        <v>Rotary</v>
      </c>
      <c r="J17" s="267" t="str">
        <f t="shared" si="2"/>
        <v>Z</v>
      </c>
      <c r="K17" s="266">
        <f>VLOOKUP($D17,[4]회선정보!B:F,3,FALSE)</f>
        <v>0</v>
      </c>
      <c r="L17" s="266" t="str">
        <f>VLOOKUP($D17,[4]회선정보!B:F,4,FALSE)</f>
        <v>A</v>
      </c>
      <c r="M17" s="266" t="str">
        <f>VLOOKUP($D17,[4]회선정보!B:F,5,FALSE)</f>
        <v>MP5-1</v>
      </c>
      <c r="N17" s="334" t="s">
        <v>612</v>
      </c>
      <c r="O17" s="335" t="s">
        <v>616</v>
      </c>
      <c r="P17" s="263" t="str">
        <f t="shared" si="3"/>
        <v>SGM7M-A3A</v>
      </c>
      <c r="Q17" s="263">
        <f>IF(MID($N16,5,1)&lt;&gt;"W",VLOOKUP(N17,[4]정격용량!$B$3:$K$633,4,FALSE),"X")</f>
        <v>400</v>
      </c>
      <c r="R17" s="260">
        <f>IF(MID(N16,5,1)&lt;&gt;"W",VLOOKUP(N17,[4]정격용량!$B$3:$K$633,3,FALSE),"X")</f>
        <v>0.3</v>
      </c>
      <c r="S17" s="260">
        <f>IF(MID(N16,5,1)&lt;&gt;"W",VLOOKUP(N17,[4]정격용량!$B$3:$K$633,6,FALSE),"X")</f>
        <v>2.5</v>
      </c>
      <c r="T17" s="262" t="e">
        <f>IF(MID($N16,5,1)&lt;&gt;"W",S17*#REF!,"X")</f>
        <v>#REF!</v>
      </c>
      <c r="U17" s="261">
        <f>IF(MID($N16,5,1)&lt;&gt;"W",VLOOKUP(N17,[4]정격용량!$B$3:$K$633,9,FALSE),"X")</f>
        <v>3</v>
      </c>
      <c r="V17" s="260" t="s">
        <v>730</v>
      </c>
      <c r="W17" s="260" t="str">
        <f>IFERROR(VLOOKUP(P17,'[4]SERVO CABLE'!G:AD,17,FALSE),"")</f>
        <v>JZSP-C7MP29-□-E</v>
      </c>
      <c r="X17" s="215"/>
      <c r="Y17" s="215">
        <v>1</v>
      </c>
      <c r="Z17" s="259">
        <f t="shared" si="6"/>
        <v>0.2</v>
      </c>
      <c r="AA17" s="259" t="str">
        <f t="shared" si="7"/>
        <v/>
      </c>
      <c r="AB17" s="259" t="str">
        <f t="shared" si="8"/>
        <v/>
      </c>
      <c r="AC17" s="258">
        <f t="shared" si="4"/>
        <v>1.848525</v>
      </c>
      <c r="AD17" s="333" t="str">
        <f t="shared" si="9"/>
        <v>IRV200</v>
      </c>
      <c r="AF17" s="189"/>
      <c r="AL17" s="189"/>
    </row>
    <row r="18" spans="1:38" ht="16.5">
      <c r="A18" s="180" t="s">
        <v>601</v>
      </c>
      <c r="B18" s="209"/>
      <c r="C18" s="280"/>
      <c r="D18" s="270" t="s">
        <v>200</v>
      </c>
      <c r="E18" s="331"/>
      <c r="F18" s="331"/>
      <c r="G18" s="332" t="s">
        <v>525</v>
      </c>
      <c r="H18" s="209" t="str">
        <f t="shared" si="5"/>
        <v xml:space="preserve"> LCCTL Right Camera Z1</v>
      </c>
      <c r="I18" s="202" t="str">
        <f t="shared" si="1"/>
        <v>Rotary</v>
      </c>
      <c r="J18" s="267" t="str">
        <f t="shared" si="2"/>
        <v>Z</v>
      </c>
      <c r="K18" s="266">
        <f>VLOOKUP($D18,[4]회선정보!B:F,3,FALSE)</f>
        <v>0</v>
      </c>
      <c r="L18" s="266" t="str">
        <f>VLOOKUP($D18,[4]회선정보!B:F,4,FALSE)</f>
        <v>B</v>
      </c>
      <c r="M18" s="266" t="str">
        <f>VLOOKUP($D18,[4]회선정보!B:F,5,FALSE)</f>
        <v>MP5-1</v>
      </c>
      <c r="N18" s="265"/>
      <c r="O18" s="335" t="s">
        <v>616</v>
      </c>
      <c r="P18" s="263" t="str">
        <f t="shared" si="3"/>
        <v>SGM7M-A3A</v>
      </c>
      <c r="Q18" s="263" t="str">
        <f>IF(MID($N17,5,1)&lt;&gt;"W",VLOOKUP(N18,[4]정격용량!$B$3:$K$633,4,FALSE),"X")</f>
        <v>X</v>
      </c>
      <c r="R18" s="260" t="str">
        <f>IF(MID(N17,5,1)&lt;&gt;"W",VLOOKUP(N18,[4]정격용량!$B$3:$K$633,3,FALSE),"X")</f>
        <v>X</v>
      </c>
      <c r="S18" s="260" t="str">
        <f>IF(MID(N17,5,1)&lt;&gt;"W",VLOOKUP(N18,[4]정격용량!$B$3:$K$633,6,FALSE),"X")</f>
        <v>X</v>
      </c>
      <c r="T18" s="262" t="str">
        <f>IF(MID($N17,5,1)&lt;&gt;"W",S18*#REF!,"X")</f>
        <v>X</v>
      </c>
      <c r="U18" s="261" t="str">
        <f>IF(MID($N17,5,1)&lt;&gt;"W",VLOOKUP(N18,[4]정격용량!$B$3:$K$633,9,FALSE),"X")</f>
        <v>X</v>
      </c>
      <c r="V18" s="260" t="s">
        <v>730</v>
      </c>
      <c r="W18" s="260" t="str">
        <f>IFERROR(VLOOKUP(P18,'[4]SERVO CABLE'!G:AD,17,FALSE),"")</f>
        <v>JZSP-C7MP29-□-E</v>
      </c>
      <c r="X18" s="215"/>
      <c r="Y18" s="215"/>
      <c r="Z18" s="259" t="str">
        <f t="shared" si="6"/>
        <v/>
      </c>
      <c r="AA18" s="259" t="str">
        <f t="shared" si="7"/>
        <v/>
      </c>
      <c r="AB18" s="259" t="str">
        <f t="shared" si="8"/>
        <v/>
      </c>
      <c r="AC18" s="258" t="str">
        <f t="shared" si="4"/>
        <v>X</v>
      </c>
      <c r="AD18" s="333" t="str">
        <f t="shared" si="9"/>
        <v>X</v>
      </c>
      <c r="AF18" s="189"/>
      <c r="AL18" s="189"/>
    </row>
    <row r="19" spans="1:38" ht="16.5">
      <c r="A19" s="180" t="s">
        <v>601</v>
      </c>
      <c r="B19" s="209"/>
      <c r="C19" s="280"/>
      <c r="D19" s="336" t="s">
        <v>201</v>
      </c>
      <c r="E19" s="331"/>
      <c r="F19" s="331"/>
      <c r="G19" s="337" t="s">
        <v>538</v>
      </c>
      <c r="H19" s="209" t="str">
        <f t="shared" si="5"/>
        <v xml:space="preserve"> LCCTL Cutting Table Y1-1</v>
      </c>
      <c r="I19" s="202" t="str">
        <f t="shared" si="1"/>
        <v>LINEAR</v>
      </c>
      <c r="J19" s="267" t="str">
        <f t="shared" si="2"/>
        <v>T</v>
      </c>
      <c r="K19" s="266">
        <f>VLOOKUP($D19,[4]회선정보!B:F,3,FALSE)</f>
        <v>0</v>
      </c>
      <c r="L19" s="266" t="str">
        <f>VLOOKUP($D19,[4]회선정보!B:F,4,FALSE)</f>
        <v>D</v>
      </c>
      <c r="M19" s="266" t="str">
        <f>VLOOKUP($D19,[4]회선정보!B:F,5,FALSE)</f>
        <v>MP5-1</v>
      </c>
      <c r="N19" s="265" t="s">
        <v>610</v>
      </c>
      <c r="O19" s="265" t="s">
        <v>664</v>
      </c>
      <c r="P19" s="263" t="str">
        <f t="shared" si="3"/>
        <v>SGLFW-35A230AP</v>
      </c>
      <c r="Q19" s="263">
        <f>IF(MID($N18,5,1)&lt;&gt;"W",VLOOKUP(N19,[4]정격용량!$B$3:$K$633,4,FALSE),"X")</f>
        <v>1500</v>
      </c>
      <c r="R19" s="260">
        <f>IF(MID(N18,5,1)&lt;&gt;"W",VLOOKUP(N19,[4]정격용량!$B$3:$K$633,3,FALSE),"X")</f>
        <v>0.3</v>
      </c>
      <c r="S19" s="260">
        <f>IF(MID(N18,5,1)&lt;&gt;"W",VLOOKUP(N19,[4]정격용량!$B$3:$K$633,6,FALSE),"X")</f>
        <v>7.8</v>
      </c>
      <c r="T19" s="262" t="e">
        <f>IF(MID($N18,5,1)&lt;&gt;"W",S19*#REF!,"X")</f>
        <v>#REF!</v>
      </c>
      <c r="U19" s="261">
        <f>IF(MID($N18,5,1)&lt;&gt;"W",VLOOKUP(N19,[4]정격용량!$B$3:$K$633,9,FALSE),"X")</f>
        <v>10</v>
      </c>
      <c r="V19" s="260" t="str">
        <f>IFERROR(IF(J19="Z",VLOOKUP(P19,'[4]SERVO CABLE'!G:AD,8,FALSE),VLOOKUP(P19,'[4]SERVO CABLE'!G:AD,4,FALSE)),"")</f>
        <v>JZSP-CLN11-01-E</v>
      </c>
      <c r="W19" s="260" t="str">
        <f>IFERROR(VLOOKUP(P19,'[4]SERVO CABLE'!G:AD,17,FALSE),"")</f>
        <v>JZSP-CLP70-□-ER</v>
      </c>
      <c r="X19" s="215"/>
      <c r="Y19" s="215">
        <v>2</v>
      </c>
      <c r="Z19" s="259" t="str">
        <f t="shared" si="6"/>
        <v/>
      </c>
      <c r="AA19" s="259">
        <f t="shared" si="7"/>
        <v>0.2</v>
      </c>
      <c r="AB19" s="259" t="str">
        <f t="shared" si="8"/>
        <v/>
      </c>
      <c r="AC19" s="258">
        <f t="shared" si="4"/>
        <v>0.49293999999999999</v>
      </c>
      <c r="AD19" s="333" t="str">
        <f t="shared" si="9"/>
        <v>IRV80</v>
      </c>
      <c r="AF19" s="189"/>
      <c r="AL19" s="189"/>
    </row>
    <row r="20" spans="1:38" ht="16.5">
      <c r="A20" s="180" t="s">
        <v>601</v>
      </c>
      <c r="B20" s="209"/>
      <c r="C20" s="280"/>
      <c r="D20" s="336" t="s">
        <v>202</v>
      </c>
      <c r="E20" s="331"/>
      <c r="F20" s="331"/>
      <c r="G20" s="337" t="s">
        <v>539</v>
      </c>
      <c r="H20" s="209" t="str">
        <f t="shared" si="5"/>
        <v xml:space="preserve"> LCCTL Cutting Table Y1-2</v>
      </c>
      <c r="I20" s="202" t="str">
        <f t="shared" si="1"/>
        <v>LINEAR</v>
      </c>
      <c r="J20" s="267" t="str">
        <f t="shared" si="2"/>
        <v>T</v>
      </c>
      <c r="K20" s="266">
        <f>VLOOKUP($D20,[4]회선정보!B:F,3,FALSE)</f>
        <v>0</v>
      </c>
      <c r="L20" s="266" t="str">
        <f>VLOOKUP($D20,[4]회선정보!B:F,4,FALSE)</f>
        <v>E</v>
      </c>
      <c r="M20" s="266" t="str">
        <f>VLOOKUP($D20,[4]회선정보!B:F,5,FALSE)</f>
        <v>MP5-1</v>
      </c>
      <c r="N20" s="209"/>
      <c r="O20" s="209" t="s">
        <v>664</v>
      </c>
      <c r="P20" s="263" t="str">
        <f t="shared" si="3"/>
        <v>SGLFW-35A230AP</v>
      </c>
      <c r="Q20" s="263" t="str">
        <f>IF(MID($N19,5,1)&lt;&gt;"W",VLOOKUP(N20,[4]정격용량!$B$3:$K$633,4,FALSE),"X")</f>
        <v>X</v>
      </c>
      <c r="R20" s="260" t="str">
        <f>IF(MID(N19,5,1)&lt;&gt;"W",VLOOKUP(N20,[4]정격용량!$B$3:$K$633,3,FALSE),"X")</f>
        <v>X</v>
      </c>
      <c r="S20" s="260" t="str">
        <f>IF(MID(N19,5,1)&lt;&gt;"W",VLOOKUP(N20,[4]정격용량!$B$3:$K$633,6,FALSE),"X")</f>
        <v>X</v>
      </c>
      <c r="T20" s="262" t="str">
        <f>IF(MID($N19,5,1)&lt;&gt;"W",S20*#REF!,"X")</f>
        <v>X</v>
      </c>
      <c r="U20" s="261" t="str">
        <f>IF(MID($N19,5,1)&lt;&gt;"W",VLOOKUP(N20,[4]정격용량!$B$3:$K$633,9,FALSE),"X")</f>
        <v>X</v>
      </c>
      <c r="V20" s="260" t="str">
        <f>IFERROR(IF(J20="Z",VLOOKUP(P20,'[4]SERVO CABLE'!G:AD,8,FALSE),VLOOKUP(P20,'[4]SERVO CABLE'!G:AD,4,FALSE)),"")</f>
        <v>JZSP-CLN11-01-E</v>
      </c>
      <c r="W20" s="260" t="str">
        <f>IFERROR(VLOOKUP(P20,'[4]SERVO CABLE'!G:AD,17,FALSE),"")</f>
        <v>JZSP-CLP70-□-ER</v>
      </c>
      <c r="X20" s="215"/>
      <c r="Y20" s="215"/>
      <c r="Z20" s="259" t="str">
        <f t="shared" si="6"/>
        <v/>
      </c>
      <c r="AA20" s="259" t="str">
        <f t="shared" si="7"/>
        <v/>
      </c>
      <c r="AB20" s="259" t="str">
        <f t="shared" si="8"/>
        <v/>
      </c>
      <c r="AC20" s="258" t="str">
        <f t="shared" si="4"/>
        <v>X</v>
      </c>
      <c r="AD20" s="333" t="str">
        <f t="shared" si="9"/>
        <v>X</v>
      </c>
      <c r="AF20" s="189"/>
      <c r="AL20" s="189"/>
    </row>
    <row r="21" spans="1:38" ht="16.5">
      <c r="A21" s="180" t="s">
        <v>601</v>
      </c>
      <c r="B21" s="209"/>
      <c r="C21" s="280"/>
      <c r="D21" s="270" t="s">
        <v>258</v>
      </c>
      <c r="E21" s="331"/>
      <c r="F21" s="331"/>
      <c r="G21" s="337" t="s">
        <v>445</v>
      </c>
      <c r="H21" s="209" t="str">
        <f t="shared" si="5"/>
        <v xml:space="preserve"> LCCTL Scribe Chuck Left X</v>
      </c>
      <c r="I21" s="202" t="str">
        <f t="shared" si="1"/>
        <v>Rotary</v>
      </c>
      <c r="J21" s="267" t="str">
        <f t="shared" si="2"/>
        <v>X</v>
      </c>
      <c r="K21" s="266">
        <f>VLOOKUP($D21,[4]회선정보!B:F,3,FALSE)</f>
        <v>0</v>
      </c>
      <c r="L21" s="266">
        <f>VLOOKUP($D21,[4]회선정보!B:F,4,FALSE)</f>
        <v>3</v>
      </c>
      <c r="M21" s="266" t="str">
        <f>VLOOKUP($D21,[4]회선정보!B:F,5,FALSE)</f>
        <v>MP6-1</v>
      </c>
      <c r="N21" s="209" t="s">
        <v>612</v>
      </c>
      <c r="O21" s="209" t="s">
        <v>624</v>
      </c>
      <c r="P21" s="263" t="str">
        <f t="shared" si="3"/>
        <v>SGM7J-01A</v>
      </c>
      <c r="Q21" s="263">
        <f>IF(MID($N20,5,1)&lt;&gt;"W",VLOOKUP(N21,[4]정격용량!$B$3:$K$633,4,FALSE),"X")</f>
        <v>400</v>
      </c>
      <c r="R21" s="260">
        <f>IF(MID(N20,5,1)&lt;&gt;"W",VLOOKUP(N21,[4]정격용량!$B$3:$K$633,3,FALSE),"X")</f>
        <v>0.3</v>
      </c>
      <c r="S21" s="260">
        <f>IF(MID(N20,5,1)&lt;&gt;"W",VLOOKUP(N21,[4]정격용량!$B$3:$K$633,6,FALSE),"X")</f>
        <v>2.5</v>
      </c>
      <c r="T21" s="262" t="e">
        <f>IF(MID($N20,5,1)&lt;&gt;"W",S21*#REF!,"X")</f>
        <v>#REF!</v>
      </c>
      <c r="U21" s="261">
        <f>IF(MID($N20,5,1)&lt;&gt;"W",VLOOKUP(N21,[4]정격용량!$B$3:$K$633,9,FALSE),"X")</f>
        <v>3</v>
      </c>
      <c r="V21" s="260" t="str">
        <f>IFERROR(IF(J21="Z",VLOOKUP(P21,'[4]SERVO CABLE'!G:AD,8,FALSE),VLOOKUP(P21,'[4]SERVO CABLE'!G:AD,4,FALSE)),"")</f>
        <v>JZSP-C7M12F-□-E</v>
      </c>
      <c r="W21" s="260" t="str">
        <f>IFERROR(VLOOKUP(P21,'[4]SERVO CABLE'!G:AD,17,FALSE),"")</f>
        <v>JZSP-C7PA2D-□-E</v>
      </c>
      <c r="X21" s="215"/>
      <c r="Y21" s="215">
        <v>3</v>
      </c>
      <c r="Z21" s="259" t="str">
        <f t="shared" si="6"/>
        <v/>
      </c>
      <c r="AA21" s="259" t="str">
        <f t="shared" si="7"/>
        <v/>
      </c>
      <c r="AB21" s="259">
        <f t="shared" si="8"/>
        <v>0.2</v>
      </c>
      <c r="AC21" s="258">
        <f t="shared" si="4"/>
        <v>1.848525</v>
      </c>
      <c r="AD21" s="333" t="str">
        <f t="shared" si="9"/>
        <v>IRV200</v>
      </c>
      <c r="AF21" s="189"/>
      <c r="AL21" s="189"/>
    </row>
    <row r="22" spans="1:38" ht="16.5">
      <c r="A22" s="180" t="s">
        <v>601</v>
      </c>
      <c r="B22" s="209"/>
      <c r="C22" s="280"/>
      <c r="D22" s="270" t="s">
        <v>259</v>
      </c>
      <c r="E22" s="331"/>
      <c r="F22" s="331"/>
      <c r="G22" s="332" t="s">
        <v>526</v>
      </c>
      <c r="H22" s="209" t="str">
        <f t="shared" si="5"/>
        <v xml:space="preserve"> LCCTL Scribe Chuck Right X</v>
      </c>
      <c r="I22" s="202" t="str">
        <f t="shared" si="1"/>
        <v>Rotary</v>
      </c>
      <c r="J22" s="267" t="str">
        <f t="shared" si="2"/>
        <v>X</v>
      </c>
      <c r="K22" s="266">
        <f>VLOOKUP($D22,[4]회선정보!B:F,3,FALSE)</f>
        <v>0</v>
      </c>
      <c r="L22" s="266">
        <f>VLOOKUP($D22,[4]회선정보!B:F,4,FALSE)</f>
        <v>4</v>
      </c>
      <c r="M22" s="266" t="str">
        <f>VLOOKUP($D22,[4]회선정보!B:F,5,FALSE)</f>
        <v>MP6-1</v>
      </c>
      <c r="N22" s="209"/>
      <c r="O22" s="209" t="s">
        <v>624</v>
      </c>
      <c r="P22" s="263" t="str">
        <f t="shared" si="3"/>
        <v>SGM7J-01A</v>
      </c>
      <c r="Q22" s="263" t="str">
        <f>IF(MID($N21,5,1)&lt;&gt;"W",VLOOKUP(N22,[4]정격용량!$B$3:$K$633,4,FALSE),"X")</f>
        <v>X</v>
      </c>
      <c r="R22" s="260" t="str">
        <f>IF(MID(N21,5,1)&lt;&gt;"W",VLOOKUP(N22,[4]정격용량!$B$3:$K$633,3,FALSE),"X")</f>
        <v>X</v>
      </c>
      <c r="S22" s="260" t="str">
        <f>IF(MID(N21,5,1)&lt;&gt;"W",VLOOKUP(N22,[4]정격용량!$B$3:$K$633,6,FALSE),"X")</f>
        <v>X</v>
      </c>
      <c r="T22" s="262" t="str">
        <f>IF(MID($N21,5,1)&lt;&gt;"W",S22*#REF!,"X")</f>
        <v>X</v>
      </c>
      <c r="U22" s="261" t="str">
        <f>IF(MID($N21,5,1)&lt;&gt;"W",VLOOKUP(N22,[4]정격용량!$B$3:$K$633,9,FALSE),"X")</f>
        <v>X</v>
      </c>
      <c r="V22" s="260" t="str">
        <f>IFERROR(IF(J22="Z",VLOOKUP(P22,'[4]SERVO CABLE'!G:AD,8,FALSE),VLOOKUP(P22,'[4]SERVO CABLE'!G:AD,4,FALSE)),"")</f>
        <v>JZSP-C7M12F-□-E</v>
      </c>
      <c r="W22" s="260" t="str">
        <f>IFERROR(VLOOKUP(P22,'[4]SERVO CABLE'!G:AD,17,FALSE),"")</f>
        <v>JZSP-C7PA2D-□-E</v>
      </c>
      <c r="X22" s="215"/>
      <c r="Y22" s="215"/>
      <c r="Z22" s="259" t="str">
        <f t="shared" si="6"/>
        <v/>
      </c>
      <c r="AA22" s="259" t="str">
        <f t="shared" si="7"/>
        <v/>
      </c>
      <c r="AB22" s="259" t="str">
        <f t="shared" si="8"/>
        <v/>
      </c>
      <c r="AC22" s="258" t="str">
        <f t="shared" si="4"/>
        <v>X</v>
      </c>
      <c r="AD22" s="333" t="str">
        <f t="shared" si="9"/>
        <v>X</v>
      </c>
      <c r="AF22" s="189"/>
      <c r="AL22" s="189"/>
    </row>
    <row r="23" spans="1:38" ht="16.5">
      <c r="A23" s="180" t="s">
        <v>601</v>
      </c>
      <c r="B23" s="209"/>
      <c r="C23" s="280"/>
      <c r="D23" s="270" t="s">
        <v>257</v>
      </c>
      <c r="E23" s="331"/>
      <c r="F23" s="331"/>
      <c r="G23" s="337" t="s">
        <v>446</v>
      </c>
      <c r="H23" s="209" t="str">
        <f t="shared" si="5"/>
        <v xml:space="preserve"> LCCTL Scribe Chuck Y-1</v>
      </c>
      <c r="I23" s="202" t="str">
        <f t="shared" si="1"/>
        <v>LINEAR</v>
      </c>
      <c r="J23" s="267" t="str">
        <f t="shared" si="2"/>
        <v>Y</v>
      </c>
      <c r="K23" s="266">
        <f>VLOOKUP($D23,[4]회선정보!B:F,3,FALSE)</f>
        <v>0</v>
      </c>
      <c r="L23" s="266">
        <f>VLOOKUP($D23,[4]회선정보!B:F,4,FALSE)</f>
        <v>5</v>
      </c>
      <c r="M23" s="266" t="str">
        <f>VLOOKUP($D23,[4]회선정보!B:F,5,FALSE)</f>
        <v>MP6-1</v>
      </c>
      <c r="N23" s="280" t="s">
        <v>610</v>
      </c>
      <c r="O23" s="280" t="s">
        <v>664</v>
      </c>
      <c r="P23" s="263" t="str">
        <f t="shared" si="3"/>
        <v>SGLFW-35A230AP</v>
      </c>
      <c r="Q23" s="263">
        <f>IF(MID($N22,5,1)&lt;&gt;"W",VLOOKUP(N23,[4]정격용량!$B$3:$K$633,4,FALSE),"X")</f>
        <v>1500</v>
      </c>
      <c r="R23" s="260">
        <f>IF(MID(N22,5,1)&lt;&gt;"W",VLOOKUP(N23,[4]정격용량!$B$3:$K$633,3,FALSE),"X")</f>
        <v>0.3</v>
      </c>
      <c r="S23" s="260">
        <f>IF(MID(N22,5,1)&lt;&gt;"W",VLOOKUP(N23,[4]정격용량!$B$3:$K$633,6,FALSE),"X")</f>
        <v>7.8</v>
      </c>
      <c r="T23" s="262" t="e">
        <f>IF(MID($N22,5,1)&lt;&gt;"W",S23*#REF!,"X")</f>
        <v>#REF!</v>
      </c>
      <c r="U23" s="261">
        <f>IF(MID($N22,5,1)&lt;&gt;"W",VLOOKUP(N23,[4]정격용량!$B$3:$K$633,9,FALSE),"X")</f>
        <v>10</v>
      </c>
      <c r="V23" s="260" t="str">
        <f>IFERROR(IF(J23="Z",VLOOKUP(P23,'[4]SERVO CABLE'!G:AD,8,FALSE),VLOOKUP(P23,'[4]SERVO CABLE'!G:AD,4,FALSE)),"")</f>
        <v>JZSP-CLN11-01-E</v>
      </c>
      <c r="W23" s="260" t="str">
        <f>IFERROR(VLOOKUP(P23,'[4]SERVO CABLE'!G:AD,17,FALSE),"")</f>
        <v>JZSP-CLP70-□-ER</v>
      </c>
      <c r="X23" s="215"/>
      <c r="Y23" s="215">
        <v>1</v>
      </c>
      <c r="Z23" s="259">
        <f t="shared" si="6"/>
        <v>0.2</v>
      </c>
      <c r="AA23" s="259" t="str">
        <f t="shared" si="7"/>
        <v/>
      </c>
      <c r="AB23" s="259" t="str">
        <f t="shared" si="8"/>
        <v/>
      </c>
      <c r="AC23" s="258">
        <f t="shared" si="4"/>
        <v>0.49293999999999999</v>
      </c>
      <c r="AD23" s="333" t="str">
        <f t="shared" si="9"/>
        <v>IRV80</v>
      </c>
      <c r="AF23" s="189"/>
      <c r="AL23" s="189"/>
    </row>
    <row r="24" spans="1:38" ht="16.5">
      <c r="A24" s="180" t="s">
        <v>623</v>
      </c>
      <c r="B24" s="209"/>
      <c r="C24" s="209"/>
      <c r="D24" s="270" t="s">
        <v>203</v>
      </c>
      <c r="E24" s="331"/>
      <c r="F24" s="331"/>
      <c r="G24" s="337" t="s">
        <v>447</v>
      </c>
      <c r="H24" s="209" t="str">
        <f t="shared" si="5"/>
        <v xml:space="preserve"> LCCTL Scribe Chuck Y-2</v>
      </c>
      <c r="I24" s="202" t="str">
        <f t="shared" si="1"/>
        <v>LINEAR</v>
      </c>
      <c r="J24" s="267" t="str">
        <f t="shared" si="2"/>
        <v>Y</v>
      </c>
      <c r="K24" s="266">
        <f>VLOOKUP($D24,[4]회선정보!B:F,3,FALSE)</f>
        <v>0</v>
      </c>
      <c r="L24" s="266">
        <f>VLOOKUP($D24,[4]회선정보!B:F,4,FALSE)</f>
        <v>6</v>
      </c>
      <c r="M24" s="266" t="str">
        <f>VLOOKUP($D24,[4]회선정보!B:F,5,FALSE)</f>
        <v>MP6-1</v>
      </c>
      <c r="N24" s="265"/>
      <c r="O24" s="265" t="s">
        <v>664</v>
      </c>
      <c r="P24" s="263" t="str">
        <f t="shared" si="3"/>
        <v>SGLFW-35A230AP</v>
      </c>
      <c r="Q24" s="263" t="str">
        <f>IF(MID($N23,5,1)&lt;&gt;"W",VLOOKUP(N24,[4]정격용량!$B$3:$K$633,4,FALSE),"X")</f>
        <v>X</v>
      </c>
      <c r="R24" s="260" t="str">
        <f>IF(MID(N23,5,1)&lt;&gt;"W",VLOOKUP(N24,[4]정격용량!$B$3:$K$633,3,FALSE),"X")</f>
        <v>X</v>
      </c>
      <c r="S24" s="260" t="str">
        <f>IF(MID(N23,5,1)&lt;&gt;"W",VLOOKUP(N24,[4]정격용량!$B$3:$K$633,6,FALSE),"X")</f>
        <v>X</v>
      </c>
      <c r="T24" s="262" t="str">
        <f>IF(MID($N23,5,1)&lt;&gt;"W",S24*#REF!,"X")</f>
        <v>X</v>
      </c>
      <c r="U24" s="261" t="str">
        <f>IF(MID($N23,5,1)&lt;&gt;"W",VLOOKUP(N24,[4]정격용량!$B$3:$K$633,9,FALSE),"X")</f>
        <v>X</v>
      </c>
      <c r="V24" s="260" t="str">
        <f>IFERROR(IF(J24="Z",VLOOKUP(P24,'[4]SERVO CABLE'!G:AD,8,FALSE),VLOOKUP(P24,'[4]SERVO CABLE'!G:AD,4,FALSE)),"")</f>
        <v>JZSP-CLN11-01-E</v>
      </c>
      <c r="W24" s="260" t="str">
        <f>IFERROR(VLOOKUP(P24,'[4]SERVO CABLE'!G:AD,17,FALSE),"")</f>
        <v>JZSP-CLP70-□-ER</v>
      </c>
      <c r="X24" s="215"/>
      <c r="Y24" s="215"/>
      <c r="Z24" s="259" t="str">
        <f t="shared" si="6"/>
        <v/>
      </c>
      <c r="AA24" s="259" t="str">
        <f t="shared" si="7"/>
        <v/>
      </c>
      <c r="AB24" s="259" t="str">
        <f t="shared" si="8"/>
        <v/>
      </c>
      <c r="AC24" s="258" t="str">
        <f t="shared" si="4"/>
        <v>X</v>
      </c>
      <c r="AD24" s="333" t="str">
        <f t="shared" si="9"/>
        <v>X</v>
      </c>
      <c r="AF24" s="189"/>
      <c r="AL24" s="189"/>
    </row>
    <row r="25" spans="1:38" ht="16.5">
      <c r="A25" s="180" t="s">
        <v>623</v>
      </c>
      <c r="B25" s="209"/>
      <c r="C25" s="209"/>
      <c r="D25" s="270" t="s">
        <v>204</v>
      </c>
      <c r="E25" s="331"/>
      <c r="F25" s="331"/>
      <c r="G25" s="337" t="s">
        <v>448</v>
      </c>
      <c r="H25" s="209" t="str">
        <f t="shared" si="5"/>
        <v xml:space="preserve"> LCCTL Scribe Chuck Z1</v>
      </c>
      <c r="I25" s="202" t="str">
        <f t="shared" si="1"/>
        <v>Rotary</v>
      </c>
      <c r="J25" s="267" t="str">
        <f t="shared" si="2"/>
        <v>Z</v>
      </c>
      <c r="K25" s="266">
        <f>VLOOKUP($D25,[4]회선정보!B:F,3,FALSE)</f>
        <v>0</v>
      </c>
      <c r="L25" s="266">
        <f>VLOOKUP($D25,[4]회선정보!B:F,4,FALSE)</f>
        <v>7</v>
      </c>
      <c r="M25" s="266" t="str">
        <f>VLOOKUP($D25,[4]회선정보!B:F,5,FALSE)</f>
        <v>MP6-1</v>
      </c>
      <c r="N25" s="265" t="s">
        <v>665</v>
      </c>
      <c r="O25" s="265" t="s">
        <v>611</v>
      </c>
      <c r="P25" s="263" t="str">
        <f t="shared" si="3"/>
        <v>SGM7J-A5A</v>
      </c>
      <c r="Q25" s="263">
        <f>IF(MID($N24,5,1)&lt;&gt;"W",VLOOKUP(N25,[4]정격용량!$B$3:$K$633,4,FALSE),"X")</f>
        <v>200</v>
      </c>
      <c r="R25" s="260">
        <f>IF(MID(N24,5,1)&lt;&gt;"W",VLOOKUP(N25,[4]정격용량!$B$3:$K$633,3,FALSE),"X")</f>
        <v>0.2</v>
      </c>
      <c r="S25" s="260">
        <f>IF(MID(N24,5,1)&lt;&gt;"W",VLOOKUP(N25,[4]정격용량!$B$3:$K$633,6,FALSE),"X")</f>
        <v>1.3</v>
      </c>
      <c r="T25" s="262" t="e">
        <f>IF(MID($N24,5,1)&lt;&gt;"W",S25*#REF!,"X")</f>
        <v>#REF!</v>
      </c>
      <c r="U25" s="261">
        <f>IF(MID($N24,5,1)&lt;&gt;"W",VLOOKUP(N25,[4]정격용량!$B$3:$K$633,9,FALSE),"X")</f>
        <v>2</v>
      </c>
      <c r="V25" s="260" t="str">
        <f>IFERROR(IF(J25="Z",VLOOKUP(P25,'[4]SERVO CABLE'!G:AD,8,FALSE),VLOOKUP(P25,'[4]SERVO CABLE'!G:AD,4,FALSE)),"")</f>
        <v>JZSP-C7M14F-□-E</v>
      </c>
      <c r="W25" s="260" t="str">
        <f>IFERROR(VLOOKUP(P25,'[4]SERVO CABLE'!G:AD,17,FALSE),"")</f>
        <v>JZSP-C7PA2D-□-E</v>
      </c>
      <c r="X25" s="215"/>
      <c r="Y25" s="215">
        <v>2</v>
      </c>
      <c r="Z25" s="259" t="str">
        <f t="shared" si="6"/>
        <v/>
      </c>
      <c r="AA25" s="259">
        <f t="shared" si="7"/>
        <v>0.2</v>
      </c>
      <c r="AB25" s="259" t="str">
        <f t="shared" si="8"/>
        <v/>
      </c>
      <c r="AC25" s="258">
        <f t="shared" si="4"/>
        <v>3.6970499999999999</v>
      </c>
      <c r="AD25" s="333" t="str">
        <f t="shared" si="9"/>
        <v>IRV400</v>
      </c>
      <c r="AF25" s="189"/>
      <c r="AL25" s="189"/>
    </row>
    <row r="26" spans="1:38" ht="16.5">
      <c r="A26" s="180" t="s">
        <v>623</v>
      </c>
      <c r="B26" s="209"/>
      <c r="C26" s="280"/>
      <c r="D26" s="270" t="s">
        <v>205</v>
      </c>
      <c r="E26" s="331"/>
      <c r="F26" s="331"/>
      <c r="G26" s="337" t="s">
        <v>449</v>
      </c>
      <c r="H26" s="209" t="str">
        <f t="shared" si="5"/>
        <v xml:space="preserve"> LCCTL Scribe Chuck Z2</v>
      </c>
      <c r="I26" s="202" t="str">
        <f t="shared" si="1"/>
        <v>Rotary</v>
      </c>
      <c r="J26" s="267" t="str">
        <f t="shared" si="2"/>
        <v>Z</v>
      </c>
      <c r="K26" s="266">
        <f>VLOOKUP($D26,[4]회선정보!B:F,3,FALSE)</f>
        <v>0</v>
      </c>
      <c r="L26" s="266">
        <f>VLOOKUP($D26,[4]회선정보!B:F,4,FALSE)</f>
        <v>8</v>
      </c>
      <c r="M26" s="266" t="str">
        <f>VLOOKUP($D26,[4]회선정보!B:F,5,FALSE)</f>
        <v>MP6-1</v>
      </c>
      <c r="N26" s="265" t="s">
        <v>665</v>
      </c>
      <c r="O26" s="265" t="s">
        <v>611</v>
      </c>
      <c r="P26" s="263" t="str">
        <f t="shared" si="3"/>
        <v>SGM7J-A5A</v>
      </c>
      <c r="Q26" s="263">
        <f>IF(MID($N25,5,1)&lt;&gt;"W",VLOOKUP(N26,[4]정격용량!$B$3:$K$633,4,FALSE),"X")</f>
        <v>200</v>
      </c>
      <c r="R26" s="260">
        <f>IF(MID(N25,5,1)&lt;&gt;"W",VLOOKUP(N26,[4]정격용량!$B$3:$K$633,3,FALSE),"X")</f>
        <v>0.2</v>
      </c>
      <c r="S26" s="260">
        <f>IF(MID(N25,5,1)&lt;&gt;"W",VLOOKUP(N26,[4]정격용량!$B$3:$K$633,6,FALSE),"X")</f>
        <v>1.3</v>
      </c>
      <c r="T26" s="262" t="e">
        <f>IF(MID($N25,5,1)&lt;&gt;"W",S26*#REF!,"X")</f>
        <v>#REF!</v>
      </c>
      <c r="U26" s="261">
        <f>IF(MID($N25,5,1)&lt;&gt;"W",VLOOKUP(N26,[4]정격용량!$B$3:$K$633,9,FALSE),"X")</f>
        <v>2</v>
      </c>
      <c r="V26" s="260" t="str">
        <f>IFERROR(IF(J26="Z",VLOOKUP(P26,'[4]SERVO CABLE'!G:AD,8,FALSE),VLOOKUP(P26,'[4]SERVO CABLE'!G:AD,4,FALSE)),"")</f>
        <v>JZSP-C7M14F-□-E</v>
      </c>
      <c r="W26" s="260" t="str">
        <f>IFERROR(VLOOKUP(P26,'[4]SERVO CABLE'!G:AD,17,FALSE),"")</f>
        <v>JZSP-C7PA2D-□-E</v>
      </c>
      <c r="X26" s="215"/>
      <c r="Y26" s="215">
        <v>3</v>
      </c>
      <c r="Z26" s="259" t="str">
        <f t="shared" si="6"/>
        <v/>
      </c>
      <c r="AA26" s="259" t="str">
        <f t="shared" si="7"/>
        <v/>
      </c>
      <c r="AB26" s="259">
        <f t="shared" si="8"/>
        <v>0.2</v>
      </c>
      <c r="AC26" s="258">
        <f t="shared" si="4"/>
        <v>3.6970499999999999</v>
      </c>
      <c r="AD26" s="333" t="str">
        <f t="shared" si="9"/>
        <v>IRV400</v>
      </c>
      <c r="AF26" s="189"/>
      <c r="AL26" s="189"/>
    </row>
    <row r="27" spans="1:38" ht="16.5">
      <c r="A27" s="180" t="s">
        <v>603</v>
      </c>
      <c r="B27" s="209"/>
      <c r="C27" s="209"/>
      <c r="D27" s="270" t="s">
        <v>206</v>
      </c>
      <c r="E27" s="331"/>
      <c r="F27" s="331"/>
      <c r="G27" s="337" t="s">
        <v>450</v>
      </c>
      <c r="H27" s="209" t="str">
        <f t="shared" si="5"/>
        <v xml:space="preserve"> LCCTL Scribe Chuck Z3</v>
      </c>
      <c r="I27" s="202" t="str">
        <f t="shared" si="1"/>
        <v>Rotary</v>
      </c>
      <c r="J27" s="267" t="str">
        <f t="shared" si="2"/>
        <v>Z</v>
      </c>
      <c r="K27" s="266">
        <f>VLOOKUP($D27,[4]회선정보!B:F,3,FALSE)</f>
        <v>0</v>
      </c>
      <c r="L27" s="266">
        <f>VLOOKUP($D27,[4]회선정보!B:F,4,FALSE)</f>
        <v>9</v>
      </c>
      <c r="M27" s="266" t="str">
        <f>VLOOKUP($D27,[4]회선정보!B:F,5,FALSE)</f>
        <v>MP6-1</v>
      </c>
      <c r="N27" s="265" t="s">
        <v>665</v>
      </c>
      <c r="O27" s="209" t="s">
        <v>611</v>
      </c>
      <c r="P27" s="263" t="str">
        <f t="shared" si="3"/>
        <v>SGM7J-A5A</v>
      </c>
      <c r="Q27" s="263">
        <f>IF(MID($N26,5,1)&lt;&gt;"W",VLOOKUP(N27,[4]정격용량!$B$3:$K$633,4,FALSE),"X")</f>
        <v>200</v>
      </c>
      <c r="R27" s="260">
        <f>IF(MID(N26,5,1)&lt;&gt;"W",VLOOKUP(N27,[4]정격용량!$B$3:$K$633,3,FALSE),"X")</f>
        <v>0.2</v>
      </c>
      <c r="S27" s="260">
        <f>IF(MID(N26,5,1)&lt;&gt;"W",VLOOKUP(N27,[4]정격용량!$B$3:$K$633,6,FALSE),"X")</f>
        <v>1.3</v>
      </c>
      <c r="T27" s="262" t="e">
        <f>IF(MID($N26,5,1)&lt;&gt;"W",S27*#REF!,"X")</f>
        <v>#REF!</v>
      </c>
      <c r="U27" s="261">
        <f>IF(MID($N26,5,1)&lt;&gt;"W",VLOOKUP(N27,[4]정격용량!$B$3:$K$633,9,FALSE),"X")</f>
        <v>2</v>
      </c>
      <c r="V27" s="260" t="str">
        <f>IFERROR(IF(J27="Z",VLOOKUP(P27,'[4]SERVO CABLE'!G:AD,8,FALSE),VLOOKUP(P27,'[4]SERVO CABLE'!G:AD,4,FALSE)),"")</f>
        <v>JZSP-C7M14F-□-E</v>
      </c>
      <c r="W27" s="260" t="str">
        <f>IFERROR(VLOOKUP(P27,'[4]SERVO CABLE'!G:AD,17,FALSE),"")</f>
        <v>JZSP-C7PA2D-□-E</v>
      </c>
      <c r="X27" s="215"/>
      <c r="Y27" s="215">
        <v>1</v>
      </c>
      <c r="Z27" s="259">
        <f t="shared" si="6"/>
        <v>0.2</v>
      </c>
      <c r="AA27" s="259" t="str">
        <f t="shared" si="7"/>
        <v/>
      </c>
      <c r="AB27" s="259" t="str">
        <f t="shared" si="8"/>
        <v/>
      </c>
      <c r="AC27" s="258">
        <f t="shared" si="4"/>
        <v>3.6970499999999999</v>
      </c>
      <c r="AD27" s="333" t="str">
        <f t="shared" si="9"/>
        <v>IRV400</v>
      </c>
      <c r="AF27" s="189"/>
      <c r="AL27" s="189"/>
    </row>
    <row r="28" spans="1:38" ht="16.5">
      <c r="A28" s="180" t="s">
        <v>603</v>
      </c>
      <c r="B28" s="209"/>
      <c r="C28" s="209"/>
      <c r="D28" s="270" t="s">
        <v>260</v>
      </c>
      <c r="E28" s="331"/>
      <c r="F28" s="331"/>
      <c r="G28" s="332" t="s">
        <v>498</v>
      </c>
      <c r="H28" s="209" t="str">
        <f t="shared" si="5"/>
        <v xml:space="preserve"> LCCTL Push Bar Y-1</v>
      </c>
      <c r="I28" s="202" t="str">
        <f t="shared" si="1"/>
        <v>Rotary</v>
      </c>
      <c r="J28" s="267" t="str">
        <f t="shared" si="2"/>
        <v>Y</v>
      </c>
      <c r="K28" s="266">
        <f>VLOOKUP($D28,[4]회선정보!B:F,3,FALSE)</f>
        <v>0</v>
      </c>
      <c r="L28" s="266" t="str">
        <f>VLOOKUP($D28,[4]회선정보!B:F,4,FALSE)</f>
        <v>B</v>
      </c>
      <c r="M28" s="266" t="str">
        <f>VLOOKUP($D28,[4]회선정보!B:F,5,FALSE)</f>
        <v>MP6-1</v>
      </c>
      <c r="N28" s="209" t="s">
        <v>610</v>
      </c>
      <c r="O28" s="209" t="s">
        <v>609</v>
      </c>
      <c r="P28" s="263" t="str">
        <f t="shared" si="3"/>
        <v>SGM7J-08A</v>
      </c>
      <c r="Q28" s="263">
        <f>IF(MID($N27,5,1)&lt;&gt;"W",VLOOKUP(N28,[4]정격용량!$B$3:$K$633,4,FALSE),"X")</f>
        <v>1500</v>
      </c>
      <c r="R28" s="260">
        <f>IF(MID(N27,5,1)&lt;&gt;"W",VLOOKUP(N28,[4]정격용량!$B$3:$K$633,3,FALSE),"X")</f>
        <v>0.3</v>
      </c>
      <c r="S28" s="260">
        <f>IF(MID(N27,5,1)&lt;&gt;"W",VLOOKUP(N28,[4]정격용량!$B$3:$K$633,6,FALSE),"X")</f>
        <v>7.8</v>
      </c>
      <c r="T28" s="262" t="e">
        <f>IF(MID($N27,5,1)&lt;&gt;"W",S28*#REF!,"X")</f>
        <v>#REF!</v>
      </c>
      <c r="U28" s="261">
        <f>IF(MID($N27,5,1)&lt;&gt;"W",VLOOKUP(N28,[4]정격용량!$B$3:$K$633,9,FALSE),"X")</f>
        <v>10</v>
      </c>
      <c r="V28" s="260" t="str">
        <f>IFERROR(IF(J28="Z",VLOOKUP(P28,'[4]SERVO CABLE'!G:AD,8,FALSE),VLOOKUP(P28,'[4]SERVO CABLE'!G:AD,4,FALSE)),"")</f>
        <v>JZSP-C7M32F-□-E</v>
      </c>
      <c r="W28" s="260" t="str">
        <f>IFERROR(VLOOKUP(P28,'[4]SERVO CABLE'!G:AD,17,FALSE),"")</f>
        <v>JZSP-C7PA2D-□-E</v>
      </c>
      <c r="X28" s="215"/>
      <c r="Y28" s="215">
        <v>2</v>
      </c>
      <c r="Z28" s="259" t="str">
        <f t="shared" si="6"/>
        <v/>
      </c>
      <c r="AA28" s="259">
        <f t="shared" si="7"/>
        <v>0.2</v>
      </c>
      <c r="AB28" s="259" t="str">
        <f t="shared" si="8"/>
        <v/>
      </c>
      <c r="AC28" s="258">
        <f t="shared" si="4"/>
        <v>0.49293999999999999</v>
      </c>
      <c r="AD28" s="333" t="str">
        <f t="shared" si="9"/>
        <v>IRV80</v>
      </c>
      <c r="AF28" s="189"/>
      <c r="AL28" s="189"/>
    </row>
    <row r="29" spans="1:38" ht="16.5">
      <c r="A29" s="180" t="s">
        <v>603</v>
      </c>
      <c r="B29" s="209"/>
      <c r="C29" s="209"/>
      <c r="D29" s="270" t="s">
        <v>261</v>
      </c>
      <c r="E29" s="331"/>
      <c r="F29" s="331"/>
      <c r="G29" s="332" t="s">
        <v>499</v>
      </c>
      <c r="H29" s="209" t="str">
        <f t="shared" si="5"/>
        <v xml:space="preserve"> LCCTL Push Bar Y-2</v>
      </c>
      <c r="I29" s="202" t="str">
        <f t="shared" si="1"/>
        <v>Rotary</v>
      </c>
      <c r="J29" s="267" t="str">
        <f t="shared" si="2"/>
        <v>Y</v>
      </c>
      <c r="K29" s="266">
        <f>VLOOKUP($D29,[4]회선정보!B:F,3,FALSE)</f>
        <v>0</v>
      </c>
      <c r="L29" s="266" t="str">
        <f>VLOOKUP($D29,[4]회선정보!B:F,4,FALSE)</f>
        <v>C</v>
      </c>
      <c r="M29" s="266" t="str">
        <f>VLOOKUP($D29,[4]회선정보!B:F,5,FALSE)</f>
        <v>MP6-1</v>
      </c>
      <c r="N29" s="209"/>
      <c r="O29" s="209" t="s">
        <v>609</v>
      </c>
      <c r="P29" s="263" t="str">
        <f t="shared" si="3"/>
        <v>SGM7J-08A</v>
      </c>
      <c r="Q29" s="263" t="str">
        <f>IF(MID($N28,5,1)&lt;&gt;"W",VLOOKUP(N29,[4]정격용량!$B$3:$K$633,4,FALSE),"X")</f>
        <v>X</v>
      </c>
      <c r="R29" s="260" t="str">
        <f>IF(MID(N28,5,1)&lt;&gt;"W",VLOOKUP(N29,[4]정격용량!$B$3:$K$633,3,FALSE),"X")</f>
        <v>X</v>
      </c>
      <c r="S29" s="260" t="str">
        <f>IF(MID(N28,5,1)&lt;&gt;"W",VLOOKUP(N29,[4]정격용량!$B$3:$K$633,6,FALSE),"X")</f>
        <v>X</v>
      </c>
      <c r="T29" s="262" t="str">
        <f>IF(MID($N28,5,1)&lt;&gt;"W",S29*#REF!,"X")</f>
        <v>X</v>
      </c>
      <c r="U29" s="261" t="str">
        <f>IF(MID($N28,5,1)&lt;&gt;"W",VLOOKUP(N29,[4]정격용량!$B$3:$K$633,9,FALSE),"X")</f>
        <v>X</v>
      </c>
      <c r="V29" s="260" t="str">
        <f>IFERROR(IF(J29="Z",VLOOKUP(P29,'[4]SERVO CABLE'!G:AD,8,FALSE),VLOOKUP(P29,'[4]SERVO CABLE'!G:AD,4,FALSE)),"")</f>
        <v>JZSP-C7M32F-□-E</v>
      </c>
      <c r="W29" s="260" t="str">
        <f>IFERROR(VLOOKUP(P29,'[4]SERVO CABLE'!G:AD,17,FALSE),"")</f>
        <v>JZSP-C7PA2D-□-E</v>
      </c>
      <c r="X29" s="215"/>
      <c r="Y29" s="215"/>
      <c r="Z29" s="259" t="str">
        <f t="shared" si="6"/>
        <v/>
      </c>
      <c r="AA29" s="259" t="str">
        <f t="shared" si="7"/>
        <v/>
      </c>
      <c r="AB29" s="259" t="str">
        <f t="shared" si="8"/>
        <v/>
      </c>
      <c r="AC29" s="258" t="str">
        <f t="shared" si="4"/>
        <v>X</v>
      </c>
      <c r="AD29" s="333" t="str">
        <f t="shared" si="9"/>
        <v>X</v>
      </c>
      <c r="AF29" s="189"/>
      <c r="AL29" s="189"/>
    </row>
    <row r="30" spans="1:38" ht="16.5">
      <c r="A30" s="180" t="s">
        <v>603</v>
      </c>
      <c r="B30" s="209"/>
      <c r="C30" s="209"/>
      <c r="D30" s="270" t="s">
        <v>262</v>
      </c>
      <c r="E30" s="331"/>
      <c r="F30" s="331"/>
      <c r="G30" s="332" t="s">
        <v>500</v>
      </c>
      <c r="H30" s="209" t="str">
        <f t="shared" si="5"/>
        <v xml:space="preserve"> LCCTL Push Bar Z</v>
      </c>
      <c r="I30" s="202" t="str">
        <f t="shared" si="1"/>
        <v>Rotary</v>
      </c>
      <c r="J30" s="267" t="str">
        <f t="shared" si="2"/>
        <v>Z</v>
      </c>
      <c r="K30" s="266">
        <f>VLOOKUP($D30,[4]회선정보!B:F,3,FALSE)</f>
        <v>0</v>
      </c>
      <c r="L30" s="266" t="str">
        <f>VLOOKUP($D30,[4]회선정보!B:F,4,FALSE)</f>
        <v>D</v>
      </c>
      <c r="M30" s="266" t="str">
        <f>VLOOKUP($D30,[4]회선정보!B:F,5,FALSE)</f>
        <v>MP6-1</v>
      </c>
      <c r="N30" s="209" t="s">
        <v>666</v>
      </c>
      <c r="O30" s="209" t="s">
        <v>600</v>
      </c>
      <c r="P30" s="263" t="str">
        <f t="shared" si="3"/>
        <v>SGM7J-04A</v>
      </c>
      <c r="Q30" s="263">
        <f>IF(MID($N29,5,1)&lt;&gt;"W",VLOOKUP(N30,[4]정격용량!$B$3:$K$633,4,FALSE),"X")</f>
        <v>800</v>
      </c>
      <c r="R30" s="260">
        <f>IF(MID(N29,5,1)&lt;&gt;"W",VLOOKUP(N30,[4]정격용량!$B$3:$K$633,3,FALSE),"X")</f>
        <v>0.3</v>
      </c>
      <c r="S30" s="260">
        <f>IF(MID(N29,5,1)&lt;&gt;"W",VLOOKUP(N30,[4]정격용량!$B$3:$K$633,6,FALSE),"X")</f>
        <v>4.7</v>
      </c>
      <c r="T30" s="262" t="e">
        <f>IF(MID($N29,5,1)&lt;&gt;"W",S30*#REF!,"X")</f>
        <v>#REF!</v>
      </c>
      <c r="U30" s="261">
        <f>IF(MID($N29,5,1)&lt;&gt;"W",VLOOKUP(N30,[4]정격용량!$B$3:$K$633,9,FALSE),"X")</f>
        <v>7</v>
      </c>
      <c r="V30" s="260" t="str">
        <f>IFERROR(IF(J30="Z",VLOOKUP(P30,'[4]SERVO CABLE'!G:AD,8,FALSE),VLOOKUP(P30,'[4]SERVO CABLE'!G:AD,4,FALSE)),"")</f>
        <v>JZSP-C7M24F-□-E</v>
      </c>
      <c r="W30" s="260" t="str">
        <f>IFERROR(VLOOKUP(P30,'[4]SERVO CABLE'!G:AD,17,FALSE),"")</f>
        <v>JZSP-C7PA2D-□-E</v>
      </c>
      <c r="X30" s="215"/>
      <c r="Y30" s="215">
        <v>1</v>
      </c>
      <c r="Z30" s="259">
        <f t="shared" si="6"/>
        <v>0.2</v>
      </c>
      <c r="AA30" s="259" t="str">
        <f t="shared" si="7"/>
        <v/>
      </c>
      <c r="AB30" s="259" t="str">
        <f t="shared" si="8"/>
        <v/>
      </c>
      <c r="AC30" s="258">
        <f t="shared" si="4"/>
        <v>0.92426249999999999</v>
      </c>
      <c r="AD30" s="333" t="str">
        <f t="shared" si="9"/>
        <v>IRV100</v>
      </c>
      <c r="AF30" s="189"/>
      <c r="AL30" s="189"/>
    </row>
    <row r="31" spans="1:38" ht="16.5">
      <c r="A31" s="180" t="s">
        <v>603</v>
      </c>
      <c r="B31" s="209"/>
      <c r="C31" s="209"/>
      <c r="D31" s="336" t="s">
        <v>263</v>
      </c>
      <c r="E31" s="331"/>
      <c r="F31" s="331"/>
      <c r="G31" s="337" t="s">
        <v>474</v>
      </c>
      <c r="H31" s="209" t="str">
        <f t="shared" si="5"/>
        <v xml:space="preserve"> LCCTL Break Table Y-1</v>
      </c>
      <c r="I31" s="202" t="str">
        <f t="shared" si="1"/>
        <v>LINEAR</v>
      </c>
      <c r="J31" s="267" t="str">
        <f t="shared" si="2"/>
        <v>Y</v>
      </c>
      <c r="K31" s="266">
        <f>VLOOKUP($D31,[4]회선정보!B:F,3,FALSE)</f>
        <v>0</v>
      </c>
      <c r="L31" s="266" t="str">
        <f>VLOOKUP($D31,[4]회선정보!B:F,4,FALSE)</f>
        <v>E</v>
      </c>
      <c r="M31" s="266" t="str">
        <f>VLOOKUP($D31,[4]회선정보!B:F,5,FALSE)</f>
        <v>MP6-1</v>
      </c>
      <c r="N31" s="209" t="s">
        <v>610</v>
      </c>
      <c r="O31" s="209" t="s">
        <v>664</v>
      </c>
      <c r="P31" s="263" t="str">
        <f t="shared" si="3"/>
        <v>SGLFW-35A230AP</v>
      </c>
      <c r="Q31" s="263" t="str">
        <f>IF(MID($N30,5,1)&lt;&gt;"W",VLOOKUP(N31,[4]정격용량!$B$3:$K$633,4,FALSE),"X")</f>
        <v>X</v>
      </c>
      <c r="R31" s="260" t="str">
        <f>IF(MID(N30,5,1)&lt;&gt;"W",VLOOKUP(N31,[4]정격용량!$B$3:$K$633,3,FALSE),"X")</f>
        <v>X</v>
      </c>
      <c r="S31" s="260" t="str">
        <f>IF(MID(N30,5,1)&lt;&gt;"W",VLOOKUP(N31,[4]정격용량!$B$3:$K$633,6,FALSE),"X")</f>
        <v>X</v>
      </c>
      <c r="T31" s="262" t="str">
        <f>IF(MID($N30,5,1)&lt;&gt;"W",S31*#REF!,"X")</f>
        <v>X</v>
      </c>
      <c r="U31" s="261" t="str">
        <f>IF(MID($N30,5,1)&lt;&gt;"W",VLOOKUP(N31,[4]정격용량!$B$3:$K$633,9,FALSE),"X")</f>
        <v>X</v>
      </c>
      <c r="V31" s="260" t="str">
        <f>IFERROR(IF(J31="Z",VLOOKUP(P31,'[4]SERVO CABLE'!G:AD,8,FALSE),VLOOKUP(P31,'[4]SERVO CABLE'!G:AD,4,FALSE)),"")</f>
        <v>JZSP-CLN11-01-E</v>
      </c>
      <c r="W31" s="260" t="str">
        <f>IFERROR(VLOOKUP(P31,'[4]SERVO CABLE'!G:AD,17,FALSE),"")</f>
        <v>JZSP-CLP70-□-ER</v>
      </c>
      <c r="X31" s="215"/>
      <c r="Y31" s="215">
        <v>2</v>
      </c>
      <c r="Z31" s="259" t="str">
        <f t="shared" si="6"/>
        <v/>
      </c>
      <c r="AA31" s="259">
        <f t="shared" si="7"/>
        <v>0.2</v>
      </c>
      <c r="AB31" s="259" t="str">
        <f t="shared" si="8"/>
        <v/>
      </c>
      <c r="AC31" s="258" t="str">
        <f t="shared" si="4"/>
        <v>X</v>
      </c>
      <c r="AD31" s="333" t="str">
        <f t="shared" si="9"/>
        <v>X</v>
      </c>
      <c r="AF31" s="189"/>
      <c r="AL31" s="189"/>
    </row>
    <row r="32" spans="1:38" ht="16.5">
      <c r="A32" s="180" t="s">
        <v>603</v>
      </c>
      <c r="B32" s="209"/>
      <c r="C32" s="209"/>
      <c r="D32" s="336" t="s">
        <v>264</v>
      </c>
      <c r="E32" s="331"/>
      <c r="F32" s="331"/>
      <c r="G32" s="338" t="s">
        <v>475</v>
      </c>
      <c r="H32" s="209" t="str">
        <f t="shared" si="5"/>
        <v xml:space="preserve"> LCCTL Break Table Y-2</v>
      </c>
      <c r="I32" s="202" t="str">
        <f t="shared" si="1"/>
        <v>LINEAR</v>
      </c>
      <c r="J32" s="267" t="str">
        <f t="shared" si="2"/>
        <v>Y</v>
      </c>
      <c r="K32" s="266">
        <f>VLOOKUP($D32,[4]회선정보!B:F,3,FALSE)</f>
        <v>0</v>
      </c>
      <c r="L32" s="266" t="str">
        <f>VLOOKUP($D32,[4]회선정보!B:F,4,FALSE)</f>
        <v>F</v>
      </c>
      <c r="M32" s="266" t="str">
        <f>VLOOKUP($D32,[4]회선정보!B:F,5,FALSE)</f>
        <v>MP6-1</v>
      </c>
      <c r="N32" s="209"/>
      <c r="O32" s="209" t="s">
        <v>664</v>
      </c>
      <c r="P32" s="263" t="str">
        <f t="shared" si="3"/>
        <v>SGLFW-35A230AP</v>
      </c>
      <c r="Q32" s="263" t="str">
        <f>IF(MID($N31,5,1)&lt;&gt;"W",VLOOKUP(N32,[4]정격용량!$B$3:$K$633,4,FALSE),"X")</f>
        <v>X</v>
      </c>
      <c r="R32" s="260" t="str">
        <f>IF(MID(N31,5,1)&lt;&gt;"W",VLOOKUP(N32,[4]정격용량!$B$3:$K$633,3,FALSE),"X")</f>
        <v>X</v>
      </c>
      <c r="S32" s="260" t="str">
        <f>IF(MID(N31,5,1)&lt;&gt;"W",VLOOKUP(N32,[4]정격용량!$B$3:$K$633,6,FALSE),"X")</f>
        <v>X</v>
      </c>
      <c r="T32" s="262" t="str">
        <f>IF(MID($N31,5,1)&lt;&gt;"W",S32*#REF!,"X")</f>
        <v>X</v>
      </c>
      <c r="U32" s="261" t="str">
        <f>IF(MID($N31,5,1)&lt;&gt;"W",VLOOKUP(N32,[4]정격용량!$B$3:$K$633,9,FALSE),"X")</f>
        <v>X</v>
      </c>
      <c r="V32" s="260" t="str">
        <f>IFERROR(IF(J32="Z",VLOOKUP(P32,'[4]SERVO CABLE'!G:AD,8,FALSE),VLOOKUP(P32,'[4]SERVO CABLE'!G:AD,4,FALSE)),"")</f>
        <v>JZSP-CLN11-01-E</v>
      </c>
      <c r="W32" s="260" t="str">
        <f>IFERROR(VLOOKUP(P32,'[4]SERVO CABLE'!G:AD,17,FALSE),"")</f>
        <v>JZSP-CLP70-□-ER</v>
      </c>
      <c r="X32" s="215"/>
      <c r="Y32" s="215"/>
      <c r="Z32" s="259" t="str">
        <f t="shared" si="6"/>
        <v/>
      </c>
      <c r="AA32" s="259" t="str">
        <f t="shared" si="7"/>
        <v/>
      </c>
      <c r="AB32" s="259" t="str">
        <f t="shared" si="8"/>
        <v/>
      </c>
      <c r="AC32" s="258" t="str">
        <f t="shared" si="4"/>
        <v>X</v>
      </c>
      <c r="AD32" s="333" t="str">
        <f t="shared" si="9"/>
        <v>X</v>
      </c>
      <c r="AF32" s="189"/>
      <c r="AL32" s="189"/>
    </row>
    <row r="33" spans="1:38" ht="16.5">
      <c r="A33" s="180" t="s">
        <v>603</v>
      </c>
      <c r="B33" s="209"/>
      <c r="C33" s="209"/>
      <c r="D33" s="270" t="s">
        <v>265</v>
      </c>
      <c r="E33" s="331"/>
      <c r="F33" s="331"/>
      <c r="G33" s="332" t="s">
        <v>476</v>
      </c>
      <c r="H33" s="209" t="str">
        <f t="shared" si="5"/>
        <v xml:space="preserve"> LCCTL Break Table Z-1</v>
      </c>
      <c r="I33" s="202" t="str">
        <f t="shared" si="1"/>
        <v>Rotary</v>
      </c>
      <c r="J33" s="267" t="str">
        <f t="shared" si="2"/>
        <v>Z</v>
      </c>
      <c r="K33" s="266">
        <f>VLOOKUP($D33,[4]회선정보!B:F,3,FALSE)</f>
        <v>1</v>
      </c>
      <c r="L33" s="266">
        <f>VLOOKUP($D33,[4]회선정보!B:F,4,FALSE)</f>
        <v>0</v>
      </c>
      <c r="M33" s="266" t="str">
        <f>VLOOKUP($D33,[4]회선정보!B:F,5,FALSE)</f>
        <v>MP6-1</v>
      </c>
      <c r="N33" s="209" t="s">
        <v>610</v>
      </c>
      <c r="O33" s="209" t="s">
        <v>604</v>
      </c>
      <c r="P33" s="263" t="str">
        <f t="shared" si="3"/>
        <v>SGM7J-08A</v>
      </c>
      <c r="Q33" s="263">
        <f>IF(MID($N32,5,1)&lt;&gt;"W",VLOOKUP(N33,[4]정격용량!$B$3:$K$633,4,FALSE),"X")</f>
        <v>1500</v>
      </c>
      <c r="R33" s="260">
        <f>IF(MID(N32,5,1)&lt;&gt;"W",VLOOKUP(N33,[4]정격용량!$B$3:$K$633,3,FALSE),"X")</f>
        <v>0.3</v>
      </c>
      <c r="S33" s="260">
        <f>IF(MID(N32,5,1)&lt;&gt;"W",VLOOKUP(N33,[4]정격용량!$B$3:$K$633,6,FALSE),"X")</f>
        <v>7.8</v>
      </c>
      <c r="T33" s="262" t="s">
        <v>615</v>
      </c>
      <c r="U33" s="261">
        <f>IF(MID($N32,5,1)&lt;&gt;"W",VLOOKUP(N33,[4]정격용량!$B$3:$K$633,9,FALSE),"X")</f>
        <v>10</v>
      </c>
      <c r="V33" s="260" t="str">
        <f>IFERROR(IF(J33="Z",VLOOKUP(P33,'[4]SERVO CABLE'!G:AD,8,FALSE),VLOOKUP(P33,'[4]SERVO CABLE'!G:AD,4,FALSE)),"")</f>
        <v>JZSP-C7M34F-□-E</v>
      </c>
      <c r="W33" s="260" t="str">
        <f>IFERROR(VLOOKUP(P33,'[4]SERVO CABLE'!G:AD,17,FALSE),"")</f>
        <v>JZSP-C7PA2D-□-E</v>
      </c>
      <c r="X33" s="215"/>
      <c r="Y33" s="215">
        <v>3</v>
      </c>
      <c r="Z33" s="259" t="str">
        <f t="shared" si="6"/>
        <v/>
      </c>
      <c r="AA33" s="259" t="str">
        <f t="shared" si="7"/>
        <v/>
      </c>
      <c r="AB33" s="259">
        <f t="shared" si="8"/>
        <v>0.2</v>
      </c>
      <c r="AC33" s="258">
        <f t="shared" si="4"/>
        <v>0.49293999999999999</v>
      </c>
      <c r="AD33" s="333" t="str">
        <f t="shared" si="9"/>
        <v>IRV80</v>
      </c>
      <c r="AF33" s="189"/>
      <c r="AL33" s="189"/>
    </row>
    <row r="34" spans="1:38" ht="16.5">
      <c r="A34" s="180" t="s">
        <v>603</v>
      </c>
      <c r="B34" s="209"/>
      <c r="C34" s="209"/>
      <c r="D34" s="270" t="s">
        <v>266</v>
      </c>
      <c r="E34" s="331"/>
      <c r="F34" s="331"/>
      <c r="G34" s="332" t="s">
        <v>477</v>
      </c>
      <c r="H34" s="209" t="str">
        <f t="shared" si="5"/>
        <v xml:space="preserve"> LCCTL Break Table Z-2</v>
      </c>
      <c r="I34" s="202" t="str">
        <f t="shared" si="1"/>
        <v>Rotary</v>
      </c>
      <c r="J34" s="267" t="str">
        <f t="shared" si="2"/>
        <v>Z</v>
      </c>
      <c r="K34" s="266">
        <f>VLOOKUP($D34,[4]회선정보!B:F,3,FALSE)</f>
        <v>1</v>
      </c>
      <c r="L34" s="266">
        <f>VLOOKUP($D34,[4]회선정보!B:F,4,FALSE)</f>
        <v>1</v>
      </c>
      <c r="M34" s="266" t="str">
        <f>VLOOKUP($D34,[4]회선정보!B:F,5,FALSE)</f>
        <v>MP6-1</v>
      </c>
      <c r="N34" s="209"/>
      <c r="O34" s="209" t="s">
        <v>604</v>
      </c>
      <c r="P34" s="263" t="str">
        <f t="shared" si="3"/>
        <v>SGM7J-08A</v>
      </c>
      <c r="Q34" s="263" t="str">
        <f>IF(MID($N33,5,1)&lt;&gt;"W",VLOOKUP(N34,[4]정격용량!$B$3:$K$633,4,FALSE),"X")</f>
        <v>X</v>
      </c>
      <c r="R34" s="260" t="str">
        <f>IF(MID(N33,5,1)&lt;&gt;"W",VLOOKUP(N34,[4]정격용량!$B$3:$K$633,3,FALSE),"X")</f>
        <v>X</v>
      </c>
      <c r="S34" s="260" t="str">
        <f>IF(MID(N33,5,1)&lt;&gt;"W",VLOOKUP(N34,[4]정격용량!$B$3:$K$633,6,FALSE),"X")</f>
        <v>X</v>
      </c>
      <c r="T34" s="262" t="str">
        <f>IF(MID($N33,5,1)&lt;&gt;"W",S34*#REF!,"X")</f>
        <v>X</v>
      </c>
      <c r="U34" s="261" t="str">
        <f>IF(MID($N33,5,1)&lt;&gt;"W",VLOOKUP(N34,[4]정격용량!$B$3:$K$633,9,FALSE),"X")</f>
        <v>X</v>
      </c>
      <c r="V34" s="260" t="str">
        <f>IFERROR(IF(J34="Z",VLOOKUP(P34,'[4]SERVO CABLE'!G:AD,8,FALSE),VLOOKUP(P34,'[4]SERVO CABLE'!G:AD,4,FALSE)),"")</f>
        <v>JZSP-C7M34F-□-E</v>
      </c>
      <c r="W34" s="260" t="str">
        <f>IFERROR(VLOOKUP(P34,'[4]SERVO CABLE'!G:AD,17,FALSE),"")</f>
        <v>JZSP-C7PA2D-□-E</v>
      </c>
      <c r="X34" s="215"/>
      <c r="Y34" s="215"/>
      <c r="Z34" s="259" t="str">
        <f t="shared" si="6"/>
        <v/>
      </c>
      <c r="AA34" s="259" t="str">
        <f t="shared" si="7"/>
        <v/>
      </c>
      <c r="AB34" s="259" t="str">
        <f t="shared" si="8"/>
        <v/>
      </c>
      <c r="AC34" s="258" t="str">
        <f t="shared" si="4"/>
        <v>X</v>
      </c>
      <c r="AD34" s="333" t="str">
        <f t="shared" si="9"/>
        <v>X</v>
      </c>
      <c r="AF34" s="189"/>
      <c r="AL34" s="189"/>
    </row>
    <row r="35" spans="1:38" ht="16.5">
      <c r="A35" s="180" t="s">
        <v>603</v>
      </c>
      <c r="B35" s="209"/>
      <c r="C35" s="209"/>
      <c r="D35" s="270" t="s">
        <v>267</v>
      </c>
      <c r="E35" s="331"/>
      <c r="F35" s="331"/>
      <c r="G35" s="332" t="s">
        <v>478</v>
      </c>
      <c r="H35" s="209" t="str">
        <f t="shared" si="5"/>
        <v xml:space="preserve"> LCCTL Break Table T</v>
      </c>
      <c r="I35" s="202" t="str">
        <f t="shared" si="1"/>
        <v>Rotary</v>
      </c>
      <c r="J35" s="267" t="str">
        <f t="shared" si="2"/>
        <v>T</v>
      </c>
      <c r="K35" s="266">
        <f>VLOOKUP($D35,[4]회선정보!B:F,3,FALSE)</f>
        <v>1</v>
      </c>
      <c r="L35" s="266">
        <f>VLOOKUP($D35,[4]회선정보!B:F,4,FALSE)</f>
        <v>2</v>
      </c>
      <c r="M35" s="266" t="str">
        <f>VLOOKUP($D35,[4]회선정보!B:F,5,FALSE)</f>
        <v>MP6-1</v>
      </c>
      <c r="N35" s="209" t="s">
        <v>667</v>
      </c>
      <c r="O35" s="209" t="s">
        <v>600</v>
      </c>
      <c r="P35" s="263" t="str">
        <f t="shared" si="3"/>
        <v>SGM7J-04A</v>
      </c>
      <c r="Q35" s="263">
        <f>IF(MID($N34,5,1)&lt;&gt;"W",VLOOKUP(N35,[4]정격용량!$B$3:$K$633,4,FALSE),"X")</f>
        <v>400</v>
      </c>
      <c r="R35" s="260">
        <f>IF(MID(N34,5,1)&lt;&gt;"W",VLOOKUP(N35,[4]정격용량!$B$3:$K$633,3,FALSE),"X")</f>
        <v>0.2</v>
      </c>
      <c r="S35" s="260">
        <f>IF(MID(N34,5,1)&lt;&gt;"W",VLOOKUP(N35,[4]정격용량!$B$3:$K$633,6,FALSE),"X")</f>
        <v>2.5</v>
      </c>
      <c r="T35" s="262" t="e">
        <f>IF(MID($N34,5,1)&lt;&gt;"W",S35*#REF!,"X")</f>
        <v>#REF!</v>
      </c>
      <c r="U35" s="261">
        <f>IF(MID($N34,5,1)&lt;&gt;"W",VLOOKUP(N35,[4]정격용량!$B$3:$K$633,9,FALSE),"X")</f>
        <v>3</v>
      </c>
      <c r="V35" s="260" t="str">
        <f>IFERROR(IF(J35="Z",VLOOKUP(P35,'[4]SERVO CABLE'!G:AD,8,FALSE),VLOOKUP(P35,'[4]SERVO CABLE'!G:AD,8,FALSE)),"")</f>
        <v>JZSP-C7M24F-□-E</v>
      </c>
      <c r="W35" s="260" t="str">
        <f>IFERROR(VLOOKUP(P35,'[4]SERVO CABLE'!G:AD,17,FALSE),"")</f>
        <v>JZSP-C7PA2D-□-E</v>
      </c>
      <c r="X35" s="215"/>
      <c r="Y35" s="215">
        <v>1</v>
      </c>
      <c r="Z35" s="259">
        <f>IF($Y35=1,$R$9,"")</f>
        <v>0.2</v>
      </c>
      <c r="AA35" s="259" t="str">
        <f>IF($Y35=2,$R$9,"")</f>
        <v/>
      </c>
      <c r="AB35" s="259" t="str">
        <f>IF($Y35=3,$R$9,"")</f>
        <v/>
      </c>
      <c r="AC35" s="258">
        <f t="shared" si="4"/>
        <v>1.848525</v>
      </c>
      <c r="AD35" s="333" t="str">
        <f t="shared" si="9"/>
        <v>IRV200</v>
      </c>
      <c r="AF35" s="189"/>
      <c r="AL35" s="189"/>
    </row>
    <row r="36" spans="1:38" ht="16.5">
      <c r="A36" s="180" t="s">
        <v>603</v>
      </c>
      <c r="B36" s="209"/>
      <c r="C36" s="209"/>
      <c r="D36" s="270" t="s">
        <v>247</v>
      </c>
      <c r="E36" s="331"/>
      <c r="F36" s="331"/>
      <c r="G36" s="332" t="s">
        <v>514</v>
      </c>
      <c r="H36" s="209" t="str">
        <f t="shared" si="5"/>
        <v xml:space="preserve"> LCCTR Cutter X</v>
      </c>
      <c r="I36" s="202" t="str">
        <f t="shared" si="1"/>
        <v>LINEAR</v>
      </c>
      <c r="J36" s="267" t="str">
        <f t="shared" si="2"/>
        <v>X</v>
      </c>
      <c r="K36" s="266">
        <f>VLOOKUP($D36,[4]회선정보!B:F,3,FALSE)</f>
        <v>0</v>
      </c>
      <c r="L36" s="266">
        <f>VLOOKUP($D36,[4]회선정보!B:F,4,FALSE)</f>
        <v>3</v>
      </c>
      <c r="M36" s="266" t="str">
        <f>VLOOKUP($D36,[4]회선정보!B:F,5,FALSE)</f>
        <v>MP7-1</v>
      </c>
      <c r="N36" s="265" t="s">
        <v>612</v>
      </c>
      <c r="O36" s="265" t="s">
        <v>622</v>
      </c>
      <c r="P36" s="263" t="str">
        <f t="shared" si="3"/>
        <v>SGLGW-60A140C</v>
      </c>
      <c r="Q36" s="263">
        <f>IF(MID($N35,5,1)&lt;&gt;"W",VLOOKUP(N36,[4]정격용량!$B$3:$K$633,4,FALSE),"X")</f>
        <v>400</v>
      </c>
      <c r="R36" s="260">
        <f>IF(MID(N35,5,1)&lt;&gt;"W",VLOOKUP(N36,[4]정격용량!$B$3:$K$633,3,FALSE),"X")</f>
        <v>0.3</v>
      </c>
      <c r="S36" s="260">
        <f>IF(MID(N35,5,1)&lt;&gt;"W",VLOOKUP(N36,[4]정격용량!$B$3:$K$633,6,FALSE),"X")</f>
        <v>2.5</v>
      </c>
      <c r="T36" s="262" t="e">
        <f>IF(MID($N35,5,1)&lt;&gt;"W",S36*#REF!,"X")</f>
        <v>#REF!</v>
      </c>
      <c r="U36" s="261">
        <f>IF(MID($N35,5,1)&lt;&gt;"W",VLOOKUP(N36,[4]정격용량!$B$3:$K$633,9,FALSE),"X")</f>
        <v>3</v>
      </c>
      <c r="V36" s="260" t="str">
        <f>IFERROR(IF(J36="Z",VLOOKUP(P36,'[4]SERVO CABLE'!G:AD,8,FALSE),VLOOKUP(P36,'[4]SERVO CABLE'!G:AD,4,FALSE)),"")</f>
        <v>JZSP-CLN11-□</v>
      </c>
      <c r="W36" s="260" t="str">
        <f>IFERROR(VLOOKUP(P36,'[4]SERVO CABLE'!G:AD,17,FALSE),"")</f>
        <v>JZSP-CLP70-□-ER</v>
      </c>
      <c r="X36" s="215"/>
      <c r="Y36" s="215">
        <v>2</v>
      </c>
      <c r="Z36" s="259" t="str">
        <f t="shared" si="6"/>
        <v/>
      </c>
      <c r="AA36" s="259">
        <f t="shared" si="7"/>
        <v>0.2</v>
      </c>
      <c r="AB36" s="259" t="str">
        <f t="shared" si="8"/>
        <v/>
      </c>
      <c r="AC36" s="258">
        <f t="shared" si="4"/>
        <v>1.848525</v>
      </c>
      <c r="AD36" s="333" t="str">
        <f t="shared" si="9"/>
        <v>IRV200</v>
      </c>
      <c r="AF36" s="189"/>
      <c r="AL36" s="189"/>
    </row>
    <row r="37" spans="1:38" ht="16.5">
      <c r="A37" s="180" t="s">
        <v>603</v>
      </c>
      <c r="B37" s="209"/>
      <c r="C37" s="209"/>
      <c r="D37" s="270" t="s">
        <v>248</v>
      </c>
      <c r="E37" s="331"/>
      <c r="F37" s="331"/>
      <c r="G37" s="332" t="s">
        <v>358</v>
      </c>
      <c r="H37" s="209" t="str">
        <f t="shared" si="5"/>
        <v xml:space="preserve"> LCCTR Camera X</v>
      </c>
      <c r="I37" s="202" t="str">
        <f t="shared" si="1"/>
        <v>LINEAR</v>
      </c>
      <c r="J37" s="267" t="str">
        <f t="shared" si="2"/>
        <v>X</v>
      </c>
      <c r="K37" s="266">
        <f>VLOOKUP($D37,[4]회선정보!B:F,3,FALSE)</f>
        <v>0</v>
      </c>
      <c r="L37" s="266">
        <f>VLOOKUP($D37,[4]회선정보!B:F,4,FALSE)</f>
        <v>4</v>
      </c>
      <c r="M37" s="266" t="str">
        <f>VLOOKUP($D37,[4]회선정보!B:F,5,FALSE)</f>
        <v>MP7-1</v>
      </c>
      <c r="N37" s="265"/>
      <c r="O37" s="265" t="s">
        <v>622</v>
      </c>
      <c r="P37" s="263" t="str">
        <f t="shared" si="3"/>
        <v>SGLGW-60A140C</v>
      </c>
      <c r="Q37" s="263" t="str">
        <f>IF(MID($N36,5,1)&lt;&gt;"W",VLOOKUP(N37,[4]정격용량!$B$3:$K$633,4,FALSE),"X")</f>
        <v>X</v>
      </c>
      <c r="R37" s="260" t="str">
        <f>IF(MID(N36,5,1)&lt;&gt;"W",VLOOKUP(N37,[4]정격용량!$B$3:$K$633,3,FALSE),"X")</f>
        <v>X</v>
      </c>
      <c r="S37" s="260" t="str">
        <f>IF(MID(N36,5,1)&lt;&gt;"W",VLOOKUP(N37,[4]정격용량!$B$3:$K$633,6,FALSE),"X")</f>
        <v>X</v>
      </c>
      <c r="T37" s="262" t="str">
        <f>IF(MID($N36,5,1)&lt;&gt;"W",S37*#REF!,"X")</f>
        <v>X</v>
      </c>
      <c r="U37" s="261" t="str">
        <f>IF(MID($N36,5,1)&lt;&gt;"W",VLOOKUP(N37,[4]정격용량!$B$3:$K$633,9,FALSE),"X")</f>
        <v>X</v>
      </c>
      <c r="V37" s="260" t="str">
        <f>IFERROR(IF(J37="Z",VLOOKUP(P37,'[4]SERVO CABLE'!G:AD,8,FALSE),VLOOKUP(P37,'[4]SERVO CABLE'!G:AD,4,FALSE)),"")</f>
        <v>JZSP-CLN11-□</v>
      </c>
      <c r="W37" s="260" t="str">
        <f>IFERROR(VLOOKUP(P37,'[4]SERVO CABLE'!G:AD,17,FALSE),"")</f>
        <v>JZSP-CLP70-□-ER</v>
      </c>
      <c r="X37" s="215"/>
      <c r="Y37" s="215"/>
      <c r="Z37" s="259" t="str">
        <f t="shared" si="6"/>
        <v/>
      </c>
      <c r="AA37" s="259" t="str">
        <f t="shared" si="7"/>
        <v/>
      </c>
      <c r="AB37" s="259" t="str">
        <f t="shared" si="8"/>
        <v/>
      </c>
      <c r="AC37" s="258" t="str">
        <f t="shared" si="4"/>
        <v>X</v>
      </c>
      <c r="AD37" s="333" t="str">
        <f t="shared" si="9"/>
        <v>X</v>
      </c>
      <c r="AF37" s="189"/>
      <c r="AL37" s="189"/>
    </row>
    <row r="38" spans="1:38" ht="16.5">
      <c r="A38" s="180" t="s">
        <v>603</v>
      </c>
      <c r="B38" s="209"/>
      <c r="C38" s="209"/>
      <c r="D38" s="270" t="s">
        <v>253</v>
      </c>
      <c r="E38" s="331"/>
      <c r="F38" s="331"/>
      <c r="G38" s="332" t="s">
        <v>432</v>
      </c>
      <c r="H38" s="209" t="str">
        <f t="shared" si="5"/>
        <v xml:space="preserve"> LCCTR Cutter Z</v>
      </c>
      <c r="I38" s="202" t="str">
        <f t="shared" si="1"/>
        <v>Rotary</v>
      </c>
      <c r="J38" s="267" t="str">
        <f t="shared" si="2"/>
        <v>Z</v>
      </c>
      <c r="K38" s="266">
        <f>VLOOKUP($D38,[4]회선정보!B:F,3,FALSE)</f>
        <v>0</v>
      </c>
      <c r="L38" s="266">
        <f>VLOOKUP($D38,[4]회선정보!B:F,4,FALSE)</f>
        <v>5</v>
      </c>
      <c r="M38" s="266" t="str">
        <f>VLOOKUP($D38,[4]회선정보!B:F,5,FALSE)</f>
        <v>MP7-1</v>
      </c>
      <c r="N38" s="265" t="s">
        <v>619</v>
      </c>
      <c r="O38" s="265" t="s">
        <v>618</v>
      </c>
      <c r="P38" s="263" t="str">
        <f t="shared" si="3"/>
        <v>SGM7A-A5A</v>
      </c>
      <c r="Q38" s="263">
        <f>IF(MID($N37,5,1)&lt;&gt;"W",VLOOKUP(N38,[4]정격용량!$B$3:$K$633,4,FALSE),"X")</f>
        <v>50</v>
      </c>
      <c r="R38" s="260">
        <f>IF(MID(N37,5,1)&lt;&gt;"W",VLOOKUP(N38,[4]정격용량!$B$3:$K$633,3,FALSE),"X")</f>
        <v>0.2</v>
      </c>
      <c r="S38" s="260">
        <f>IF(MID(N37,5,1)&lt;&gt;"W",VLOOKUP(N38,[4]정격용량!$B$3:$K$633,6,FALSE),"X")</f>
        <v>0.4</v>
      </c>
      <c r="T38" s="262" t="e">
        <f>IF(MID($N37,5,1)&lt;&gt;"W",S38*#REF!,"X")</f>
        <v>#REF!</v>
      </c>
      <c r="U38" s="261">
        <f>IF(MID($N37,5,1)&lt;&gt;"W",VLOOKUP(N38,[4]정격용량!$B$3:$K$633,9,FALSE),"X")</f>
        <v>1</v>
      </c>
      <c r="V38" s="260" t="str">
        <f>IFERROR(IF(J38="Z",VLOOKUP(P38,'[4]SERVO CABLE'!G:AD,8,FALSE),VLOOKUP(P38,'[4]SERVO CABLE'!G:AD,4,FALSE)),"")</f>
        <v>JZSP-C7M14F-□-E</v>
      </c>
      <c r="W38" s="260" t="str">
        <f>IFERROR(VLOOKUP(P38,'[4]SERVO CABLE'!G:AD,17,FALSE),"")</f>
        <v>JZSP-C7PA2D-□-E</v>
      </c>
      <c r="X38" s="215"/>
      <c r="Y38" s="215">
        <v>3</v>
      </c>
      <c r="Z38" s="259" t="str">
        <f t="shared" si="6"/>
        <v/>
      </c>
      <c r="AA38" s="259" t="str">
        <f t="shared" si="7"/>
        <v/>
      </c>
      <c r="AB38" s="259">
        <f t="shared" si="8"/>
        <v>0.2</v>
      </c>
      <c r="AC38" s="258">
        <f t="shared" si="4"/>
        <v>14.7882</v>
      </c>
      <c r="AD38" s="333" t="str">
        <f t="shared" si="9"/>
        <v>X</v>
      </c>
      <c r="AF38" s="189"/>
      <c r="AL38" s="189"/>
    </row>
    <row r="39" spans="1:38" ht="16.5">
      <c r="A39" s="180" t="s">
        <v>603</v>
      </c>
      <c r="B39" s="209"/>
      <c r="C39" s="209"/>
      <c r="D39" s="270" t="s">
        <v>249</v>
      </c>
      <c r="E39" s="331"/>
      <c r="F39" s="331"/>
      <c r="G39" s="332" t="s">
        <v>427</v>
      </c>
      <c r="H39" s="209" t="str">
        <f t="shared" si="5"/>
        <v xml:space="preserve"> LCCTR Cutter Shift</v>
      </c>
      <c r="I39" s="202" t="str">
        <f t="shared" si="1"/>
        <v>Rotary</v>
      </c>
      <c r="J39" s="267" t="str">
        <f t="shared" si="2"/>
        <v>T</v>
      </c>
      <c r="K39" s="266">
        <f>VLOOKUP($D39,[4]회선정보!B:F,3,FALSE)</f>
        <v>0</v>
      </c>
      <c r="L39" s="266">
        <f>VLOOKUP($D39,[4]회선정보!B:F,4,FALSE)</f>
        <v>6</v>
      </c>
      <c r="M39" s="266" t="str">
        <f>VLOOKUP($D39,[4]회선정보!B:F,5,FALSE)</f>
        <v>MP7-1</v>
      </c>
      <c r="N39" s="285" t="s">
        <v>619</v>
      </c>
      <c r="O39" s="285" t="s">
        <v>618</v>
      </c>
      <c r="P39" s="263" t="str">
        <f t="shared" si="3"/>
        <v>SGM7A-A5A</v>
      </c>
      <c r="Q39" s="263">
        <f>IF(MID($N38,5,1)&lt;&gt;"W",VLOOKUP(N39,[4]정격용량!$B$3:$K$633,4,FALSE),"X")</f>
        <v>50</v>
      </c>
      <c r="R39" s="260">
        <f>IF(MID(N38,5,1)&lt;&gt;"W",VLOOKUP(N39,[4]정격용량!$B$3:$K$633,3,FALSE),"X")</f>
        <v>0.2</v>
      </c>
      <c r="S39" s="260">
        <f>IF(MID(N38,5,1)&lt;&gt;"W",VLOOKUP(N39,[4]정격용량!$B$3:$K$633,6,FALSE),"X")</f>
        <v>0.4</v>
      </c>
      <c r="T39" s="262" t="e">
        <f>IF(MID($N38,5,1)&lt;&gt;"W",S39*#REF!,"X")</f>
        <v>#REF!</v>
      </c>
      <c r="U39" s="261">
        <f>IF(MID($N38,5,1)&lt;&gt;"W",VLOOKUP(N39,[4]정격용량!$B$3:$K$633,9,FALSE),"X")</f>
        <v>1</v>
      </c>
      <c r="V39" s="260" t="str">
        <f>IFERROR(IF(J39="Z",VLOOKUP(P39,'[4]SERVO CABLE'!G:AD,8,FALSE),VLOOKUP(P39,'[4]SERVO CABLE'!G:AD,4,FALSE)),"")</f>
        <v>JZSP-C7M12F-□-E</v>
      </c>
      <c r="W39" s="260" t="str">
        <f>IFERROR(VLOOKUP(P39,'[4]SERVO CABLE'!G:AD,17,FALSE),"")</f>
        <v>JZSP-C7PA2D-□-E</v>
      </c>
      <c r="X39" s="215"/>
      <c r="Y39" s="215">
        <v>1</v>
      </c>
      <c r="Z39" s="259">
        <f t="shared" si="6"/>
        <v>0.2</v>
      </c>
      <c r="AA39" s="259" t="str">
        <f t="shared" si="7"/>
        <v/>
      </c>
      <c r="AB39" s="259" t="str">
        <f t="shared" si="8"/>
        <v/>
      </c>
      <c r="AC39" s="258">
        <f t="shared" si="4"/>
        <v>14.7882</v>
      </c>
      <c r="AD39" s="333" t="str">
        <f t="shared" si="9"/>
        <v>X</v>
      </c>
      <c r="AF39" s="189"/>
      <c r="AL39" s="189"/>
    </row>
    <row r="40" spans="1:38" ht="16.5">
      <c r="A40" s="180" t="s">
        <v>603</v>
      </c>
      <c r="B40" s="209"/>
      <c r="C40" s="209"/>
      <c r="D40" s="270" t="s">
        <v>250</v>
      </c>
      <c r="E40" s="331"/>
      <c r="F40" s="331"/>
      <c r="G40" s="332" t="s">
        <v>365</v>
      </c>
      <c r="H40" s="209" t="str">
        <f t="shared" si="5"/>
        <v xml:space="preserve"> LCCTR Left Camera Y1</v>
      </c>
      <c r="I40" s="202" t="str">
        <f t="shared" si="1"/>
        <v>Rotary</v>
      </c>
      <c r="J40" s="267" t="str">
        <f t="shared" si="2"/>
        <v>Y</v>
      </c>
      <c r="K40" s="266">
        <f>VLOOKUP($D40,[4]회선정보!B:F,3,FALSE)</f>
        <v>0</v>
      </c>
      <c r="L40" s="266">
        <f>VLOOKUP($D40,[4]회선정보!B:F,4,FALSE)</f>
        <v>8</v>
      </c>
      <c r="M40" s="266" t="str">
        <f>VLOOKUP($D40,[4]회선정보!B:F,5,FALSE)</f>
        <v>MP7-1</v>
      </c>
      <c r="N40" s="284" t="s">
        <v>612</v>
      </c>
      <c r="O40" s="265" t="s">
        <v>616</v>
      </c>
      <c r="P40" s="263" t="str">
        <f t="shared" si="3"/>
        <v>SGM7M-A3A</v>
      </c>
      <c r="Q40" s="263">
        <f>IF(MID($N39,5,1)&lt;&gt;"W",VLOOKUP(N40,[4]정격용량!$B$3:$K$633,4,FALSE),"X")</f>
        <v>400</v>
      </c>
      <c r="R40" s="260">
        <f>IF(MID(N39,5,1)&lt;&gt;"W",VLOOKUP(N40,[4]정격용량!$B$3:$K$633,3,FALSE),"X")</f>
        <v>0.3</v>
      </c>
      <c r="S40" s="260">
        <f>IF(MID(N39,5,1)&lt;&gt;"W",VLOOKUP(N40,[4]정격용량!$B$3:$K$633,6,FALSE),"X")</f>
        <v>2.5</v>
      </c>
      <c r="T40" s="262" t="e">
        <f>IF(MID($N39,5,1)&lt;&gt;"W",S40*#REF!,"X")</f>
        <v>#REF!</v>
      </c>
      <c r="U40" s="261">
        <f>IF(MID($N39,5,1)&lt;&gt;"W",VLOOKUP(N40,[4]정격용량!$B$3:$K$633,9,FALSE),"X")</f>
        <v>3</v>
      </c>
      <c r="V40" s="260" t="str">
        <f>IFERROR(IF(J40="Z",VLOOKUP(P40,'[4]SERVO CABLE'!G:AD,8,FALSE),VLOOKUP(P40,'[4]SERVO CABLE'!G:AD,4,FALSE)),"")</f>
        <v>JZSP-CF2M20-□-E</v>
      </c>
      <c r="W40" s="260" t="str">
        <f>IFERROR(VLOOKUP(P40,'[4]SERVO CABLE'!G:AD,17,FALSE),"")</f>
        <v>JZSP-C7MP29-□-E</v>
      </c>
      <c r="X40" s="215"/>
      <c r="Y40" s="215">
        <v>2</v>
      </c>
      <c r="Z40" s="259" t="str">
        <f t="shared" si="6"/>
        <v/>
      </c>
      <c r="AA40" s="259">
        <f t="shared" si="7"/>
        <v>0.2</v>
      </c>
      <c r="AB40" s="259" t="str">
        <f t="shared" si="8"/>
        <v/>
      </c>
      <c r="AC40" s="258">
        <f t="shared" si="4"/>
        <v>1.848525</v>
      </c>
      <c r="AD40" s="333" t="str">
        <f t="shared" si="9"/>
        <v>IRV200</v>
      </c>
      <c r="AF40" s="189"/>
      <c r="AL40" s="189"/>
    </row>
    <row r="41" spans="1:38" ht="16.5">
      <c r="A41" s="180" t="s">
        <v>603</v>
      </c>
      <c r="B41" s="209"/>
      <c r="C41" s="209"/>
      <c r="D41" s="270" t="s">
        <v>251</v>
      </c>
      <c r="E41" s="331"/>
      <c r="F41" s="331"/>
      <c r="G41" s="332" t="s">
        <v>527</v>
      </c>
      <c r="H41" s="209" t="str">
        <f t="shared" si="5"/>
        <v xml:space="preserve"> LCCTR Right Camera Y1</v>
      </c>
      <c r="I41" s="202" t="str">
        <f t="shared" si="1"/>
        <v>Rotary</v>
      </c>
      <c r="J41" s="267" t="str">
        <f t="shared" si="2"/>
        <v>Y</v>
      </c>
      <c r="K41" s="266">
        <f>VLOOKUP($D41,[4]회선정보!B:F,3,FALSE)</f>
        <v>0</v>
      </c>
      <c r="L41" s="266">
        <f>VLOOKUP($D41,[4]회선정보!B:F,4,FALSE)</f>
        <v>9</v>
      </c>
      <c r="M41" s="266" t="str">
        <f>VLOOKUP($D41,[4]회선정보!B:F,5,FALSE)</f>
        <v>MP7-1</v>
      </c>
      <c r="N41" s="284"/>
      <c r="O41" s="265" t="s">
        <v>616</v>
      </c>
      <c r="P41" s="263" t="str">
        <f t="shared" si="3"/>
        <v>SGM7M-A3A</v>
      </c>
      <c r="Q41" s="263" t="str">
        <f>IF(MID($N40,5,1)&lt;&gt;"W",VLOOKUP(N41,[4]정격용량!$B$3:$K$633,4,FALSE),"X")</f>
        <v>X</v>
      </c>
      <c r="R41" s="260" t="str">
        <f>IF(MID(N40,5,1)&lt;&gt;"W",VLOOKUP(N41,[4]정격용량!$B$3:$K$633,3,FALSE),"X")</f>
        <v>X</v>
      </c>
      <c r="S41" s="260" t="str">
        <f>IF(MID(N40,5,1)&lt;&gt;"W",VLOOKUP(N41,[4]정격용량!$B$3:$K$633,6,FALSE),"X")</f>
        <v>X</v>
      </c>
      <c r="T41" s="262" t="str">
        <f>IF(MID($N40,5,1)&lt;&gt;"W",S41*#REF!,"X")</f>
        <v>X</v>
      </c>
      <c r="U41" s="261" t="str">
        <f>IF(MID($N40,5,1)&lt;&gt;"W",VLOOKUP(N41,[4]정격용량!$B$3:$K$633,9,FALSE),"X")</f>
        <v>X</v>
      </c>
      <c r="V41" s="260" t="str">
        <f>IFERROR(IF(J41="Z",VLOOKUP(P41,'[4]SERVO CABLE'!G:AD,8,FALSE),VLOOKUP(P41,'[4]SERVO CABLE'!G:AD,4,FALSE)),"")</f>
        <v>JZSP-CF2M20-□-E</v>
      </c>
      <c r="W41" s="260" t="str">
        <f>IFERROR(VLOOKUP(P41,'[4]SERVO CABLE'!G:AD,17,FALSE),"")</f>
        <v>JZSP-C7MP29-□-E</v>
      </c>
      <c r="X41" s="215"/>
      <c r="Y41" s="215"/>
      <c r="Z41" s="259" t="str">
        <f t="shared" si="6"/>
        <v/>
      </c>
      <c r="AA41" s="259" t="str">
        <f t="shared" si="7"/>
        <v/>
      </c>
      <c r="AB41" s="259" t="str">
        <f t="shared" si="8"/>
        <v/>
      </c>
      <c r="AC41" s="258" t="str">
        <f t="shared" ref="AC41:AC60" si="10">IF(MID($N40,5,1)&lt;&gt;"W",((700*700)/$Q41*1.509)/1000,"X")</f>
        <v>X</v>
      </c>
      <c r="AD41" s="333" t="str">
        <f t="shared" si="9"/>
        <v>X</v>
      </c>
      <c r="AF41" s="189"/>
      <c r="AL41" s="189"/>
    </row>
    <row r="42" spans="1:38" ht="16.5">
      <c r="A42" s="180" t="s">
        <v>603</v>
      </c>
      <c r="B42" s="209"/>
      <c r="C42" s="209"/>
      <c r="D42" s="270" t="s">
        <v>254</v>
      </c>
      <c r="E42" s="331"/>
      <c r="F42" s="331"/>
      <c r="G42" s="332" t="s">
        <v>366</v>
      </c>
      <c r="H42" s="209" t="str">
        <f t="shared" si="5"/>
        <v xml:space="preserve"> LCCTR Left Camera Z1</v>
      </c>
      <c r="I42" s="202" t="str">
        <f t="shared" si="1"/>
        <v>Rotary</v>
      </c>
      <c r="J42" s="267" t="str">
        <f t="shared" si="2"/>
        <v>Z</v>
      </c>
      <c r="K42" s="266">
        <f>VLOOKUP($D42,[4]회선정보!B:F,3,FALSE)</f>
        <v>0</v>
      </c>
      <c r="L42" s="266" t="str">
        <f>VLOOKUP($D42,[4]회선정보!B:F,4,FALSE)</f>
        <v>A</v>
      </c>
      <c r="M42" s="266" t="str">
        <f>VLOOKUP($D42,[4]회선정보!B:F,5,FALSE)</f>
        <v>MP7-1</v>
      </c>
      <c r="N42" s="334" t="s">
        <v>612</v>
      </c>
      <c r="O42" s="335" t="s">
        <v>616</v>
      </c>
      <c r="P42" s="263" t="str">
        <f t="shared" si="3"/>
        <v>SGM7M-A3A</v>
      </c>
      <c r="Q42" s="263">
        <f>IF(MID($N41,5,1)&lt;&gt;"W",VLOOKUP(N42,[4]정격용량!$B$3:$K$633,4,FALSE),"X")</f>
        <v>400</v>
      </c>
      <c r="R42" s="260">
        <f>IF(MID(N41,5,1)&lt;&gt;"W",VLOOKUP(N42,[4]정격용량!$B$3:$K$633,3,FALSE),"X")</f>
        <v>0.3</v>
      </c>
      <c r="S42" s="260">
        <f>IF(MID(N41,5,1)&lt;&gt;"W",VLOOKUP(N42,[4]정격용량!$B$3:$K$633,6,FALSE),"X")</f>
        <v>2.5</v>
      </c>
      <c r="T42" s="262" t="e">
        <f>IF(MID($N41,5,1)&lt;&gt;"W",S42*#REF!,"X")</f>
        <v>#REF!</v>
      </c>
      <c r="U42" s="261">
        <f>IF(MID($N41,5,1)&lt;&gt;"W",VLOOKUP(N42,[4]정격용량!$B$3:$K$633,9,FALSE),"X")</f>
        <v>3</v>
      </c>
      <c r="V42" s="260" t="str">
        <f>IFERROR(IF(J42="Z",VLOOKUP(P42,'[4]SERVO CABLE'!G:AD,4,FALSE),VLOOKUP(P42,'[4]SERVO CABLE'!G:AD,4,FALSE)),"")</f>
        <v>JZSP-CF2M20-□-E</v>
      </c>
      <c r="W42" s="260" t="str">
        <f>IFERROR(VLOOKUP(P42,'[4]SERVO CABLE'!G:AD,17,FALSE),"")</f>
        <v>JZSP-C7MP29-□-E</v>
      </c>
      <c r="X42" s="215"/>
      <c r="Y42" s="215">
        <v>1</v>
      </c>
      <c r="Z42" s="259">
        <f t="shared" si="6"/>
        <v>0.2</v>
      </c>
      <c r="AA42" s="259" t="str">
        <f t="shared" si="7"/>
        <v/>
      </c>
      <c r="AB42" s="259" t="str">
        <f t="shared" si="8"/>
        <v/>
      </c>
      <c r="AC42" s="258">
        <f t="shared" si="10"/>
        <v>1.848525</v>
      </c>
      <c r="AD42" s="333" t="str">
        <f t="shared" si="9"/>
        <v>IRV200</v>
      </c>
      <c r="AF42" s="189"/>
      <c r="AL42" s="189"/>
    </row>
    <row r="43" spans="1:38" ht="16.5">
      <c r="A43" s="180" t="s">
        <v>603</v>
      </c>
      <c r="B43" s="209"/>
      <c r="C43" s="209"/>
      <c r="D43" s="270" t="s">
        <v>252</v>
      </c>
      <c r="E43" s="331"/>
      <c r="F43" s="331"/>
      <c r="G43" s="332" t="s">
        <v>528</v>
      </c>
      <c r="H43" s="209" t="str">
        <f t="shared" si="5"/>
        <v xml:space="preserve"> LCCTR Right Camera Z1</v>
      </c>
      <c r="I43" s="202" t="str">
        <f t="shared" si="1"/>
        <v>Rotary</v>
      </c>
      <c r="J43" s="267" t="str">
        <f t="shared" si="2"/>
        <v>Z</v>
      </c>
      <c r="K43" s="266">
        <f>VLOOKUP($D43,[4]회선정보!B:F,3,FALSE)</f>
        <v>0</v>
      </c>
      <c r="L43" s="266" t="str">
        <f>VLOOKUP($D43,[4]회선정보!B:F,4,FALSE)</f>
        <v>B</v>
      </c>
      <c r="M43" s="266" t="str">
        <f>VLOOKUP($D43,[4]회선정보!B:F,5,FALSE)</f>
        <v>MP7-1</v>
      </c>
      <c r="N43" s="265"/>
      <c r="O43" s="335" t="s">
        <v>616</v>
      </c>
      <c r="P43" s="263" t="str">
        <f t="shared" si="3"/>
        <v>SGM7M-A3A</v>
      </c>
      <c r="Q43" s="263" t="str">
        <f>IF(MID($N42,5,1)&lt;&gt;"W",VLOOKUP(N43,[4]정격용량!$B$3:$K$633,4,FALSE),"X")</f>
        <v>X</v>
      </c>
      <c r="R43" s="260" t="str">
        <f>IF(MID(N42,5,1)&lt;&gt;"W",VLOOKUP(N43,[4]정격용량!$B$3:$K$633,3,FALSE),"X")</f>
        <v>X</v>
      </c>
      <c r="S43" s="260" t="str">
        <f>IF(MID(N42,5,1)&lt;&gt;"W",VLOOKUP(N43,[4]정격용량!$B$3:$K$633,6,FALSE),"X")</f>
        <v>X</v>
      </c>
      <c r="T43" s="262" t="str">
        <f>IF(MID($N42,5,1)&lt;&gt;"W",S43*#REF!,"X")</f>
        <v>X</v>
      </c>
      <c r="U43" s="261" t="str">
        <f>IF(MID($N42,5,1)&lt;&gt;"W",VLOOKUP(N43,[4]정격용량!$B$3:$K$633,9,FALSE),"X")</f>
        <v>X</v>
      </c>
      <c r="V43" s="260" t="str">
        <f>IFERROR(IF(J43="Z",VLOOKUP(P43,'[4]SERVO CABLE'!G:AD,4,FALSE),VLOOKUP(P43,'[4]SERVO CABLE'!G:AD,4,FALSE)),"")</f>
        <v>JZSP-CF2M20-□-E</v>
      </c>
      <c r="W43" s="260" t="str">
        <f>IFERROR(VLOOKUP(P43,'[4]SERVO CABLE'!G:AD,17,FALSE),"")</f>
        <v>JZSP-C7MP29-□-E</v>
      </c>
      <c r="X43" s="215"/>
      <c r="Y43" s="215"/>
      <c r="Z43" s="259" t="str">
        <f t="shared" si="6"/>
        <v/>
      </c>
      <c r="AA43" s="259" t="str">
        <f t="shared" si="7"/>
        <v/>
      </c>
      <c r="AB43" s="259" t="str">
        <f t="shared" si="8"/>
        <v/>
      </c>
      <c r="AC43" s="258" t="str">
        <f t="shared" si="10"/>
        <v>X</v>
      </c>
      <c r="AD43" s="333" t="str">
        <f t="shared" si="9"/>
        <v>X</v>
      </c>
      <c r="AF43" s="189"/>
      <c r="AL43" s="189"/>
    </row>
    <row r="44" spans="1:38" ht="16.5">
      <c r="A44" s="180" t="s">
        <v>603</v>
      </c>
      <c r="B44" s="209"/>
      <c r="C44" s="209"/>
      <c r="D44" s="270" t="s">
        <v>255</v>
      </c>
      <c r="E44" s="331"/>
      <c r="F44" s="331"/>
      <c r="G44" s="337" t="s">
        <v>540</v>
      </c>
      <c r="H44" s="209" t="str">
        <f t="shared" si="5"/>
        <v xml:space="preserve"> LCCTR Cutting Table Y1-1</v>
      </c>
      <c r="I44" s="202" t="str">
        <f t="shared" si="1"/>
        <v>LINEAR</v>
      </c>
      <c r="J44" s="267" t="str">
        <f t="shared" si="2"/>
        <v>T</v>
      </c>
      <c r="K44" s="266">
        <f>VLOOKUP($D44,[4]회선정보!B:F,3,FALSE)</f>
        <v>0</v>
      </c>
      <c r="L44" s="266" t="str">
        <f>VLOOKUP($D44,[4]회선정보!B:F,4,FALSE)</f>
        <v>D</v>
      </c>
      <c r="M44" s="266" t="str">
        <f>VLOOKUP($D44,[4]회선정보!B:F,5,FALSE)</f>
        <v>MP7-1</v>
      </c>
      <c r="N44" s="265" t="s">
        <v>610</v>
      </c>
      <c r="O44" s="265" t="s">
        <v>664</v>
      </c>
      <c r="P44" s="263" t="str">
        <f t="shared" si="3"/>
        <v>SGLFW-35A230AP</v>
      </c>
      <c r="Q44" s="263">
        <f>IF(MID($N43,5,1)&lt;&gt;"W",VLOOKUP(N44,[4]정격용량!$B$3:$K$633,4,FALSE),"X")</f>
        <v>1500</v>
      </c>
      <c r="R44" s="260">
        <f>IF(MID(N43,5,1)&lt;&gt;"W",VLOOKUP(N44,[4]정격용량!$B$3:$K$633,3,FALSE),"X")</f>
        <v>0.3</v>
      </c>
      <c r="S44" s="260">
        <f>IF(MID(N43,5,1)&lt;&gt;"W",VLOOKUP(N44,[4]정격용량!$B$3:$K$633,6,FALSE),"X")</f>
        <v>7.8</v>
      </c>
      <c r="T44" s="262" t="e">
        <f>IF(MID($N43,5,1)&lt;&gt;"W",S44*#REF!,"X")</f>
        <v>#REF!</v>
      </c>
      <c r="U44" s="261">
        <f>IF(MID($N43,5,1)&lt;&gt;"W",VLOOKUP(N44,[4]정격용량!$B$3:$K$633,9,FALSE),"X")</f>
        <v>10</v>
      </c>
      <c r="V44" s="260" t="str">
        <f>IFERROR(IF(J44="Z",VLOOKUP(P44,'[4]SERVO CABLE'!G:AD,8,FALSE),VLOOKUP(P44,'[4]SERVO CABLE'!G:AD,4,FALSE)),"")</f>
        <v>JZSP-CLN11-01-E</v>
      </c>
      <c r="W44" s="260" t="str">
        <f>IFERROR(VLOOKUP(P44,'[4]SERVO CABLE'!G:AD,17,FALSE),"")</f>
        <v>JZSP-CLP70-□-ER</v>
      </c>
      <c r="X44" s="215"/>
      <c r="Y44" s="215">
        <v>2</v>
      </c>
      <c r="Z44" s="259" t="str">
        <f t="shared" si="6"/>
        <v/>
      </c>
      <c r="AA44" s="259">
        <f t="shared" si="7"/>
        <v>0.2</v>
      </c>
      <c r="AB44" s="259" t="str">
        <f t="shared" si="8"/>
        <v/>
      </c>
      <c r="AC44" s="258">
        <f t="shared" si="10"/>
        <v>0.49293999999999999</v>
      </c>
      <c r="AD44" s="333" t="str">
        <f t="shared" si="9"/>
        <v>IRV80</v>
      </c>
      <c r="AF44" s="189"/>
      <c r="AL44" s="189"/>
    </row>
    <row r="45" spans="1:38" ht="16.5">
      <c r="A45" s="180" t="s">
        <v>603</v>
      </c>
      <c r="B45" s="209"/>
      <c r="C45" s="209"/>
      <c r="D45" s="270" t="s">
        <v>256</v>
      </c>
      <c r="E45" s="331"/>
      <c r="F45" s="331"/>
      <c r="G45" s="337" t="s">
        <v>541</v>
      </c>
      <c r="H45" s="209" t="str">
        <f t="shared" si="5"/>
        <v xml:space="preserve"> LCCTR Cutting Table Y1-2</v>
      </c>
      <c r="I45" s="202" t="str">
        <f t="shared" si="1"/>
        <v>LINEAR</v>
      </c>
      <c r="J45" s="267" t="str">
        <f t="shared" si="2"/>
        <v>T</v>
      </c>
      <c r="K45" s="266">
        <f>VLOOKUP($D45,[4]회선정보!B:F,3,FALSE)</f>
        <v>0</v>
      </c>
      <c r="L45" s="266" t="str">
        <f>VLOOKUP($D45,[4]회선정보!B:F,4,FALSE)</f>
        <v>E</v>
      </c>
      <c r="M45" s="266" t="str">
        <f>VLOOKUP($D45,[4]회선정보!B:F,5,FALSE)</f>
        <v>MP7-1</v>
      </c>
      <c r="N45" s="209"/>
      <c r="O45" s="209" t="s">
        <v>664</v>
      </c>
      <c r="P45" s="263" t="str">
        <f t="shared" si="3"/>
        <v>SGLFW-35A230AP</v>
      </c>
      <c r="Q45" s="263" t="str">
        <f>IF(MID($N44,5,1)&lt;&gt;"W",VLOOKUP(N45,[4]정격용량!$B$3:$K$633,4,FALSE),"X")</f>
        <v>X</v>
      </c>
      <c r="R45" s="260" t="str">
        <f>IF(MID(N44,5,1)&lt;&gt;"W",VLOOKUP(N45,[4]정격용량!$B$3:$K$633,3,FALSE),"X")</f>
        <v>X</v>
      </c>
      <c r="S45" s="260" t="str">
        <f>IF(MID(N44,5,1)&lt;&gt;"W",VLOOKUP(N45,[4]정격용량!$B$3:$K$633,6,FALSE),"X")</f>
        <v>X</v>
      </c>
      <c r="T45" s="262" t="str">
        <f>IF(MID($N44,5,1)&lt;&gt;"W",S45*#REF!,"X")</f>
        <v>X</v>
      </c>
      <c r="U45" s="261" t="str">
        <f>IF(MID($N44,5,1)&lt;&gt;"W",VLOOKUP(N45,[4]정격용량!$B$3:$K$633,9,FALSE),"X")</f>
        <v>X</v>
      </c>
      <c r="V45" s="260" t="str">
        <f>IFERROR(IF(J45="Z",VLOOKUP(P45,'[4]SERVO CABLE'!G:AD,8,FALSE),VLOOKUP(P45,'[4]SERVO CABLE'!G:AD,4,FALSE)),"")</f>
        <v>JZSP-CLN11-01-E</v>
      </c>
      <c r="W45" s="260" t="str">
        <f>IFERROR(VLOOKUP(P45,'[4]SERVO CABLE'!G:AD,17,FALSE),"")</f>
        <v>JZSP-CLP70-□-ER</v>
      </c>
      <c r="X45" s="215"/>
      <c r="Y45" s="215"/>
      <c r="Z45" s="259" t="str">
        <f t="shared" si="6"/>
        <v/>
      </c>
      <c r="AA45" s="259" t="str">
        <f t="shared" si="7"/>
        <v/>
      </c>
      <c r="AB45" s="259" t="str">
        <f t="shared" si="8"/>
        <v/>
      </c>
      <c r="AC45" s="258" t="str">
        <f t="shared" si="10"/>
        <v>X</v>
      </c>
      <c r="AD45" s="333" t="str">
        <f t="shared" si="9"/>
        <v>X</v>
      </c>
      <c r="AF45" s="189"/>
      <c r="AL45" s="189"/>
    </row>
    <row r="46" spans="1:38" ht="16.5">
      <c r="A46" s="180" t="s">
        <v>603</v>
      </c>
      <c r="B46" s="209"/>
      <c r="C46" s="209"/>
      <c r="D46" s="270" t="s">
        <v>242</v>
      </c>
      <c r="E46" s="331"/>
      <c r="F46" s="331"/>
      <c r="G46" s="337" t="s">
        <v>451</v>
      </c>
      <c r="H46" s="209" t="str">
        <f t="shared" si="5"/>
        <v xml:space="preserve"> LCCTR Scribe Chuck Left X</v>
      </c>
      <c r="I46" s="202" t="str">
        <f t="shared" si="1"/>
        <v>Rotary</v>
      </c>
      <c r="J46" s="267" t="str">
        <f t="shared" si="2"/>
        <v>X</v>
      </c>
      <c r="K46" s="266">
        <f>VLOOKUP($D46,[4]회선정보!B:F,3,FALSE)</f>
        <v>0</v>
      </c>
      <c r="L46" s="266">
        <f>VLOOKUP($D46,[4]회선정보!B:F,4,FALSE)</f>
        <v>3</v>
      </c>
      <c r="M46" s="266" t="str">
        <f>VLOOKUP($D46,[4]회선정보!B:F,5,FALSE)</f>
        <v>MP8-1</v>
      </c>
      <c r="N46" s="209" t="s">
        <v>612</v>
      </c>
      <c r="O46" s="209" t="s">
        <v>624</v>
      </c>
      <c r="P46" s="263" t="str">
        <f t="shared" si="3"/>
        <v>SGM7J-01A</v>
      </c>
      <c r="Q46" s="263">
        <f>IF(MID($N45,5,1)&lt;&gt;"W",VLOOKUP(N46,[4]정격용량!$B$3:$K$633,4,FALSE),"X")</f>
        <v>400</v>
      </c>
      <c r="R46" s="260">
        <f>IF(MID(N45,5,1)&lt;&gt;"W",VLOOKUP(N46,[4]정격용량!$B$3:$K$633,3,FALSE),"X")</f>
        <v>0.3</v>
      </c>
      <c r="S46" s="260">
        <f>IF(MID(N45,5,1)&lt;&gt;"W",VLOOKUP(N46,[4]정격용량!$B$3:$K$633,6,FALSE),"X")</f>
        <v>2.5</v>
      </c>
      <c r="T46" s="262" t="e">
        <f>IF(MID($N45,5,1)&lt;&gt;"W",S46*#REF!,"X")</f>
        <v>#REF!</v>
      </c>
      <c r="U46" s="261">
        <f>IF(MID($N45,5,1)&lt;&gt;"W",VLOOKUP(N46,[4]정격용량!$B$3:$K$633,9,FALSE),"X")</f>
        <v>3</v>
      </c>
      <c r="V46" s="260" t="str">
        <f>IFERROR(IF(J46="Z",VLOOKUP(P46,'[4]SERVO CABLE'!G:AD,8,FALSE),VLOOKUP(P46,'[4]SERVO CABLE'!G:AD,4,FALSE)),"")</f>
        <v>JZSP-C7M12F-□-E</v>
      </c>
      <c r="W46" s="260" t="str">
        <f>IFERROR(VLOOKUP(P46,'[4]SERVO CABLE'!G:AD,17,FALSE),"")</f>
        <v>JZSP-C7PA2D-□-E</v>
      </c>
      <c r="X46" s="215"/>
      <c r="Y46" s="215">
        <v>3</v>
      </c>
      <c r="Z46" s="259" t="str">
        <f t="shared" si="6"/>
        <v/>
      </c>
      <c r="AA46" s="259" t="str">
        <f t="shared" si="7"/>
        <v/>
      </c>
      <c r="AB46" s="259">
        <f t="shared" si="8"/>
        <v>0.2</v>
      </c>
      <c r="AC46" s="258">
        <f t="shared" si="10"/>
        <v>1.848525</v>
      </c>
      <c r="AD46" s="333" t="str">
        <f t="shared" si="9"/>
        <v>IRV200</v>
      </c>
      <c r="AF46" s="189"/>
      <c r="AL46" s="189"/>
    </row>
    <row r="47" spans="1:38" ht="16.5">
      <c r="A47" s="180" t="s">
        <v>603</v>
      </c>
      <c r="B47" s="209"/>
      <c r="C47" s="209"/>
      <c r="D47" s="270" t="s">
        <v>243</v>
      </c>
      <c r="E47" s="331"/>
      <c r="F47" s="331"/>
      <c r="G47" s="332" t="s">
        <v>529</v>
      </c>
      <c r="H47" s="209" t="str">
        <f t="shared" si="5"/>
        <v xml:space="preserve"> LCCTR Scribe Chuck Right X</v>
      </c>
      <c r="I47" s="202" t="str">
        <f t="shared" si="1"/>
        <v>Rotary</v>
      </c>
      <c r="J47" s="267" t="str">
        <f t="shared" si="2"/>
        <v>X</v>
      </c>
      <c r="K47" s="266">
        <f>VLOOKUP($D47,[4]회선정보!B:F,3,FALSE)</f>
        <v>0</v>
      </c>
      <c r="L47" s="266">
        <f>VLOOKUP($D47,[4]회선정보!B:F,4,FALSE)</f>
        <v>4</v>
      </c>
      <c r="M47" s="266" t="str">
        <f>VLOOKUP($D47,[4]회선정보!B:F,5,FALSE)</f>
        <v>MP8-1</v>
      </c>
      <c r="N47" s="209"/>
      <c r="O47" s="209" t="s">
        <v>624</v>
      </c>
      <c r="P47" s="263" t="str">
        <f t="shared" si="3"/>
        <v>SGM7J-01A</v>
      </c>
      <c r="Q47" s="263" t="str">
        <f>IF(MID($N46,5,1)&lt;&gt;"W",VLOOKUP(N47,[4]정격용량!$B$3:$K$633,4,FALSE),"X")</f>
        <v>X</v>
      </c>
      <c r="R47" s="260" t="str">
        <f>IF(MID(N46,5,1)&lt;&gt;"W",VLOOKUP(N47,[4]정격용량!$B$3:$K$633,3,FALSE),"X")</f>
        <v>X</v>
      </c>
      <c r="S47" s="260" t="str">
        <f>IF(MID(N46,5,1)&lt;&gt;"W",VLOOKUP(N47,[4]정격용량!$B$3:$K$633,6,FALSE),"X")</f>
        <v>X</v>
      </c>
      <c r="T47" s="262" t="str">
        <f>IF(MID($N46,5,1)&lt;&gt;"W",S47*#REF!,"X")</f>
        <v>X</v>
      </c>
      <c r="U47" s="261" t="str">
        <f>IF(MID($N46,5,1)&lt;&gt;"W",VLOOKUP(N47,[4]정격용량!$B$3:$K$633,9,FALSE),"X")</f>
        <v>X</v>
      </c>
      <c r="V47" s="260" t="str">
        <f>IFERROR(IF(J47="Z",VLOOKUP(P47,'[4]SERVO CABLE'!G:AD,8,FALSE),VLOOKUP(P47,'[4]SERVO CABLE'!G:AD,4,FALSE)),"")</f>
        <v>JZSP-C7M12F-□-E</v>
      </c>
      <c r="W47" s="260" t="str">
        <f>IFERROR(VLOOKUP(P47,'[4]SERVO CABLE'!G:AD,17,FALSE),"")</f>
        <v>JZSP-C7PA2D-□-E</v>
      </c>
      <c r="X47" s="215"/>
      <c r="Y47" s="215"/>
      <c r="Z47" s="259" t="str">
        <f t="shared" si="6"/>
        <v/>
      </c>
      <c r="AA47" s="259" t="str">
        <f t="shared" si="7"/>
        <v/>
      </c>
      <c r="AB47" s="259" t="str">
        <f t="shared" si="8"/>
        <v/>
      </c>
      <c r="AC47" s="258" t="str">
        <f t="shared" si="10"/>
        <v>X</v>
      </c>
      <c r="AD47" s="333" t="str">
        <f t="shared" si="9"/>
        <v>X</v>
      </c>
      <c r="AF47" s="189"/>
      <c r="AL47" s="189"/>
    </row>
    <row r="48" spans="1:38" ht="16.5">
      <c r="A48" s="180" t="s">
        <v>603</v>
      </c>
      <c r="B48" s="209"/>
      <c r="C48" s="209"/>
      <c r="D48" s="270" t="s">
        <v>244</v>
      </c>
      <c r="E48" s="331"/>
      <c r="F48" s="331"/>
      <c r="G48" s="337" t="s">
        <v>452</v>
      </c>
      <c r="H48" s="209" t="str">
        <f t="shared" si="5"/>
        <v xml:space="preserve"> LCCTR Scribe Chuck Y-1</v>
      </c>
      <c r="I48" s="202" t="str">
        <f t="shared" si="1"/>
        <v>LINEAR</v>
      </c>
      <c r="J48" s="267" t="str">
        <f t="shared" si="2"/>
        <v>Y</v>
      </c>
      <c r="K48" s="266">
        <f>VLOOKUP($D48,[4]회선정보!B:F,3,FALSE)</f>
        <v>0</v>
      </c>
      <c r="L48" s="266">
        <f>VLOOKUP($D48,[4]회선정보!B:F,4,FALSE)</f>
        <v>5</v>
      </c>
      <c r="M48" s="266" t="str">
        <f>VLOOKUP($D48,[4]회선정보!B:F,5,FALSE)</f>
        <v>MP8-1</v>
      </c>
      <c r="N48" s="280" t="s">
        <v>610</v>
      </c>
      <c r="O48" s="280" t="s">
        <v>664</v>
      </c>
      <c r="P48" s="263" t="str">
        <f t="shared" si="3"/>
        <v>SGLFW-35A230AP</v>
      </c>
      <c r="Q48" s="263">
        <f>IF(MID($N47,5,1)&lt;&gt;"W",VLOOKUP(N48,[4]정격용량!$B$3:$K$633,4,FALSE),"X")</f>
        <v>1500</v>
      </c>
      <c r="R48" s="260">
        <f>IF(MID(N47,5,1)&lt;&gt;"W",VLOOKUP(N48,[4]정격용량!$B$3:$K$633,3,FALSE),"X")</f>
        <v>0.3</v>
      </c>
      <c r="S48" s="260">
        <f>IF(MID(N47,5,1)&lt;&gt;"W",VLOOKUP(N48,[4]정격용량!$B$3:$K$633,6,FALSE),"X")</f>
        <v>7.8</v>
      </c>
      <c r="T48" s="262" t="e">
        <f>IF(MID($N47,5,1)&lt;&gt;"W",S48*#REF!,"X")</f>
        <v>#REF!</v>
      </c>
      <c r="U48" s="261">
        <f>IF(MID($N47,5,1)&lt;&gt;"W",VLOOKUP(N48,[4]정격용량!$B$3:$K$633,9,FALSE),"X")</f>
        <v>10</v>
      </c>
      <c r="V48" s="260" t="str">
        <f>IFERROR(IF(J48="Z",VLOOKUP(P48,'[4]SERVO CABLE'!G:AD,8,FALSE),VLOOKUP(P48,'[4]SERVO CABLE'!G:AD,4,FALSE)),"")</f>
        <v>JZSP-CLN11-01-E</v>
      </c>
      <c r="W48" s="260" t="str">
        <f>IFERROR(VLOOKUP(P48,'[4]SERVO CABLE'!G:AD,17,FALSE),"")</f>
        <v>JZSP-CLP70-□-ER</v>
      </c>
      <c r="X48" s="215"/>
      <c r="Y48" s="215">
        <v>1</v>
      </c>
      <c r="Z48" s="259">
        <f t="shared" si="6"/>
        <v>0.2</v>
      </c>
      <c r="AA48" s="259" t="str">
        <f t="shared" si="7"/>
        <v/>
      </c>
      <c r="AB48" s="259" t="str">
        <f t="shared" si="8"/>
        <v/>
      </c>
      <c r="AC48" s="258">
        <f t="shared" si="10"/>
        <v>0.49293999999999999</v>
      </c>
      <c r="AD48" s="333" t="str">
        <f t="shared" si="9"/>
        <v>IRV80</v>
      </c>
      <c r="AF48" s="189"/>
      <c r="AL48" s="189"/>
    </row>
    <row r="49" spans="1:38" ht="16.5">
      <c r="A49" s="180" t="s">
        <v>603</v>
      </c>
      <c r="B49" s="209"/>
      <c r="C49" s="209"/>
      <c r="D49" s="270" t="s">
        <v>245</v>
      </c>
      <c r="E49" s="331"/>
      <c r="F49" s="331"/>
      <c r="G49" s="337" t="s">
        <v>453</v>
      </c>
      <c r="H49" s="209" t="str">
        <f t="shared" si="5"/>
        <v xml:space="preserve"> LCCTR Scribe Chuck Y-2</v>
      </c>
      <c r="I49" s="202" t="str">
        <f t="shared" si="1"/>
        <v>LINEAR</v>
      </c>
      <c r="J49" s="267" t="str">
        <f t="shared" si="2"/>
        <v>Y</v>
      </c>
      <c r="K49" s="266">
        <f>VLOOKUP($D49,[4]회선정보!B:F,3,FALSE)</f>
        <v>0</v>
      </c>
      <c r="L49" s="266">
        <f>VLOOKUP($D49,[4]회선정보!B:F,4,FALSE)</f>
        <v>6</v>
      </c>
      <c r="M49" s="266" t="str">
        <f>VLOOKUP($D49,[4]회선정보!B:F,5,FALSE)</f>
        <v>MP8-1</v>
      </c>
      <c r="N49" s="265"/>
      <c r="O49" s="265" t="s">
        <v>664</v>
      </c>
      <c r="P49" s="263" t="str">
        <f t="shared" si="3"/>
        <v>SGLFW-35A230AP</v>
      </c>
      <c r="Q49" s="263" t="str">
        <f>IF(MID($N48,5,1)&lt;&gt;"W",VLOOKUP(N49,[4]정격용량!$B$3:$K$633,4,FALSE),"X")</f>
        <v>X</v>
      </c>
      <c r="R49" s="260" t="str">
        <f>IF(MID(N48,5,1)&lt;&gt;"W",VLOOKUP(N49,[4]정격용량!$B$3:$K$633,3,FALSE),"X")</f>
        <v>X</v>
      </c>
      <c r="S49" s="260" t="str">
        <f>IF(MID(N48,5,1)&lt;&gt;"W",VLOOKUP(N49,[4]정격용량!$B$3:$K$633,6,FALSE),"X")</f>
        <v>X</v>
      </c>
      <c r="T49" s="262" t="str">
        <f>IF(MID($N48,5,1)&lt;&gt;"W",S49*#REF!,"X")</f>
        <v>X</v>
      </c>
      <c r="U49" s="261" t="str">
        <f>IF(MID($N48,5,1)&lt;&gt;"W",VLOOKUP(N49,[4]정격용량!$B$3:$K$633,9,FALSE),"X")</f>
        <v>X</v>
      </c>
      <c r="V49" s="260" t="str">
        <f>IFERROR(IF(J49="Z",VLOOKUP(P49,'[4]SERVO CABLE'!G:AD,8,FALSE),VLOOKUP(P49,'[4]SERVO CABLE'!G:AD,4,FALSE)),"")</f>
        <v>JZSP-CLN11-01-E</v>
      </c>
      <c r="W49" s="260" t="str">
        <f>IFERROR(VLOOKUP(P49,'[4]SERVO CABLE'!G:AD,17,FALSE),"")</f>
        <v>JZSP-CLP70-□-ER</v>
      </c>
      <c r="X49" s="215"/>
      <c r="Y49" s="215"/>
      <c r="Z49" s="259" t="str">
        <f t="shared" si="6"/>
        <v/>
      </c>
      <c r="AA49" s="259" t="str">
        <f t="shared" si="7"/>
        <v/>
      </c>
      <c r="AB49" s="259" t="str">
        <f t="shared" si="8"/>
        <v/>
      </c>
      <c r="AC49" s="258" t="str">
        <f t="shared" si="10"/>
        <v>X</v>
      </c>
      <c r="AD49" s="333" t="str">
        <f t="shared" si="9"/>
        <v>X</v>
      </c>
      <c r="AF49" s="189"/>
      <c r="AL49" s="189"/>
    </row>
    <row r="50" spans="1:38" ht="16.5">
      <c r="A50" s="180" t="s">
        <v>603</v>
      </c>
      <c r="B50" s="209"/>
      <c r="C50" s="209"/>
      <c r="D50" s="270" t="s">
        <v>240</v>
      </c>
      <c r="E50" s="331"/>
      <c r="F50" s="331"/>
      <c r="G50" s="337" t="s">
        <v>454</v>
      </c>
      <c r="H50" s="209" t="str">
        <f t="shared" si="5"/>
        <v xml:space="preserve"> LCCTR Scribe Chuck Z1</v>
      </c>
      <c r="I50" s="202" t="str">
        <f t="shared" si="1"/>
        <v>Rotary</v>
      </c>
      <c r="J50" s="267" t="str">
        <f t="shared" si="2"/>
        <v>Z</v>
      </c>
      <c r="K50" s="266">
        <f>VLOOKUP($D50,[4]회선정보!B:F,3,FALSE)</f>
        <v>0</v>
      </c>
      <c r="L50" s="266">
        <f>VLOOKUP($D50,[4]회선정보!B:F,4,FALSE)</f>
        <v>7</v>
      </c>
      <c r="M50" s="266" t="str">
        <f>VLOOKUP($D50,[4]회선정보!B:F,5,FALSE)</f>
        <v>MP8-1</v>
      </c>
      <c r="N50" s="265" t="s">
        <v>665</v>
      </c>
      <c r="O50" s="265" t="s">
        <v>611</v>
      </c>
      <c r="P50" s="263" t="str">
        <f t="shared" si="3"/>
        <v>SGM7J-A5A</v>
      </c>
      <c r="Q50" s="263">
        <f>IF(MID($N49,5,1)&lt;&gt;"W",VLOOKUP(N50,[4]정격용량!$B$3:$K$633,4,FALSE),"X")</f>
        <v>200</v>
      </c>
      <c r="R50" s="260">
        <f>IF(MID(N49,5,1)&lt;&gt;"W",VLOOKUP(N50,[4]정격용량!$B$3:$K$633,3,FALSE),"X")</f>
        <v>0.2</v>
      </c>
      <c r="S50" s="260">
        <f>IF(MID(N49,5,1)&lt;&gt;"W",VLOOKUP(N50,[4]정격용량!$B$3:$K$633,6,FALSE),"X")</f>
        <v>1.3</v>
      </c>
      <c r="T50" s="262" t="e">
        <f>IF(MID($N49,5,1)&lt;&gt;"W",S50*#REF!,"X")</f>
        <v>#REF!</v>
      </c>
      <c r="U50" s="261">
        <f>IF(MID($N49,5,1)&lt;&gt;"W",VLOOKUP(N50,[4]정격용량!$B$3:$K$633,9,FALSE),"X")</f>
        <v>2</v>
      </c>
      <c r="V50" s="260" t="str">
        <f>IFERROR(IF(J50="Z",VLOOKUP(P50,'[4]SERVO CABLE'!G:AD,8,FALSE),VLOOKUP(P50,'[4]SERVO CABLE'!G:AD,4,FALSE)),"")</f>
        <v>JZSP-C7M14F-□-E</v>
      </c>
      <c r="W50" s="260" t="str">
        <f>IFERROR(VLOOKUP(P50,'[4]SERVO CABLE'!G:AD,17,FALSE),"")</f>
        <v>JZSP-C7PA2D-□-E</v>
      </c>
      <c r="X50" s="215"/>
      <c r="Y50" s="215">
        <v>2</v>
      </c>
      <c r="Z50" s="259" t="str">
        <f t="shared" si="6"/>
        <v/>
      </c>
      <c r="AA50" s="259">
        <f t="shared" si="7"/>
        <v>0.2</v>
      </c>
      <c r="AB50" s="259" t="str">
        <f t="shared" si="8"/>
        <v/>
      </c>
      <c r="AC50" s="258">
        <f t="shared" si="10"/>
        <v>3.6970499999999999</v>
      </c>
      <c r="AD50" s="333" t="str">
        <f t="shared" si="9"/>
        <v>IRV400</v>
      </c>
      <c r="AF50" s="189"/>
      <c r="AL50" s="189"/>
    </row>
    <row r="51" spans="1:38" ht="16.5">
      <c r="A51" s="180" t="s">
        <v>603</v>
      </c>
      <c r="B51" s="209"/>
      <c r="C51" s="209"/>
      <c r="D51" s="270" t="s">
        <v>238</v>
      </c>
      <c r="E51" s="331"/>
      <c r="F51" s="331"/>
      <c r="G51" s="337" t="s">
        <v>455</v>
      </c>
      <c r="H51" s="209" t="str">
        <f t="shared" si="5"/>
        <v xml:space="preserve"> LCCTR Scribe Chuck Z2</v>
      </c>
      <c r="I51" s="202" t="str">
        <f t="shared" si="1"/>
        <v>Rotary</v>
      </c>
      <c r="J51" s="267" t="str">
        <f t="shared" si="2"/>
        <v>Z</v>
      </c>
      <c r="K51" s="266">
        <f>VLOOKUP($D51,[4]회선정보!B:F,3,FALSE)</f>
        <v>0</v>
      </c>
      <c r="L51" s="266">
        <f>VLOOKUP($D51,[4]회선정보!B:F,4,FALSE)</f>
        <v>8</v>
      </c>
      <c r="M51" s="266" t="str">
        <f>VLOOKUP($D51,[4]회선정보!B:F,5,FALSE)</f>
        <v>MP8-1</v>
      </c>
      <c r="N51" s="265" t="s">
        <v>665</v>
      </c>
      <c r="O51" s="265" t="s">
        <v>611</v>
      </c>
      <c r="P51" s="263" t="str">
        <f t="shared" si="3"/>
        <v>SGM7J-A5A</v>
      </c>
      <c r="Q51" s="263">
        <f>IF(MID($N50,5,1)&lt;&gt;"W",VLOOKUP(N51,[4]정격용량!$B$3:$K$633,4,FALSE),"X")</f>
        <v>200</v>
      </c>
      <c r="R51" s="260">
        <f>IF(MID(N50,5,1)&lt;&gt;"W",VLOOKUP(N51,[4]정격용량!$B$3:$K$633,3,FALSE),"X")</f>
        <v>0.2</v>
      </c>
      <c r="S51" s="260">
        <f>IF(MID(N50,5,1)&lt;&gt;"W",VLOOKUP(N51,[4]정격용량!$B$3:$K$633,6,FALSE),"X")</f>
        <v>1.3</v>
      </c>
      <c r="T51" s="262" t="e">
        <f>IF(MID($N50,5,1)&lt;&gt;"W",S51*#REF!,"X")</f>
        <v>#REF!</v>
      </c>
      <c r="U51" s="261">
        <f>IF(MID($N50,5,1)&lt;&gt;"W",VLOOKUP(N51,[4]정격용량!$B$3:$K$633,9,FALSE),"X")</f>
        <v>2</v>
      </c>
      <c r="V51" s="260" t="str">
        <f>IFERROR(IF(J51="Z",VLOOKUP(P51,'[4]SERVO CABLE'!G:AD,8,FALSE),VLOOKUP(P51,'[4]SERVO CABLE'!G:AD,4,FALSE)),"")</f>
        <v>JZSP-C7M14F-□-E</v>
      </c>
      <c r="W51" s="260" t="str">
        <f>IFERROR(VLOOKUP(P51,'[4]SERVO CABLE'!G:AD,17,FALSE),"")</f>
        <v>JZSP-C7PA2D-□-E</v>
      </c>
      <c r="X51" s="215"/>
      <c r="Y51" s="215">
        <v>3</v>
      </c>
      <c r="Z51" s="259" t="str">
        <f t="shared" si="6"/>
        <v/>
      </c>
      <c r="AA51" s="259" t="str">
        <f t="shared" si="7"/>
        <v/>
      </c>
      <c r="AB51" s="259">
        <f t="shared" si="8"/>
        <v>0.2</v>
      </c>
      <c r="AC51" s="258">
        <f t="shared" si="10"/>
        <v>3.6970499999999999</v>
      </c>
      <c r="AD51" s="333" t="str">
        <f t="shared" si="9"/>
        <v>IRV400</v>
      </c>
      <c r="AF51" s="189"/>
      <c r="AL51" s="189"/>
    </row>
    <row r="52" spans="1:38" ht="16.5">
      <c r="A52" s="180" t="s">
        <v>603</v>
      </c>
      <c r="B52" s="209"/>
      <c r="C52" s="209"/>
      <c r="D52" s="270" t="s">
        <v>239</v>
      </c>
      <c r="E52" s="331"/>
      <c r="F52" s="331"/>
      <c r="G52" s="337" t="s">
        <v>456</v>
      </c>
      <c r="H52" s="209" t="str">
        <f t="shared" si="5"/>
        <v xml:space="preserve"> LCCTR Scribe Chuck Z3</v>
      </c>
      <c r="I52" s="202" t="str">
        <f t="shared" si="1"/>
        <v>Rotary</v>
      </c>
      <c r="J52" s="267" t="str">
        <f t="shared" si="2"/>
        <v>Z</v>
      </c>
      <c r="K52" s="266">
        <f>VLOOKUP($D52,[4]회선정보!B:F,3,FALSE)</f>
        <v>0</v>
      </c>
      <c r="L52" s="266">
        <f>VLOOKUP($D52,[4]회선정보!B:F,4,FALSE)</f>
        <v>9</v>
      </c>
      <c r="M52" s="266" t="str">
        <f>VLOOKUP($D52,[4]회선정보!B:F,5,FALSE)</f>
        <v>MP8-1</v>
      </c>
      <c r="N52" s="265" t="s">
        <v>665</v>
      </c>
      <c r="O52" s="209" t="s">
        <v>611</v>
      </c>
      <c r="P52" s="263" t="str">
        <f t="shared" si="3"/>
        <v>SGM7J-A5A</v>
      </c>
      <c r="Q52" s="263">
        <f>IF(MID($N51,5,1)&lt;&gt;"W",VLOOKUP(N52,[4]정격용량!$B$3:$K$633,4,FALSE),"X")</f>
        <v>200</v>
      </c>
      <c r="R52" s="260">
        <f>IF(MID(N51,5,1)&lt;&gt;"W",VLOOKUP(N52,[4]정격용량!$B$3:$K$633,3,FALSE),"X")</f>
        <v>0.2</v>
      </c>
      <c r="S52" s="260">
        <f>IF(MID(N51,5,1)&lt;&gt;"W",VLOOKUP(N52,[4]정격용량!$B$3:$K$633,6,FALSE),"X")</f>
        <v>1.3</v>
      </c>
      <c r="T52" s="262" t="e">
        <f>IF(MID($N51,5,1)&lt;&gt;"W",S52*#REF!,"X")</f>
        <v>#REF!</v>
      </c>
      <c r="U52" s="261">
        <f>IF(MID($N51,5,1)&lt;&gt;"W",VLOOKUP(N52,[4]정격용량!$B$3:$K$633,9,FALSE),"X")</f>
        <v>2</v>
      </c>
      <c r="V52" s="260" t="str">
        <f>IFERROR(IF(J52="Z",VLOOKUP(P52,'[4]SERVO CABLE'!G:AD,8,FALSE),VLOOKUP(P52,'[4]SERVO CABLE'!G:AD,4,FALSE)),"")</f>
        <v>JZSP-C7M14F-□-E</v>
      </c>
      <c r="W52" s="260" t="str">
        <f>IFERROR(VLOOKUP(P52,'[4]SERVO CABLE'!G:AD,17,FALSE),"")</f>
        <v>JZSP-C7PA2D-□-E</v>
      </c>
      <c r="X52" s="215"/>
      <c r="Y52" s="215">
        <v>1</v>
      </c>
      <c r="Z52" s="259">
        <f t="shared" si="6"/>
        <v>0.2</v>
      </c>
      <c r="AA52" s="259" t="str">
        <f t="shared" si="7"/>
        <v/>
      </c>
      <c r="AB52" s="259" t="str">
        <f t="shared" si="8"/>
        <v/>
      </c>
      <c r="AC52" s="258">
        <f t="shared" si="10"/>
        <v>3.6970499999999999</v>
      </c>
      <c r="AD52" s="333" t="str">
        <f t="shared" si="9"/>
        <v>IRV400</v>
      </c>
      <c r="AF52" s="189"/>
      <c r="AL52" s="189"/>
    </row>
    <row r="53" spans="1:38" ht="16.05" customHeight="1">
      <c r="A53" s="180" t="s">
        <v>603</v>
      </c>
      <c r="B53" s="209"/>
      <c r="C53" s="209"/>
      <c r="D53" s="270" t="s">
        <v>234</v>
      </c>
      <c r="E53" s="331"/>
      <c r="F53" s="331"/>
      <c r="G53" s="332" t="s">
        <v>501</v>
      </c>
      <c r="H53" s="209" t="str">
        <f t="shared" si="5"/>
        <v xml:space="preserve"> LCCTR Push Bar Y-1</v>
      </c>
      <c r="I53" s="202" t="str">
        <f t="shared" si="1"/>
        <v>Rotary</v>
      </c>
      <c r="J53" s="267" t="str">
        <f t="shared" si="2"/>
        <v>Y</v>
      </c>
      <c r="K53" s="266">
        <f>VLOOKUP($D53,[4]회선정보!B:F,3,FALSE)</f>
        <v>0</v>
      </c>
      <c r="L53" s="266" t="str">
        <f>VLOOKUP($D53,[4]회선정보!B:F,4,FALSE)</f>
        <v>B</v>
      </c>
      <c r="M53" s="266" t="str">
        <f>VLOOKUP($D53,[4]회선정보!B:F,5,FALSE)</f>
        <v>MP8-1</v>
      </c>
      <c r="N53" s="209" t="s">
        <v>610</v>
      </c>
      <c r="O53" s="209" t="s">
        <v>609</v>
      </c>
      <c r="P53" s="263" t="str">
        <f t="shared" si="3"/>
        <v>SGM7J-08A</v>
      </c>
      <c r="Q53" s="263">
        <f>IF(MID($N52,5,1)&lt;&gt;"W",VLOOKUP(N53,[4]정격용량!$B$3:$K$633,4,FALSE),"X")</f>
        <v>1500</v>
      </c>
      <c r="R53" s="260">
        <f>IF(MID(N52,5,1)&lt;&gt;"W",VLOOKUP(N53,[4]정격용량!$B$3:$K$633,3,FALSE),"X")</f>
        <v>0.3</v>
      </c>
      <c r="S53" s="260">
        <f>IF(MID(N52,5,1)&lt;&gt;"W",VLOOKUP(N53,[4]정격용량!$B$3:$K$633,6,FALSE),"X")</f>
        <v>7.8</v>
      </c>
      <c r="T53" s="262" t="e">
        <f>IF(MID($N52,5,1)&lt;&gt;"W",S53*#REF!,"X")</f>
        <v>#REF!</v>
      </c>
      <c r="U53" s="261">
        <f>IF(MID($N52,5,1)&lt;&gt;"W",VLOOKUP(N53,[4]정격용량!$B$3:$K$633,9,FALSE),"X")</f>
        <v>10</v>
      </c>
      <c r="V53" s="260" t="str">
        <f>IFERROR(IF(J53="Z",VLOOKUP(P53,'[4]SERVO CABLE'!G:AD,8,FALSE),VLOOKUP(P53,'[4]SERVO CABLE'!G:AD,4,FALSE)),"")</f>
        <v>JZSP-C7M32F-□-E</v>
      </c>
      <c r="W53" s="260" t="str">
        <f>IFERROR(VLOOKUP(P53,'[4]SERVO CABLE'!G:AD,17,FALSE),"")</f>
        <v>JZSP-C7PA2D-□-E</v>
      </c>
      <c r="X53" s="215"/>
      <c r="Y53" s="215">
        <v>2</v>
      </c>
      <c r="Z53" s="259" t="str">
        <f t="shared" si="6"/>
        <v/>
      </c>
      <c r="AA53" s="259">
        <f t="shared" si="7"/>
        <v>0.2</v>
      </c>
      <c r="AB53" s="259" t="str">
        <f t="shared" si="8"/>
        <v/>
      </c>
      <c r="AC53" s="258">
        <f t="shared" si="10"/>
        <v>0.49293999999999999</v>
      </c>
      <c r="AD53" s="333" t="str">
        <f t="shared" si="9"/>
        <v>IRV80</v>
      </c>
      <c r="AF53" s="189"/>
      <c r="AL53" s="189"/>
    </row>
    <row r="54" spans="1:38" ht="16.5">
      <c r="A54" s="180" t="s">
        <v>601</v>
      </c>
      <c r="B54" s="209"/>
      <c r="C54" s="280"/>
      <c r="D54" s="270" t="s">
        <v>235</v>
      </c>
      <c r="E54" s="331"/>
      <c r="F54" s="331"/>
      <c r="G54" s="332" t="s">
        <v>502</v>
      </c>
      <c r="H54" s="209" t="str">
        <f t="shared" si="5"/>
        <v xml:space="preserve"> LCCTR Push Bar Y-2</v>
      </c>
      <c r="I54" s="202" t="str">
        <f t="shared" si="1"/>
        <v>Rotary</v>
      </c>
      <c r="J54" s="267" t="str">
        <f t="shared" si="2"/>
        <v>Y</v>
      </c>
      <c r="K54" s="266">
        <f>VLOOKUP($D54,[4]회선정보!B:F,3,FALSE)</f>
        <v>0</v>
      </c>
      <c r="L54" s="266" t="str">
        <f>VLOOKUP($D54,[4]회선정보!B:F,4,FALSE)</f>
        <v>C</v>
      </c>
      <c r="M54" s="266" t="str">
        <f>VLOOKUP($D54,[4]회선정보!B:F,5,FALSE)</f>
        <v>MP8-1</v>
      </c>
      <c r="N54" s="209"/>
      <c r="O54" s="209" t="s">
        <v>609</v>
      </c>
      <c r="P54" s="263" t="str">
        <f t="shared" si="3"/>
        <v>SGM7J-08A</v>
      </c>
      <c r="Q54" s="263" t="str">
        <f>IF(MID($N53,5,1)&lt;&gt;"W",VLOOKUP(N54,[4]정격용량!$B$3:$K$633,4,FALSE),"X")</f>
        <v>X</v>
      </c>
      <c r="R54" s="260" t="str">
        <f>IF(MID(N53,5,1)&lt;&gt;"W",VLOOKUP(N54,[4]정격용량!$B$3:$K$633,3,FALSE),"X")</f>
        <v>X</v>
      </c>
      <c r="S54" s="260" t="str">
        <f>IF(MID(N53,5,1)&lt;&gt;"W",VLOOKUP(N54,[4]정격용량!$B$3:$K$633,6,FALSE),"X")</f>
        <v>X</v>
      </c>
      <c r="T54" s="262" t="str">
        <f>IF(MID($N53,5,1)&lt;&gt;"W",S54*#REF!,"X")</f>
        <v>X</v>
      </c>
      <c r="U54" s="261" t="str">
        <f>IF(MID($N53,5,1)&lt;&gt;"W",VLOOKUP(N54,[4]정격용량!$B$3:$K$633,9,FALSE),"X")</f>
        <v>X</v>
      </c>
      <c r="V54" s="260" t="str">
        <f>IFERROR(IF(J54="Z",VLOOKUP(P54,'[4]SERVO CABLE'!G:AD,8,FALSE),VLOOKUP(P54,'[4]SERVO CABLE'!G:AD,4,FALSE)),"")</f>
        <v>JZSP-C7M32F-□-E</v>
      </c>
      <c r="W54" s="260" t="str">
        <f>IFERROR(VLOOKUP(P54,'[4]SERVO CABLE'!G:AD,17,FALSE),"")</f>
        <v>JZSP-C7PA2D-□-E</v>
      </c>
      <c r="X54" s="215"/>
      <c r="Y54" s="215"/>
      <c r="Z54" s="259" t="str">
        <f t="shared" si="6"/>
        <v/>
      </c>
      <c r="AA54" s="259" t="str">
        <f t="shared" si="7"/>
        <v/>
      </c>
      <c r="AB54" s="259" t="str">
        <f t="shared" si="8"/>
        <v/>
      </c>
      <c r="AC54" s="258" t="str">
        <f t="shared" si="10"/>
        <v>X</v>
      </c>
      <c r="AD54" s="333" t="str">
        <f t="shared" si="9"/>
        <v>X</v>
      </c>
      <c r="AF54" s="189"/>
      <c r="AL54" s="189"/>
    </row>
    <row r="55" spans="1:38" ht="16.5" customHeight="1">
      <c r="B55" s="209"/>
      <c r="C55" s="280"/>
      <c r="D55" s="270" t="s">
        <v>232</v>
      </c>
      <c r="E55" s="331"/>
      <c r="F55" s="331"/>
      <c r="G55" s="332" t="s">
        <v>503</v>
      </c>
      <c r="H55" s="209" t="str">
        <f t="shared" si="5"/>
        <v xml:space="preserve"> LCCTR Push Bar Z</v>
      </c>
      <c r="I55" s="202" t="str">
        <f t="shared" si="1"/>
        <v>Rotary</v>
      </c>
      <c r="J55" s="267" t="str">
        <f t="shared" si="2"/>
        <v>Z</v>
      </c>
      <c r="K55" s="266">
        <f>VLOOKUP($D55,[4]회선정보!B:F,3,FALSE)</f>
        <v>0</v>
      </c>
      <c r="L55" s="266" t="str">
        <f>VLOOKUP($D55,[4]회선정보!B:F,4,FALSE)</f>
        <v>D</v>
      </c>
      <c r="M55" s="266" t="str">
        <f>VLOOKUP($D55,[4]회선정보!B:F,5,FALSE)</f>
        <v>MP8-1</v>
      </c>
      <c r="N55" s="209" t="s">
        <v>666</v>
      </c>
      <c r="O55" s="209" t="s">
        <v>600</v>
      </c>
      <c r="P55" s="263" t="str">
        <f t="shared" si="3"/>
        <v>SGM7J-04A</v>
      </c>
      <c r="Q55" s="263">
        <f>IF(MID($N54,5,1)&lt;&gt;"W",VLOOKUP(N55,[4]정격용량!$B$3:$K$633,4,FALSE),"X")</f>
        <v>800</v>
      </c>
      <c r="R55" s="260">
        <f>IF(MID(N54,5,1)&lt;&gt;"W",VLOOKUP(N55,[4]정격용량!$B$3:$K$633,3,FALSE),"X")</f>
        <v>0.3</v>
      </c>
      <c r="S55" s="260">
        <f>IF(MID(N54,5,1)&lt;&gt;"W",VLOOKUP(N55,[4]정격용량!$B$3:$K$633,6,FALSE),"X")</f>
        <v>4.7</v>
      </c>
      <c r="T55" s="262" t="e">
        <f>IF(MID($N54,5,1)&lt;&gt;"W",S55*#REF!,"X")</f>
        <v>#REF!</v>
      </c>
      <c r="U55" s="261">
        <f>IF(MID($N54,5,1)&lt;&gt;"W",VLOOKUP(N55,[4]정격용량!$B$3:$K$633,9,FALSE),"X")</f>
        <v>7</v>
      </c>
      <c r="V55" s="260" t="str">
        <f>IFERROR(IF(J55="Z",VLOOKUP(P55,'[4]SERVO CABLE'!G:AD,8,FALSE),VLOOKUP(P55,'[4]SERVO CABLE'!G:AD,4,FALSE)),"")</f>
        <v>JZSP-C7M24F-□-E</v>
      </c>
      <c r="W55" s="260" t="str">
        <f>IFERROR(VLOOKUP(P55,'[4]SERVO CABLE'!G:AD,17,FALSE),"")</f>
        <v>JZSP-C7PA2D-□-E</v>
      </c>
      <c r="X55" s="215"/>
      <c r="Y55" s="215">
        <v>3</v>
      </c>
      <c r="Z55" s="259" t="str">
        <f t="shared" si="6"/>
        <v/>
      </c>
      <c r="AA55" s="259" t="str">
        <f t="shared" si="7"/>
        <v/>
      </c>
      <c r="AB55" s="259">
        <f t="shared" si="8"/>
        <v>0.2</v>
      </c>
      <c r="AC55" s="258">
        <f t="shared" si="10"/>
        <v>0.92426249999999999</v>
      </c>
      <c r="AD55" s="333" t="str">
        <f t="shared" si="9"/>
        <v>IRV100</v>
      </c>
    </row>
    <row r="56" spans="1:38" ht="16.5" customHeight="1">
      <c r="B56" s="209"/>
      <c r="C56" s="280"/>
      <c r="D56" s="336" t="s">
        <v>233</v>
      </c>
      <c r="E56" s="331"/>
      <c r="F56" s="331"/>
      <c r="G56" s="332" t="s">
        <v>479</v>
      </c>
      <c r="H56" s="209" t="str">
        <f t="shared" si="5"/>
        <v xml:space="preserve"> LCCTR Break Table Y-1</v>
      </c>
      <c r="I56" s="202" t="str">
        <f t="shared" si="1"/>
        <v>LINEAR</v>
      </c>
      <c r="J56" s="267" t="str">
        <f t="shared" si="2"/>
        <v>Y</v>
      </c>
      <c r="K56" s="266">
        <f>VLOOKUP($D56,[4]회선정보!B:F,3,FALSE)</f>
        <v>0</v>
      </c>
      <c r="L56" s="266" t="str">
        <f>VLOOKUP($D56,[4]회선정보!B:F,4,FALSE)</f>
        <v>E</v>
      </c>
      <c r="M56" s="266" t="str">
        <f>VLOOKUP($D56,[4]회선정보!B:F,5,FALSE)</f>
        <v>MP8-1</v>
      </c>
      <c r="N56" s="209" t="s">
        <v>610</v>
      </c>
      <c r="O56" s="209" t="s">
        <v>664</v>
      </c>
      <c r="P56" s="263" t="str">
        <f t="shared" si="3"/>
        <v>SGLFW-35A230AP</v>
      </c>
      <c r="Q56" s="263" t="str">
        <f>IF(MID($N55,5,1)&lt;&gt;"W",VLOOKUP(N56,[4]정격용량!$B$3:$K$633,4,FALSE),"X")</f>
        <v>X</v>
      </c>
      <c r="R56" s="260" t="str">
        <f>IF(MID(N55,5,1)&lt;&gt;"W",VLOOKUP(N56,[4]정격용량!$B$3:$K$633,3,FALSE),"X")</f>
        <v>X</v>
      </c>
      <c r="S56" s="260" t="str">
        <f>IF(MID(N55,5,1)&lt;&gt;"W",VLOOKUP(N56,[4]정격용량!$B$3:$K$633,6,FALSE),"X")</f>
        <v>X</v>
      </c>
      <c r="T56" s="262" t="str">
        <f>IF(MID($N55,5,1)&lt;&gt;"W",S56*#REF!,"X")</f>
        <v>X</v>
      </c>
      <c r="U56" s="261" t="str">
        <f>IF(MID($N55,5,1)&lt;&gt;"W",VLOOKUP(N56,[4]정격용량!$B$3:$K$633,9,FALSE),"X")</f>
        <v>X</v>
      </c>
      <c r="V56" s="260" t="str">
        <f>IFERROR(IF(J56="Z",VLOOKUP(P56,'[4]SERVO CABLE'!G:AD,8,FALSE),VLOOKUP(P56,'[4]SERVO CABLE'!G:AD,4,FALSE)),"")</f>
        <v>JZSP-CLN11-01-E</v>
      </c>
      <c r="W56" s="260" t="str">
        <f>IFERROR(VLOOKUP(P56,'[4]SERVO CABLE'!G:AD,17,FALSE),"")</f>
        <v>JZSP-CLP70-□-ER</v>
      </c>
      <c r="X56" s="215"/>
      <c r="Y56" s="215">
        <v>3</v>
      </c>
      <c r="Z56" s="259" t="str">
        <f t="shared" si="6"/>
        <v/>
      </c>
      <c r="AA56" s="259" t="str">
        <f t="shared" si="7"/>
        <v/>
      </c>
      <c r="AB56" s="259">
        <f t="shared" si="8"/>
        <v>0.2</v>
      </c>
      <c r="AC56" s="258" t="str">
        <f t="shared" si="10"/>
        <v>X</v>
      </c>
      <c r="AD56" s="333" t="str">
        <f t="shared" si="9"/>
        <v>X</v>
      </c>
      <c r="AF56" s="183"/>
    </row>
    <row r="57" spans="1:38" ht="16.5" customHeight="1">
      <c r="B57" s="209"/>
      <c r="C57" s="280"/>
      <c r="D57" s="270" t="s">
        <v>301</v>
      </c>
      <c r="E57" s="331"/>
      <c r="F57" s="331"/>
      <c r="G57" s="332" t="s">
        <v>480</v>
      </c>
      <c r="H57" s="209" t="str">
        <f t="shared" si="5"/>
        <v xml:space="preserve"> LCCTR Break Table Y-2</v>
      </c>
      <c r="I57" s="202" t="str">
        <f t="shared" si="1"/>
        <v>LINEAR</v>
      </c>
      <c r="J57" s="267" t="str">
        <f t="shared" si="2"/>
        <v>Y</v>
      </c>
      <c r="K57" s="266">
        <f>VLOOKUP($D57,[4]회선정보!B:F,3,FALSE)</f>
        <v>0</v>
      </c>
      <c r="L57" s="266" t="str">
        <f>VLOOKUP($D57,[4]회선정보!B:F,4,FALSE)</f>
        <v>F</v>
      </c>
      <c r="M57" s="266" t="str">
        <f>VLOOKUP($D57,[4]회선정보!B:F,5,FALSE)</f>
        <v>MP8-1</v>
      </c>
      <c r="N57" s="209"/>
      <c r="O57" s="209" t="s">
        <v>664</v>
      </c>
      <c r="P57" s="263" t="str">
        <f t="shared" si="3"/>
        <v>SGLFW-35A230AP</v>
      </c>
      <c r="Q57" s="263" t="str">
        <f>IF(MID($N56,5,1)&lt;&gt;"W",VLOOKUP(N57,[4]정격용량!$B$3:$K$633,4,FALSE),"X")</f>
        <v>X</v>
      </c>
      <c r="R57" s="260" t="str">
        <f>IF(MID(N56,5,1)&lt;&gt;"W",VLOOKUP(N57,[4]정격용량!$B$3:$K$633,3,FALSE),"X")</f>
        <v>X</v>
      </c>
      <c r="S57" s="260" t="str">
        <f>IF(MID(N56,5,1)&lt;&gt;"W",VLOOKUP(N57,[4]정격용량!$B$3:$K$633,6,FALSE),"X")</f>
        <v>X</v>
      </c>
      <c r="T57" s="262" t="str">
        <f>IF(MID($N56,5,1)&lt;&gt;"W",S57*#REF!,"X")</f>
        <v>X</v>
      </c>
      <c r="U57" s="261" t="str">
        <f>IF(MID($N56,5,1)&lt;&gt;"W",VLOOKUP(N57,[4]정격용량!$B$3:$K$633,9,FALSE),"X")</f>
        <v>X</v>
      </c>
      <c r="V57" s="260" t="str">
        <f>IFERROR(IF(J57="Z",VLOOKUP(P57,'[4]SERVO CABLE'!G:AD,8,FALSE),VLOOKUP(P57,'[4]SERVO CABLE'!G:AD,4,FALSE)),"")</f>
        <v>JZSP-CLN11-01-E</v>
      </c>
      <c r="W57" s="260" t="str">
        <f>IFERROR(VLOOKUP(P57,'[4]SERVO CABLE'!G:AD,17,FALSE),"")</f>
        <v>JZSP-CLP70-□-ER</v>
      </c>
      <c r="X57" s="215"/>
      <c r="Y57" s="215"/>
      <c r="Z57" s="259" t="str">
        <f t="shared" si="6"/>
        <v/>
      </c>
      <c r="AA57" s="259" t="str">
        <f t="shared" si="7"/>
        <v/>
      </c>
      <c r="AB57" s="259" t="str">
        <f t="shared" si="8"/>
        <v/>
      </c>
      <c r="AC57" s="258" t="str">
        <f t="shared" si="10"/>
        <v>X</v>
      </c>
      <c r="AD57" s="333" t="str">
        <f t="shared" si="9"/>
        <v>X</v>
      </c>
      <c r="AF57" s="183"/>
    </row>
    <row r="58" spans="1:38" ht="16.5" customHeight="1">
      <c r="B58" s="209"/>
      <c r="C58" s="280"/>
      <c r="D58" s="270" t="s">
        <v>236</v>
      </c>
      <c r="E58" s="331"/>
      <c r="F58" s="331"/>
      <c r="G58" s="332" t="s">
        <v>481</v>
      </c>
      <c r="H58" s="209" t="str">
        <f t="shared" si="5"/>
        <v xml:space="preserve"> LCCTR Break Table Z-1</v>
      </c>
      <c r="I58" s="202" t="str">
        <f t="shared" si="1"/>
        <v>Rotary</v>
      </c>
      <c r="J58" s="267" t="str">
        <f t="shared" si="2"/>
        <v>Z</v>
      </c>
      <c r="K58" s="266">
        <f>VLOOKUP($D58,[4]회선정보!B:F,3,FALSE)</f>
        <v>1</v>
      </c>
      <c r="L58" s="266">
        <f>VLOOKUP($D58,[4]회선정보!B:F,4,FALSE)</f>
        <v>0</v>
      </c>
      <c r="M58" s="266" t="str">
        <f>VLOOKUP($D58,[4]회선정보!B:F,5,FALSE)</f>
        <v>MP8-1</v>
      </c>
      <c r="N58" s="209" t="s">
        <v>610</v>
      </c>
      <c r="O58" s="209" t="s">
        <v>604</v>
      </c>
      <c r="P58" s="263" t="str">
        <f t="shared" si="3"/>
        <v>SGM7J-08A</v>
      </c>
      <c r="Q58" s="263">
        <f>IF(MID($N57,5,1)&lt;&gt;"W",VLOOKUP(N58,[4]정격용량!$B$3:$K$633,4,FALSE),"X")</f>
        <v>1500</v>
      </c>
      <c r="R58" s="260">
        <f>IF(MID(N57,5,1)&lt;&gt;"W",VLOOKUP(N58,[4]정격용량!$B$3:$K$633,3,FALSE),"X")</f>
        <v>0.3</v>
      </c>
      <c r="S58" s="260">
        <f>IF(MID(N57,5,1)&lt;&gt;"W",VLOOKUP(N58,[4]정격용량!$B$3:$K$633,6,FALSE),"X")</f>
        <v>7.8</v>
      </c>
      <c r="T58" s="262" t="e">
        <f>IF(MID($N57,5,1)&lt;&gt;"W",S58*#REF!,"X")</f>
        <v>#REF!</v>
      </c>
      <c r="U58" s="261">
        <f>IF(MID($N57,5,1)&lt;&gt;"W",VLOOKUP(N58,[4]정격용량!$B$3:$K$633,9,FALSE),"X")</f>
        <v>10</v>
      </c>
      <c r="V58" s="260" t="str">
        <f>IFERROR(IF(J58="Z",VLOOKUP(P58,'[4]SERVO CABLE'!G:AD,8,FALSE),VLOOKUP(P58,'[4]SERVO CABLE'!G:AD,4,FALSE)),"")</f>
        <v>JZSP-C7M34F-□-E</v>
      </c>
      <c r="W58" s="260" t="str">
        <f>IFERROR(VLOOKUP(P58,'[4]SERVO CABLE'!G:AD,17,FALSE),"")</f>
        <v>JZSP-C7PA2D-□-E</v>
      </c>
      <c r="X58" s="215"/>
      <c r="Y58" s="215">
        <v>3</v>
      </c>
      <c r="Z58" s="259" t="str">
        <f t="shared" si="6"/>
        <v/>
      </c>
      <c r="AA58" s="259" t="str">
        <f t="shared" si="7"/>
        <v/>
      </c>
      <c r="AB58" s="259">
        <f t="shared" si="8"/>
        <v>0.2</v>
      </c>
      <c r="AC58" s="258">
        <f t="shared" si="10"/>
        <v>0.49293999999999999</v>
      </c>
      <c r="AD58" s="333" t="str">
        <f t="shared" si="9"/>
        <v>IRV80</v>
      </c>
      <c r="AF58" s="183"/>
    </row>
    <row r="59" spans="1:38" ht="16.5" customHeight="1">
      <c r="B59" s="209"/>
      <c r="C59" s="280"/>
      <c r="D59" s="270" t="s">
        <v>237</v>
      </c>
      <c r="E59" s="331"/>
      <c r="F59" s="331"/>
      <c r="G59" s="332" t="s">
        <v>482</v>
      </c>
      <c r="H59" s="209" t="str">
        <f t="shared" si="5"/>
        <v xml:space="preserve"> LCCTR Break Table Z-2</v>
      </c>
      <c r="I59" s="202" t="str">
        <f t="shared" si="1"/>
        <v>Rotary</v>
      </c>
      <c r="J59" s="267" t="str">
        <f t="shared" si="2"/>
        <v>Z</v>
      </c>
      <c r="K59" s="266">
        <f>VLOOKUP($D59,[4]회선정보!B:F,3,FALSE)</f>
        <v>1</v>
      </c>
      <c r="L59" s="266">
        <f>VLOOKUP($D59,[4]회선정보!B:F,4,FALSE)</f>
        <v>1</v>
      </c>
      <c r="M59" s="266" t="str">
        <f>VLOOKUP($D59,[4]회선정보!B:F,5,FALSE)</f>
        <v>MP8-1</v>
      </c>
      <c r="N59" s="209"/>
      <c r="O59" s="209" t="s">
        <v>604</v>
      </c>
      <c r="P59" s="263" t="str">
        <f t="shared" si="3"/>
        <v>SGM7J-08A</v>
      </c>
      <c r="Q59" s="263" t="str">
        <f>IF(MID($N58,5,1)&lt;&gt;"W",VLOOKUP(N59,[4]정격용량!$B$3:$K$633,4,FALSE),"X")</f>
        <v>X</v>
      </c>
      <c r="R59" s="260" t="str">
        <f>IF(MID(N58,5,1)&lt;&gt;"W",VLOOKUP(N59,[4]정격용량!$B$3:$K$633,3,FALSE),"X")</f>
        <v>X</v>
      </c>
      <c r="S59" s="260" t="str">
        <f>IF(MID(N58,5,1)&lt;&gt;"W",VLOOKUP(N59,[4]정격용량!$B$3:$K$633,6,FALSE),"X")</f>
        <v>X</v>
      </c>
      <c r="T59" s="262" t="str">
        <f>IF(MID($N58,5,1)&lt;&gt;"W",S59*#REF!,"X")</f>
        <v>X</v>
      </c>
      <c r="U59" s="261" t="str">
        <f>IF(MID($N58,5,1)&lt;&gt;"W",VLOOKUP(N59,[4]정격용량!$B$3:$K$633,9,FALSE),"X")</f>
        <v>X</v>
      </c>
      <c r="V59" s="260" t="str">
        <f>IFERROR(IF(J59="Z",VLOOKUP(P59,'[4]SERVO CABLE'!G:AD,8,FALSE),VLOOKUP(P59,'[4]SERVO CABLE'!G:AD,4,FALSE)),"")</f>
        <v>JZSP-C7M34F-□-E</v>
      </c>
      <c r="W59" s="260" t="str">
        <f>IFERROR(VLOOKUP(P59,'[4]SERVO CABLE'!G:AD,17,FALSE),"")</f>
        <v>JZSP-C7PA2D-□-E</v>
      </c>
      <c r="X59" s="215"/>
      <c r="Y59" s="215"/>
      <c r="Z59" s="259" t="str">
        <f t="shared" si="6"/>
        <v/>
      </c>
      <c r="AA59" s="259" t="str">
        <f t="shared" si="7"/>
        <v/>
      </c>
      <c r="AB59" s="259" t="str">
        <f t="shared" si="8"/>
        <v/>
      </c>
      <c r="AC59" s="258" t="str">
        <f t="shared" si="10"/>
        <v>X</v>
      </c>
      <c r="AD59" s="333" t="str">
        <f t="shared" si="9"/>
        <v>X</v>
      </c>
      <c r="AF59" s="183"/>
    </row>
    <row r="60" spans="1:38" ht="16.5" customHeight="1">
      <c r="B60" s="209"/>
      <c r="C60" s="280"/>
      <c r="D60" s="270" t="s">
        <v>241</v>
      </c>
      <c r="E60" s="331"/>
      <c r="F60" s="331"/>
      <c r="G60" s="332" t="s">
        <v>483</v>
      </c>
      <c r="H60" s="209" t="str">
        <f t="shared" si="5"/>
        <v xml:space="preserve"> LCCTR Break Table T</v>
      </c>
      <c r="I60" s="202" t="str">
        <f t="shared" si="1"/>
        <v>Rotary</v>
      </c>
      <c r="J60" s="267" t="str">
        <f t="shared" si="2"/>
        <v>T</v>
      </c>
      <c r="K60" s="266">
        <f>VLOOKUP($D60,[4]회선정보!B:F,3,FALSE)</f>
        <v>1</v>
      </c>
      <c r="L60" s="266">
        <f>VLOOKUP($D60,[4]회선정보!B:F,4,FALSE)</f>
        <v>2</v>
      </c>
      <c r="M60" s="266" t="str">
        <f>VLOOKUP($D60,[4]회선정보!B:F,5,FALSE)</f>
        <v>MP8-1</v>
      </c>
      <c r="N60" s="209" t="s">
        <v>667</v>
      </c>
      <c r="O60" s="209" t="s">
        <v>600</v>
      </c>
      <c r="P60" s="263" t="str">
        <f t="shared" si="3"/>
        <v>SGM7J-04A</v>
      </c>
      <c r="Q60" s="263">
        <f>IF(MID($N59,5,1)&lt;&gt;"W",VLOOKUP(N60,[4]정격용량!$B$3:$K$633,4,FALSE),"X")</f>
        <v>400</v>
      </c>
      <c r="R60" s="260">
        <f>IF(MID(N59,5,1)&lt;&gt;"W",VLOOKUP(N60,[4]정격용량!$B$3:$K$633,3,FALSE),"X")</f>
        <v>0.2</v>
      </c>
      <c r="S60" s="260">
        <f>IF(MID(N59,5,1)&lt;&gt;"W",VLOOKUP(N60,[4]정격용량!$B$3:$K$633,6,FALSE),"X")</f>
        <v>2.5</v>
      </c>
      <c r="T60" s="262" t="e">
        <f>IF(MID($N59,5,1)&lt;&gt;"W",S60*#REF!,"X")</f>
        <v>#REF!</v>
      </c>
      <c r="U60" s="261">
        <f>IF(MID($N59,5,1)&lt;&gt;"W",VLOOKUP(N60,[4]정격용량!$B$3:$K$633,9,FALSE),"X")</f>
        <v>3</v>
      </c>
      <c r="V60" s="260" t="str">
        <f>IFERROR(IF(J60="Z",VLOOKUP(P60,'[4]SERVO CABLE'!G:AD,8,FALSE),VLOOKUP(P60,'[4]SERVO CABLE'!G:AD,8,FALSE)),"")</f>
        <v>JZSP-C7M24F-□-E</v>
      </c>
      <c r="W60" s="260" t="str">
        <f>IFERROR(VLOOKUP(P60,'[4]SERVO CABLE'!G:AD,17,FALSE),"")</f>
        <v>JZSP-C7PA2D-□-E</v>
      </c>
      <c r="X60" s="215"/>
      <c r="Y60" s="215">
        <v>3</v>
      </c>
      <c r="Z60" s="259" t="str">
        <f t="shared" si="6"/>
        <v/>
      </c>
      <c r="AA60" s="259" t="str">
        <f t="shared" si="7"/>
        <v/>
      </c>
      <c r="AB60" s="259">
        <f t="shared" si="8"/>
        <v>0.2</v>
      </c>
      <c r="AC60" s="258">
        <f t="shared" si="10"/>
        <v>1.848525</v>
      </c>
      <c r="AD60" s="333" t="str">
        <f t="shared" si="9"/>
        <v>IRV200</v>
      </c>
      <c r="AF60" s="183"/>
    </row>
    <row r="61" spans="1:38">
      <c r="D61" s="339"/>
      <c r="E61" s="340"/>
      <c r="F61" s="340"/>
      <c r="G61" s="341"/>
      <c r="R61" s="241">
        <f>SUM(R19:R60)</f>
        <v>6.4999999999999991</v>
      </c>
      <c r="S61" s="241">
        <f>SUM(S19:S60)</f>
        <v>97.899999999999991</v>
      </c>
      <c r="T61" s="241" t="e">
        <f>SUM(T19:T60)</f>
        <v>#REF!</v>
      </c>
      <c r="Z61" s="241">
        <f>SUM(Z9:Z60)</f>
        <v>2.1999999999999997</v>
      </c>
      <c r="AA61" s="241">
        <f t="shared" ref="AA61:AB61" si="11">SUM(AA9:AA60)</f>
        <v>2.1999999999999997</v>
      </c>
      <c r="AB61" s="241">
        <f t="shared" si="11"/>
        <v>2.4</v>
      </c>
      <c r="AC61" s="240"/>
    </row>
    <row r="62" spans="1:38" ht="12" customHeight="1">
      <c r="B62" s="180"/>
      <c r="C62" s="180"/>
      <c r="D62" s="180"/>
      <c r="E62" s="180"/>
      <c r="F62" s="180"/>
      <c r="G62" s="180"/>
      <c r="H62" s="180"/>
      <c r="I62" s="180"/>
      <c r="X62" s="239"/>
      <c r="Y62" s="239"/>
      <c r="AF62" s="183"/>
    </row>
    <row r="63" spans="1:38" ht="12" customHeight="1">
      <c r="B63" s="180"/>
      <c r="C63" s="180"/>
      <c r="D63" s="180"/>
      <c r="E63" s="180"/>
      <c r="F63" s="180"/>
      <c r="G63" s="180"/>
      <c r="H63" s="180"/>
      <c r="I63" s="180"/>
      <c r="X63" s="239"/>
      <c r="Y63" s="239"/>
      <c r="AF63" s="183"/>
    </row>
    <row r="64" spans="1:38" ht="16.5">
      <c r="P64" s="188">
        <f t="shared" ref="P64:P124" si="12">IFERROR(IF($I64="Rotary",LEFT($O64,9),$O64),"")</f>
        <v>0</v>
      </c>
      <c r="Q64" s="187"/>
      <c r="AL64" s="189"/>
    </row>
    <row r="65" spans="16:38" ht="16.5">
      <c r="P65" s="188">
        <f t="shared" si="12"/>
        <v>0</v>
      </c>
      <c r="Q65" s="187"/>
      <c r="AL65" s="189"/>
    </row>
    <row r="66" spans="16:38" ht="16.5">
      <c r="P66" s="188">
        <f t="shared" si="12"/>
        <v>0</v>
      </c>
      <c r="Q66" s="187"/>
      <c r="AL66" s="189"/>
    </row>
    <row r="67" spans="16:38" ht="16.5">
      <c r="P67" s="188">
        <f t="shared" si="12"/>
        <v>0</v>
      </c>
      <c r="Q67" s="187"/>
      <c r="AL67" s="189"/>
    </row>
    <row r="68" spans="16:38" ht="16.5">
      <c r="P68" s="188">
        <f t="shared" si="12"/>
        <v>0</v>
      </c>
      <c r="Q68" s="187"/>
      <c r="AL68" s="189"/>
    </row>
    <row r="69" spans="16:38" ht="16.5">
      <c r="P69" s="188">
        <f t="shared" si="12"/>
        <v>0</v>
      </c>
      <c r="Q69" s="187"/>
      <c r="AL69" s="189"/>
    </row>
    <row r="70" spans="16:38" ht="16.5">
      <c r="P70" s="188">
        <f t="shared" si="12"/>
        <v>0</v>
      </c>
      <c r="Q70" s="187"/>
      <c r="AL70" s="189"/>
    </row>
    <row r="71" spans="16:38" ht="16.5">
      <c r="P71" s="188">
        <f t="shared" si="12"/>
        <v>0</v>
      </c>
      <c r="Q71" s="187"/>
      <c r="AL71" s="189"/>
    </row>
    <row r="72" spans="16:38" ht="16.5">
      <c r="P72" s="188">
        <f t="shared" si="12"/>
        <v>0</v>
      </c>
      <c r="Q72" s="187"/>
      <c r="AL72" s="189"/>
    </row>
    <row r="73" spans="16:38" ht="16.5">
      <c r="P73" s="188">
        <f t="shared" si="12"/>
        <v>0</v>
      </c>
      <c r="Q73" s="187"/>
      <c r="AL73" s="189"/>
    </row>
    <row r="74" spans="16:38" ht="16.5">
      <c r="P74" s="188">
        <f t="shared" si="12"/>
        <v>0</v>
      </c>
      <c r="Q74" s="187"/>
      <c r="AL74" s="189"/>
    </row>
    <row r="75" spans="16:38" ht="16.5">
      <c r="P75" s="188">
        <f t="shared" si="12"/>
        <v>0</v>
      </c>
      <c r="Q75" s="187"/>
      <c r="AL75" s="189"/>
    </row>
    <row r="76" spans="16:38" ht="16.5">
      <c r="P76" s="188">
        <f t="shared" si="12"/>
        <v>0</v>
      </c>
      <c r="Q76" s="187"/>
      <c r="AL76" s="189"/>
    </row>
    <row r="77" spans="16:38" ht="16.5">
      <c r="P77" s="188">
        <f t="shared" si="12"/>
        <v>0</v>
      </c>
      <c r="Q77" s="187"/>
      <c r="AL77" s="189"/>
    </row>
    <row r="78" spans="16:38" ht="16.5">
      <c r="P78" s="188">
        <f t="shared" si="12"/>
        <v>0</v>
      </c>
      <c r="Q78" s="187"/>
      <c r="AL78" s="189"/>
    </row>
    <row r="79" spans="16:38" ht="16.5">
      <c r="P79" s="188">
        <f t="shared" si="12"/>
        <v>0</v>
      </c>
      <c r="Q79" s="187"/>
      <c r="AL79" s="189"/>
    </row>
    <row r="80" spans="16:38" ht="16.5">
      <c r="P80" s="188">
        <f t="shared" si="12"/>
        <v>0</v>
      </c>
      <c r="Q80" s="187"/>
      <c r="AL80" s="189"/>
    </row>
    <row r="81" spans="16:38" ht="16.5">
      <c r="P81" s="188">
        <f t="shared" si="12"/>
        <v>0</v>
      </c>
      <c r="Q81" s="187"/>
      <c r="AL81" s="189"/>
    </row>
    <row r="82" spans="16:38" ht="16.5">
      <c r="P82" s="188">
        <f t="shared" si="12"/>
        <v>0</v>
      </c>
      <c r="Q82" s="187"/>
      <c r="AL82" s="189"/>
    </row>
    <row r="83" spans="16:38" ht="16.5">
      <c r="P83" s="188">
        <f t="shared" si="12"/>
        <v>0</v>
      </c>
      <c r="Q83" s="187"/>
      <c r="AL83" s="189"/>
    </row>
    <row r="84" spans="16:38" ht="16.5">
      <c r="P84" s="188">
        <f t="shared" si="12"/>
        <v>0</v>
      </c>
      <c r="Q84" s="187"/>
      <c r="AL84" s="189"/>
    </row>
    <row r="85" spans="16:38" ht="16.5">
      <c r="P85" s="188">
        <f t="shared" si="12"/>
        <v>0</v>
      </c>
      <c r="Q85" s="187"/>
      <c r="AL85" s="189"/>
    </row>
    <row r="86" spans="16:38" ht="16.5">
      <c r="P86" s="188">
        <f t="shared" si="12"/>
        <v>0</v>
      </c>
      <c r="Q86" s="187"/>
      <c r="AL86" s="189"/>
    </row>
    <row r="87" spans="16:38" ht="16.5">
      <c r="P87" s="188">
        <f t="shared" si="12"/>
        <v>0</v>
      </c>
      <c r="Q87" s="187"/>
      <c r="AL87" s="189"/>
    </row>
    <row r="88" spans="16:38" ht="16.5">
      <c r="P88" s="188">
        <f t="shared" si="12"/>
        <v>0</v>
      </c>
      <c r="Q88" s="187"/>
      <c r="AL88" s="189"/>
    </row>
    <row r="89" spans="16:38" ht="16.5">
      <c r="P89" s="188">
        <f t="shared" si="12"/>
        <v>0</v>
      </c>
      <c r="Q89" s="187"/>
      <c r="AL89" s="189"/>
    </row>
    <row r="90" spans="16:38" ht="16.5">
      <c r="P90" s="188">
        <f t="shared" si="12"/>
        <v>0</v>
      </c>
      <c r="Q90" s="187"/>
      <c r="AL90" s="189"/>
    </row>
    <row r="91" spans="16:38" ht="16.5">
      <c r="P91" s="188">
        <f t="shared" si="12"/>
        <v>0</v>
      </c>
      <c r="Q91" s="187"/>
      <c r="AL91" s="189"/>
    </row>
    <row r="92" spans="16:38" ht="16.5">
      <c r="P92" s="188">
        <f t="shared" si="12"/>
        <v>0</v>
      </c>
      <c r="Q92" s="187"/>
      <c r="AL92" s="189"/>
    </row>
    <row r="93" spans="16:38" ht="16.5">
      <c r="P93" s="188">
        <f t="shared" si="12"/>
        <v>0</v>
      </c>
      <c r="Q93" s="187"/>
      <c r="AL93" s="189"/>
    </row>
    <row r="94" spans="16:38" ht="16.5">
      <c r="P94" s="188">
        <f t="shared" si="12"/>
        <v>0</v>
      </c>
      <c r="Q94" s="187"/>
      <c r="AL94" s="189"/>
    </row>
    <row r="95" spans="16:38" ht="16.5">
      <c r="P95" s="188">
        <f t="shared" si="12"/>
        <v>0</v>
      </c>
      <c r="Q95" s="187"/>
      <c r="AL95" s="189"/>
    </row>
    <row r="96" spans="16:38" ht="16.5">
      <c r="P96" s="188">
        <f t="shared" si="12"/>
        <v>0</v>
      </c>
      <c r="Q96" s="187"/>
      <c r="AL96" s="189"/>
    </row>
    <row r="97" spans="16:38" ht="16.5">
      <c r="P97" s="188">
        <f t="shared" si="12"/>
        <v>0</v>
      </c>
      <c r="Q97" s="187"/>
      <c r="AL97" s="189"/>
    </row>
    <row r="98" spans="16:38" ht="16.5">
      <c r="P98" s="188">
        <f t="shared" si="12"/>
        <v>0</v>
      </c>
      <c r="Q98" s="187"/>
      <c r="AL98" s="189"/>
    </row>
    <row r="99" spans="16:38" ht="16.5">
      <c r="P99" s="188">
        <f t="shared" si="12"/>
        <v>0</v>
      </c>
      <c r="Q99" s="187"/>
      <c r="AL99" s="189"/>
    </row>
    <row r="100" spans="16:38" ht="16.5">
      <c r="P100" s="188">
        <f t="shared" si="12"/>
        <v>0</v>
      </c>
      <c r="Q100" s="187"/>
      <c r="AL100" s="189"/>
    </row>
    <row r="101" spans="16:38" ht="16.5">
      <c r="P101" s="188">
        <f t="shared" si="12"/>
        <v>0</v>
      </c>
      <c r="Q101" s="187"/>
      <c r="AL101" s="189"/>
    </row>
    <row r="102" spans="16:38" ht="16.5">
      <c r="P102" s="188">
        <f t="shared" si="12"/>
        <v>0</v>
      </c>
      <c r="Q102" s="187"/>
      <c r="AL102" s="189"/>
    </row>
    <row r="103" spans="16:38" ht="16.5">
      <c r="P103" s="188">
        <f t="shared" si="12"/>
        <v>0</v>
      </c>
      <c r="Q103" s="187"/>
      <c r="AL103" s="189"/>
    </row>
    <row r="104" spans="16:38" ht="16.5">
      <c r="P104" s="188">
        <f t="shared" si="12"/>
        <v>0</v>
      </c>
      <c r="Q104" s="187"/>
      <c r="AL104" s="189"/>
    </row>
    <row r="105" spans="16:38" ht="16.5">
      <c r="P105" s="188">
        <f t="shared" si="12"/>
        <v>0</v>
      </c>
      <c r="Q105" s="187"/>
      <c r="AL105" s="189"/>
    </row>
    <row r="106" spans="16:38" ht="16.5">
      <c r="P106" s="188">
        <f t="shared" si="12"/>
        <v>0</v>
      </c>
      <c r="Q106" s="187"/>
      <c r="AL106" s="189"/>
    </row>
    <row r="107" spans="16:38" ht="16.5">
      <c r="P107" s="188">
        <f t="shared" si="12"/>
        <v>0</v>
      </c>
      <c r="Q107" s="187"/>
      <c r="AL107" s="189"/>
    </row>
    <row r="108" spans="16:38" ht="16.5">
      <c r="P108" s="188">
        <f t="shared" si="12"/>
        <v>0</v>
      </c>
      <c r="Q108" s="187"/>
      <c r="AL108" s="189"/>
    </row>
    <row r="109" spans="16:38" ht="16.5">
      <c r="P109" s="188">
        <f t="shared" si="12"/>
        <v>0</v>
      </c>
      <c r="Q109" s="187"/>
      <c r="AL109" s="189"/>
    </row>
    <row r="110" spans="16:38" ht="16.5">
      <c r="P110" s="188">
        <f t="shared" si="12"/>
        <v>0</v>
      </c>
      <c r="Q110" s="187"/>
      <c r="AL110" s="189"/>
    </row>
    <row r="111" spans="16:38" ht="16.5">
      <c r="P111" s="188">
        <f t="shared" si="12"/>
        <v>0</v>
      </c>
      <c r="Q111" s="187"/>
      <c r="AL111" s="189"/>
    </row>
    <row r="112" spans="16:38" ht="16.5">
      <c r="P112" s="188">
        <f t="shared" si="12"/>
        <v>0</v>
      </c>
      <c r="Q112" s="187"/>
      <c r="AL112" s="189"/>
    </row>
    <row r="113" spans="16:38" ht="16.5">
      <c r="P113" s="188">
        <f t="shared" si="12"/>
        <v>0</v>
      </c>
      <c r="Q113" s="187"/>
      <c r="AL113" s="189"/>
    </row>
    <row r="114" spans="16:38" ht="16.5">
      <c r="P114" s="188">
        <f t="shared" si="12"/>
        <v>0</v>
      </c>
      <c r="Q114" s="187"/>
      <c r="AL114" s="189"/>
    </row>
    <row r="115" spans="16:38" ht="16.5">
      <c r="P115" s="188">
        <f t="shared" si="12"/>
        <v>0</v>
      </c>
      <c r="Q115" s="187"/>
      <c r="AL115" s="189"/>
    </row>
    <row r="116" spans="16:38" ht="16.5">
      <c r="P116" s="188">
        <f t="shared" si="12"/>
        <v>0</v>
      </c>
      <c r="Q116" s="187"/>
      <c r="AL116" s="189"/>
    </row>
    <row r="117" spans="16:38" ht="16.5">
      <c r="P117" s="188">
        <f t="shared" si="12"/>
        <v>0</v>
      </c>
      <c r="Q117" s="187"/>
      <c r="AL117" s="189"/>
    </row>
    <row r="118" spans="16:38" ht="16.5">
      <c r="P118" s="188">
        <f t="shared" si="12"/>
        <v>0</v>
      </c>
      <c r="Q118" s="187"/>
      <c r="AL118" s="189"/>
    </row>
    <row r="119" spans="16:38" ht="16.5">
      <c r="P119" s="188">
        <f t="shared" si="12"/>
        <v>0</v>
      </c>
      <c r="Q119" s="187"/>
      <c r="AL119" s="189"/>
    </row>
    <row r="120" spans="16:38" ht="16.5">
      <c r="P120" s="188">
        <f t="shared" si="12"/>
        <v>0</v>
      </c>
      <c r="Q120" s="187"/>
      <c r="AL120" s="189"/>
    </row>
    <row r="121" spans="16:38" ht="16.5">
      <c r="P121" s="188">
        <f t="shared" si="12"/>
        <v>0</v>
      </c>
      <c r="Q121" s="187"/>
      <c r="AL121" s="189"/>
    </row>
    <row r="122" spans="16:38" ht="16.5">
      <c r="P122" s="188">
        <f t="shared" si="12"/>
        <v>0</v>
      </c>
      <c r="Q122" s="187"/>
      <c r="AL122" s="189"/>
    </row>
    <row r="123" spans="16:38" ht="16.5">
      <c r="P123" s="188">
        <f t="shared" si="12"/>
        <v>0</v>
      </c>
      <c r="Q123" s="187"/>
      <c r="AL123" s="189"/>
    </row>
    <row r="124" spans="16:38" ht="16.5">
      <c r="P124" s="188">
        <f t="shared" si="12"/>
        <v>0</v>
      </c>
      <c r="Q124" s="187"/>
      <c r="AL124" s="189"/>
    </row>
    <row r="125" spans="16:38" ht="16.5">
      <c r="P125" s="188">
        <f t="shared" ref="P125:P188" si="13">IFERROR(IF($I125="Rotary",LEFT($O125,9),$O125),"")</f>
        <v>0</v>
      </c>
      <c r="Q125" s="187"/>
      <c r="AL125" s="189"/>
    </row>
    <row r="126" spans="16:38" ht="16.5">
      <c r="P126" s="188">
        <f t="shared" si="13"/>
        <v>0</v>
      </c>
      <c r="Q126" s="187"/>
      <c r="AL126" s="189"/>
    </row>
    <row r="127" spans="16:38" ht="16.5">
      <c r="P127" s="188">
        <f t="shared" si="13"/>
        <v>0</v>
      </c>
      <c r="Q127" s="187"/>
      <c r="AL127" s="189"/>
    </row>
    <row r="128" spans="16:38" ht="16.5">
      <c r="P128" s="188">
        <f t="shared" si="13"/>
        <v>0</v>
      </c>
      <c r="Q128" s="187"/>
      <c r="AL128" s="189"/>
    </row>
    <row r="129" spans="16:38" ht="16.5">
      <c r="P129" s="188">
        <f t="shared" si="13"/>
        <v>0</v>
      </c>
      <c r="Q129" s="187"/>
      <c r="AL129" s="189"/>
    </row>
    <row r="130" spans="16:38" ht="16.5">
      <c r="P130" s="188">
        <f t="shared" si="13"/>
        <v>0</v>
      </c>
      <c r="Q130" s="187"/>
      <c r="AL130" s="189"/>
    </row>
    <row r="131" spans="16:38" ht="16.5">
      <c r="P131" s="188">
        <f t="shared" si="13"/>
        <v>0</v>
      </c>
      <c r="Q131" s="187"/>
      <c r="AL131" s="189"/>
    </row>
    <row r="132" spans="16:38" ht="16.5">
      <c r="P132" s="188">
        <f t="shared" si="13"/>
        <v>0</v>
      </c>
      <c r="Q132" s="187"/>
      <c r="AL132" s="189"/>
    </row>
    <row r="133" spans="16:38" ht="16.5">
      <c r="P133" s="188">
        <f t="shared" si="13"/>
        <v>0</v>
      </c>
      <c r="Q133" s="187"/>
      <c r="AL133" s="189"/>
    </row>
    <row r="134" spans="16:38" ht="16.5">
      <c r="P134" s="188">
        <f t="shared" si="13"/>
        <v>0</v>
      </c>
      <c r="Q134" s="187"/>
      <c r="AL134" s="189"/>
    </row>
    <row r="135" spans="16:38" ht="16.5">
      <c r="P135" s="188">
        <f t="shared" si="13"/>
        <v>0</v>
      </c>
      <c r="Q135" s="187"/>
      <c r="AL135" s="189"/>
    </row>
    <row r="136" spans="16:38" ht="16.5">
      <c r="P136" s="188">
        <f t="shared" si="13"/>
        <v>0</v>
      </c>
      <c r="Q136" s="187"/>
      <c r="AL136" s="189"/>
    </row>
    <row r="137" spans="16:38" ht="16.5">
      <c r="P137" s="188">
        <f t="shared" si="13"/>
        <v>0</v>
      </c>
      <c r="Q137" s="187"/>
      <c r="AL137" s="189"/>
    </row>
    <row r="138" spans="16:38" ht="16.5">
      <c r="P138" s="188">
        <f t="shared" si="13"/>
        <v>0</v>
      </c>
      <c r="Q138" s="187"/>
      <c r="AL138" s="189"/>
    </row>
    <row r="139" spans="16:38" ht="16.5">
      <c r="P139" s="188">
        <f t="shared" si="13"/>
        <v>0</v>
      </c>
      <c r="Q139" s="187"/>
      <c r="AL139" s="189"/>
    </row>
    <row r="140" spans="16:38" ht="16.5">
      <c r="P140" s="188">
        <f t="shared" si="13"/>
        <v>0</v>
      </c>
      <c r="Q140" s="187"/>
      <c r="AL140" s="189"/>
    </row>
    <row r="141" spans="16:38" ht="16.5">
      <c r="P141" s="188">
        <f t="shared" si="13"/>
        <v>0</v>
      </c>
      <c r="Q141" s="187"/>
      <c r="AL141" s="189"/>
    </row>
    <row r="142" spans="16:38" ht="16.5">
      <c r="P142" s="188">
        <f t="shared" si="13"/>
        <v>0</v>
      </c>
      <c r="Q142" s="187"/>
      <c r="AL142" s="189"/>
    </row>
    <row r="143" spans="16:38" ht="16.5">
      <c r="P143" s="188">
        <f t="shared" si="13"/>
        <v>0</v>
      </c>
      <c r="Q143" s="187"/>
      <c r="AL143" s="189"/>
    </row>
    <row r="144" spans="16:38" ht="16.5">
      <c r="P144" s="188">
        <f t="shared" si="13"/>
        <v>0</v>
      </c>
      <c r="Q144" s="187"/>
      <c r="AL144" s="189"/>
    </row>
    <row r="145" spans="16:38" ht="16.5">
      <c r="P145" s="188">
        <f t="shared" si="13"/>
        <v>0</v>
      </c>
      <c r="Q145" s="187"/>
      <c r="AL145" s="189"/>
    </row>
    <row r="146" spans="16:38" ht="16.5">
      <c r="P146" s="188">
        <f t="shared" si="13"/>
        <v>0</v>
      </c>
      <c r="Q146" s="187"/>
      <c r="AL146" s="189"/>
    </row>
    <row r="147" spans="16:38" ht="16.5">
      <c r="P147" s="188">
        <f t="shared" si="13"/>
        <v>0</v>
      </c>
      <c r="Q147" s="187"/>
      <c r="AL147" s="189"/>
    </row>
    <row r="148" spans="16:38" ht="16.5">
      <c r="P148" s="188">
        <f t="shared" si="13"/>
        <v>0</v>
      </c>
      <c r="Q148" s="187"/>
      <c r="AL148" s="189"/>
    </row>
    <row r="149" spans="16:38" ht="16.5">
      <c r="P149" s="188">
        <f t="shared" si="13"/>
        <v>0</v>
      </c>
      <c r="Q149" s="187"/>
      <c r="AL149" s="189"/>
    </row>
    <row r="150" spans="16:38" ht="16.5">
      <c r="P150" s="188">
        <f t="shared" si="13"/>
        <v>0</v>
      </c>
      <c r="Q150" s="187"/>
      <c r="AL150" s="189"/>
    </row>
    <row r="151" spans="16:38" ht="16.5">
      <c r="P151" s="188">
        <f t="shared" si="13"/>
        <v>0</v>
      </c>
      <c r="Q151" s="187"/>
      <c r="AL151" s="189"/>
    </row>
    <row r="152" spans="16:38" ht="16.5">
      <c r="P152" s="188">
        <f t="shared" si="13"/>
        <v>0</v>
      </c>
      <c r="Q152" s="187"/>
      <c r="AL152" s="189"/>
    </row>
    <row r="153" spans="16:38" ht="16.5">
      <c r="P153" s="188">
        <f t="shared" si="13"/>
        <v>0</v>
      </c>
      <c r="Q153" s="187"/>
      <c r="AL153" s="189"/>
    </row>
    <row r="154" spans="16:38" ht="16.5">
      <c r="P154" s="188">
        <f t="shared" si="13"/>
        <v>0</v>
      </c>
      <c r="Q154" s="187"/>
      <c r="AL154" s="189"/>
    </row>
    <row r="155" spans="16:38" ht="16.5">
      <c r="P155" s="188">
        <f t="shared" si="13"/>
        <v>0</v>
      </c>
      <c r="Q155" s="187"/>
      <c r="AL155" s="189"/>
    </row>
    <row r="156" spans="16:38" ht="16.5">
      <c r="P156" s="188">
        <f t="shared" si="13"/>
        <v>0</v>
      </c>
      <c r="Q156" s="187"/>
      <c r="AL156" s="189"/>
    </row>
    <row r="157" spans="16:38" ht="16.5">
      <c r="P157" s="188">
        <f t="shared" si="13"/>
        <v>0</v>
      </c>
      <c r="Q157" s="187"/>
      <c r="AL157" s="189"/>
    </row>
    <row r="158" spans="16:38" ht="16.5">
      <c r="P158" s="188">
        <f t="shared" si="13"/>
        <v>0</v>
      </c>
      <c r="Q158" s="187"/>
      <c r="AL158" s="189"/>
    </row>
    <row r="159" spans="16:38" ht="16.5">
      <c r="P159" s="188">
        <f t="shared" si="13"/>
        <v>0</v>
      </c>
      <c r="Q159" s="187"/>
      <c r="AL159" s="189"/>
    </row>
    <row r="160" spans="16:38" ht="16.5">
      <c r="P160" s="188">
        <f t="shared" si="13"/>
        <v>0</v>
      </c>
      <c r="Q160" s="187"/>
      <c r="AL160" s="189"/>
    </row>
    <row r="161" spans="16:38" ht="16.5">
      <c r="P161" s="188">
        <f t="shared" si="13"/>
        <v>0</v>
      </c>
      <c r="Q161" s="187"/>
      <c r="AL161" s="189"/>
    </row>
    <row r="162" spans="16:38" ht="16.5">
      <c r="P162" s="188">
        <f t="shared" si="13"/>
        <v>0</v>
      </c>
      <c r="Q162" s="187"/>
      <c r="AL162" s="189"/>
    </row>
    <row r="163" spans="16:38" ht="16.5">
      <c r="P163" s="188">
        <f t="shared" si="13"/>
        <v>0</v>
      </c>
      <c r="Q163" s="187"/>
      <c r="AL163" s="189"/>
    </row>
    <row r="164" spans="16:38" ht="16.5">
      <c r="P164" s="188">
        <f t="shared" si="13"/>
        <v>0</v>
      </c>
      <c r="Q164" s="187"/>
      <c r="AL164" s="189"/>
    </row>
    <row r="165" spans="16:38" ht="16.5">
      <c r="P165" s="188">
        <f t="shared" si="13"/>
        <v>0</v>
      </c>
      <c r="Q165" s="187"/>
      <c r="AL165" s="189"/>
    </row>
    <row r="166" spans="16:38" ht="16.5">
      <c r="P166" s="188">
        <f t="shared" si="13"/>
        <v>0</v>
      </c>
      <c r="Q166" s="187"/>
      <c r="AL166" s="189"/>
    </row>
    <row r="167" spans="16:38" ht="16.5">
      <c r="P167" s="188">
        <f t="shared" si="13"/>
        <v>0</v>
      </c>
      <c r="Q167" s="187"/>
      <c r="AL167" s="189"/>
    </row>
    <row r="168" spans="16:38" ht="16.5">
      <c r="P168" s="188">
        <f t="shared" si="13"/>
        <v>0</v>
      </c>
      <c r="Q168" s="187"/>
      <c r="AL168" s="189"/>
    </row>
    <row r="169" spans="16:38" ht="16.5">
      <c r="P169" s="188">
        <f t="shared" si="13"/>
        <v>0</v>
      </c>
      <c r="Q169" s="187"/>
      <c r="AL169" s="189"/>
    </row>
    <row r="170" spans="16:38" ht="16.5">
      <c r="P170" s="188">
        <f t="shared" si="13"/>
        <v>0</v>
      </c>
      <c r="Q170" s="187"/>
      <c r="AL170" s="189"/>
    </row>
    <row r="171" spans="16:38" ht="16.5">
      <c r="P171" s="188">
        <f t="shared" si="13"/>
        <v>0</v>
      </c>
      <c r="Q171" s="187"/>
      <c r="AL171" s="189"/>
    </row>
    <row r="172" spans="16:38" ht="16.5">
      <c r="P172" s="188">
        <f t="shared" si="13"/>
        <v>0</v>
      </c>
      <c r="Q172" s="187"/>
      <c r="AL172" s="189"/>
    </row>
    <row r="173" spans="16:38" ht="16.5">
      <c r="P173" s="188">
        <f t="shared" si="13"/>
        <v>0</v>
      </c>
      <c r="Q173" s="187"/>
      <c r="AL173" s="189"/>
    </row>
    <row r="174" spans="16:38" ht="16.5">
      <c r="P174" s="188">
        <f t="shared" si="13"/>
        <v>0</v>
      </c>
      <c r="Q174" s="187"/>
      <c r="AL174" s="189"/>
    </row>
    <row r="175" spans="16:38" ht="16.5">
      <c r="P175" s="188">
        <f t="shared" si="13"/>
        <v>0</v>
      </c>
      <c r="Q175" s="187"/>
      <c r="AL175" s="189"/>
    </row>
    <row r="176" spans="16:38" ht="16.5">
      <c r="P176" s="188">
        <f t="shared" si="13"/>
        <v>0</v>
      </c>
      <c r="Q176" s="187"/>
      <c r="AL176" s="189"/>
    </row>
    <row r="177" spans="16:38" ht="16.5">
      <c r="P177" s="188">
        <f t="shared" si="13"/>
        <v>0</v>
      </c>
      <c r="Q177" s="187"/>
      <c r="AL177" s="189"/>
    </row>
    <row r="178" spans="16:38" ht="16.5">
      <c r="P178" s="188">
        <f t="shared" si="13"/>
        <v>0</v>
      </c>
      <c r="Q178" s="187"/>
      <c r="AL178" s="189"/>
    </row>
    <row r="179" spans="16:38" ht="16.5">
      <c r="P179" s="188">
        <f t="shared" si="13"/>
        <v>0</v>
      </c>
      <c r="Q179" s="187"/>
      <c r="AL179" s="189"/>
    </row>
    <row r="180" spans="16:38" ht="16.5">
      <c r="P180" s="188">
        <f t="shared" si="13"/>
        <v>0</v>
      </c>
      <c r="Q180" s="187"/>
      <c r="AL180" s="189"/>
    </row>
    <row r="181" spans="16:38" ht="16.5">
      <c r="P181" s="188">
        <f t="shared" si="13"/>
        <v>0</v>
      </c>
      <c r="Q181" s="187"/>
      <c r="AL181" s="189"/>
    </row>
    <row r="182" spans="16:38" ht="16.5">
      <c r="P182" s="188">
        <f t="shared" si="13"/>
        <v>0</v>
      </c>
      <c r="Q182" s="187"/>
      <c r="AL182" s="189"/>
    </row>
    <row r="183" spans="16:38" ht="16.5">
      <c r="P183" s="188">
        <f t="shared" si="13"/>
        <v>0</v>
      </c>
      <c r="Q183" s="187"/>
      <c r="AL183" s="189"/>
    </row>
    <row r="184" spans="16:38" ht="16.5">
      <c r="P184" s="188">
        <f t="shared" si="13"/>
        <v>0</v>
      </c>
      <c r="Q184" s="187"/>
      <c r="AL184" s="189"/>
    </row>
    <row r="185" spans="16:38">
      <c r="P185" s="188">
        <f t="shared" si="13"/>
        <v>0</v>
      </c>
      <c r="Q185" s="187"/>
    </row>
    <row r="186" spans="16:38">
      <c r="P186" s="188">
        <f t="shared" si="13"/>
        <v>0</v>
      </c>
      <c r="Q186" s="187"/>
    </row>
    <row r="187" spans="16:38">
      <c r="P187" s="188">
        <f t="shared" si="13"/>
        <v>0</v>
      </c>
      <c r="Q187" s="187"/>
    </row>
    <row r="188" spans="16:38">
      <c r="P188" s="188">
        <f t="shared" si="13"/>
        <v>0</v>
      </c>
      <c r="Q188" s="187"/>
    </row>
    <row r="189" spans="16:38">
      <c r="P189" s="188">
        <f t="shared" ref="P189:P252" si="14">IFERROR(IF($I189="Rotary",LEFT($O189,9),$O189),"")</f>
        <v>0</v>
      </c>
      <c r="Q189" s="187"/>
    </row>
    <row r="190" spans="16:38">
      <c r="P190" s="188">
        <f t="shared" si="14"/>
        <v>0</v>
      </c>
      <c r="Q190" s="187"/>
    </row>
    <row r="191" spans="16:38">
      <c r="P191" s="188">
        <f t="shared" si="14"/>
        <v>0</v>
      </c>
      <c r="Q191" s="187"/>
    </row>
    <row r="192" spans="16:38">
      <c r="P192" s="188">
        <f t="shared" si="14"/>
        <v>0</v>
      </c>
      <c r="Q192" s="187"/>
    </row>
    <row r="193" spans="1:38">
      <c r="P193" s="188">
        <f t="shared" si="14"/>
        <v>0</v>
      </c>
      <c r="Q193" s="187"/>
    </row>
    <row r="194" spans="1:38" s="183" customFormat="1">
      <c r="A194" s="180"/>
      <c r="P194" s="188">
        <f t="shared" si="14"/>
        <v>0</v>
      </c>
      <c r="Q194" s="187"/>
      <c r="T194" s="185"/>
      <c r="U194" s="184"/>
      <c r="X194" s="180"/>
      <c r="Y194" s="180"/>
      <c r="Z194" s="180"/>
      <c r="AA194" s="180"/>
      <c r="AB194" s="180"/>
      <c r="AC194" s="182"/>
      <c r="AD194" s="181"/>
      <c r="AE194" s="180"/>
      <c r="AF194" s="180"/>
      <c r="AG194" s="180"/>
      <c r="AH194" s="180"/>
      <c r="AI194" s="180"/>
      <c r="AJ194" s="180"/>
      <c r="AK194" s="180"/>
      <c r="AL194" s="180"/>
    </row>
    <row r="195" spans="1:38" s="183" customFormat="1">
      <c r="A195" s="180"/>
      <c r="P195" s="188">
        <f t="shared" si="14"/>
        <v>0</v>
      </c>
      <c r="Q195" s="187"/>
      <c r="T195" s="185"/>
      <c r="U195" s="184"/>
      <c r="X195" s="180"/>
      <c r="Y195" s="180"/>
      <c r="Z195" s="180"/>
      <c r="AA195" s="180"/>
      <c r="AB195" s="180"/>
      <c r="AC195" s="182"/>
      <c r="AD195" s="181"/>
      <c r="AE195" s="180"/>
      <c r="AF195" s="180"/>
      <c r="AG195" s="180"/>
      <c r="AH195" s="180"/>
      <c r="AI195" s="180"/>
      <c r="AJ195" s="180"/>
      <c r="AK195" s="180"/>
      <c r="AL195" s="180"/>
    </row>
    <row r="196" spans="1:38" s="183" customFormat="1">
      <c r="A196" s="180"/>
      <c r="P196" s="188">
        <f t="shared" si="14"/>
        <v>0</v>
      </c>
      <c r="Q196" s="187"/>
      <c r="T196" s="185"/>
      <c r="U196" s="184"/>
      <c r="X196" s="180"/>
      <c r="Y196" s="180"/>
      <c r="Z196" s="180"/>
      <c r="AA196" s="180"/>
      <c r="AB196" s="180"/>
      <c r="AC196" s="182"/>
      <c r="AD196" s="181"/>
      <c r="AE196" s="180"/>
      <c r="AF196" s="180"/>
      <c r="AG196" s="180"/>
      <c r="AH196" s="180"/>
      <c r="AI196" s="180"/>
      <c r="AJ196" s="180"/>
      <c r="AK196" s="180"/>
      <c r="AL196" s="180"/>
    </row>
    <row r="197" spans="1:38" s="183" customFormat="1">
      <c r="A197" s="180"/>
      <c r="P197" s="188">
        <f t="shared" si="14"/>
        <v>0</v>
      </c>
      <c r="Q197" s="187"/>
      <c r="T197" s="185"/>
      <c r="U197" s="184"/>
      <c r="X197" s="180"/>
      <c r="Y197" s="180"/>
      <c r="Z197" s="180"/>
      <c r="AA197" s="180"/>
      <c r="AB197" s="180"/>
      <c r="AC197" s="182"/>
      <c r="AD197" s="181"/>
      <c r="AE197" s="180"/>
      <c r="AF197" s="180"/>
      <c r="AG197" s="180"/>
      <c r="AH197" s="180"/>
      <c r="AI197" s="180"/>
      <c r="AJ197" s="180"/>
      <c r="AK197" s="180"/>
      <c r="AL197" s="180"/>
    </row>
    <row r="198" spans="1:38" s="183" customFormat="1">
      <c r="A198" s="180"/>
      <c r="P198" s="188">
        <f t="shared" si="14"/>
        <v>0</v>
      </c>
      <c r="Q198" s="187"/>
      <c r="T198" s="185"/>
      <c r="U198" s="184"/>
      <c r="X198" s="180"/>
      <c r="Y198" s="180"/>
      <c r="Z198" s="180"/>
      <c r="AA198" s="180"/>
      <c r="AB198" s="180"/>
      <c r="AC198" s="182"/>
      <c r="AD198" s="181"/>
      <c r="AE198" s="180"/>
      <c r="AF198" s="180"/>
      <c r="AG198" s="180"/>
      <c r="AH198" s="180"/>
      <c r="AI198" s="180"/>
      <c r="AJ198" s="180"/>
      <c r="AK198" s="180"/>
      <c r="AL198" s="180"/>
    </row>
    <row r="199" spans="1:38" s="183" customFormat="1">
      <c r="A199" s="180"/>
      <c r="P199" s="188">
        <f t="shared" si="14"/>
        <v>0</v>
      </c>
      <c r="Q199" s="187"/>
      <c r="T199" s="185"/>
      <c r="U199" s="184"/>
      <c r="X199" s="180"/>
      <c r="Y199" s="180"/>
      <c r="Z199" s="180"/>
      <c r="AA199" s="180"/>
      <c r="AB199" s="180"/>
      <c r="AC199" s="182"/>
      <c r="AD199" s="181"/>
      <c r="AE199" s="180"/>
      <c r="AF199" s="180"/>
      <c r="AG199" s="180"/>
      <c r="AH199" s="180"/>
      <c r="AI199" s="180"/>
      <c r="AJ199" s="180"/>
      <c r="AK199" s="180"/>
      <c r="AL199" s="180"/>
    </row>
    <row r="200" spans="1:38" s="183" customFormat="1">
      <c r="A200" s="180"/>
      <c r="P200" s="188">
        <f t="shared" si="14"/>
        <v>0</v>
      </c>
      <c r="Q200" s="187"/>
      <c r="T200" s="185"/>
      <c r="U200" s="184"/>
      <c r="X200" s="180"/>
      <c r="Y200" s="180"/>
      <c r="Z200" s="180"/>
      <c r="AA200" s="180"/>
      <c r="AB200" s="180"/>
      <c r="AC200" s="182"/>
      <c r="AD200" s="181"/>
      <c r="AE200" s="180"/>
      <c r="AF200" s="180"/>
      <c r="AG200" s="180"/>
      <c r="AH200" s="180"/>
      <c r="AI200" s="180"/>
      <c r="AJ200" s="180"/>
      <c r="AK200" s="180"/>
      <c r="AL200" s="180"/>
    </row>
    <row r="201" spans="1:38" s="183" customFormat="1">
      <c r="A201" s="180"/>
      <c r="P201" s="188">
        <f t="shared" si="14"/>
        <v>0</v>
      </c>
      <c r="Q201" s="187"/>
      <c r="T201" s="185"/>
      <c r="U201" s="184"/>
      <c r="X201" s="180"/>
      <c r="Y201" s="180"/>
      <c r="Z201" s="180"/>
      <c r="AA201" s="180"/>
      <c r="AB201" s="180"/>
      <c r="AC201" s="182"/>
      <c r="AD201" s="181"/>
      <c r="AE201" s="180"/>
      <c r="AF201" s="180"/>
      <c r="AG201" s="180"/>
      <c r="AH201" s="180"/>
      <c r="AI201" s="180"/>
      <c r="AJ201" s="180"/>
      <c r="AK201" s="180"/>
      <c r="AL201" s="180"/>
    </row>
    <row r="202" spans="1:38" s="183" customFormat="1">
      <c r="A202" s="180"/>
      <c r="P202" s="188">
        <f t="shared" si="14"/>
        <v>0</v>
      </c>
      <c r="Q202" s="187"/>
      <c r="T202" s="185"/>
      <c r="U202" s="184"/>
      <c r="X202" s="180"/>
      <c r="Y202" s="180"/>
      <c r="Z202" s="180"/>
      <c r="AA202" s="180"/>
      <c r="AB202" s="180"/>
      <c r="AC202" s="182"/>
      <c r="AD202" s="181"/>
      <c r="AE202" s="180"/>
      <c r="AF202" s="180"/>
      <c r="AG202" s="180"/>
      <c r="AH202" s="180"/>
      <c r="AI202" s="180"/>
      <c r="AJ202" s="180"/>
      <c r="AK202" s="180"/>
      <c r="AL202" s="180"/>
    </row>
    <row r="203" spans="1:38" s="183" customFormat="1">
      <c r="A203" s="180"/>
      <c r="P203" s="188">
        <f t="shared" si="14"/>
        <v>0</v>
      </c>
      <c r="Q203" s="187"/>
      <c r="T203" s="185"/>
      <c r="U203" s="184"/>
      <c r="X203" s="180"/>
      <c r="Y203" s="180"/>
      <c r="Z203" s="180"/>
      <c r="AA203" s="180"/>
      <c r="AB203" s="180"/>
      <c r="AC203" s="182"/>
      <c r="AD203" s="181"/>
      <c r="AE203" s="180"/>
      <c r="AF203" s="180"/>
      <c r="AG203" s="180"/>
      <c r="AH203" s="180"/>
      <c r="AI203" s="180"/>
      <c r="AJ203" s="180"/>
      <c r="AK203" s="180"/>
      <c r="AL203" s="180"/>
    </row>
    <row r="204" spans="1:38" s="183" customFormat="1">
      <c r="A204" s="180"/>
      <c r="P204" s="188">
        <f t="shared" si="14"/>
        <v>0</v>
      </c>
      <c r="Q204" s="187"/>
      <c r="T204" s="185"/>
      <c r="U204" s="184"/>
      <c r="X204" s="180"/>
      <c r="Y204" s="180"/>
      <c r="Z204" s="180"/>
      <c r="AA204" s="180"/>
      <c r="AB204" s="180"/>
      <c r="AC204" s="182"/>
      <c r="AD204" s="181"/>
      <c r="AE204" s="180"/>
      <c r="AF204" s="180"/>
      <c r="AG204" s="180"/>
      <c r="AH204" s="180"/>
      <c r="AI204" s="180"/>
      <c r="AJ204" s="180"/>
      <c r="AK204" s="180"/>
      <c r="AL204" s="180"/>
    </row>
    <row r="205" spans="1:38" s="183" customFormat="1">
      <c r="A205" s="180"/>
      <c r="P205" s="188">
        <f t="shared" si="14"/>
        <v>0</v>
      </c>
      <c r="Q205" s="187"/>
      <c r="T205" s="185"/>
      <c r="U205" s="184"/>
      <c r="X205" s="180"/>
      <c r="Y205" s="180"/>
      <c r="Z205" s="180"/>
      <c r="AA205" s="180"/>
      <c r="AB205" s="180"/>
      <c r="AC205" s="182"/>
      <c r="AD205" s="181"/>
      <c r="AE205" s="180"/>
      <c r="AF205" s="180"/>
      <c r="AG205" s="180"/>
      <c r="AH205" s="180"/>
      <c r="AI205" s="180"/>
      <c r="AJ205" s="180"/>
      <c r="AK205" s="180"/>
      <c r="AL205" s="180"/>
    </row>
    <row r="206" spans="1:38" s="183" customFormat="1">
      <c r="A206" s="180"/>
      <c r="P206" s="188">
        <f t="shared" si="14"/>
        <v>0</v>
      </c>
      <c r="Q206" s="187"/>
      <c r="T206" s="185"/>
      <c r="U206" s="184"/>
      <c r="X206" s="180"/>
      <c r="Y206" s="180"/>
      <c r="Z206" s="180"/>
      <c r="AA206" s="180"/>
      <c r="AB206" s="180"/>
      <c r="AC206" s="182"/>
      <c r="AD206" s="181"/>
      <c r="AE206" s="180"/>
      <c r="AF206" s="180"/>
      <c r="AG206" s="180"/>
      <c r="AH206" s="180"/>
      <c r="AI206" s="180"/>
      <c r="AJ206" s="180"/>
      <c r="AK206" s="180"/>
      <c r="AL206" s="180"/>
    </row>
    <row r="207" spans="1:38" s="183" customFormat="1">
      <c r="A207" s="180"/>
      <c r="P207" s="188">
        <f t="shared" si="14"/>
        <v>0</v>
      </c>
      <c r="Q207" s="187"/>
      <c r="T207" s="185"/>
      <c r="U207" s="184"/>
      <c r="X207" s="180"/>
      <c r="Y207" s="180"/>
      <c r="Z207" s="180"/>
      <c r="AA207" s="180"/>
      <c r="AB207" s="180"/>
      <c r="AC207" s="182"/>
      <c r="AD207" s="181"/>
      <c r="AE207" s="180"/>
      <c r="AF207" s="180"/>
      <c r="AG207" s="180"/>
      <c r="AH207" s="180"/>
      <c r="AI207" s="180"/>
      <c r="AJ207" s="180"/>
      <c r="AK207" s="180"/>
      <c r="AL207" s="180"/>
    </row>
    <row r="208" spans="1:38" s="183" customFormat="1">
      <c r="A208" s="180"/>
      <c r="P208" s="188">
        <f t="shared" si="14"/>
        <v>0</v>
      </c>
      <c r="Q208" s="187"/>
      <c r="T208" s="185"/>
      <c r="U208" s="184"/>
      <c r="X208" s="180"/>
      <c r="Y208" s="180"/>
      <c r="Z208" s="180"/>
      <c r="AA208" s="180"/>
      <c r="AB208" s="180"/>
      <c r="AC208" s="182"/>
      <c r="AD208" s="181"/>
      <c r="AE208" s="180"/>
      <c r="AF208" s="180"/>
      <c r="AG208" s="180"/>
      <c r="AH208" s="180"/>
      <c r="AI208" s="180"/>
      <c r="AJ208" s="180"/>
      <c r="AK208" s="180"/>
      <c r="AL208" s="180"/>
    </row>
    <row r="209" spans="1:38" s="183" customFormat="1">
      <c r="A209" s="180"/>
      <c r="P209" s="188">
        <f t="shared" si="14"/>
        <v>0</v>
      </c>
      <c r="Q209" s="187"/>
      <c r="T209" s="185"/>
      <c r="U209" s="184"/>
      <c r="X209" s="180"/>
      <c r="Y209" s="180"/>
      <c r="Z209" s="180"/>
      <c r="AA209" s="180"/>
      <c r="AB209" s="180"/>
      <c r="AC209" s="182"/>
      <c r="AD209" s="181"/>
      <c r="AE209" s="180"/>
      <c r="AF209" s="180"/>
      <c r="AG209" s="180"/>
      <c r="AH209" s="180"/>
      <c r="AI209" s="180"/>
      <c r="AJ209" s="180"/>
      <c r="AK209" s="180"/>
      <c r="AL209" s="180"/>
    </row>
    <row r="210" spans="1:38" s="183" customFormat="1">
      <c r="A210" s="180"/>
      <c r="P210" s="188">
        <f t="shared" si="14"/>
        <v>0</v>
      </c>
      <c r="Q210" s="187"/>
      <c r="T210" s="185"/>
      <c r="U210" s="184"/>
      <c r="X210" s="180"/>
      <c r="Y210" s="180"/>
      <c r="Z210" s="180"/>
      <c r="AA210" s="180"/>
      <c r="AB210" s="180"/>
      <c r="AC210" s="182"/>
      <c r="AD210" s="181"/>
      <c r="AE210" s="180"/>
      <c r="AF210" s="180"/>
      <c r="AG210" s="180"/>
      <c r="AH210" s="180"/>
      <c r="AI210" s="180"/>
      <c r="AJ210" s="180"/>
      <c r="AK210" s="180"/>
      <c r="AL210" s="180"/>
    </row>
    <row r="211" spans="1:38" s="183" customFormat="1">
      <c r="A211" s="180"/>
      <c r="P211" s="188">
        <f t="shared" si="14"/>
        <v>0</v>
      </c>
      <c r="Q211" s="187"/>
      <c r="T211" s="185"/>
      <c r="U211" s="184"/>
      <c r="X211" s="180"/>
      <c r="Y211" s="180"/>
      <c r="Z211" s="180"/>
      <c r="AA211" s="180"/>
      <c r="AB211" s="180"/>
      <c r="AC211" s="182"/>
      <c r="AD211" s="181"/>
      <c r="AE211" s="180"/>
      <c r="AF211" s="180"/>
      <c r="AG211" s="180"/>
      <c r="AH211" s="180"/>
      <c r="AI211" s="180"/>
      <c r="AJ211" s="180"/>
      <c r="AK211" s="180"/>
      <c r="AL211" s="180"/>
    </row>
    <row r="212" spans="1:38" s="183" customFormat="1">
      <c r="A212" s="180"/>
      <c r="P212" s="188">
        <f t="shared" si="14"/>
        <v>0</v>
      </c>
      <c r="Q212" s="187"/>
      <c r="T212" s="185"/>
      <c r="U212" s="184"/>
      <c r="X212" s="180"/>
      <c r="Y212" s="180"/>
      <c r="Z212" s="180"/>
      <c r="AA212" s="180"/>
      <c r="AB212" s="180"/>
      <c r="AC212" s="182"/>
      <c r="AD212" s="181"/>
      <c r="AE212" s="180"/>
      <c r="AF212" s="180"/>
      <c r="AG212" s="180"/>
      <c r="AH212" s="180"/>
      <c r="AI212" s="180"/>
      <c r="AJ212" s="180"/>
      <c r="AK212" s="180"/>
      <c r="AL212" s="180"/>
    </row>
    <row r="213" spans="1:38" s="183" customFormat="1">
      <c r="A213" s="180"/>
      <c r="P213" s="188">
        <f t="shared" si="14"/>
        <v>0</v>
      </c>
      <c r="Q213" s="187"/>
      <c r="T213" s="185"/>
      <c r="U213" s="184"/>
      <c r="X213" s="180"/>
      <c r="Y213" s="180"/>
      <c r="Z213" s="180"/>
      <c r="AA213" s="180"/>
      <c r="AB213" s="180"/>
      <c r="AC213" s="182"/>
      <c r="AD213" s="181"/>
      <c r="AE213" s="180"/>
      <c r="AF213" s="180"/>
      <c r="AG213" s="180"/>
      <c r="AH213" s="180"/>
      <c r="AI213" s="180"/>
      <c r="AJ213" s="180"/>
      <c r="AK213" s="180"/>
      <c r="AL213" s="180"/>
    </row>
    <row r="214" spans="1:38" s="183" customFormat="1">
      <c r="A214" s="180"/>
      <c r="P214" s="188">
        <f t="shared" si="14"/>
        <v>0</v>
      </c>
      <c r="Q214" s="187"/>
      <c r="T214" s="185"/>
      <c r="U214" s="184"/>
      <c r="X214" s="180"/>
      <c r="Y214" s="180"/>
      <c r="Z214" s="180"/>
      <c r="AA214" s="180"/>
      <c r="AB214" s="180"/>
      <c r="AC214" s="182"/>
      <c r="AD214" s="181"/>
      <c r="AE214" s="180"/>
      <c r="AF214" s="180"/>
      <c r="AG214" s="180"/>
      <c r="AH214" s="180"/>
      <c r="AI214" s="180"/>
      <c r="AJ214" s="180"/>
      <c r="AK214" s="180"/>
      <c r="AL214" s="180"/>
    </row>
    <row r="215" spans="1:38" s="183" customFormat="1">
      <c r="A215" s="180"/>
      <c r="P215" s="188">
        <f t="shared" si="14"/>
        <v>0</v>
      </c>
      <c r="Q215" s="187"/>
      <c r="T215" s="185"/>
      <c r="U215" s="184"/>
      <c r="X215" s="180"/>
      <c r="Y215" s="180"/>
      <c r="Z215" s="180"/>
      <c r="AA215" s="180"/>
      <c r="AB215" s="180"/>
      <c r="AC215" s="182"/>
      <c r="AD215" s="181"/>
      <c r="AE215" s="180"/>
      <c r="AF215" s="180"/>
      <c r="AG215" s="180"/>
      <c r="AH215" s="180"/>
      <c r="AI215" s="180"/>
      <c r="AJ215" s="180"/>
      <c r="AK215" s="180"/>
      <c r="AL215" s="180"/>
    </row>
    <row r="216" spans="1:38" s="183" customFormat="1">
      <c r="A216" s="180"/>
      <c r="P216" s="188">
        <f t="shared" si="14"/>
        <v>0</v>
      </c>
      <c r="Q216" s="187"/>
      <c r="T216" s="185"/>
      <c r="U216" s="184"/>
      <c r="X216" s="180"/>
      <c r="Y216" s="180"/>
      <c r="Z216" s="180"/>
      <c r="AA216" s="180"/>
      <c r="AB216" s="180"/>
      <c r="AC216" s="182"/>
      <c r="AD216" s="181"/>
      <c r="AE216" s="180"/>
      <c r="AF216" s="180"/>
      <c r="AG216" s="180"/>
      <c r="AH216" s="180"/>
      <c r="AI216" s="180"/>
      <c r="AJ216" s="180"/>
      <c r="AK216" s="180"/>
      <c r="AL216" s="180"/>
    </row>
    <row r="217" spans="1:38" s="183" customFormat="1">
      <c r="A217" s="180"/>
      <c r="P217" s="188">
        <f t="shared" si="14"/>
        <v>0</v>
      </c>
      <c r="Q217" s="187"/>
      <c r="T217" s="185"/>
      <c r="U217" s="184"/>
      <c r="X217" s="180"/>
      <c r="Y217" s="180"/>
      <c r="Z217" s="180"/>
      <c r="AA217" s="180"/>
      <c r="AB217" s="180"/>
      <c r="AC217" s="182"/>
      <c r="AD217" s="181"/>
      <c r="AE217" s="180"/>
      <c r="AF217" s="180"/>
      <c r="AG217" s="180"/>
      <c r="AH217" s="180"/>
      <c r="AI217" s="180"/>
      <c r="AJ217" s="180"/>
      <c r="AK217" s="180"/>
      <c r="AL217" s="180"/>
    </row>
    <row r="218" spans="1:38" s="183" customFormat="1">
      <c r="A218" s="180"/>
      <c r="P218" s="188">
        <f t="shared" si="14"/>
        <v>0</v>
      </c>
      <c r="Q218" s="187"/>
      <c r="T218" s="185"/>
      <c r="U218" s="184"/>
      <c r="X218" s="180"/>
      <c r="Y218" s="180"/>
      <c r="Z218" s="180"/>
      <c r="AA218" s="180"/>
      <c r="AB218" s="180"/>
      <c r="AC218" s="182"/>
      <c r="AD218" s="181"/>
      <c r="AE218" s="180"/>
      <c r="AF218" s="180"/>
      <c r="AG218" s="180"/>
      <c r="AH218" s="180"/>
      <c r="AI218" s="180"/>
      <c r="AJ218" s="180"/>
      <c r="AK218" s="180"/>
      <c r="AL218" s="180"/>
    </row>
    <row r="219" spans="1:38" s="183" customFormat="1">
      <c r="A219" s="180"/>
      <c r="P219" s="188">
        <f t="shared" si="14"/>
        <v>0</v>
      </c>
      <c r="Q219" s="187"/>
      <c r="T219" s="185"/>
      <c r="U219" s="184"/>
      <c r="X219" s="180"/>
      <c r="Y219" s="180"/>
      <c r="Z219" s="180"/>
      <c r="AA219" s="180"/>
      <c r="AB219" s="180"/>
      <c r="AC219" s="182"/>
      <c r="AD219" s="181"/>
      <c r="AE219" s="180"/>
      <c r="AF219" s="180"/>
      <c r="AG219" s="180"/>
      <c r="AH219" s="180"/>
      <c r="AI219" s="180"/>
      <c r="AJ219" s="180"/>
      <c r="AK219" s="180"/>
      <c r="AL219" s="180"/>
    </row>
    <row r="220" spans="1:38" s="183" customFormat="1">
      <c r="A220" s="180"/>
      <c r="P220" s="188">
        <f t="shared" si="14"/>
        <v>0</v>
      </c>
      <c r="Q220" s="187"/>
      <c r="T220" s="185"/>
      <c r="U220" s="184"/>
      <c r="X220" s="180"/>
      <c r="Y220" s="180"/>
      <c r="Z220" s="180"/>
      <c r="AA220" s="180"/>
      <c r="AB220" s="180"/>
      <c r="AC220" s="182"/>
      <c r="AD220" s="181"/>
      <c r="AE220" s="180"/>
      <c r="AF220" s="180"/>
      <c r="AG220" s="180"/>
      <c r="AH220" s="180"/>
      <c r="AI220" s="180"/>
      <c r="AJ220" s="180"/>
      <c r="AK220" s="180"/>
      <c r="AL220" s="180"/>
    </row>
    <row r="221" spans="1:38" s="183" customFormat="1">
      <c r="A221" s="180"/>
      <c r="P221" s="188">
        <f t="shared" si="14"/>
        <v>0</v>
      </c>
      <c r="Q221" s="187"/>
      <c r="T221" s="185"/>
      <c r="U221" s="184"/>
      <c r="X221" s="180"/>
      <c r="Y221" s="180"/>
      <c r="Z221" s="180"/>
      <c r="AA221" s="180"/>
      <c r="AB221" s="180"/>
      <c r="AC221" s="182"/>
      <c r="AD221" s="181"/>
      <c r="AE221" s="180"/>
      <c r="AF221" s="180"/>
      <c r="AG221" s="180"/>
      <c r="AH221" s="180"/>
      <c r="AI221" s="180"/>
      <c r="AJ221" s="180"/>
      <c r="AK221" s="180"/>
      <c r="AL221" s="180"/>
    </row>
    <row r="222" spans="1:38" s="183" customFormat="1">
      <c r="A222" s="180"/>
      <c r="P222" s="188">
        <f t="shared" si="14"/>
        <v>0</v>
      </c>
      <c r="Q222" s="187"/>
      <c r="T222" s="185"/>
      <c r="U222" s="184"/>
      <c r="X222" s="180"/>
      <c r="Y222" s="180"/>
      <c r="Z222" s="180"/>
      <c r="AA222" s="180"/>
      <c r="AB222" s="180"/>
      <c r="AC222" s="182"/>
      <c r="AD222" s="181"/>
      <c r="AE222" s="180"/>
      <c r="AF222" s="180"/>
      <c r="AG222" s="180"/>
      <c r="AH222" s="180"/>
      <c r="AI222" s="180"/>
      <c r="AJ222" s="180"/>
      <c r="AK222" s="180"/>
      <c r="AL222" s="180"/>
    </row>
    <row r="223" spans="1:38" s="183" customFormat="1">
      <c r="A223" s="180"/>
      <c r="P223" s="188">
        <f t="shared" si="14"/>
        <v>0</v>
      </c>
      <c r="Q223" s="187"/>
      <c r="T223" s="185"/>
      <c r="U223" s="184"/>
      <c r="X223" s="180"/>
      <c r="Y223" s="180"/>
      <c r="Z223" s="180"/>
      <c r="AA223" s="180"/>
      <c r="AB223" s="180"/>
      <c r="AC223" s="182"/>
      <c r="AD223" s="181"/>
      <c r="AE223" s="180"/>
      <c r="AF223" s="180"/>
      <c r="AG223" s="180"/>
      <c r="AH223" s="180"/>
      <c r="AI223" s="180"/>
      <c r="AJ223" s="180"/>
      <c r="AK223" s="180"/>
      <c r="AL223" s="180"/>
    </row>
    <row r="224" spans="1:38" s="183" customFormat="1">
      <c r="A224" s="180"/>
      <c r="P224" s="188">
        <f t="shared" si="14"/>
        <v>0</v>
      </c>
      <c r="Q224" s="187"/>
      <c r="T224" s="185"/>
      <c r="U224" s="184"/>
      <c r="X224" s="180"/>
      <c r="Y224" s="180"/>
      <c r="Z224" s="180"/>
      <c r="AA224" s="180"/>
      <c r="AB224" s="180"/>
      <c r="AC224" s="182"/>
      <c r="AD224" s="181"/>
      <c r="AE224" s="180"/>
      <c r="AF224" s="180"/>
      <c r="AG224" s="180"/>
      <c r="AH224" s="180"/>
      <c r="AI224" s="180"/>
      <c r="AJ224" s="180"/>
      <c r="AK224" s="180"/>
      <c r="AL224" s="180"/>
    </row>
    <row r="225" spans="1:38" s="183" customFormat="1">
      <c r="A225" s="180"/>
      <c r="P225" s="188">
        <f t="shared" si="14"/>
        <v>0</v>
      </c>
      <c r="Q225" s="187"/>
      <c r="T225" s="185"/>
      <c r="U225" s="184"/>
      <c r="X225" s="180"/>
      <c r="Y225" s="180"/>
      <c r="Z225" s="180"/>
      <c r="AA225" s="180"/>
      <c r="AB225" s="180"/>
      <c r="AC225" s="182"/>
      <c r="AD225" s="181"/>
      <c r="AE225" s="180"/>
      <c r="AF225" s="180"/>
      <c r="AG225" s="180"/>
      <c r="AH225" s="180"/>
      <c r="AI225" s="180"/>
      <c r="AJ225" s="180"/>
      <c r="AK225" s="180"/>
      <c r="AL225" s="180"/>
    </row>
    <row r="226" spans="1:38" s="183" customFormat="1">
      <c r="A226" s="180"/>
      <c r="P226" s="188">
        <f t="shared" si="14"/>
        <v>0</v>
      </c>
      <c r="Q226" s="187"/>
      <c r="T226" s="185"/>
      <c r="U226" s="184"/>
      <c r="X226" s="180"/>
      <c r="Y226" s="180"/>
      <c r="Z226" s="180"/>
      <c r="AA226" s="180"/>
      <c r="AB226" s="180"/>
      <c r="AC226" s="182"/>
      <c r="AD226" s="181"/>
      <c r="AE226" s="180"/>
      <c r="AF226" s="180"/>
      <c r="AG226" s="180"/>
      <c r="AH226" s="180"/>
      <c r="AI226" s="180"/>
      <c r="AJ226" s="180"/>
      <c r="AK226" s="180"/>
      <c r="AL226" s="180"/>
    </row>
    <row r="227" spans="1:38" s="183" customFormat="1">
      <c r="A227" s="180"/>
      <c r="P227" s="188">
        <f t="shared" si="14"/>
        <v>0</v>
      </c>
      <c r="Q227" s="187"/>
      <c r="T227" s="185"/>
      <c r="U227" s="184"/>
      <c r="X227" s="180"/>
      <c r="Y227" s="180"/>
      <c r="Z227" s="180"/>
      <c r="AA227" s="180"/>
      <c r="AB227" s="180"/>
      <c r="AC227" s="182"/>
      <c r="AD227" s="181"/>
      <c r="AE227" s="180"/>
      <c r="AF227" s="180"/>
      <c r="AG227" s="180"/>
      <c r="AH227" s="180"/>
      <c r="AI227" s="180"/>
      <c r="AJ227" s="180"/>
      <c r="AK227" s="180"/>
      <c r="AL227" s="180"/>
    </row>
    <row r="228" spans="1:38" s="183" customFormat="1">
      <c r="A228" s="180"/>
      <c r="P228" s="188">
        <f t="shared" si="14"/>
        <v>0</v>
      </c>
      <c r="Q228" s="187"/>
      <c r="T228" s="185"/>
      <c r="U228" s="184"/>
      <c r="X228" s="180"/>
      <c r="Y228" s="180"/>
      <c r="Z228" s="180"/>
      <c r="AA228" s="180"/>
      <c r="AB228" s="180"/>
      <c r="AC228" s="182"/>
      <c r="AD228" s="181"/>
      <c r="AE228" s="180"/>
      <c r="AF228" s="180"/>
      <c r="AG228" s="180"/>
      <c r="AH228" s="180"/>
      <c r="AI228" s="180"/>
      <c r="AJ228" s="180"/>
      <c r="AK228" s="180"/>
      <c r="AL228" s="180"/>
    </row>
    <row r="229" spans="1:38" s="183" customFormat="1">
      <c r="A229" s="180"/>
      <c r="P229" s="188">
        <f t="shared" si="14"/>
        <v>0</v>
      </c>
      <c r="Q229" s="187"/>
      <c r="T229" s="185"/>
      <c r="U229" s="184"/>
      <c r="X229" s="180"/>
      <c r="Y229" s="180"/>
      <c r="Z229" s="180"/>
      <c r="AA229" s="180"/>
      <c r="AB229" s="180"/>
      <c r="AC229" s="182"/>
      <c r="AD229" s="181"/>
      <c r="AE229" s="180"/>
      <c r="AF229" s="180"/>
      <c r="AG229" s="180"/>
      <c r="AH229" s="180"/>
      <c r="AI229" s="180"/>
      <c r="AJ229" s="180"/>
      <c r="AK229" s="180"/>
      <c r="AL229" s="180"/>
    </row>
    <row r="230" spans="1:38" s="183" customFormat="1">
      <c r="A230" s="180"/>
      <c r="P230" s="188">
        <f t="shared" si="14"/>
        <v>0</v>
      </c>
      <c r="Q230" s="187"/>
      <c r="T230" s="185"/>
      <c r="U230" s="184"/>
      <c r="X230" s="180"/>
      <c r="Y230" s="180"/>
      <c r="Z230" s="180"/>
      <c r="AA230" s="180"/>
      <c r="AB230" s="180"/>
      <c r="AC230" s="182"/>
      <c r="AD230" s="181"/>
      <c r="AE230" s="180"/>
      <c r="AF230" s="180"/>
      <c r="AG230" s="180"/>
      <c r="AH230" s="180"/>
      <c r="AI230" s="180"/>
      <c r="AJ230" s="180"/>
      <c r="AK230" s="180"/>
      <c r="AL230" s="180"/>
    </row>
    <row r="231" spans="1:38" s="183" customFormat="1">
      <c r="A231" s="180"/>
      <c r="P231" s="188">
        <f t="shared" si="14"/>
        <v>0</v>
      </c>
      <c r="Q231" s="187"/>
      <c r="T231" s="185"/>
      <c r="U231" s="184"/>
      <c r="X231" s="180"/>
      <c r="Y231" s="180"/>
      <c r="Z231" s="180"/>
      <c r="AA231" s="180"/>
      <c r="AB231" s="180"/>
      <c r="AC231" s="182"/>
      <c r="AD231" s="181"/>
      <c r="AE231" s="180"/>
      <c r="AF231" s="180"/>
      <c r="AG231" s="180"/>
      <c r="AH231" s="180"/>
      <c r="AI231" s="180"/>
      <c r="AJ231" s="180"/>
      <c r="AK231" s="180"/>
      <c r="AL231" s="180"/>
    </row>
    <row r="232" spans="1:38" s="183" customFormat="1">
      <c r="A232" s="180"/>
      <c r="P232" s="188">
        <f t="shared" si="14"/>
        <v>0</v>
      </c>
      <c r="Q232" s="187"/>
      <c r="T232" s="185"/>
      <c r="U232" s="184"/>
      <c r="X232" s="180"/>
      <c r="Y232" s="180"/>
      <c r="Z232" s="180"/>
      <c r="AA232" s="180"/>
      <c r="AB232" s="180"/>
      <c r="AC232" s="182"/>
      <c r="AD232" s="181"/>
      <c r="AE232" s="180"/>
      <c r="AF232" s="180"/>
      <c r="AG232" s="180"/>
      <c r="AH232" s="180"/>
      <c r="AI232" s="180"/>
      <c r="AJ232" s="180"/>
      <c r="AK232" s="180"/>
      <c r="AL232" s="180"/>
    </row>
    <row r="233" spans="1:38" s="183" customFormat="1">
      <c r="A233" s="180"/>
      <c r="P233" s="188">
        <f t="shared" si="14"/>
        <v>0</v>
      </c>
      <c r="Q233" s="187"/>
      <c r="T233" s="185"/>
      <c r="U233" s="184"/>
      <c r="X233" s="180"/>
      <c r="Y233" s="180"/>
      <c r="Z233" s="180"/>
      <c r="AA233" s="180"/>
      <c r="AB233" s="180"/>
      <c r="AC233" s="182"/>
      <c r="AD233" s="181"/>
      <c r="AE233" s="180"/>
      <c r="AF233" s="180"/>
      <c r="AG233" s="180"/>
      <c r="AH233" s="180"/>
      <c r="AI233" s="180"/>
      <c r="AJ233" s="180"/>
      <c r="AK233" s="180"/>
      <c r="AL233" s="180"/>
    </row>
    <row r="234" spans="1:38" s="183" customFormat="1">
      <c r="A234" s="180"/>
      <c r="P234" s="188">
        <f t="shared" si="14"/>
        <v>0</v>
      </c>
      <c r="Q234" s="187"/>
      <c r="T234" s="185"/>
      <c r="U234" s="184"/>
      <c r="X234" s="180"/>
      <c r="Y234" s="180"/>
      <c r="Z234" s="180"/>
      <c r="AA234" s="180"/>
      <c r="AB234" s="180"/>
      <c r="AC234" s="182"/>
      <c r="AD234" s="181"/>
      <c r="AE234" s="180"/>
      <c r="AF234" s="180"/>
      <c r="AG234" s="180"/>
      <c r="AH234" s="180"/>
      <c r="AI234" s="180"/>
      <c r="AJ234" s="180"/>
      <c r="AK234" s="180"/>
      <c r="AL234" s="180"/>
    </row>
    <row r="235" spans="1:38" s="183" customFormat="1">
      <c r="A235" s="180"/>
      <c r="P235" s="188">
        <f t="shared" si="14"/>
        <v>0</v>
      </c>
      <c r="Q235" s="187"/>
      <c r="T235" s="185"/>
      <c r="U235" s="184"/>
      <c r="X235" s="180"/>
      <c r="Y235" s="180"/>
      <c r="Z235" s="180"/>
      <c r="AA235" s="180"/>
      <c r="AB235" s="180"/>
      <c r="AC235" s="182"/>
      <c r="AD235" s="181"/>
      <c r="AE235" s="180"/>
      <c r="AF235" s="180"/>
      <c r="AG235" s="180"/>
      <c r="AH235" s="180"/>
      <c r="AI235" s="180"/>
      <c r="AJ235" s="180"/>
      <c r="AK235" s="180"/>
      <c r="AL235" s="180"/>
    </row>
    <row r="236" spans="1:38" s="183" customFormat="1">
      <c r="A236" s="180"/>
      <c r="P236" s="188">
        <f t="shared" si="14"/>
        <v>0</v>
      </c>
      <c r="Q236" s="187"/>
      <c r="T236" s="185"/>
      <c r="U236" s="184"/>
      <c r="X236" s="180"/>
      <c r="Y236" s="180"/>
      <c r="Z236" s="180"/>
      <c r="AA236" s="180"/>
      <c r="AB236" s="180"/>
      <c r="AC236" s="182"/>
      <c r="AD236" s="181"/>
      <c r="AE236" s="180"/>
      <c r="AF236" s="180"/>
      <c r="AG236" s="180"/>
      <c r="AH236" s="180"/>
      <c r="AI236" s="180"/>
      <c r="AJ236" s="180"/>
      <c r="AK236" s="180"/>
      <c r="AL236" s="180"/>
    </row>
    <row r="237" spans="1:38" s="183" customFormat="1">
      <c r="A237" s="180"/>
      <c r="P237" s="188">
        <f t="shared" si="14"/>
        <v>0</v>
      </c>
      <c r="Q237" s="187"/>
      <c r="T237" s="185"/>
      <c r="U237" s="184"/>
      <c r="X237" s="180"/>
      <c r="Y237" s="180"/>
      <c r="Z237" s="180"/>
      <c r="AA237" s="180"/>
      <c r="AB237" s="180"/>
      <c r="AC237" s="182"/>
      <c r="AD237" s="181"/>
      <c r="AE237" s="180"/>
      <c r="AF237" s="180"/>
      <c r="AG237" s="180"/>
      <c r="AH237" s="180"/>
      <c r="AI237" s="180"/>
      <c r="AJ237" s="180"/>
      <c r="AK237" s="180"/>
      <c r="AL237" s="180"/>
    </row>
    <row r="238" spans="1:38" s="183" customFormat="1">
      <c r="A238" s="180"/>
      <c r="P238" s="188">
        <f t="shared" si="14"/>
        <v>0</v>
      </c>
      <c r="Q238" s="187"/>
      <c r="T238" s="185"/>
      <c r="U238" s="184"/>
      <c r="X238" s="180"/>
      <c r="Y238" s="180"/>
      <c r="Z238" s="180"/>
      <c r="AA238" s="180"/>
      <c r="AB238" s="180"/>
      <c r="AC238" s="182"/>
      <c r="AD238" s="181"/>
      <c r="AE238" s="180"/>
      <c r="AF238" s="180"/>
      <c r="AG238" s="180"/>
      <c r="AH238" s="180"/>
      <c r="AI238" s="180"/>
      <c r="AJ238" s="180"/>
      <c r="AK238" s="180"/>
      <c r="AL238" s="180"/>
    </row>
    <row r="239" spans="1:38" s="183" customFormat="1">
      <c r="A239" s="180"/>
      <c r="P239" s="188">
        <f t="shared" si="14"/>
        <v>0</v>
      </c>
      <c r="Q239" s="187"/>
      <c r="T239" s="185"/>
      <c r="U239" s="184"/>
      <c r="X239" s="180"/>
      <c r="Y239" s="180"/>
      <c r="Z239" s="180"/>
      <c r="AA239" s="180"/>
      <c r="AB239" s="180"/>
      <c r="AC239" s="182"/>
      <c r="AD239" s="181"/>
      <c r="AE239" s="180"/>
      <c r="AF239" s="180"/>
      <c r="AG239" s="180"/>
      <c r="AH239" s="180"/>
      <c r="AI239" s="180"/>
      <c r="AJ239" s="180"/>
      <c r="AK239" s="180"/>
      <c r="AL239" s="180"/>
    </row>
    <row r="240" spans="1:38" s="183" customFormat="1">
      <c r="A240" s="180"/>
      <c r="P240" s="188">
        <f t="shared" si="14"/>
        <v>0</v>
      </c>
      <c r="Q240" s="187"/>
      <c r="T240" s="185"/>
      <c r="U240" s="184"/>
      <c r="X240" s="180"/>
      <c r="Y240" s="180"/>
      <c r="Z240" s="180"/>
      <c r="AA240" s="180"/>
      <c r="AB240" s="180"/>
      <c r="AC240" s="182"/>
      <c r="AD240" s="181"/>
      <c r="AE240" s="180"/>
      <c r="AF240" s="180"/>
      <c r="AG240" s="180"/>
      <c r="AH240" s="180"/>
      <c r="AI240" s="180"/>
      <c r="AJ240" s="180"/>
      <c r="AK240" s="180"/>
      <c r="AL240" s="180"/>
    </row>
    <row r="241" spans="1:38" s="183" customFormat="1">
      <c r="A241" s="180"/>
      <c r="P241" s="188">
        <f t="shared" si="14"/>
        <v>0</v>
      </c>
      <c r="Q241" s="187"/>
      <c r="T241" s="185"/>
      <c r="U241" s="184"/>
      <c r="X241" s="180"/>
      <c r="Y241" s="180"/>
      <c r="Z241" s="180"/>
      <c r="AA241" s="180"/>
      <c r="AB241" s="180"/>
      <c r="AC241" s="182"/>
      <c r="AD241" s="181"/>
      <c r="AE241" s="180"/>
      <c r="AF241" s="180"/>
      <c r="AG241" s="180"/>
      <c r="AH241" s="180"/>
      <c r="AI241" s="180"/>
      <c r="AJ241" s="180"/>
      <c r="AK241" s="180"/>
      <c r="AL241" s="180"/>
    </row>
    <row r="242" spans="1:38" s="183" customFormat="1">
      <c r="A242" s="180"/>
      <c r="P242" s="188">
        <f t="shared" si="14"/>
        <v>0</v>
      </c>
      <c r="Q242" s="187"/>
      <c r="T242" s="185"/>
      <c r="U242" s="184"/>
      <c r="X242" s="180"/>
      <c r="Y242" s="180"/>
      <c r="Z242" s="180"/>
      <c r="AA242" s="180"/>
      <c r="AB242" s="180"/>
      <c r="AC242" s="182"/>
      <c r="AD242" s="181"/>
      <c r="AE242" s="180"/>
      <c r="AF242" s="180"/>
      <c r="AG242" s="180"/>
      <c r="AH242" s="180"/>
      <c r="AI242" s="180"/>
      <c r="AJ242" s="180"/>
      <c r="AK242" s="180"/>
      <c r="AL242" s="180"/>
    </row>
    <row r="243" spans="1:38" s="183" customFormat="1">
      <c r="A243" s="180"/>
      <c r="P243" s="188">
        <f t="shared" si="14"/>
        <v>0</v>
      </c>
      <c r="Q243" s="187"/>
      <c r="T243" s="185"/>
      <c r="U243" s="184"/>
      <c r="X243" s="180"/>
      <c r="Y243" s="180"/>
      <c r="Z243" s="180"/>
      <c r="AA243" s="180"/>
      <c r="AB243" s="180"/>
      <c r="AC243" s="182"/>
      <c r="AD243" s="181"/>
      <c r="AE243" s="180"/>
      <c r="AF243" s="180"/>
      <c r="AG243" s="180"/>
      <c r="AH243" s="180"/>
      <c r="AI243" s="180"/>
      <c r="AJ243" s="180"/>
      <c r="AK243" s="180"/>
      <c r="AL243" s="180"/>
    </row>
    <row r="244" spans="1:38" s="183" customFormat="1">
      <c r="A244" s="180"/>
      <c r="P244" s="188">
        <f t="shared" si="14"/>
        <v>0</v>
      </c>
      <c r="Q244" s="187"/>
      <c r="T244" s="185"/>
      <c r="U244" s="184"/>
      <c r="X244" s="180"/>
      <c r="Y244" s="180"/>
      <c r="Z244" s="180"/>
      <c r="AA244" s="180"/>
      <c r="AB244" s="180"/>
      <c r="AC244" s="182"/>
      <c r="AD244" s="181"/>
      <c r="AE244" s="180"/>
      <c r="AF244" s="180"/>
      <c r="AG244" s="180"/>
      <c r="AH244" s="180"/>
      <c r="AI244" s="180"/>
      <c r="AJ244" s="180"/>
      <c r="AK244" s="180"/>
      <c r="AL244" s="180"/>
    </row>
    <row r="245" spans="1:38" s="183" customFormat="1">
      <c r="A245" s="180"/>
      <c r="P245" s="188">
        <f t="shared" si="14"/>
        <v>0</v>
      </c>
      <c r="Q245" s="187"/>
      <c r="T245" s="185"/>
      <c r="U245" s="184"/>
      <c r="X245" s="180"/>
      <c r="Y245" s="180"/>
      <c r="Z245" s="180"/>
      <c r="AA245" s="180"/>
      <c r="AB245" s="180"/>
      <c r="AC245" s="182"/>
      <c r="AD245" s="181"/>
      <c r="AE245" s="180"/>
      <c r="AF245" s="180"/>
      <c r="AG245" s="180"/>
      <c r="AH245" s="180"/>
      <c r="AI245" s="180"/>
      <c r="AJ245" s="180"/>
      <c r="AK245" s="180"/>
      <c r="AL245" s="180"/>
    </row>
    <row r="246" spans="1:38" s="183" customFormat="1">
      <c r="A246" s="180"/>
      <c r="P246" s="188">
        <f t="shared" si="14"/>
        <v>0</v>
      </c>
      <c r="Q246" s="187"/>
      <c r="T246" s="185"/>
      <c r="U246" s="184"/>
      <c r="X246" s="180"/>
      <c r="Y246" s="180"/>
      <c r="Z246" s="180"/>
      <c r="AA246" s="180"/>
      <c r="AB246" s="180"/>
      <c r="AC246" s="182"/>
      <c r="AD246" s="181"/>
      <c r="AE246" s="180"/>
      <c r="AF246" s="180"/>
      <c r="AG246" s="180"/>
      <c r="AH246" s="180"/>
      <c r="AI246" s="180"/>
      <c r="AJ246" s="180"/>
      <c r="AK246" s="180"/>
      <c r="AL246" s="180"/>
    </row>
    <row r="247" spans="1:38" s="183" customFormat="1">
      <c r="A247" s="180"/>
      <c r="P247" s="188">
        <f t="shared" si="14"/>
        <v>0</v>
      </c>
      <c r="Q247" s="187"/>
      <c r="T247" s="185"/>
      <c r="U247" s="184"/>
      <c r="X247" s="180"/>
      <c r="Y247" s="180"/>
      <c r="Z247" s="180"/>
      <c r="AA247" s="180"/>
      <c r="AB247" s="180"/>
      <c r="AC247" s="182"/>
      <c r="AD247" s="181"/>
      <c r="AE247" s="180"/>
      <c r="AF247" s="180"/>
      <c r="AG247" s="180"/>
      <c r="AH247" s="180"/>
      <c r="AI247" s="180"/>
      <c r="AJ247" s="180"/>
      <c r="AK247" s="180"/>
      <c r="AL247" s="180"/>
    </row>
    <row r="248" spans="1:38" s="183" customFormat="1">
      <c r="A248" s="180"/>
      <c r="P248" s="188">
        <f t="shared" si="14"/>
        <v>0</v>
      </c>
      <c r="Q248" s="187"/>
      <c r="T248" s="185"/>
      <c r="U248" s="184"/>
      <c r="X248" s="180"/>
      <c r="Y248" s="180"/>
      <c r="Z248" s="180"/>
      <c r="AA248" s="180"/>
      <c r="AB248" s="180"/>
      <c r="AC248" s="182"/>
      <c r="AD248" s="181"/>
      <c r="AE248" s="180"/>
      <c r="AF248" s="180"/>
      <c r="AG248" s="180"/>
      <c r="AH248" s="180"/>
      <c r="AI248" s="180"/>
      <c r="AJ248" s="180"/>
      <c r="AK248" s="180"/>
      <c r="AL248" s="180"/>
    </row>
    <row r="249" spans="1:38" s="183" customFormat="1">
      <c r="A249" s="180"/>
      <c r="P249" s="188">
        <f t="shared" si="14"/>
        <v>0</v>
      </c>
      <c r="Q249" s="187"/>
      <c r="T249" s="185"/>
      <c r="U249" s="184"/>
      <c r="X249" s="180"/>
      <c r="Y249" s="180"/>
      <c r="Z249" s="180"/>
      <c r="AA249" s="180"/>
      <c r="AB249" s="180"/>
      <c r="AC249" s="182"/>
      <c r="AD249" s="181"/>
      <c r="AE249" s="180"/>
      <c r="AF249" s="180"/>
      <c r="AG249" s="180"/>
      <c r="AH249" s="180"/>
      <c r="AI249" s="180"/>
      <c r="AJ249" s="180"/>
      <c r="AK249" s="180"/>
      <c r="AL249" s="180"/>
    </row>
    <row r="250" spans="1:38" s="183" customFormat="1">
      <c r="A250" s="180"/>
      <c r="P250" s="188">
        <f t="shared" si="14"/>
        <v>0</v>
      </c>
      <c r="Q250" s="187"/>
      <c r="T250" s="185"/>
      <c r="U250" s="184"/>
      <c r="X250" s="180"/>
      <c r="Y250" s="180"/>
      <c r="Z250" s="180"/>
      <c r="AA250" s="180"/>
      <c r="AB250" s="180"/>
      <c r="AC250" s="182"/>
      <c r="AD250" s="181"/>
      <c r="AE250" s="180"/>
      <c r="AF250" s="180"/>
      <c r="AG250" s="180"/>
      <c r="AH250" s="180"/>
      <c r="AI250" s="180"/>
      <c r="AJ250" s="180"/>
      <c r="AK250" s="180"/>
      <c r="AL250" s="180"/>
    </row>
    <row r="251" spans="1:38" s="183" customFormat="1">
      <c r="A251" s="180"/>
      <c r="P251" s="188">
        <f t="shared" si="14"/>
        <v>0</v>
      </c>
      <c r="Q251" s="187"/>
      <c r="T251" s="185"/>
      <c r="U251" s="184"/>
      <c r="X251" s="180"/>
      <c r="Y251" s="180"/>
      <c r="Z251" s="180"/>
      <c r="AA251" s="180"/>
      <c r="AB251" s="180"/>
      <c r="AC251" s="182"/>
      <c r="AD251" s="181"/>
      <c r="AE251" s="180"/>
      <c r="AF251" s="180"/>
      <c r="AG251" s="180"/>
      <c r="AH251" s="180"/>
      <c r="AI251" s="180"/>
      <c r="AJ251" s="180"/>
      <c r="AK251" s="180"/>
      <c r="AL251" s="180"/>
    </row>
    <row r="252" spans="1:38" s="183" customFormat="1">
      <c r="A252" s="180"/>
      <c r="P252" s="188">
        <f t="shared" si="14"/>
        <v>0</v>
      </c>
      <c r="Q252" s="187"/>
      <c r="T252" s="185"/>
      <c r="U252" s="184"/>
      <c r="X252" s="180"/>
      <c r="Y252" s="180"/>
      <c r="Z252" s="180"/>
      <c r="AA252" s="180"/>
      <c r="AB252" s="180"/>
      <c r="AC252" s="182"/>
      <c r="AD252" s="181"/>
      <c r="AE252" s="180"/>
      <c r="AF252" s="180"/>
      <c r="AG252" s="180"/>
      <c r="AH252" s="180"/>
      <c r="AI252" s="180"/>
      <c r="AJ252" s="180"/>
      <c r="AK252" s="180"/>
      <c r="AL252" s="180"/>
    </row>
    <row r="253" spans="1:38" s="183" customFormat="1">
      <c r="A253" s="180"/>
      <c r="P253" s="188">
        <f t="shared" ref="P253:P316" si="15">IFERROR(IF($I253="Rotary",LEFT($O253,9),$O253),"")</f>
        <v>0</v>
      </c>
      <c r="Q253" s="187"/>
      <c r="T253" s="185"/>
      <c r="U253" s="184"/>
      <c r="X253" s="180"/>
      <c r="Y253" s="180"/>
      <c r="Z253" s="180"/>
      <c r="AA253" s="180"/>
      <c r="AB253" s="180"/>
      <c r="AC253" s="182"/>
      <c r="AD253" s="181"/>
      <c r="AE253" s="180"/>
      <c r="AF253" s="180"/>
      <c r="AG253" s="180"/>
      <c r="AH253" s="180"/>
      <c r="AI253" s="180"/>
      <c r="AJ253" s="180"/>
      <c r="AK253" s="180"/>
      <c r="AL253" s="180"/>
    </row>
    <row r="254" spans="1:38" s="183" customFormat="1">
      <c r="A254" s="180"/>
      <c r="P254" s="188">
        <f t="shared" si="15"/>
        <v>0</v>
      </c>
      <c r="Q254" s="187"/>
      <c r="T254" s="185"/>
      <c r="U254" s="184"/>
      <c r="X254" s="180"/>
      <c r="Y254" s="180"/>
      <c r="Z254" s="180"/>
      <c r="AA254" s="180"/>
      <c r="AB254" s="180"/>
      <c r="AC254" s="182"/>
      <c r="AD254" s="181"/>
      <c r="AE254" s="180"/>
      <c r="AF254" s="180"/>
      <c r="AG254" s="180"/>
      <c r="AH254" s="180"/>
      <c r="AI254" s="180"/>
      <c r="AJ254" s="180"/>
      <c r="AK254" s="180"/>
      <c r="AL254" s="180"/>
    </row>
    <row r="255" spans="1:38" s="183" customFormat="1">
      <c r="A255" s="180"/>
      <c r="P255" s="188">
        <f t="shared" si="15"/>
        <v>0</v>
      </c>
      <c r="Q255" s="187"/>
      <c r="T255" s="185"/>
      <c r="U255" s="184"/>
      <c r="X255" s="180"/>
      <c r="Y255" s="180"/>
      <c r="Z255" s="180"/>
      <c r="AA255" s="180"/>
      <c r="AB255" s="180"/>
      <c r="AC255" s="182"/>
      <c r="AD255" s="181"/>
      <c r="AE255" s="180"/>
      <c r="AF255" s="180"/>
      <c r="AG255" s="180"/>
      <c r="AH255" s="180"/>
      <c r="AI255" s="180"/>
      <c r="AJ255" s="180"/>
      <c r="AK255" s="180"/>
      <c r="AL255" s="180"/>
    </row>
    <row r="256" spans="1:38" s="183" customFormat="1">
      <c r="A256" s="180"/>
      <c r="P256" s="188">
        <f t="shared" si="15"/>
        <v>0</v>
      </c>
      <c r="Q256" s="187"/>
      <c r="T256" s="185"/>
      <c r="U256" s="184"/>
      <c r="X256" s="180"/>
      <c r="Y256" s="180"/>
      <c r="Z256" s="180"/>
      <c r="AA256" s="180"/>
      <c r="AB256" s="180"/>
      <c r="AC256" s="182"/>
      <c r="AD256" s="181"/>
      <c r="AE256" s="180"/>
      <c r="AF256" s="180"/>
      <c r="AG256" s="180"/>
      <c r="AH256" s="180"/>
      <c r="AI256" s="180"/>
      <c r="AJ256" s="180"/>
      <c r="AK256" s="180"/>
      <c r="AL256" s="180"/>
    </row>
    <row r="257" spans="1:38" s="183" customFormat="1">
      <c r="A257" s="180"/>
      <c r="P257" s="188">
        <f t="shared" si="15"/>
        <v>0</v>
      </c>
      <c r="Q257" s="187"/>
      <c r="T257" s="185"/>
      <c r="U257" s="184"/>
      <c r="X257" s="180"/>
      <c r="Y257" s="180"/>
      <c r="Z257" s="180"/>
      <c r="AA257" s="180"/>
      <c r="AB257" s="180"/>
      <c r="AC257" s="182"/>
      <c r="AD257" s="181"/>
      <c r="AE257" s="180"/>
      <c r="AF257" s="180"/>
      <c r="AG257" s="180"/>
      <c r="AH257" s="180"/>
      <c r="AI257" s="180"/>
      <c r="AJ257" s="180"/>
      <c r="AK257" s="180"/>
      <c r="AL257" s="180"/>
    </row>
    <row r="258" spans="1:38" s="183" customFormat="1">
      <c r="A258" s="180"/>
      <c r="P258" s="188">
        <f t="shared" si="15"/>
        <v>0</v>
      </c>
      <c r="Q258" s="187"/>
      <c r="T258" s="185"/>
      <c r="U258" s="184"/>
      <c r="X258" s="180"/>
      <c r="Y258" s="180"/>
      <c r="Z258" s="180"/>
      <c r="AA258" s="180"/>
      <c r="AB258" s="180"/>
      <c r="AC258" s="182"/>
      <c r="AD258" s="181"/>
      <c r="AE258" s="180"/>
      <c r="AF258" s="180"/>
      <c r="AG258" s="180"/>
      <c r="AH258" s="180"/>
      <c r="AI258" s="180"/>
      <c r="AJ258" s="180"/>
      <c r="AK258" s="180"/>
      <c r="AL258" s="180"/>
    </row>
    <row r="259" spans="1:38" s="183" customFormat="1">
      <c r="A259" s="180"/>
      <c r="P259" s="188">
        <f t="shared" si="15"/>
        <v>0</v>
      </c>
      <c r="Q259" s="187"/>
      <c r="T259" s="185"/>
      <c r="U259" s="184"/>
      <c r="X259" s="180"/>
      <c r="Y259" s="180"/>
      <c r="Z259" s="180"/>
      <c r="AA259" s="180"/>
      <c r="AB259" s="180"/>
      <c r="AC259" s="182"/>
      <c r="AD259" s="181"/>
      <c r="AE259" s="180"/>
      <c r="AF259" s="180"/>
      <c r="AG259" s="180"/>
      <c r="AH259" s="180"/>
      <c r="AI259" s="180"/>
      <c r="AJ259" s="180"/>
      <c r="AK259" s="180"/>
      <c r="AL259" s="180"/>
    </row>
    <row r="260" spans="1:38" s="183" customFormat="1">
      <c r="A260" s="180"/>
      <c r="P260" s="188">
        <f t="shared" si="15"/>
        <v>0</v>
      </c>
      <c r="Q260" s="187"/>
      <c r="T260" s="185"/>
      <c r="U260" s="184"/>
      <c r="X260" s="180"/>
      <c r="Y260" s="180"/>
      <c r="Z260" s="180"/>
      <c r="AA260" s="180"/>
      <c r="AB260" s="180"/>
      <c r="AC260" s="182"/>
      <c r="AD260" s="181"/>
      <c r="AE260" s="180"/>
      <c r="AF260" s="180"/>
      <c r="AG260" s="180"/>
      <c r="AH260" s="180"/>
      <c r="AI260" s="180"/>
      <c r="AJ260" s="180"/>
      <c r="AK260" s="180"/>
      <c r="AL260" s="180"/>
    </row>
    <row r="261" spans="1:38" s="183" customFormat="1">
      <c r="A261" s="180"/>
      <c r="P261" s="188">
        <f t="shared" si="15"/>
        <v>0</v>
      </c>
      <c r="Q261" s="187"/>
      <c r="T261" s="185"/>
      <c r="U261" s="184"/>
      <c r="X261" s="180"/>
      <c r="Y261" s="180"/>
      <c r="Z261" s="180"/>
      <c r="AA261" s="180"/>
      <c r="AB261" s="180"/>
      <c r="AC261" s="182"/>
      <c r="AD261" s="181"/>
      <c r="AE261" s="180"/>
      <c r="AF261" s="180"/>
      <c r="AG261" s="180"/>
      <c r="AH261" s="180"/>
      <c r="AI261" s="180"/>
      <c r="AJ261" s="180"/>
      <c r="AK261" s="180"/>
      <c r="AL261" s="180"/>
    </row>
    <row r="262" spans="1:38" s="183" customFormat="1">
      <c r="A262" s="180"/>
      <c r="P262" s="188">
        <f t="shared" si="15"/>
        <v>0</v>
      </c>
      <c r="Q262" s="187"/>
      <c r="T262" s="185"/>
      <c r="U262" s="184"/>
      <c r="X262" s="180"/>
      <c r="Y262" s="180"/>
      <c r="Z262" s="180"/>
      <c r="AA262" s="180"/>
      <c r="AB262" s="180"/>
      <c r="AC262" s="182"/>
      <c r="AD262" s="181"/>
      <c r="AE262" s="180"/>
      <c r="AF262" s="180"/>
      <c r="AG262" s="180"/>
      <c r="AH262" s="180"/>
      <c r="AI262" s="180"/>
      <c r="AJ262" s="180"/>
      <c r="AK262" s="180"/>
      <c r="AL262" s="180"/>
    </row>
    <row r="263" spans="1:38" s="183" customFormat="1">
      <c r="A263" s="180"/>
      <c r="P263" s="188">
        <f t="shared" si="15"/>
        <v>0</v>
      </c>
      <c r="Q263" s="187"/>
      <c r="T263" s="185"/>
      <c r="U263" s="184"/>
      <c r="X263" s="180"/>
      <c r="Y263" s="180"/>
      <c r="Z263" s="180"/>
      <c r="AA263" s="180"/>
      <c r="AB263" s="180"/>
      <c r="AC263" s="182"/>
      <c r="AD263" s="181"/>
      <c r="AE263" s="180"/>
      <c r="AF263" s="180"/>
      <c r="AG263" s="180"/>
      <c r="AH263" s="180"/>
      <c r="AI263" s="180"/>
      <c r="AJ263" s="180"/>
      <c r="AK263" s="180"/>
      <c r="AL263" s="180"/>
    </row>
    <row r="264" spans="1:38" s="183" customFormat="1">
      <c r="A264" s="180"/>
      <c r="P264" s="188">
        <f t="shared" si="15"/>
        <v>0</v>
      </c>
      <c r="Q264" s="187"/>
      <c r="T264" s="185"/>
      <c r="U264" s="184"/>
      <c r="X264" s="180"/>
      <c r="Y264" s="180"/>
      <c r="Z264" s="180"/>
      <c r="AA264" s="180"/>
      <c r="AB264" s="180"/>
      <c r="AC264" s="182"/>
      <c r="AD264" s="181"/>
      <c r="AE264" s="180"/>
      <c r="AF264" s="180"/>
      <c r="AG264" s="180"/>
      <c r="AH264" s="180"/>
      <c r="AI264" s="180"/>
      <c r="AJ264" s="180"/>
      <c r="AK264" s="180"/>
      <c r="AL264" s="180"/>
    </row>
    <row r="265" spans="1:38" s="183" customFormat="1">
      <c r="A265" s="180"/>
      <c r="P265" s="188">
        <f t="shared" si="15"/>
        <v>0</v>
      </c>
      <c r="Q265" s="187"/>
      <c r="T265" s="185"/>
      <c r="U265" s="184"/>
      <c r="X265" s="180"/>
      <c r="Y265" s="180"/>
      <c r="Z265" s="180"/>
      <c r="AA265" s="180"/>
      <c r="AB265" s="180"/>
      <c r="AC265" s="182"/>
      <c r="AD265" s="181"/>
      <c r="AE265" s="180"/>
      <c r="AF265" s="180"/>
      <c r="AG265" s="180"/>
      <c r="AH265" s="180"/>
      <c r="AI265" s="180"/>
      <c r="AJ265" s="180"/>
      <c r="AK265" s="180"/>
      <c r="AL265" s="180"/>
    </row>
    <row r="266" spans="1:38" s="183" customFormat="1">
      <c r="A266" s="180"/>
      <c r="P266" s="188">
        <f t="shared" si="15"/>
        <v>0</v>
      </c>
      <c r="Q266" s="187"/>
      <c r="T266" s="185"/>
      <c r="U266" s="184"/>
      <c r="X266" s="180"/>
      <c r="Y266" s="180"/>
      <c r="Z266" s="180"/>
      <c r="AA266" s="180"/>
      <c r="AB266" s="180"/>
      <c r="AC266" s="182"/>
      <c r="AD266" s="181"/>
      <c r="AE266" s="180"/>
      <c r="AF266" s="180"/>
      <c r="AG266" s="180"/>
      <c r="AH266" s="180"/>
      <c r="AI266" s="180"/>
      <c r="AJ266" s="180"/>
      <c r="AK266" s="180"/>
      <c r="AL266" s="180"/>
    </row>
    <row r="267" spans="1:38" s="183" customFormat="1">
      <c r="A267" s="180"/>
      <c r="P267" s="188">
        <f t="shared" si="15"/>
        <v>0</v>
      </c>
      <c r="Q267" s="187"/>
      <c r="T267" s="185"/>
      <c r="U267" s="184"/>
      <c r="X267" s="180"/>
      <c r="Y267" s="180"/>
      <c r="Z267" s="180"/>
      <c r="AA267" s="180"/>
      <c r="AB267" s="180"/>
      <c r="AC267" s="182"/>
      <c r="AD267" s="181"/>
      <c r="AE267" s="180"/>
      <c r="AF267" s="180"/>
      <c r="AG267" s="180"/>
      <c r="AH267" s="180"/>
      <c r="AI267" s="180"/>
      <c r="AJ267" s="180"/>
      <c r="AK267" s="180"/>
      <c r="AL267" s="180"/>
    </row>
    <row r="268" spans="1:38" s="183" customFormat="1">
      <c r="A268" s="180"/>
      <c r="P268" s="188">
        <f t="shared" si="15"/>
        <v>0</v>
      </c>
      <c r="Q268" s="187"/>
      <c r="T268" s="185"/>
      <c r="U268" s="184"/>
      <c r="X268" s="180"/>
      <c r="Y268" s="180"/>
      <c r="Z268" s="180"/>
      <c r="AA268" s="180"/>
      <c r="AB268" s="180"/>
      <c r="AC268" s="182"/>
      <c r="AD268" s="181"/>
      <c r="AE268" s="180"/>
      <c r="AF268" s="180"/>
      <c r="AG268" s="180"/>
      <c r="AH268" s="180"/>
      <c r="AI268" s="180"/>
      <c r="AJ268" s="180"/>
      <c r="AK268" s="180"/>
      <c r="AL268" s="180"/>
    </row>
    <row r="269" spans="1:38" s="183" customFormat="1">
      <c r="A269" s="180"/>
      <c r="P269" s="188">
        <f t="shared" si="15"/>
        <v>0</v>
      </c>
      <c r="Q269" s="187"/>
      <c r="T269" s="185"/>
      <c r="U269" s="184"/>
      <c r="X269" s="180"/>
      <c r="Y269" s="180"/>
      <c r="Z269" s="180"/>
      <c r="AA269" s="180"/>
      <c r="AB269" s="180"/>
      <c r="AC269" s="182"/>
      <c r="AD269" s="181"/>
      <c r="AE269" s="180"/>
      <c r="AF269" s="180"/>
      <c r="AG269" s="180"/>
      <c r="AH269" s="180"/>
      <c r="AI269" s="180"/>
      <c r="AJ269" s="180"/>
      <c r="AK269" s="180"/>
      <c r="AL269" s="180"/>
    </row>
    <row r="270" spans="1:38" s="183" customFormat="1">
      <c r="A270" s="180"/>
      <c r="P270" s="188">
        <f t="shared" si="15"/>
        <v>0</v>
      </c>
      <c r="Q270" s="187"/>
      <c r="T270" s="185"/>
      <c r="U270" s="184"/>
      <c r="X270" s="180"/>
      <c r="Y270" s="180"/>
      <c r="Z270" s="180"/>
      <c r="AA270" s="180"/>
      <c r="AB270" s="180"/>
      <c r="AC270" s="182"/>
      <c r="AD270" s="181"/>
      <c r="AE270" s="180"/>
      <c r="AF270" s="180"/>
      <c r="AG270" s="180"/>
      <c r="AH270" s="180"/>
      <c r="AI270" s="180"/>
      <c r="AJ270" s="180"/>
      <c r="AK270" s="180"/>
      <c r="AL270" s="180"/>
    </row>
    <row r="271" spans="1:38" s="183" customFormat="1">
      <c r="A271" s="180"/>
      <c r="P271" s="188">
        <f t="shared" si="15"/>
        <v>0</v>
      </c>
      <c r="Q271" s="187"/>
      <c r="T271" s="185"/>
      <c r="U271" s="184"/>
      <c r="X271" s="180"/>
      <c r="Y271" s="180"/>
      <c r="Z271" s="180"/>
      <c r="AA271" s="180"/>
      <c r="AB271" s="180"/>
      <c r="AC271" s="182"/>
      <c r="AD271" s="181"/>
      <c r="AE271" s="180"/>
      <c r="AF271" s="180"/>
      <c r="AG271" s="180"/>
      <c r="AH271" s="180"/>
      <c r="AI271" s="180"/>
      <c r="AJ271" s="180"/>
      <c r="AK271" s="180"/>
      <c r="AL271" s="180"/>
    </row>
    <row r="272" spans="1:38" s="183" customFormat="1">
      <c r="A272" s="180"/>
      <c r="P272" s="188">
        <f t="shared" si="15"/>
        <v>0</v>
      </c>
      <c r="Q272" s="187"/>
      <c r="T272" s="185"/>
      <c r="U272" s="184"/>
      <c r="X272" s="180"/>
      <c r="Y272" s="180"/>
      <c r="Z272" s="180"/>
      <c r="AA272" s="180"/>
      <c r="AB272" s="180"/>
      <c r="AC272" s="182"/>
      <c r="AD272" s="181"/>
      <c r="AE272" s="180"/>
      <c r="AF272" s="180"/>
      <c r="AG272" s="180"/>
      <c r="AH272" s="180"/>
      <c r="AI272" s="180"/>
      <c r="AJ272" s="180"/>
      <c r="AK272" s="180"/>
      <c r="AL272" s="180"/>
    </row>
    <row r="273" spans="1:38" s="183" customFormat="1">
      <c r="A273" s="180"/>
      <c r="P273" s="188">
        <f t="shared" si="15"/>
        <v>0</v>
      </c>
      <c r="Q273" s="187"/>
      <c r="T273" s="185"/>
      <c r="U273" s="184"/>
      <c r="X273" s="180"/>
      <c r="Y273" s="180"/>
      <c r="Z273" s="180"/>
      <c r="AA273" s="180"/>
      <c r="AB273" s="180"/>
      <c r="AC273" s="182"/>
      <c r="AD273" s="181"/>
      <c r="AE273" s="180"/>
      <c r="AF273" s="180"/>
      <c r="AG273" s="180"/>
      <c r="AH273" s="180"/>
      <c r="AI273" s="180"/>
      <c r="AJ273" s="180"/>
      <c r="AK273" s="180"/>
      <c r="AL273" s="180"/>
    </row>
    <row r="274" spans="1:38" s="183" customFormat="1">
      <c r="A274" s="180"/>
      <c r="P274" s="188">
        <f t="shared" si="15"/>
        <v>0</v>
      </c>
      <c r="Q274" s="187"/>
      <c r="T274" s="185"/>
      <c r="U274" s="184"/>
      <c r="X274" s="180"/>
      <c r="Y274" s="180"/>
      <c r="Z274" s="180"/>
      <c r="AA274" s="180"/>
      <c r="AB274" s="180"/>
      <c r="AC274" s="182"/>
      <c r="AD274" s="181"/>
      <c r="AE274" s="180"/>
      <c r="AF274" s="180"/>
      <c r="AG274" s="180"/>
      <c r="AH274" s="180"/>
      <c r="AI274" s="180"/>
      <c r="AJ274" s="180"/>
      <c r="AK274" s="180"/>
      <c r="AL274" s="180"/>
    </row>
    <row r="275" spans="1:38" s="183" customFormat="1">
      <c r="A275" s="180"/>
      <c r="P275" s="188">
        <f t="shared" si="15"/>
        <v>0</v>
      </c>
      <c r="Q275" s="187"/>
      <c r="T275" s="185"/>
      <c r="U275" s="184"/>
      <c r="X275" s="180"/>
      <c r="Y275" s="180"/>
      <c r="Z275" s="180"/>
      <c r="AA275" s="180"/>
      <c r="AB275" s="180"/>
      <c r="AC275" s="182"/>
      <c r="AD275" s="181"/>
      <c r="AE275" s="180"/>
      <c r="AF275" s="180"/>
      <c r="AG275" s="180"/>
      <c r="AH275" s="180"/>
      <c r="AI275" s="180"/>
      <c r="AJ275" s="180"/>
      <c r="AK275" s="180"/>
      <c r="AL275" s="180"/>
    </row>
    <row r="276" spans="1:38" s="183" customFormat="1">
      <c r="A276" s="180"/>
      <c r="P276" s="188">
        <f t="shared" si="15"/>
        <v>0</v>
      </c>
      <c r="Q276" s="187"/>
      <c r="T276" s="185"/>
      <c r="U276" s="184"/>
      <c r="X276" s="180"/>
      <c r="Y276" s="180"/>
      <c r="Z276" s="180"/>
      <c r="AA276" s="180"/>
      <c r="AB276" s="180"/>
      <c r="AC276" s="182"/>
      <c r="AD276" s="181"/>
      <c r="AE276" s="180"/>
      <c r="AF276" s="180"/>
      <c r="AG276" s="180"/>
      <c r="AH276" s="180"/>
      <c r="AI276" s="180"/>
      <c r="AJ276" s="180"/>
      <c r="AK276" s="180"/>
      <c r="AL276" s="180"/>
    </row>
    <row r="277" spans="1:38" s="183" customFormat="1">
      <c r="A277" s="180"/>
      <c r="P277" s="188">
        <f t="shared" si="15"/>
        <v>0</v>
      </c>
      <c r="Q277" s="187"/>
      <c r="T277" s="185"/>
      <c r="U277" s="184"/>
      <c r="X277" s="180"/>
      <c r="Y277" s="180"/>
      <c r="Z277" s="180"/>
      <c r="AA277" s="180"/>
      <c r="AB277" s="180"/>
      <c r="AC277" s="182"/>
      <c r="AD277" s="181"/>
      <c r="AE277" s="180"/>
      <c r="AF277" s="180"/>
      <c r="AG277" s="180"/>
      <c r="AH277" s="180"/>
      <c r="AI277" s="180"/>
      <c r="AJ277" s="180"/>
      <c r="AK277" s="180"/>
      <c r="AL277" s="180"/>
    </row>
    <row r="278" spans="1:38" s="183" customFormat="1">
      <c r="A278" s="180"/>
      <c r="P278" s="188">
        <f t="shared" si="15"/>
        <v>0</v>
      </c>
      <c r="Q278" s="187"/>
      <c r="T278" s="185"/>
      <c r="U278" s="184"/>
      <c r="X278" s="180"/>
      <c r="Y278" s="180"/>
      <c r="Z278" s="180"/>
      <c r="AA278" s="180"/>
      <c r="AB278" s="180"/>
      <c r="AC278" s="182"/>
      <c r="AD278" s="181"/>
      <c r="AE278" s="180"/>
      <c r="AF278" s="180"/>
      <c r="AG278" s="180"/>
      <c r="AH278" s="180"/>
      <c r="AI278" s="180"/>
      <c r="AJ278" s="180"/>
      <c r="AK278" s="180"/>
      <c r="AL278" s="180"/>
    </row>
    <row r="279" spans="1:38" s="183" customFormat="1">
      <c r="A279" s="180"/>
      <c r="P279" s="188">
        <f t="shared" si="15"/>
        <v>0</v>
      </c>
      <c r="Q279" s="187"/>
      <c r="T279" s="185"/>
      <c r="U279" s="184"/>
      <c r="X279" s="180"/>
      <c r="Y279" s="180"/>
      <c r="Z279" s="180"/>
      <c r="AA279" s="180"/>
      <c r="AB279" s="180"/>
      <c r="AC279" s="182"/>
      <c r="AD279" s="181"/>
      <c r="AE279" s="180"/>
      <c r="AF279" s="180"/>
      <c r="AG279" s="180"/>
      <c r="AH279" s="180"/>
      <c r="AI279" s="180"/>
      <c r="AJ279" s="180"/>
      <c r="AK279" s="180"/>
      <c r="AL279" s="180"/>
    </row>
    <row r="280" spans="1:38" s="183" customFormat="1">
      <c r="A280" s="180"/>
      <c r="P280" s="188">
        <f t="shared" si="15"/>
        <v>0</v>
      </c>
      <c r="Q280" s="187"/>
      <c r="T280" s="185"/>
      <c r="U280" s="184"/>
      <c r="X280" s="180"/>
      <c r="Y280" s="180"/>
      <c r="Z280" s="180"/>
      <c r="AA280" s="180"/>
      <c r="AB280" s="180"/>
      <c r="AC280" s="182"/>
      <c r="AD280" s="181"/>
      <c r="AE280" s="180"/>
      <c r="AF280" s="180"/>
      <c r="AG280" s="180"/>
      <c r="AH280" s="180"/>
      <c r="AI280" s="180"/>
      <c r="AJ280" s="180"/>
      <c r="AK280" s="180"/>
      <c r="AL280" s="180"/>
    </row>
    <row r="281" spans="1:38" s="183" customFormat="1">
      <c r="A281" s="180"/>
      <c r="P281" s="188">
        <f t="shared" si="15"/>
        <v>0</v>
      </c>
      <c r="Q281" s="187"/>
      <c r="T281" s="185"/>
      <c r="U281" s="184"/>
      <c r="X281" s="180"/>
      <c r="Y281" s="180"/>
      <c r="Z281" s="180"/>
      <c r="AA281" s="180"/>
      <c r="AB281" s="180"/>
      <c r="AC281" s="182"/>
      <c r="AD281" s="181"/>
      <c r="AE281" s="180"/>
      <c r="AF281" s="180"/>
      <c r="AG281" s="180"/>
      <c r="AH281" s="180"/>
      <c r="AI281" s="180"/>
      <c r="AJ281" s="180"/>
      <c r="AK281" s="180"/>
      <c r="AL281" s="180"/>
    </row>
    <row r="282" spans="1:38" s="183" customFormat="1">
      <c r="A282" s="180"/>
      <c r="P282" s="188">
        <f t="shared" si="15"/>
        <v>0</v>
      </c>
      <c r="Q282" s="187"/>
      <c r="T282" s="185"/>
      <c r="U282" s="184"/>
      <c r="X282" s="180"/>
      <c r="Y282" s="180"/>
      <c r="Z282" s="180"/>
      <c r="AA282" s="180"/>
      <c r="AB282" s="180"/>
      <c r="AC282" s="182"/>
      <c r="AD282" s="181"/>
      <c r="AE282" s="180"/>
      <c r="AF282" s="180"/>
      <c r="AG282" s="180"/>
      <c r="AH282" s="180"/>
      <c r="AI282" s="180"/>
      <c r="AJ282" s="180"/>
      <c r="AK282" s="180"/>
      <c r="AL282" s="180"/>
    </row>
    <row r="283" spans="1:38" s="183" customFormat="1">
      <c r="A283" s="180"/>
      <c r="P283" s="188">
        <f t="shared" si="15"/>
        <v>0</v>
      </c>
      <c r="Q283" s="187"/>
      <c r="T283" s="185"/>
      <c r="U283" s="184"/>
      <c r="X283" s="180"/>
      <c r="Y283" s="180"/>
      <c r="Z283" s="180"/>
      <c r="AA283" s="180"/>
      <c r="AB283" s="180"/>
      <c r="AC283" s="182"/>
      <c r="AD283" s="181"/>
      <c r="AE283" s="180"/>
      <c r="AF283" s="180"/>
      <c r="AG283" s="180"/>
      <c r="AH283" s="180"/>
      <c r="AI283" s="180"/>
      <c r="AJ283" s="180"/>
      <c r="AK283" s="180"/>
      <c r="AL283" s="180"/>
    </row>
    <row r="284" spans="1:38" s="183" customFormat="1">
      <c r="A284" s="180"/>
      <c r="P284" s="188">
        <f t="shared" si="15"/>
        <v>0</v>
      </c>
      <c r="Q284" s="187"/>
      <c r="T284" s="185"/>
      <c r="U284" s="184"/>
      <c r="X284" s="180"/>
      <c r="Y284" s="180"/>
      <c r="Z284" s="180"/>
      <c r="AA284" s="180"/>
      <c r="AB284" s="180"/>
      <c r="AC284" s="182"/>
      <c r="AD284" s="181"/>
      <c r="AE284" s="180"/>
      <c r="AF284" s="180"/>
      <c r="AG284" s="180"/>
      <c r="AH284" s="180"/>
      <c r="AI284" s="180"/>
      <c r="AJ284" s="180"/>
      <c r="AK284" s="180"/>
      <c r="AL284" s="180"/>
    </row>
    <row r="285" spans="1:38" s="183" customFormat="1">
      <c r="A285" s="180"/>
      <c r="P285" s="188">
        <f t="shared" si="15"/>
        <v>0</v>
      </c>
      <c r="Q285" s="187"/>
      <c r="T285" s="185"/>
      <c r="U285" s="184"/>
      <c r="X285" s="180"/>
      <c r="Y285" s="180"/>
      <c r="Z285" s="180"/>
      <c r="AA285" s="180"/>
      <c r="AB285" s="180"/>
      <c r="AC285" s="182"/>
      <c r="AD285" s="181"/>
      <c r="AE285" s="180"/>
      <c r="AF285" s="180"/>
      <c r="AG285" s="180"/>
      <c r="AH285" s="180"/>
      <c r="AI285" s="180"/>
      <c r="AJ285" s="180"/>
      <c r="AK285" s="180"/>
      <c r="AL285" s="180"/>
    </row>
    <row r="286" spans="1:38" s="183" customFormat="1">
      <c r="A286" s="180"/>
      <c r="P286" s="188">
        <f t="shared" si="15"/>
        <v>0</v>
      </c>
      <c r="Q286" s="187"/>
      <c r="T286" s="185"/>
      <c r="U286" s="184"/>
      <c r="X286" s="180"/>
      <c r="Y286" s="180"/>
      <c r="Z286" s="180"/>
      <c r="AA286" s="180"/>
      <c r="AB286" s="180"/>
      <c r="AC286" s="182"/>
      <c r="AD286" s="181"/>
      <c r="AE286" s="180"/>
      <c r="AF286" s="180"/>
      <c r="AG286" s="180"/>
      <c r="AH286" s="180"/>
      <c r="AI286" s="180"/>
      <c r="AJ286" s="180"/>
      <c r="AK286" s="180"/>
      <c r="AL286" s="180"/>
    </row>
    <row r="287" spans="1:38" s="183" customFormat="1">
      <c r="A287" s="180"/>
      <c r="P287" s="188">
        <f t="shared" si="15"/>
        <v>0</v>
      </c>
      <c r="Q287" s="187"/>
      <c r="T287" s="185"/>
      <c r="U287" s="184"/>
      <c r="X287" s="180"/>
      <c r="Y287" s="180"/>
      <c r="Z287" s="180"/>
      <c r="AA287" s="180"/>
      <c r="AB287" s="180"/>
      <c r="AC287" s="182"/>
      <c r="AD287" s="181"/>
      <c r="AE287" s="180"/>
      <c r="AF287" s="180"/>
      <c r="AG287" s="180"/>
      <c r="AH287" s="180"/>
      <c r="AI287" s="180"/>
      <c r="AJ287" s="180"/>
      <c r="AK287" s="180"/>
      <c r="AL287" s="180"/>
    </row>
    <row r="288" spans="1:38" s="183" customFormat="1">
      <c r="A288" s="180"/>
      <c r="P288" s="188">
        <f t="shared" si="15"/>
        <v>0</v>
      </c>
      <c r="Q288" s="187"/>
      <c r="T288" s="185"/>
      <c r="U288" s="184"/>
      <c r="X288" s="180"/>
      <c r="Y288" s="180"/>
      <c r="Z288" s="180"/>
      <c r="AA288" s="180"/>
      <c r="AB288" s="180"/>
      <c r="AC288" s="182"/>
      <c r="AD288" s="181"/>
      <c r="AE288" s="180"/>
      <c r="AF288" s="180"/>
      <c r="AG288" s="180"/>
      <c r="AH288" s="180"/>
      <c r="AI288" s="180"/>
      <c r="AJ288" s="180"/>
      <c r="AK288" s="180"/>
      <c r="AL288" s="180"/>
    </row>
    <row r="289" spans="1:38" s="183" customFormat="1">
      <c r="A289" s="180"/>
      <c r="P289" s="188">
        <f t="shared" si="15"/>
        <v>0</v>
      </c>
      <c r="Q289" s="187"/>
      <c r="T289" s="185"/>
      <c r="U289" s="184"/>
      <c r="X289" s="180"/>
      <c r="Y289" s="180"/>
      <c r="Z289" s="180"/>
      <c r="AA289" s="180"/>
      <c r="AB289" s="180"/>
      <c r="AC289" s="182"/>
      <c r="AD289" s="181"/>
      <c r="AE289" s="180"/>
      <c r="AF289" s="180"/>
      <c r="AG289" s="180"/>
      <c r="AH289" s="180"/>
      <c r="AI289" s="180"/>
      <c r="AJ289" s="180"/>
      <c r="AK289" s="180"/>
      <c r="AL289" s="180"/>
    </row>
    <row r="290" spans="1:38" s="183" customFormat="1">
      <c r="A290" s="180"/>
      <c r="P290" s="188">
        <f t="shared" si="15"/>
        <v>0</v>
      </c>
      <c r="Q290" s="187"/>
      <c r="T290" s="185"/>
      <c r="U290" s="184"/>
      <c r="X290" s="180"/>
      <c r="Y290" s="180"/>
      <c r="Z290" s="180"/>
      <c r="AA290" s="180"/>
      <c r="AB290" s="180"/>
      <c r="AC290" s="182"/>
      <c r="AD290" s="181"/>
      <c r="AE290" s="180"/>
      <c r="AF290" s="180"/>
      <c r="AG290" s="180"/>
      <c r="AH290" s="180"/>
      <c r="AI290" s="180"/>
      <c r="AJ290" s="180"/>
      <c r="AK290" s="180"/>
      <c r="AL290" s="180"/>
    </row>
    <row r="291" spans="1:38" s="183" customFormat="1">
      <c r="A291" s="180"/>
      <c r="P291" s="188">
        <f t="shared" si="15"/>
        <v>0</v>
      </c>
      <c r="Q291" s="187"/>
      <c r="T291" s="185"/>
      <c r="U291" s="184"/>
      <c r="X291" s="180"/>
      <c r="Y291" s="180"/>
      <c r="Z291" s="180"/>
      <c r="AA291" s="180"/>
      <c r="AB291" s="180"/>
      <c r="AC291" s="182"/>
      <c r="AD291" s="181"/>
      <c r="AE291" s="180"/>
      <c r="AF291" s="180"/>
      <c r="AG291" s="180"/>
      <c r="AH291" s="180"/>
      <c r="AI291" s="180"/>
      <c r="AJ291" s="180"/>
      <c r="AK291" s="180"/>
      <c r="AL291" s="180"/>
    </row>
    <row r="292" spans="1:38" s="183" customFormat="1">
      <c r="A292" s="180"/>
      <c r="P292" s="188">
        <f t="shared" si="15"/>
        <v>0</v>
      </c>
      <c r="Q292" s="187"/>
      <c r="T292" s="185"/>
      <c r="U292" s="184"/>
      <c r="X292" s="180"/>
      <c r="Y292" s="180"/>
      <c r="Z292" s="180"/>
      <c r="AA292" s="180"/>
      <c r="AB292" s="180"/>
      <c r="AC292" s="182"/>
      <c r="AD292" s="181"/>
      <c r="AE292" s="180"/>
      <c r="AF292" s="180"/>
      <c r="AG292" s="180"/>
      <c r="AH292" s="180"/>
      <c r="AI292" s="180"/>
      <c r="AJ292" s="180"/>
      <c r="AK292" s="180"/>
      <c r="AL292" s="180"/>
    </row>
    <row r="293" spans="1:38" s="183" customFormat="1">
      <c r="A293" s="180"/>
      <c r="P293" s="188">
        <f t="shared" si="15"/>
        <v>0</v>
      </c>
      <c r="Q293" s="187"/>
      <c r="T293" s="185"/>
      <c r="U293" s="184"/>
      <c r="X293" s="180"/>
      <c r="Y293" s="180"/>
      <c r="Z293" s="180"/>
      <c r="AA293" s="180"/>
      <c r="AB293" s="180"/>
      <c r="AC293" s="182"/>
      <c r="AD293" s="181"/>
      <c r="AE293" s="180"/>
      <c r="AF293" s="180"/>
      <c r="AG293" s="180"/>
      <c r="AH293" s="180"/>
      <c r="AI293" s="180"/>
      <c r="AJ293" s="180"/>
      <c r="AK293" s="180"/>
      <c r="AL293" s="180"/>
    </row>
    <row r="294" spans="1:38" s="183" customFormat="1">
      <c r="A294" s="180"/>
      <c r="P294" s="188">
        <f t="shared" si="15"/>
        <v>0</v>
      </c>
      <c r="Q294" s="187"/>
      <c r="T294" s="185"/>
      <c r="U294" s="184"/>
      <c r="X294" s="180"/>
      <c r="Y294" s="180"/>
      <c r="Z294" s="180"/>
      <c r="AA294" s="180"/>
      <c r="AB294" s="180"/>
      <c r="AC294" s="182"/>
      <c r="AD294" s="181"/>
      <c r="AE294" s="180"/>
      <c r="AF294" s="180"/>
      <c r="AG294" s="180"/>
      <c r="AH294" s="180"/>
      <c r="AI294" s="180"/>
      <c r="AJ294" s="180"/>
      <c r="AK294" s="180"/>
      <c r="AL294" s="180"/>
    </row>
    <row r="295" spans="1:38" s="183" customFormat="1">
      <c r="A295" s="180"/>
      <c r="P295" s="188">
        <f t="shared" si="15"/>
        <v>0</v>
      </c>
      <c r="Q295" s="187"/>
      <c r="T295" s="185"/>
      <c r="U295" s="184"/>
      <c r="X295" s="180"/>
      <c r="Y295" s="180"/>
      <c r="Z295" s="180"/>
      <c r="AA295" s="180"/>
      <c r="AB295" s="180"/>
      <c r="AC295" s="182"/>
      <c r="AD295" s="181"/>
      <c r="AE295" s="180"/>
      <c r="AF295" s="180"/>
      <c r="AG295" s="180"/>
      <c r="AH295" s="180"/>
      <c r="AI295" s="180"/>
      <c r="AJ295" s="180"/>
      <c r="AK295" s="180"/>
      <c r="AL295" s="180"/>
    </row>
    <row r="296" spans="1:38" s="183" customFormat="1">
      <c r="A296" s="180"/>
      <c r="P296" s="188">
        <f t="shared" si="15"/>
        <v>0</v>
      </c>
      <c r="Q296" s="187"/>
      <c r="T296" s="185"/>
      <c r="U296" s="184"/>
      <c r="X296" s="180"/>
      <c r="Y296" s="180"/>
      <c r="Z296" s="180"/>
      <c r="AA296" s="180"/>
      <c r="AB296" s="180"/>
      <c r="AC296" s="182"/>
      <c r="AD296" s="181"/>
      <c r="AE296" s="180"/>
      <c r="AF296" s="180"/>
      <c r="AG296" s="180"/>
      <c r="AH296" s="180"/>
      <c r="AI296" s="180"/>
      <c r="AJ296" s="180"/>
      <c r="AK296" s="180"/>
      <c r="AL296" s="180"/>
    </row>
    <row r="297" spans="1:38" s="183" customFormat="1">
      <c r="A297" s="180"/>
      <c r="P297" s="188">
        <f t="shared" si="15"/>
        <v>0</v>
      </c>
      <c r="Q297" s="187"/>
      <c r="T297" s="185"/>
      <c r="U297" s="184"/>
      <c r="X297" s="180"/>
      <c r="Y297" s="180"/>
      <c r="Z297" s="180"/>
      <c r="AA297" s="180"/>
      <c r="AB297" s="180"/>
      <c r="AC297" s="182"/>
      <c r="AD297" s="181"/>
      <c r="AE297" s="180"/>
      <c r="AF297" s="180"/>
      <c r="AG297" s="180"/>
      <c r="AH297" s="180"/>
      <c r="AI297" s="180"/>
      <c r="AJ297" s="180"/>
      <c r="AK297" s="180"/>
      <c r="AL297" s="180"/>
    </row>
    <row r="298" spans="1:38" s="183" customFormat="1">
      <c r="A298" s="180"/>
      <c r="P298" s="188">
        <f t="shared" si="15"/>
        <v>0</v>
      </c>
      <c r="Q298" s="187"/>
      <c r="T298" s="185"/>
      <c r="U298" s="184"/>
      <c r="X298" s="180"/>
      <c r="Y298" s="180"/>
      <c r="Z298" s="180"/>
      <c r="AA298" s="180"/>
      <c r="AB298" s="180"/>
      <c r="AC298" s="182"/>
      <c r="AD298" s="181"/>
      <c r="AE298" s="180"/>
      <c r="AF298" s="180"/>
      <c r="AG298" s="180"/>
      <c r="AH298" s="180"/>
      <c r="AI298" s="180"/>
      <c r="AJ298" s="180"/>
      <c r="AK298" s="180"/>
      <c r="AL298" s="180"/>
    </row>
    <row r="299" spans="1:38" s="183" customFormat="1">
      <c r="A299" s="180"/>
      <c r="P299" s="188">
        <f t="shared" si="15"/>
        <v>0</v>
      </c>
      <c r="Q299" s="187"/>
      <c r="T299" s="185"/>
      <c r="U299" s="184"/>
      <c r="X299" s="180"/>
      <c r="Y299" s="180"/>
      <c r="Z299" s="180"/>
      <c r="AA299" s="180"/>
      <c r="AB299" s="180"/>
      <c r="AC299" s="182"/>
      <c r="AD299" s="181"/>
      <c r="AE299" s="180"/>
      <c r="AF299" s="180"/>
      <c r="AG299" s="180"/>
      <c r="AH299" s="180"/>
      <c r="AI299" s="180"/>
      <c r="AJ299" s="180"/>
      <c r="AK299" s="180"/>
      <c r="AL299" s="180"/>
    </row>
    <row r="300" spans="1:38" s="183" customFormat="1">
      <c r="A300" s="180"/>
      <c r="P300" s="188">
        <f t="shared" si="15"/>
        <v>0</v>
      </c>
      <c r="Q300" s="187"/>
      <c r="T300" s="185"/>
      <c r="U300" s="184"/>
      <c r="X300" s="180"/>
      <c r="Y300" s="180"/>
      <c r="Z300" s="180"/>
      <c r="AA300" s="180"/>
      <c r="AB300" s="180"/>
      <c r="AC300" s="182"/>
      <c r="AD300" s="181"/>
      <c r="AE300" s="180"/>
      <c r="AF300" s="180"/>
      <c r="AG300" s="180"/>
      <c r="AH300" s="180"/>
      <c r="AI300" s="180"/>
      <c r="AJ300" s="180"/>
      <c r="AK300" s="180"/>
      <c r="AL300" s="180"/>
    </row>
    <row r="301" spans="1:38" s="183" customFormat="1">
      <c r="A301" s="180"/>
      <c r="P301" s="188">
        <f t="shared" si="15"/>
        <v>0</v>
      </c>
      <c r="Q301" s="187"/>
      <c r="T301" s="185"/>
      <c r="U301" s="184"/>
      <c r="X301" s="180"/>
      <c r="Y301" s="180"/>
      <c r="Z301" s="180"/>
      <c r="AA301" s="180"/>
      <c r="AB301" s="180"/>
      <c r="AC301" s="182"/>
      <c r="AD301" s="181"/>
      <c r="AE301" s="180"/>
      <c r="AF301" s="180"/>
      <c r="AG301" s="180"/>
      <c r="AH301" s="180"/>
      <c r="AI301" s="180"/>
      <c r="AJ301" s="180"/>
      <c r="AK301" s="180"/>
      <c r="AL301" s="180"/>
    </row>
    <row r="302" spans="1:38" s="183" customFormat="1">
      <c r="A302" s="180"/>
      <c r="P302" s="188">
        <f t="shared" si="15"/>
        <v>0</v>
      </c>
      <c r="Q302" s="187"/>
      <c r="T302" s="185"/>
      <c r="U302" s="184"/>
      <c r="X302" s="180"/>
      <c r="Y302" s="180"/>
      <c r="Z302" s="180"/>
      <c r="AA302" s="180"/>
      <c r="AB302" s="180"/>
      <c r="AC302" s="182"/>
      <c r="AD302" s="181"/>
      <c r="AE302" s="180"/>
      <c r="AF302" s="180"/>
      <c r="AG302" s="180"/>
      <c r="AH302" s="180"/>
      <c r="AI302" s="180"/>
      <c r="AJ302" s="180"/>
      <c r="AK302" s="180"/>
      <c r="AL302" s="180"/>
    </row>
    <row r="303" spans="1:38" s="183" customFormat="1">
      <c r="A303" s="180"/>
      <c r="P303" s="188">
        <f t="shared" si="15"/>
        <v>0</v>
      </c>
      <c r="Q303" s="187"/>
      <c r="T303" s="185"/>
      <c r="U303" s="184"/>
      <c r="X303" s="180"/>
      <c r="Y303" s="180"/>
      <c r="Z303" s="180"/>
      <c r="AA303" s="180"/>
      <c r="AB303" s="180"/>
      <c r="AC303" s="182"/>
      <c r="AD303" s="181"/>
      <c r="AE303" s="180"/>
      <c r="AF303" s="180"/>
      <c r="AG303" s="180"/>
      <c r="AH303" s="180"/>
      <c r="AI303" s="180"/>
      <c r="AJ303" s="180"/>
      <c r="AK303" s="180"/>
      <c r="AL303" s="180"/>
    </row>
    <row r="304" spans="1:38" s="183" customFormat="1">
      <c r="A304" s="180"/>
      <c r="P304" s="188">
        <f t="shared" si="15"/>
        <v>0</v>
      </c>
      <c r="Q304" s="187"/>
      <c r="T304" s="185"/>
      <c r="U304" s="184"/>
      <c r="X304" s="180"/>
      <c r="Y304" s="180"/>
      <c r="Z304" s="180"/>
      <c r="AA304" s="180"/>
      <c r="AB304" s="180"/>
      <c r="AC304" s="182"/>
      <c r="AD304" s="181"/>
      <c r="AE304" s="180"/>
      <c r="AF304" s="180"/>
      <c r="AG304" s="180"/>
      <c r="AH304" s="180"/>
      <c r="AI304" s="180"/>
      <c r="AJ304" s="180"/>
      <c r="AK304" s="180"/>
      <c r="AL304" s="180"/>
    </row>
    <row r="305" spans="1:38" s="183" customFormat="1">
      <c r="A305" s="180"/>
      <c r="P305" s="188">
        <f t="shared" si="15"/>
        <v>0</v>
      </c>
      <c r="Q305" s="187"/>
      <c r="T305" s="185"/>
      <c r="U305" s="184"/>
      <c r="X305" s="180"/>
      <c r="Y305" s="180"/>
      <c r="Z305" s="180"/>
      <c r="AA305" s="180"/>
      <c r="AB305" s="180"/>
      <c r="AC305" s="182"/>
      <c r="AD305" s="181"/>
      <c r="AE305" s="180"/>
      <c r="AF305" s="180"/>
      <c r="AG305" s="180"/>
      <c r="AH305" s="180"/>
      <c r="AI305" s="180"/>
      <c r="AJ305" s="180"/>
      <c r="AK305" s="180"/>
      <c r="AL305" s="180"/>
    </row>
    <row r="306" spans="1:38" s="183" customFormat="1">
      <c r="A306" s="180"/>
      <c r="P306" s="188">
        <f t="shared" si="15"/>
        <v>0</v>
      </c>
      <c r="Q306" s="187"/>
      <c r="T306" s="185"/>
      <c r="U306" s="184"/>
      <c r="X306" s="180"/>
      <c r="Y306" s="180"/>
      <c r="Z306" s="180"/>
      <c r="AA306" s="180"/>
      <c r="AB306" s="180"/>
      <c r="AC306" s="182"/>
      <c r="AD306" s="181"/>
      <c r="AE306" s="180"/>
      <c r="AF306" s="180"/>
      <c r="AG306" s="180"/>
      <c r="AH306" s="180"/>
      <c r="AI306" s="180"/>
      <c r="AJ306" s="180"/>
      <c r="AK306" s="180"/>
      <c r="AL306" s="180"/>
    </row>
    <row r="307" spans="1:38" s="183" customFormat="1">
      <c r="A307" s="180"/>
      <c r="P307" s="188">
        <f t="shared" si="15"/>
        <v>0</v>
      </c>
      <c r="Q307" s="187"/>
      <c r="T307" s="185"/>
      <c r="U307" s="184"/>
      <c r="X307" s="180"/>
      <c r="Y307" s="180"/>
      <c r="Z307" s="180"/>
      <c r="AA307" s="180"/>
      <c r="AB307" s="180"/>
      <c r="AC307" s="182"/>
      <c r="AD307" s="181"/>
      <c r="AE307" s="180"/>
      <c r="AF307" s="180"/>
      <c r="AG307" s="180"/>
      <c r="AH307" s="180"/>
      <c r="AI307" s="180"/>
      <c r="AJ307" s="180"/>
      <c r="AK307" s="180"/>
      <c r="AL307" s="180"/>
    </row>
    <row r="308" spans="1:38" s="183" customFormat="1">
      <c r="A308" s="180"/>
      <c r="P308" s="188">
        <f t="shared" si="15"/>
        <v>0</v>
      </c>
      <c r="Q308" s="187"/>
      <c r="T308" s="185"/>
      <c r="U308" s="184"/>
      <c r="X308" s="180"/>
      <c r="Y308" s="180"/>
      <c r="Z308" s="180"/>
      <c r="AA308" s="180"/>
      <c r="AB308" s="180"/>
      <c r="AC308" s="182"/>
      <c r="AD308" s="181"/>
      <c r="AE308" s="180"/>
      <c r="AF308" s="180"/>
      <c r="AG308" s="180"/>
      <c r="AH308" s="180"/>
      <c r="AI308" s="180"/>
      <c r="AJ308" s="180"/>
      <c r="AK308" s="180"/>
      <c r="AL308" s="180"/>
    </row>
    <row r="309" spans="1:38" s="183" customFormat="1">
      <c r="A309" s="180"/>
      <c r="P309" s="188">
        <f t="shared" si="15"/>
        <v>0</v>
      </c>
      <c r="Q309" s="187"/>
      <c r="T309" s="185"/>
      <c r="U309" s="184"/>
      <c r="X309" s="180"/>
      <c r="Y309" s="180"/>
      <c r="Z309" s="180"/>
      <c r="AA309" s="180"/>
      <c r="AB309" s="180"/>
      <c r="AC309" s="182"/>
      <c r="AD309" s="181"/>
      <c r="AE309" s="180"/>
      <c r="AF309" s="180"/>
      <c r="AG309" s="180"/>
      <c r="AH309" s="180"/>
      <c r="AI309" s="180"/>
      <c r="AJ309" s="180"/>
      <c r="AK309" s="180"/>
      <c r="AL309" s="180"/>
    </row>
    <row r="310" spans="1:38" s="183" customFormat="1">
      <c r="A310" s="180"/>
      <c r="P310" s="188">
        <f t="shared" si="15"/>
        <v>0</v>
      </c>
      <c r="Q310" s="187"/>
      <c r="T310" s="185"/>
      <c r="U310" s="184"/>
      <c r="X310" s="180"/>
      <c r="Y310" s="180"/>
      <c r="Z310" s="180"/>
      <c r="AA310" s="180"/>
      <c r="AB310" s="180"/>
      <c r="AC310" s="182"/>
      <c r="AD310" s="181"/>
      <c r="AE310" s="180"/>
      <c r="AF310" s="180"/>
      <c r="AG310" s="180"/>
      <c r="AH310" s="180"/>
      <c r="AI310" s="180"/>
      <c r="AJ310" s="180"/>
      <c r="AK310" s="180"/>
      <c r="AL310" s="180"/>
    </row>
    <row r="311" spans="1:38" s="183" customFormat="1">
      <c r="A311" s="180"/>
      <c r="P311" s="188">
        <f t="shared" si="15"/>
        <v>0</v>
      </c>
      <c r="Q311" s="187"/>
      <c r="T311" s="185"/>
      <c r="U311" s="184"/>
      <c r="X311" s="180"/>
      <c r="Y311" s="180"/>
      <c r="Z311" s="180"/>
      <c r="AA311" s="180"/>
      <c r="AB311" s="180"/>
      <c r="AC311" s="182"/>
      <c r="AD311" s="181"/>
      <c r="AE311" s="180"/>
      <c r="AF311" s="180"/>
      <c r="AG311" s="180"/>
      <c r="AH311" s="180"/>
      <c r="AI311" s="180"/>
      <c r="AJ311" s="180"/>
      <c r="AK311" s="180"/>
      <c r="AL311" s="180"/>
    </row>
    <row r="312" spans="1:38" s="183" customFormat="1">
      <c r="A312" s="180"/>
      <c r="P312" s="188">
        <f t="shared" si="15"/>
        <v>0</v>
      </c>
      <c r="Q312" s="187"/>
      <c r="T312" s="185"/>
      <c r="U312" s="184"/>
      <c r="X312" s="180"/>
      <c r="Y312" s="180"/>
      <c r="Z312" s="180"/>
      <c r="AA312" s="180"/>
      <c r="AB312" s="180"/>
      <c r="AC312" s="182"/>
      <c r="AD312" s="181"/>
      <c r="AE312" s="180"/>
      <c r="AF312" s="180"/>
      <c r="AG312" s="180"/>
      <c r="AH312" s="180"/>
      <c r="AI312" s="180"/>
      <c r="AJ312" s="180"/>
      <c r="AK312" s="180"/>
      <c r="AL312" s="180"/>
    </row>
    <row r="313" spans="1:38" s="183" customFormat="1">
      <c r="A313" s="180"/>
      <c r="P313" s="188">
        <f t="shared" si="15"/>
        <v>0</v>
      </c>
      <c r="Q313" s="187"/>
      <c r="T313" s="185"/>
      <c r="U313" s="184"/>
      <c r="X313" s="180"/>
      <c r="Y313" s="180"/>
      <c r="Z313" s="180"/>
      <c r="AA313" s="180"/>
      <c r="AB313" s="180"/>
      <c r="AC313" s="182"/>
      <c r="AD313" s="181"/>
      <c r="AE313" s="180"/>
      <c r="AF313" s="180"/>
      <c r="AG313" s="180"/>
      <c r="AH313" s="180"/>
      <c r="AI313" s="180"/>
      <c r="AJ313" s="180"/>
      <c r="AK313" s="180"/>
      <c r="AL313" s="180"/>
    </row>
    <row r="314" spans="1:38" s="183" customFormat="1">
      <c r="A314" s="180"/>
      <c r="P314" s="188">
        <f t="shared" si="15"/>
        <v>0</v>
      </c>
      <c r="Q314" s="187"/>
      <c r="T314" s="185"/>
      <c r="U314" s="184"/>
      <c r="X314" s="180"/>
      <c r="Y314" s="180"/>
      <c r="Z314" s="180"/>
      <c r="AA314" s="180"/>
      <c r="AB314" s="180"/>
      <c r="AC314" s="182"/>
      <c r="AD314" s="181"/>
      <c r="AE314" s="180"/>
      <c r="AF314" s="180"/>
      <c r="AG314" s="180"/>
      <c r="AH314" s="180"/>
      <c r="AI314" s="180"/>
      <c r="AJ314" s="180"/>
      <c r="AK314" s="180"/>
      <c r="AL314" s="180"/>
    </row>
    <row r="315" spans="1:38" s="183" customFormat="1">
      <c r="A315" s="180"/>
      <c r="P315" s="188">
        <f t="shared" si="15"/>
        <v>0</v>
      </c>
      <c r="Q315" s="187"/>
      <c r="T315" s="185"/>
      <c r="U315" s="184"/>
      <c r="X315" s="180"/>
      <c r="Y315" s="180"/>
      <c r="Z315" s="180"/>
      <c r="AA315" s="180"/>
      <c r="AB315" s="180"/>
      <c r="AC315" s="182"/>
      <c r="AD315" s="181"/>
      <c r="AE315" s="180"/>
      <c r="AF315" s="180"/>
      <c r="AG315" s="180"/>
      <c r="AH315" s="180"/>
      <c r="AI315" s="180"/>
      <c r="AJ315" s="180"/>
      <c r="AK315" s="180"/>
      <c r="AL315" s="180"/>
    </row>
    <row r="316" spans="1:38" s="183" customFormat="1">
      <c r="A316" s="180"/>
      <c r="P316" s="188">
        <f t="shared" si="15"/>
        <v>0</v>
      </c>
      <c r="Q316" s="187"/>
      <c r="T316" s="185"/>
      <c r="U316" s="184"/>
      <c r="X316" s="180"/>
      <c r="Y316" s="180"/>
      <c r="Z316" s="180"/>
      <c r="AA316" s="180"/>
      <c r="AB316" s="180"/>
      <c r="AC316" s="182"/>
      <c r="AD316" s="181"/>
      <c r="AE316" s="180"/>
      <c r="AF316" s="180"/>
      <c r="AG316" s="180"/>
      <c r="AH316" s="180"/>
      <c r="AI316" s="180"/>
      <c r="AJ316" s="180"/>
      <c r="AK316" s="180"/>
      <c r="AL316" s="180"/>
    </row>
    <row r="317" spans="1:38" s="183" customFormat="1">
      <c r="A317" s="180"/>
      <c r="P317" s="188">
        <f t="shared" ref="P317:P380" si="16">IFERROR(IF($I317="Rotary",LEFT($O317,9),$O317),"")</f>
        <v>0</v>
      </c>
      <c r="Q317" s="187"/>
      <c r="T317" s="185"/>
      <c r="U317" s="184"/>
      <c r="X317" s="180"/>
      <c r="Y317" s="180"/>
      <c r="Z317" s="180"/>
      <c r="AA317" s="180"/>
      <c r="AB317" s="180"/>
      <c r="AC317" s="182"/>
      <c r="AD317" s="181"/>
      <c r="AE317" s="180"/>
      <c r="AF317" s="180"/>
      <c r="AG317" s="180"/>
      <c r="AH317" s="180"/>
      <c r="AI317" s="180"/>
      <c r="AJ317" s="180"/>
      <c r="AK317" s="180"/>
      <c r="AL317" s="180"/>
    </row>
    <row r="318" spans="1:38" s="183" customFormat="1">
      <c r="A318" s="180"/>
      <c r="P318" s="188">
        <f t="shared" si="16"/>
        <v>0</v>
      </c>
      <c r="Q318" s="187"/>
      <c r="T318" s="185"/>
      <c r="U318" s="184"/>
      <c r="X318" s="180"/>
      <c r="Y318" s="180"/>
      <c r="Z318" s="180"/>
      <c r="AA318" s="180"/>
      <c r="AB318" s="180"/>
      <c r="AC318" s="182"/>
      <c r="AD318" s="181"/>
      <c r="AE318" s="180"/>
      <c r="AF318" s="180"/>
      <c r="AG318" s="180"/>
      <c r="AH318" s="180"/>
      <c r="AI318" s="180"/>
      <c r="AJ318" s="180"/>
      <c r="AK318" s="180"/>
      <c r="AL318" s="180"/>
    </row>
    <row r="319" spans="1:38" s="183" customFormat="1">
      <c r="A319" s="180"/>
      <c r="P319" s="188">
        <f t="shared" si="16"/>
        <v>0</v>
      </c>
      <c r="Q319" s="187"/>
      <c r="T319" s="185"/>
      <c r="U319" s="184"/>
      <c r="X319" s="180"/>
      <c r="Y319" s="180"/>
      <c r="Z319" s="180"/>
      <c r="AA319" s="180"/>
      <c r="AB319" s="180"/>
      <c r="AC319" s="182"/>
      <c r="AD319" s="181"/>
      <c r="AE319" s="180"/>
      <c r="AF319" s="180"/>
      <c r="AG319" s="180"/>
      <c r="AH319" s="180"/>
      <c r="AI319" s="180"/>
      <c r="AJ319" s="180"/>
      <c r="AK319" s="180"/>
      <c r="AL319" s="180"/>
    </row>
    <row r="320" spans="1:38" s="183" customFormat="1">
      <c r="A320" s="180"/>
      <c r="P320" s="188">
        <f t="shared" si="16"/>
        <v>0</v>
      </c>
      <c r="Q320" s="187"/>
      <c r="T320" s="185"/>
      <c r="U320" s="184"/>
      <c r="X320" s="180"/>
      <c r="Y320" s="180"/>
      <c r="Z320" s="180"/>
      <c r="AA320" s="180"/>
      <c r="AB320" s="180"/>
      <c r="AC320" s="182"/>
      <c r="AD320" s="181"/>
      <c r="AE320" s="180"/>
      <c r="AF320" s="180"/>
      <c r="AG320" s="180"/>
      <c r="AH320" s="180"/>
      <c r="AI320" s="180"/>
      <c r="AJ320" s="180"/>
      <c r="AK320" s="180"/>
      <c r="AL320" s="180"/>
    </row>
    <row r="321" spans="1:38" s="183" customFormat="1">
      <c r="A321" s="180"/>
      <c r="P321" s="188">
        <f t="shared" si="16"/>
        <v>0</v>
      </c>
      <c r="Q321" s="187"/>
      <c r="T321" s="185"/>
      <c r="U321" s="184"/>
      <c r="X321" s="180"/>
      <c r="Y321" s="180"/>
      <c r="Z321" s="180"/>
      <c r="AA321" s="180"/>
      <c r="AB321" s="180"/>
      <c r="AC321" s="182"/>
      <c r="AD321" s="181"/>
      <c r="AE321" s="180"/>
      <c r="AF321" s="180"/>
      <c r="AG321" s="180"/>
      <c r="AH321" s="180"/>
      <c r="AI321" s="180"/>
      <c r="AJ321" s="180"/>
      <c r="AK321" s="180"/>
      <c r="AL321" s="180"/>
    </row>
    <row r="322" spans="1:38" s="183" customFormat="1">
      <c r="A322" s="180"/>
      <c r="P322" s="188">
        <f t="shared" si="16"/>
        <v>0</v>
      </c>
      <c r="Q322" s="187"/>
      <c r="T322" s="185"/>
      <c r="U322" s="184"/>
      <c r="X322" s="180"/>
      <c r="Y322" s="180"/>
      <c r="Z322" s="180"/>
      <c r="AA322" s="180"/>
      <c r="AB322" s="180"/>
      <c r="AC322" s="182"/>
      <c r="AD322" s="181"/>
      <c r="AE322" s="180"/>
      <c r="AF322" s="180"/>
      <c r="AG322" s="180"/>
      <c r="AH322" s="180"/>
      <c r="AI322" s="180"/>
      <c r="AJ322" s="180"/>
      <c r="AK322" s="180"/>
      <c r="AL322" s="180"/>
    </row>
    <row r="323" spans="1:38" s="183" customFormat="1">
      <c r="A323" s="180"/>
      <c r="P323" s="188">
        <f t="shared" si="16"/>
        <v>0</v>
      </c>
      <c r="Q323" s="187"/>
      <c r="T323" s="185"/>
      <c r="U323" s="184"/>
      <c r="X323" s="180"/>
      <c r="Y323" s="180"/>
      <c r="Z323" s="180"/>
      <c r="AA323" s="180"/>
      <c r="AB323" s="180"/>
      <c r="AC323" s="182"/>
      <c r="AD323" s="181"/>
      <c r="AE323" s="180"/>
      <c r="AF323" s="180"/>
      <c r="AG323" s="180"/>
      <c r="AH323" s="180"/>
      <c r="AI323" s="180"/>
      <c r="AJ323" s="180"/>
      <c r="AK323" s="180"/>
      <c r="AL323" s="180"/>
    </row>
    <row r="324" spans="1:38" s="183" customFormat="1">
      <c r="A324" s="180"/>
      <c r="P324" s="188">
        <f t="shared" si="16"/>
        <v>0</v>
      </c>
      <c r="Q324" s="187"/>
      <c r="T324" s="185"/>
      <c r="U324" s="184"/>
      <c r="X324" s="180"/>
      <c r="Y324" s="180"/>
      <c r="Z324" s="180"/>
      <c r="AA324" s="180"/>
      <c r="AB324" s="180"/>
      <c r="AC324" s="182"/>
      <c r="AD324" s="181"/>
      <c r="AE324" s="180"/>
      <c r="AF324" s="180"/>
      <c r="AG324" s="180"/>
      <c r="AH324" s="180"/>
      <c r="AI324" s="180"/>
      <c r="AJ324" s="180"/>
      <c r="AK324" s="180"/>
      <c r="AL324" s="180"/>
    </row>
    <row r="325" spans="1:38" s="183" customFormat="1">
      <c r="A325" s="180"/>
      <c r="P325" s="188">
        <f t="shared" si="16"/>
        <v>0</v>
      </c>
      <c r="Q325" s="187"/>
      <c r="T325" s="185"/>
      <c r="U325" s="184"/>
      <c r="X325" s="180"/>
      <c r="Y325" s="180"/>
      <c r="Z325" s="180"/>
      <c r="AA325" s="180"/>
      <c r="AB325" s="180"/>
      <c r="AC325" s="182"/>
      <c r="AD325" s="181"/>
      <c r="AE325" s="180"/>
      <c r="AF325" s="180"/>
      <c r="AG325" s="180"/>
      <c r="AH325" s="180"/>
      <c r="AI325" s="180"/>
      <c r="AJ325" s="180"/>
      <c r="AK325" s="180"/>
      <c r="AL325" s="180"/>
    </row>
    <row r="326" spans="1:38" s="183" customFormat="1">
      <c r="A326" s="180"/>
      <c r="P326" s="188">
        <f t="shared" si="16"/>
        <v>0</v>
      </c>
      <c r="Q326" s="187"/>
      <c r="T326" s="185"/>
      <c r="U326" s="184"/>
      <c r="X326" s="180"/>
      <c r="Y326" s="180"/>
      <c r="Z326" s="180"/>
      <c r="AA326" s="180"/>
      <c r="AB326" s="180"/>
      <c r="AC326" s="182"/>
      <c r="AD326" s="181"/>
      <c r="AE326" s="180"/>
      <c r="AF326" s="180"/>
      <c r="AG326" s="180"/>
      <c r="AH326" s="180"/>
      <c r="AI326" s="180"/>
      <c r="AJ326" s="180"/>
      <c r="AK326" s="180"/>
      <c r="AL326" s="180"/>
    </row>
    <row r="327" spans="1:38" s="183" customFormat="1">
      <c r="A327" s="180"/>
      <c r="P327" s="188">
        <f t="shared" si="16"/>
        <v>0</v>
      </c>
      <c r="Q327" s="187"/>
      <c r="T327" s="185"/>
      <c r="U327" s="184"/>
      <c r="X327" s="180"/>
      <c r="Y327" s="180"/>
      <c r="Z327" s="180"/>
      <c r="AA327" s="180"/>
      <c r="AB327" s="180"/>
      <c r="AC327" s="182"/>
      <c r="AD327" s="181"/>
      <c r="AE327" s="180"/>
      <c r="AF327" s="180"/>
      <c r="AG327" s="180"/>
      <c r="AH327" s="180"/>
      <c r="AI327" s="180"/>
      <c r="AJ327" s="180"/>
      <c r="AK327" s="180"/>
      <c r="AL327" s="180"/>
    </row>
    <row r="328" spans="1:38" s="183" customFormat="1">
      <c r="A328" s="180"/>
      <c r="P328" s="188">
        <f t="shared" si="16"/>
        <v>0</v>
      </c>
      <c r="Q328" s="187"/>
      <c r="T328" s="185"/>
      <c r="U328" s="184"/>
      <c r="X328" s="180"/>
      <c r="Y328" s="180"/>
      <c r="Z328" s="180"/>
      <c r="AA328" s="180"/>
      <c r="AB328" s="180"/>
      <c r="AC328" s="182"/>
      <c r="AD328" s="181"/>
      <c r="AE328" s="180"/>
      <c r="AF328" s="180"/>
      <c r="AG328" s="180"/>
      <c r="AH328" s="180"/>
      <c r="AI328" s="180"/>
      <c r="AJ328" s="180"/>
      <c r="AK328" s="180"/>
      <c r="AL328" s="180"/>
    </row>
    <row r="329" spans="1:38" s="183" customFormat="1">
      <c r="A329" s="180"/>
      <c r="P329" s="188">
        <f t="shared" si="16"/>
        <v>0</v>
      </c>
      <c r="Q329" s="187"/>
      <c r="T329" s="185"/>
      <c r="U329" s="184"/>
      <c r="X329" s="180"/>
      <c r="Y329" s="180"/>
      <c r="Z329" s="180"/>
      <c r="AA329" s="180"/>
      <c r="AB329" s="180"/>
      <c r="AC329" s="182"/>
      <c r="AD329" s="181"/>
      <c r="AE329" s="180"/>
      <c r="AF329" s="180"/>
      <c r="AG329" s="180"/>
      <c r="AH329" s="180"/>
      <c r="AI329" s="180"/>
      <c r="AJ329" s="180"/>
      <c r="AK329" s="180"/>
      <c r="AL329" s="180"/>
    </row>
    <row r="330" spans="1:38" s="183" customFormat="1">
      <c r="A330" s="180"/>
      <c r="P330" s="188">
        <f t="shared" si="16"/>
        <v>0</v>
      </c>
      <c r="Q330" s="187"/>
      <c r="T330" s="185"/>
      <c r="U330" s="184"/>
      <c r="X330" s="180"/>
      <c r="Y330" s="180"/>
      <c r="Z330" s="180"/>
      <c r="AA330" s="180"/>
      <c r="AB330" s="180"/>
      <c r="AC330" s="182"/>
      <c r="AD330" s="181"/>
      <c r="AE330" s="180"/>
      <c r="AF330" s="180"/>
      <c r="AG330" s="180"/>
      <c r="AH330" s="180"/>
      <c r="AI330" s="180"/>
      <c r="AJ330" s="180"/>
      <c r="AK330" s="180"/>
      <c r="AL330" s="180"/>
    </row>
    <row r="331" spans="1:38" s="183" customFormat="1">
      <c r="A331" s="180"/>
      <c r="P331" s="188">
        <f t="shared" si="16"/>
        <v>0</v>
      </c>
      <c r="Q331" s="187"/>
      <c r="T331" s="185"/>
      <c r="U331" s="184"/>
      <c r="X331" s="180"/>
      <c r="Y331" s="180"/>
      <c r="Z331" s="180"/>
      <c r="AA331" s="180"/>
      <c r="AB331" s="180"/>
      <c r="AC331" s="182"/>
      <c r="AD331" s="181"/>
      <c r="AE331" s="180"/>
      <c r="AF331" s="180"/>
      <c r="AG331" s="180"/>
      <c r="AH331" s="180"/>
      <c r="AI331" s="180"/>
      <c r="AJ331" s="180"/>
      <c r="AK331" s="180"/>
      <c r="AL331" s="180"/>
    </row>
    <row r="332" spans="1:38" s="183" customFormat="1">
      <c r="A332" s="180"/>
      <c r="P332" s="188">
        <f t="shared" si="16"/>
        <v>0</v>
      </c>
      <c r="Q332" s="187"/>
      <c r="T332" s="185"/>
      <c r="U332" s="184"/>
      <c r="X332" s="180"/>
      <c r="Y332" s="180"/>
      <c r="Z332" s="180"/>
      <c r="AA332" s="180"/>
      <c r="AB332" s="180"/>
      <c r="AC332" s="182"/>
      <c r="AD332" s="181"/>
      <c r="AE332" s="180"/>
      <c r="AF332" s="180"/>
      <c r="AG332" s="180"/>
      <c r="AH332" s="180"/>
      <c r="AI332" s="180"/>
      <c r="AJ332" s="180"/>
      <c r="AK332" s="180"/>
      <c r="AL332" s="180"/>
    </row>
    <row r="333" spans="1:38" s="183" customFormat="1">
      <c r="A333" s="180"/>
      <c r="P333" s="188">
        <f t="shared" si="16"/>
        <v>0</v>
      </c>
      <c r="Q333" s="187"/>
      <c r="T333" s="185"/>
      <c r="U333" s="184"/>
      <c r="X333" s="180"/>
      <c r="Y333" s="180"/>
      <c r="Z333" s="180"/>
      <c r="AA333" s="180"/>
      <c r="AB333" s="180"/>
      <c r="AC333" s="182"/>
      <c r="AD333" s="181"/>
      <c r="AE333" s="180"/>
      <c r="AF333" s="180"/>
      <c r="AG333" s="180"/>
      <c r="AH333" s="180"/>
      <c r="AI333" s="180"/>
      <c r="AJ333" s="180"/>
      <c r="AK333" s="180"/>
      <c r="AL333" s="180"/>
    </row>
    <row r="334" spans="1:38" s="183" customFormat="1">
      <c r="A334" s="180"/>
      <c r="P334" s="188">
        <f t="shared" si="16"/>
        <v>0</v>
      </c>
      <c r="Q334" s="187"/>
      <c r="T334" s="185"/>
      <c r="U334" s="184"/>
      <c r="X334" s="180"/>
      <c r="Y334" s="180"/>
      <c r="Z334" s="180"/>
      <c r="AA334" s="180"/>
      <c r="AB334" s="180"/>
      <c r="AC334" s="182"/>
      <c r="AD334" s="181"/>
      <c r="AE334" s="180"/>
      <c r="AF334" s="180"/>
      <c r="AG334" s="180"/>
      <c r="AH334" s="180"/>
      <c r="AI334" s="180"/>
      <c r="AJ334" s="180"/>
      <c r="AK334" s="180"/>
      <c r="AL334" s="180"/>
    </row>
    <row r="335" spans="1:38" s="183" customFormat="1">
      <c r="A335" s="180"/>
      <c r="P335" s="188">
        <f t="shared" si="16"/>
        <v>0</v>
      </c>
      <c r="Q335" s="187"/>
      <c r="T335" s="185"/>
      <c r="U335" s="184"/>
      <c r="X335" s="180"/>
      <c r="Y335" s="180"/>
      <c r="Z335" s="180"/>
      <c r="AA335" s="180"/>
      <c r="AB335" s="180"/>
      <c r="AC335" s="182"/>
      <c r="AD335" s="181"/>
      <c r="AE335" s="180"/>
      <c r="AF335" s="180"/>
      <c r="AG335" s="180"/>
      <c r="AH335" s="180"/>
      <c r="AI335" s="180"/>
      <c r="AJ335" s="180"/>
      <c r="AK335" s="180"/>
      <c r="AL335" s="180"/>
    </row>
    <row r="336" spans="1:38" s="183" customFormat="1">
      <c r="A336" s="180"/>
      <c r="P336" s="188">
        <f t="shared" si="16"/>
        <v>0</v>
      </c>
      <c r="Q336" s="187"/>
      <c r="T336" s="185"/>
      <c r="U336" s="184"/>
      <c r="X336" s="180"/>
      <c r="Y336" s="180"/>
      <c r="Z336" s="180"/>
      <c r="AA336" s="180"/>
      <c r="AB336" s="180"/>
      <c r="AC336" s="182"/>
      <c r="AD336" s="181"/>
      <c r="AE336" s="180"/>
      <c r="AF336" s="180"/>
      <c r="AG336" s="180"/>
      <c r="AH336" s="180"/>
      <c r="AI336" s="180"/>
      <c r="AJ336" s="180"/>
      <c r="AK336" s="180"/>
      <c r="AL336" s="180"/>
    </row>
    <row r="337" spans="1:38" s="183" customFormat="1">
      <c r="A337" s="180"/>
      <c r="P337" s="188">
        <f t="shared" si="16"/>
        <v>0</v>
      </c>
      <c r="Q337" s="187"/>
      <c r="T337" s="185"/>
      <c r="U337" s="184"/>
      <c r="X337" s="180"/>
      <c r="Y337" s="180"/>
      <c r="Z337" s="180"/>
      <c r="AA337" s="180"/>
      <c r="AB337" s="180"/>
      <c r="AC337" s="182"/>
      <c r="AD337" s="181"/>
      <c r="AE337" s="180"/>
      <c r="AF337" s="180"/>
      <c r="AG337" s="180"/>
      <c r="AH337" s="180"/>
      <c r="AI337" s="180"/>
      <c r="AJ337" s="180"/>
      <c r="AK337" s="180"/>
      <c r="AL337" s="180"/>
    </row>
    <row r="338" spans="1:38" s="183" customFormat="1">
      <c r="A338" s="180"/>
      <c r="P338" s="188">
        <f t="shared" si="16"/>
        <v>0</v>
      </c>
      <c r="Q338" s="187"/>
      <c r="T338" s="185"/>
      <c r="U338" s="184"/>
      <c r="X338" s="180"/>
      <c r="Y338" s="180"/>
      <c r="Z338" s="180"/>
      <c r="AA338" s="180"/>
      <c r="AB338" s="180"/>
      <c r="AC338" s="182"/>
      <c r="AD338" s="181"/>
      <c r="AE338" s="180"/>
      <c r="AF338" s="180"/>
      <c r="AG338" s="180"/>
      <c r="AH338" s="180"/>
      <c r="AI338" s="180"/>
      <c r="AJ338" s="180"/>
      <c r="AK338" s="180"/>
      <c r="AL338" s="180"/>
    </row>
    <row r="339" spans="1:38" s="183" customFormat="1">
      <c r="A339" s="180"/>
      <c r="P339" s="188">
        <f t="shared" si="16"/>
        <v>0</v>
      </c>
      <c r="Q339" s="187"/>
      <c r="T339" s="185"/>
      <c r="U339" s="184"/>
      <c r="X339" s="180"/>
      <c r="Y339" s="180"/>
      <c r="Z339" s="180"/>
      <c r="AA339" s="180"/>
      <c r="AB339" s="180"/>
      <c r="AC339" s="182"/>
      <c r="AD339" s="181"/>
      <c r="AE339" s="180"/>
      <c r="AF339" s="180"/>
      <c r="AG339" s="180"/>
      <c r="AH339" s="180"/>
      <c r="AI339" s="180"/>
      <c r="AJ339" s="180"/>
      <c r="AK339" s="180"/>
      <c r="AL339" s="180"/>
    </row>
    <row r="340" spans="1:38" s="183" customFormat="1">
      <c r="A340" s="180"/>
      <c r="P340" s="188">
        <f t="shared" si="16"/>
        <v>0</v>
      </c>
      <c r="Q340" s="187"/>
      <c r="T340" s="185"/>
      <c r="U340" s="184"/>
      <c r="X340" s="180"/>
      <c r="Y340" s="180"/>
      <c r="Z340" s="180"/>
      <c r="AA340" s="180"/>
      <c r="AB340" s="180"/>
      <c r="AC340" s="182"/>
      <c r="AD340" s="181"/>
      <c r="AE340" s="180"/>
      <c r="AF340" s="180"/>
      <c r="AG340" s="180"/>
      <c r="AH340" s="180"/>
      <c r="AI340" s="180"/>
      <c r="AJ340" s="180"/>
      <c r="AK340" s="180"/>
      <c r="AL340" s="180"/>
    </row>
    <row r="341" spans="1:38" s="183" customFormat="1">
      <c r="A341" s="180"/>
      <c r="P341" s="188">
        <f t="shared" si="16"/>
        <v>0</v>
      </c>
      <c r="Q341" s="187"/>
      <c r="T341" s="185"/>
      <c r="U341" s="184"/>
      <c r="X341" s="180"/>
      <c r="Y341" s="180"/>
      <c r="Z341" s="180"/>
      <c r="AA341" s="180"/>
      <c r="AB341" s="180"/>
      <c r="AC341" s="182"/>
      <c r="AD341" s="181"/>
      <c r="AE341" s="180"/>
      <c r="AF341" s="180"/>
      <c r="AG341" s="180"/>
      <c r="AH341" s="180"/>
      <c r="AI341" s="180"/>
      <c r="AJ341" s="180"/>
      <c r="AK341" s="180"/>
      <c r="AL341" s="180"/>
    </row>
    <row r="342" spans="1:38" s="183" customFormat="1">
      <c r="A342" s="180"/>
      <c r="P342" s="188">
        <f t="shared" si="16"/>
        <v>0</v>
      </c>
      <c r="Q342" s="187"/>
      <c r="T342" s="185"/>
      <c r="U342" s="184"/>
      <c r="X342" s="180"/>
      <c r="Y342" s="180"/>
      <c r="Z342" s="180"/>
      <c r="AA342" s="180"/>
      <c r="AB342" s="180"/>
      <c r="AC342" s="182"/>
      <c r="AD342" s="181"/>
      <c r="AE342" s="180"/>
      <c r="AF342" s="180"/>
      <c r="AG342" s="180"/>
      <c r="AH342" s="180"/>
      <c r="AI342" s="180"/>
      <c r="AJ342" s="180"/>
      <c r="AK342" s="180"/>
      <c r="AL342" s="180"/>
    </row>
    <row r="343" spans="1:38" s="183" customFormat="1">
      <c r="A343" s="180"/>
      <c r="P343" s="188">
        <f t="shared" si="16"/>
        <v>0</v>
      </c>
      <c r="Q343" s="187"/>
      <c r="T343" s="185"/>
      <c r="U343" s="184"/>
      <c r="X343" s="180"/>
      <c r="Y343" s="180"/>
      <c r="Z343" s="180"/>
      <c r="AA343" s="180"/>
      <c r="AB343" s="180"/>
      <c r="AC343" s="182"/>
      <c r="AD343" s="181"/>
      <c r="AE343" s="180"/>
      <c r="AF343" s="180"/>
      <c r="AG343" s="180"/>
      <c r="AH343" s="180"/>
      <c r="AI343" s="180"/>
      <c r="AJ343" s="180"/>
      <c r="AK343" s="180"/>
      <c r="AL343" s="180"/>
    </row>
    <row r="344" spans="1:38" s="183" customFormat="1">
      <c r="A344" s="180"/>
      <c r="P344" s="188">
        <f t="shared" si="16"/>
        <v>0</v>
      </c>
      <c r="Q344" s="187"/>
      <c r="T344" s="185"/>
      <c r="U344" s="184"/>
      <c r="X344" s="180"/>
      <c r="Y344" s="180"/>
      <c r="Z344" s="180"/>
      <c r="AA344" s="180"/>
      <c r="AB344" s="180"/>
      <c r="AC344" s="182"/>
      <c r="AD344" s="181"/>
      <c r="AE344" s="180"/>
      <c r="AF344" s="180"/>
      <c r="AG344" s="180"/>
      <c r="AH344" s="180"/>
      <c r="AI344" s="180"/>
      <c r="AJ344" s="180"/>
      <c r="AK344" s="180"/>
      <c r="AL344" s="180"/>
    </row>
    <row r="345" spans="1:38" s="183" customFormat="1">
      <c r="A345" s="180"/>
      <c r="P345" s="188">
        <f t="shared" si="16"/>
        <v>0</v>
      </c>
      <c r="Q345" s="187"/>
      <c r="T345" s="185"/>
      <c r="U345" s="184"/>
      <c r="X345" s="180"/>
      <c r="Y345" s="180"/>
      <c r="Z345" s="180"/>
      <c r="AA345" s="180"/>
      <c r="AB345" s="180"/>
      <c r="AC345" s="182"/>
      <c r="AD345" s="181"/>
      <c r="AE345" s="180"/>
      <c r="AF345" s="180"/>
      <c r="AG345" s="180"/>
      <c r="AH345" s="180"/>
      <c r="AI345" s="180"/>
      <c r="AJ345" s="180"/>
      <c r="AK345" s="180"/>
      <c r="AL345" s="180"/>
    </row>
    <row r="346" spans="1:38" s="183" customFormat="1">
      <c r="A346" s="180"/>
      <c r="P346" s="188">
        <f t="shared" si="16"/>
        <v>0</v>
      </c>
      <c r="Q346" s="187"/>
      <c r="T346" s="185"/>
      <c r="U346" s="184"/>
      <c r="X346" s="180"/>
      <c r="Y346" s="180"/>
      <c r="Z346" s="180"/>
      <c r="AA346" s="180"/>
      <c r="AB346" s="180"/>
      <c r="AC346" s="182"/>
      <c r="AD346" s="181"/>
      <c r="AE346" s="180"/>
      <c r="AF346" s="180"/>
      <c r="AG346" s="180"/>
      <c r="AH346" s="180"/>
      <c r="AI346" s="180"/>
      <c r="AJ346" s="180"/>
      <c r="AK346" s="180"/>
      <c r="AL346" s="180"/>
    </row>
    <row r="347" spans="1:38" s="183" customFormat="1">
      <c r="A347" s="180"/>
      <c r="P347" s="188">
        <f t="shared" si="16"/>
        <v>0</v>
      </c>
      <c r="Q347" s="187"/>
      <c r="T347" s="185"/>
      <c r="U347" s="184"/>
      <c r="X347" s="180"/>
      <c r="Y347" s="180"/>
      <c r="Z347" s="180"/>
      <c r="AA347" s="180"/>
      <c r="AB347" s="180"/>
      <c r="AC347" s="182"/>
      <c r="AD347" s="181"/>
      <c r="AE347" s="180"/>
      <c r="AF347" s="180"/>
      <c r="AG347" s="180"/>
      <c r="AH347" s="180"/>
      <c r="AI347" s="180"/>
      <c r="AJ347" s="180"/>
      <c r="AK347" s="180"/>
      <c r="AL347" s="180"/>
    </row>
    <row r="348" spans="1:38" s="183" customFormat="1">
      <c r="A348" s="180"/>
      <c r="P348" s="188">
        <f t="shared" si="16"/>
        <v>0</v>
      </c>
      <c r="Q348" s="187"/>
      <c r="T348" s="185"/>
      <c r="U348" s="184"/>
      <c r="X348" s="180"/>
      <c r="Y348" s="180"/>
      <c r="Z348" s="180"/>
      <c r="AA348" s="180"/>
      <c r="AB348" s="180"/>
      <c r="AC348" s="182"/>
      <c r="AD348" s="181"/>
      <c r="AE348" s="180"/>
      <c r="AF348" s="180"/>
      <c r="AG348" s="180"/>
      <c r="AH348" s="180"/>
      <c r="AI348" s="180"/>
      <c r="AJ348" s="180"/>
      <c r="AK348" s="180"/>
      <c r="AL348" s="180"/>
    </row>
    <row r="349" spans="1:38" s="183" customFormat="1">
      <c r="A349" s="180"/>
      <c r="P349" s="188">
        <f t="shared" si="16"/>
        <v>0</v>
      </c>
      <c r="Q349" s="187"/>
      <c r="T349" s="185"/>
      <c r="U349" s="184"/>
      <c r="X349" s="180"/>
      <c r="Y349" s="180"/>
      <c r="Z349" s="180"/>
      <c r="AA349" s="180"/>
      <c r="AB349" s="180"/>
      <c r="AC349" s="182"/>
      <c r="AD349" s="181"/>
      <c r="AE349" s="180"/>
      <c r="AF349" s="180"/>
      <c r="AG349" s="180"/>
      <c r="AH349" s="180"/>
      <c r="AI349" s="180"/>
      <c r="AJ349" s="180"/>
      <c r="AK349" s="180"/>
      <c r="AL349" s="180"/>
    </row>
    <row r="350" spans="1:38" s="183" customFormat="1">
      <c r="A350" s="180"/>
      <c r="P350" s="188">
        <f t="shared" si="16"/>
        <v>0</v>
      </c>
      <c r="Q350" s="187"/>
      <c r="T350" s="185"/>
      <c r="U350" s="184"/>
      <c r="X350" s="180"/>
      <c r="Y350" s="180"/>
      <c r="Z350" s="180"/>
      <c r="AA350" s="180"/>
      <c r="AB350" s="180"/>
      <c r="AC350" s="182"/>
      <c r="AD350" s="181"/>
      <c r="AE350" s="180"/>
      <c r="AF350" s="180"/>
      <c r="AG350" s="180"/>
      <c r="AH350" s="180"/>
      <c r="AI350" s="180"/>
      <c r="AJ350" s="180"/>
      <c r="AK350" s="180"/>
      <c r="AL350" s="180"/>
    </row>
    <row r="351" spans="1:38" s="183" customFormat="1">
      <c r="A351" s="180"/>
      <c r="P351" s="188">
        <f t="shared" si="16"/>
        <v>0</v>
      </c>
      <c r="Q351" s="187"/>
      <c r="T351" s="185"/>
      <c r="U351" s="184"/>
      <c r="X351" s="180"/>
      <c r="Y351" s="180"/>
      <c r="Z351" s="180"/>
      <c r="AA351" s="180"/>
      <c r="AB351" s="180"/>
      <c r="AC351" s="182"/>
      <c r="AD351" s="181"/>
      <c r="AE351" s="180"/>
      <c r="AF351" s="180"/>
      <c r="AG351" s="180"/>
      <c r="AH351" s="180"/>
      <c r="AI351" s="180"/>
      <c r="AJ351" s="180"/>
      <c r="AK351" s="180"/>
      <c r="AL351" s="180"/>
    </row>
    <row r="352" spans="1:38" s="183" customFormat="1">
      <c r="A352" s="180"/>
      <c r="P352" s="188">
        <f t="shared" si="16"/>
        <v>0</v>
      </c>
      <c r="Q352" s="187"/>
      <c r="T352" s="185"/>
      <c r="U352" s="184"/>
      <c r="X352" s="180"/>
      <c r="Y352" s="180"/>
      <c r="Z352" s="180"/>
      <c r="AA352" s="180"/>
      <c r="AB352" s="180"/>
      <c r="AC352" s="182"/>
      <c r="AD352" s="181"/>
      <c r="AE352" s="180"/>
      <c r="AF352" s="180"/>
      <c r="AG352" s="180"/>
      <c r="AH352" s="180"/>
      <c r="AI352" s="180"/>
      <c r="AJ352" s="180"/>
      <c r="AK352" s="180"/>
      <c r="AL352" s="180"/>
    </row>
    <row r="353" spans="1:38" s="183" customFormat="1">
      <c r="A353" s="180"/>
      <c r="P353" s="188">
        <f t="shared" si="16"/>
        <v>0</v>
      </c>
      <c r="Q353" s="187"/>
      <c r="T353" s="185"/>
      <c r="U353" s="184"/>
      <c r="X353" s="180"/>
      <c r="Y353" s="180"/>
      <c r="Z353" s="180"/>
      <c r="AA353" s="180"/>
      <c r="AB353" s="180"/>
      <c r="AC353" s="182"/>
      <c r="AD353" s="181"/>
      <c r="AE353" s="180"/>
      <c r="AF353" s="180"/>
      <c r="AG353" s="180"/>
      <c r="AH353" s="180"/>
      <c r="AI353" s="180"/>
      <c r="AJ353" s="180"/>
      <c r="AK353" s="180"/>
      <c r="AL353" s="180"/>
    </row>
    <row r="354" spans="1:38" s="183" customFormat="1">
      <c r="A354" s="180"/>
      <c r="P354" s="188">
        <f t="shared" si="16"/>
        <v>0</v>
      </c>
      <c r="Q354" s="187"/>
      <c r="T354" s="185"/>
      <c r="U354" s="184"/>
      <c r="X354" s="180"/>
      <c r="Y354" s="180"/>
      <c r="Z354" s="180"/>
      <c r="AA354" s="180"/>
      <c r="AB354" s="180"/>
      <c r="AC354" s="182"/>
      <c r="AD354" s="181"/>
      <c r="AE354" s="180"/>
      <c r="AF354" s="180"/>
      <c r="AG354" s="180"/>
      <c r="AH354" s="180"/>
      <c r="AI354" s="180"/>
      <c r="AJ354" s="180"/>
      <c r="AK354" s="180"/>
      <c r="AL354" s="180"/>
    </row>
    <row r="355" spans="1:38" s="183" customFormat="1">
      <c r="A355" s="180"/>
      <c r="P355" s="188">
        <f t="shared" si="16"/>
        <v>0</v>
      </c>
      <c r="Q355" s="187"/>
      <c r="T355" s="185"/>
      <c r="U355" s="184"/>
      <c r="X355" s="180"/>
      <c r="Y355" s="180"/>
      <c r="Z355" s="180"/>
      <c r="AA355" s="180"/>
      <c r="AB355" s="180"/>
      <c r="AC355" s="182"/>
      <c r="AD355" s="181"/>
      <c r="AE355" s="180"/>
      <c r="AF355" s="180"/>
      <c r="AG355" s="180"/>
      <c r="AH355" s="180"/>
      <c r="AI355" s="180"/>
      <c r="AJ355" s="180"/>
      <c r="AK355" s="180"/>
      <c r="AL355" s="180"/>
    </row>
    <row r="356" spans="1:38" s="183" customFormat="1">
      <c r="A356" s="180"/>
      <c r="P356" s="188">
        <f t="shared" si="16"/>
        <v>0</v>
      </c>
      <c r="Q356" s="187"/>
      <c r="T356" s="185"/>
      <c r="U356" s="184"/>
      <c r="X356" s="180"/>
      <c r="Y356" s="180"/>
      <c r="Z356" s="180"/>
      <c r="AA356" s="180"/>
      <c r="AB356" s="180"/>
      <c r="AC356" s="182"/>
      <c r="AD356" s="181"/>
      <c r="AE356" s="180"/>
      <c r="AF356" s="180"/>
      <c r="AG356" s="180"/>
      <c r="AH356" s="180"/>
      <c r="AI356" s="180"/>
      <c r="AJ356" s="180"/>
      <c r="AK356" s="180"/>
      <c r="AL356" s="180"/>
    </row>
    <row r="357" spans="1:38" s="183" customFormat="1">
      <c r="A357" s="180"/>
      <c r="P357" s="188">
        <f t="shared" si="16"/>
        <v>0</v>
      </c>
      <c r="Q357" s="187"/>
      <c r="T357" s="185"/>
      <c r="U357" s="184"/>
      <c r="X357" s="180"/>
      <c r="Y357" s="180"/>
      <c r="Z357" s="180"/>
      <c r="AA357" s="180"/>
      <c r="AB357" s="180"/>
      <c r="AC357" s="182"/>
      <c r="AD357" s="181"/>
      <c r="AE357" s="180"/>
      <c r="AF357" s="180"/>
      <c r="AG357" s="180"/>
      <c r="AH357" s="180"/>
      <c r="AI357" s="180"/>
      <c r="AJ357" s="180"/>
      <c r="AK357" s="180"/>
      <c r="AL357" s="180"/>
    </row>
    <row r="358" spans="1:38" s="183" customFormat="1">
      <c r="A358" s="180"/>
      <c r="P358" s="188">
        <f t="shared" si="16"/>
        <v>0</v>
      </c>
      <c r="Q358" s="187"/>
      <c r="T358" s="185"/>
      <c r="U358" s="184"/>
      <c r="X358" s="180"/>
      <c r="Y358" s="180"/>
      <c r="Z358" s="180"/>
      <c r="AA358" s="180"/>
      <c r="AB358" s="180"/>
      <c r="AC358" s="182"/>
      <c r="AD358" s="181"/>
      <c r="AE358" s="180"/>
      <c r="AF358" s="180"/>
      <c r="AG358" s="180"/>
      <c r="AH358" s="180"/>
      <c r="AI358" s="180"/>
      <c r="AJ358" s="180"/>
      <c r="AK358" s="180"/>
      <c r="AL358" s="180"/>
    </row>
    <row r="359" spans="1:38" s="183" customFormat="1">
      <c r="A359" s="180"/>
      <c r="P359" s="188">
        <f t="shared" si="16"/>
        <v>0</v>
      </c>
      <c r="Q359" s="187"/>
      <c r="T359" s="185"/>
      <c r="U359" s="184"/>
      <c r="X359" s="180"/>
      <c r="Y359" s="180"/>
      <c r="Z359" s="180"/>
      <c r="AA359" s="180"/>
      <c r="AB359" s="180"/>
      <c r="AC359" s="182"/>
      <c r="AD359" s="181"/>
      <c r="AE359" s="180"/>
      <c r="AF359" s="180"/>
      <c r="AG359" s="180"/>
      <c r="AH359" s="180"/>
      <c r="AI359" s="180"/>
      <c r="AJ359" s="180"/>
      <c r="AK359" s="180"/>
      <c r="AL359" s="180"/>
    </row>
    <row r="360" spans="1:38" s="183" customFormat="1">
      <c r="A360" s="180"/>
      <c r="P360" s="188">
        <f t="shared" si="16"/>
        <v>0</v>
      </c>
      <c r="Q360" s="187"/>
      <c r="T360" s="185"/>
      <c r="U360" s="184"/>
      <c r="X360" s="180"/>
      <c r="Y360" s="180"/>
      <c r="Z360" s="180"/>
      <c r="AA360" s="180"/>
      <c r="AB360" s="180"/>
      <c r="AC360" s="182"/>
      <c r="AD360" s="181"/>
      <c r="AE360" s="180"/>
      <c r="AF360" s="180"/>
      <c r="AG360" s="180"/>
      <c r="AH360" s="180"/>
      <c r="AI360" s="180"/>
      <c r="AJ360" s="180"/>
      <c r="AK360" s="180"/>
      <c r="AL360" s="180"/>
    </row>
    <row r="361" spans="1:38" s="183" customFormat="1">
      <c r="A361" s="180"/>
      <c r="P361" s="188">
        <f t="shared" si="16"/>
        <v>0</v>
      </c>
      <c r="Q361" s="187"/>
      <c r="T361" s="185"/>
      <c r="U361" s="184"/>
      <c r="X361" s="180"/>
      <c r="Y361" s="180"/>
      <c r="Z361" s="180"/>
      <c r="AA361" s="180"/>
      <c r="AB361" s="180"/>
      <c r="AC361" s="182"/>
      <c r="AD361" s="181"/>
      <c r="AE361" s="180"/>
      <c r="AF361" s="180"/>
      <c r="AG361" s="180"/>
      <c r="AH361" s="180"/>
      <c r="AI361" s="180"/>
      <c r="AJ361" s="180"/>
      <c r="AK361" s="180"/>
      <c r="AL361" s="180"/>
    </row>
    <row r="362" spans="1:38" s="183" customFormat="1">
      <c r="A362" s="180"/>
      <c r="P362" s="188">
        <f t="shared" si="16"/>
        <v>0</v>
      </c>
      <c r="Q362" s="187"/>
      <c r="T362" s="185"/>
      <c r="U362" s="184"/>
      <c r="X362" s="180"/>
      <c r="Y362" s="180"/>
      <c r="Z362" s="180"/>
      <c r="AA362" s="180"/>
      <c r="AB362" s="180"/>
      <c r="AC362" s="182"/>
      <c r="AD362" s="181"/>
      <c r="AE362" s="180"/>
      <c r="AF362" s="180"/>
      <c r="AG362" s="180"/>
      <c r="AH362" s="180"/>
      <c r="AI362" s="180"/>
      <c r="AJ362" s="180"/>
      <c r="AK362" s="180"/>
      <c r="AL362" s="180"/>
    </row>
    <row r="363" spans="1:38" s="183" customFormat="1">
      <c r="A363" s="180"/>
      <c r="P363" s="188">
        <f t="shared" si="16"/>
        <v>0</v>
      </c>
      <c r="Q363" s="187"/>
      <c r="T363" s="185"/>
      <c r="U363" s="184"/>
      <c r="X363" s="180"/>
      <c r="Y363" s="180"/>
      <c r="Z363" s="180"/>
      <c r="AA363" s="180"/>
      <c r="AB363" s="180"/>
      <c r="AC363" s="182"/>
      <c r="AD363" s="181"/>
      <c r="AE363" s="180"/>
      <c r="AF363" s="180"/>
      <c r="AG363" s="180"/>
      <c r="AH363" s="180"/>
      <c r="AI363" s="180"/>
      <c r="AJ363" s="180"/>
      <c r="AK363" s="180"/>
      <c r="AL363" s="180"/>
    </row>
    <row r="364" spans="1:38" s="183" customFormat="1">
      <c r="A364" s="180"/>
      <c r="P364" s="188">
        <f t="shared" si="16"/>
        <v>0</v>
      </c>
      <c r="Q364" s="187"/>
      <c r="T364" s="185"/>
      <c r="U364" s="184"/>
      <c r="X364" s="180"/>
      <c r="Y364" s="180"/>
      <c r="Z364" s="180"/>
      <c r="AA364" s="180"/>
      <c r="AB364" s="180"/>
      <c r="AC364" s="182"/>
      <c r="AD364" s="181"/>
      <c r="AE364" s="180"/>
      <c r="AF364" s="180"/>
      <c r="AG364" s="180"/>
      <c r="AH364" s="180"/>
      <c r="AI364" s="180"/>
      <c r="AJ364" s="180"/>
      <c r="AK364" s="180"/>
      <c r="AL364" s="180"/>
    </row>
    <row r="365" spans="1:38" s="183" customFormat="1">
      <c r="A365" s="180"/>
      <c r="P365" s="188">
        <f t="shared" si="16"/>
        <v>0</v>
      </c>
      <c r="Q365" s="187"/>
      <c r="T365" s="185"/>
      <c r="U365" s="184"/>
      <c r="X365" s="180"/>
      <c r="Y365" s="180"/>
      <c r="Z365" s="180"/>
      <c r="AA365" s="180"/>
      <c r="AB365" s="180"/>
      <c r="AC365" s="182"/>
      <c r="AD365" s="181"/>
      <c r="AE365" s="180"/>
      <c r="AF365" s="180"/>
      <c r="AG365" s="180"/>
      <c r="AH365" s="180"/>
      <c r="AI365" s="180"/>
      <c r="AJ365" s="180"/>
      <c r="AK365" s="180"/>
      <c r="AL365" s="180"/>
    </row>
    <row r="366" spans="1:38" s="183" customFormat="1">
      <c r="A366" s="180"/>
      <c r="P366" s="188">
        <f t="shared" si="16"/>
        <v>0</v>
      </c>
      <c r="Q366" s="187"/>
      <c r="T366" s="185"/>
      <c r="U366" s="184"/>
      <c r="X366" s="180"/>
      <c r="Y366" s="180"/>
      <c r="Z366" s="180"/>
      <c r="AA366" s="180"/>
      <c r="AB366" s="180"/>
      <c r="AC366" s="182"/>
      <c r="AD366" s="181"/>
      <c r="AE366" s="180"/>
      <c r="AF366" s="180"/>
      <c r="AG366" s="180"/>
      <c r="AH366" s="180"/>
      <c r="AI366" s="180"/>
      <c r="AJ366" s="180"/>
      <c r="AK366" s="180"/>
      <c r="AL366" s="180"/>
    </row>
    <row r="367" spans="1:38" s="183" customFormat="1">
      <c r="A367" s="180"/>
      <c r="P367" s="188">
        <f t="shared" si="16"/>
        <v>0</v>
      </c>
      <c r="Q367" s="187"/>
      <c r="T367" s="185"/>
      <c r="U367" s="184"/>
      <c r="X367" s="180"/>
      <c r="Y367" s="180"/>
      <c r="Z367" s="180"/>
      <c r="AA367" s="180"/>
      <c r="AB367" s="180"/>
      <c r="AC367" s="182"/>
      <c r="AD367" s="181"/>
      <c r="AE367" s="180"/>
      <c r="AF367" s="180"/>
      <c r="AG367" s="180"/>
      <c r="AH367" s="180"/>
      <c r="AI367" s="180"/>
      <c r="AJ367" s="180"/>
      <c r="AK367" s="180"/>
      <c r="AL367" s="180"/>
    </row>
    <row r="368" spans="1:38" s="183" customFormat="1">
      <c r="A368" s="180"/>
      <c r="P368" s="188">
        <f t="shared" si="16"/>
        <v>0</v>
      </c>
      <c r="Q368" s="187"/>
      <c r="T368" s="185"/>
      <c r="U368" s="184"/>
      <c r="X368" s="180"/>
      <c r="Y368" s="180"/>
      <c r="Z368" s="180"/>
      <c r="AA368" s="180"/>
      <c r="AB368" s="180"/>
      <c r="AC368" s="182"/>
      <c r="AD368" s="181"/>
      <c r="AE368" s="180"/>
      <c r="AF368" s="180"/>
      <c r="AG368" s="180"/>
      <c r="AH368" s="180"/>
      <c r="AI368" s="180"/>
      <c r="AJ368" s="180"/>
      <c r="AK368" s="180"/>
      <c r="AL368" s="180"/>
    </row>
    <row r="369" spans="1:38" s="183" customFormat="1">
      <c r="A369" s="180"/>
      <c r="P369" s="188">
        <f t="shared" si="16"/>
        <v>0</v>
      </c>
      <c r="Q369" s="187"/>
      <c r="T369" s="185"/>
      <c r="U369" s="184"/>
      <c r="X369" s="180"/>
      <c r="Y369" s="180"/>
      <c r="Z369" s="180"/>
      <c r="AA369" s="180"/>
      <c r="AB369" s="180"/>
      <c r="AC369" s="182"/>
      <c r="AD369" s="181"/>
      <c r="AE369" s="180"/>
      <c r="AF369" s="180"/>
      <c r="AG369" s="180"/>
      <c r="AH369" s="180"/>
      <c r="AI369" s="180"/>
      <c r="AJ369" s="180"/>
      <c r="AK369" s="180"/>
      <c r="AL369" s="180"/>
    </row>
    <row r="370" spans="1:38" s="183" customFormat="1">
      <c r="A370" s="180"/>
      <c r="P370" s="188">
        <f t="shared" si="16"/>
        <v>0</v>
      </c>
      <c r="Q370" s="187"/>
      <c r="T370" s="185"/>
      <c r="U370" s="184"/>
      <c r="X370" s="180"/>
      <c r="Y370" s="180"/>
      <c r="Z370" s="180"/>
      <c r="AA370" s="180"/>
      <c r="AB370" s="180"/>
      <c r="AC370" s="182"/>
      <c r="AD370" s="181"/>
      <c r="AE370" s="180"/>
      <c r="AF370" s="180"/>
      <c r="AG370" s="180"/>
      <c r="AH370" s="180"/>
      <c r="AI370" s="180"/>
      <c r="AJ370" s="180"/>
      <c r="AK370" s="180"/>
      <c r="AL370" s="180"/>
    </row>
    <row r="371" spans="1:38" s="183" customFormat="1">
      <c r="A371" s="180"/>
      <c r="P371" s="188">
        <f t="shared" si="16"/>
        <v>0</v>
      </c>
      <c r="Q371" s="187"/>
      <c r="T371" s="185"/>
      <c r="U371" s="184"/>
      <c r="X371" s="180"/>
      <c r="Y371" s="180"/>
      <c r="Z371" s="180"/>
      <c r="AA371" s="180"/>
      <c r="AB371" s="180"/>
      <c r="AC371" s="182"/>
      <c r="AD371" s="181"/>
      <c r="AE371" s="180"/>
      <c r="AF371" s="180"/>
      <c r="AG371" s="180"/>
      <c r="AH371" s="180"/>
      <c r="AI371" s="180"/>
      <c r="AJ371" s="180"/>
      <c r="AK371" s="180"/>
      <c r="AL371" s="180"/>
    </row>
    <row r="372" spans="1:38" s="183" customFormat="1">
      <c r="A372" s="180"/>
      <c r="P372" s="188">
        <f t="shared" si="16"/>
        <v>0</v>
      </c>
      <c r="Q372" s="187"/>
      <c r="T372" s="185"/>
      <c r="U372" s="184"/>
      <c r="X372" s="180"/>
      <c r="Y372" s="180"/>
      <c r="Z372" s="180"/>
      <c r="AA372" s="180"/>
      <c r="AB372" s="180"/>
      <c r="AC372" s="182"/>
      <c r="AD372" s="181"/>
      <c r="AE372" s="180"/>
      <c r="AF372" s="180"/>
      <c r="AG372" s="180"/>
      <c r="AH372" s="180"/>
      <c r="AI372" s="180"/>
      <c r="AJ372" s="180"/>
      <c r="AK372" s="180"/>
      <c r="AL372" s="180"/>
    </row>
    <row r="373" spans="1:38" s="183" customFormat="1">
      <c r="A373" s="180"/>
      <c r="P373" s="188">
        <f t="shared" si="16"/>
        <v>0</v>
      </c>
      <c r="Q373" s="187"/>
      <c r="T373" s="185"/>
      <c r="U373" s="184"/>
      <c r="X373" s="180"/>
      <c r="Y373" s="180"/>
      <c r="Z373" s="180"/>
      <c r="AA373" s="180"/>
      <c r="AB373" s="180"/>
      <c r="AC373" s="182"/>
      <c r="AD373" s="181"/>
      <c r="AE373" s="180"/>
      <c r="AF373" s="180"/>
      <c r="AG373" s="180"/>
      <c r="AH373" s="180"/>
      <c r="AI373" s="180"/>
      <c r="AJ373" s="180"/>
      <c r="AK373" s="180"/>
      <c r="AL373" s="180"/>
    </row>
    <row r="374" spans="1:38" s="183" customFormat="1">
      <c r="A374" s="180"/>
      <c r="P374" s="188">
        <f t="shared" si="16"/>
        <v>0</v>
      </c>
      <c r="Q374" s="187"/>
      <c r="T374" s="185"/>
      <c r="U374" s="184"/>
      <c r="X374" s="180"/>
      <c r="Y374" s="180"/>
      <c r="Z374" s="180"/>
      <c r="AA374" s="180"/>
      <c r="AB374" s="180"/>
      <c r="AC374" s="182"/>
      <c r="AD374" s="181"/>
      <c r="AE374" s="180"/>
      <c r="AF374" s="180"/>
      <c r="AG374" s="180"/>
      <c r="AH374" s="180"/>
      <c r="AI374" s="180"/>
      <c r="AJ374" s="180"/>
      <c r="AK374" s="180"/>
      <c r="AL374" s="180"/>
    </row>
    <row r="375" spans="1:38" s="183" customFormat="1">
      <c r="A375" s="180"/>
      <c r="P375" s="188">
        <f t="shared" si="16"/>
        <v>0</v>
      </c>
      <c r="Q375" s="187"/>
      <c r="T375" s="185"/>
      <c r="U375" s="184"/>
      <c r="X375" s="180"/>
      <c r="Y375" s="180"/>
      <c r="Z375" s="180"/>
      <c r="AA375" s="180"/>
      <c r="AB375" s="180"/>
      <c r="AC375" s="182"/>
      <c r="AD375" s="181"/>
      <c r="AE375" s="180"/>
      <c r="AF375" s="180"/>
      <c r="AG375" s="180"/>
      <c r="AH375" s="180"/>
      <c r="AI375" s="180"/>
      <c r="AJ375" s="180"/>
      <c r="AK375" s="180"/>
      <c r="AL375" s="180"/>
    </row>
    <row r="376" spans="1:38" s="183" customFormat="1">
      <c r="A376" s="180"/>
      <c r="P376" s="188">
        <f t="shared" si="16"/>
        <v>0</v>
      </c>
      <c r="Q376" s="187"/>
      <c r="T376" s="185"/>
      <c r="U376" s="184"/>
      <c r="X376" s="180"/>
      <c r="Y376" s="180"/>
      <c r="Z376" s="180"/>
      <c r="AA376" s="180"/>
      <c r="AB376" s="180"/>
      <c r="AC376" s="182"/>
      <c r="AD376" s="181"/>
      <c r="AE376" s="180"/>
      <c r="AF376" s="180"/>
      <c r="AG376" s="180"/>
      <c r="AH376" s="180"/>
      <c r="AI376" s="180"/>
      <c r="AJ376" s="180"/>
      <c r="AK376" s="180"/>
      <c r="AL376" s="180"/>
    </row>
    <row r="377" spans="1:38" s="183" customFormat="1">
      <c r="A377" s="180"/>
      <c r="P377" s="188">
        <f t="shared" si="16"/>
        <v>0</v>
      </c>
      <c r="Q377" s="187"/>
      <c r="T377" s="185"/>
      <c r="U377" s="184"/>
      <c r="X377" s="180"/>
      <c r="Y377" s="180"/>
      <c r="Z377" s="180"/>
      <c r="AA377" s="180"/>
      <c r="AB377" s="180"/>
      <c r="AC377" s="182"/>
      <c r="AD377" s="181"/>
      <c r="AE377" s="180"/>
      <c r="AF377" s="180"/>
      <c r="AG377" s="180"/>
      <c r="AH377" s="180"/>
      <c r="AI377" s="180"/>
      <c r="AJ377" s="180"/>
      <c r="AK377" s="180"/>
      <c r="AL377" s="180"/>
    </row>
    <row r="378" spans="1:38" s="183" customFormat="1">
      <c r="A378" s="180"/>
      <c r="P378" s="188">
        <f t="shared" si="16"/>
        <v>0</v>
      </c>
      <c r="Q378" s="187"/>
      <c r="T378" s="185"/>
      <c r="U378" s="184"/>
      <c r="X378" s="180"/>
      <c r="Y378" s="180"/>
      <c r="Z378" s="180"/>
      <c r="AA378" s="180"/>
      <c r="AB378" s="180"/>
      <c r="AC378" s="182"/>
      <c r="AD378" s="181"/>
      <c r="AE378" s="180"/>
      <c r="AF378" s="180"/>
      <c r="AG378" s="180"/>
      <c r="AH378" s="180"/>
      <c r="AI378" s="180"/>
      <c r="AJ378" s="180"/>
      <c r="AK378" s="180"/>
      <c r="AL378" s="180"/>
    </row>
    <row r="379" spans="1:38" s="183" customFormat="1">
      <c r="A379" s="180"/>
      <c r="P379" s="188">
        <f t="shared" si="16"/>
        <v>0</v>
      </c>
      <c r="Q379" s="187"/>
      <c r="T379" s="185"/>
      <c r="U379" s="184"/>
      <c r="X379" s="180"/>
      <c r="Y379" s="180"/>
      <c r="Z379" s="180"/>
      <c r="AA379" s="180"/>
      <c r="AB379" s="180"/>
      <c r="AC379" s="182"/>
      <c r="AD379" s="181"/>
      <c r="AE379" s="180"/>
      <c r="AF379" s="180"/>
      <c r="AG379" s="180"/>
      <c r="AH379" s="180"/>
      <c r="AI379" s="180"/>
      <c r="AJ379" s="180"/>
      <c r="AK379" s="180"/>
      <c r="AL379" s="180"/>
    </row>
    <row r="380" spans="1:38" s="183" customFormat="1">
      <c r="A380" s="180"/>
      <c r="P380" s="188">
        <f t="shared" si="16"/>
        <v>0</v>
      </c>
      <c r="Q380" s="187"/>
      <c r="T380" s="185"/>
      <c r="U380" s="184"/>
      <c r="X380" s="180"/>
      <c r="Y380" s="180"/>
      <c r="Z380" s="180"/>
      <c r="AA380" s="180"/>
      <c r="AB380" s="180"/>
      <c r="AC380" s="182"/>
      <c r="AD380" s="181"/>
      <c r="AE380" s="180"/>
      <c r="AF380" s="180"/>
      <c r="AG380" s="180"/>
      <c r="AH380" s="180"/>
      <c r="AI380" s="180"/>
      <c r="AJ380" s="180"/>
      <c r="AK380" s="180"/>
      <c r="AL380" s="180"/>
    </row>
    <row r="381" spans="1:38" s="183" customFormat="1">
      <c r="A381" s="180"/>
      <c r="P381" s="188">
        <f t="shared" ref="P381:P444" si="17">IFERROR(IF($I381="Rotary",LEFT($O381,9),$O381),"")</f>
        <v>0</v>
      </c>
      <c r="Q381" s="187"/>
      <c r="T381" s="185"/>
      <c r="U381" s="184"/>
      <c r="X381" s="180"/>
      <c r="Y381" s="180"/>
      <c r="Z381" s="180"/>
      <c r="AA381" s="180"/>
      <c r="AB381" s="180"/>
      <c r="AC381" s="182"/>
      <c r="AD381" s="181"/>
      <c r="AE381" s="180"/>
      <c r="AF381" s="180"/>
      <c r="AG381" s="180"/>
      <c r="AH381" s="180"/>
      <c r="AI381" s="180"/>
      <c r="AJ381" s="180"/>
      <c r="AK381" s="180"/>
      <c r="AL381" s="180"/>
    </row>
    <row r="382" spans="1:38" s="183" customFormat="1">
      <c r="A382" s="180"/>
      <c r="P382" s="188">
        <f t="shared" si="17"/>
        <v>0</v>
      </c>
      <c r="Q382" s="187"/>
      <c r="T382" s="185"/>
      <c r="U382" s="184"/>
      <c r="X382" s="180"/>
      <c r="Y382" s="180"/>
      <c r="Z382" s="180"/>
      <c r="AA382" s="180"/>
      <c r="AB382" s="180"/>
      <c r="AC382" s="182"/>
      <c r="AD382" s="181"/>
      <c r="AE382" s="180"/>
      <c r="AF382" s="180"/>
      <c r="AG382" s="180"/>
      <c r="AH382" s="180"/>
      <c r="AI382" s="180"/>
      <c r="AJ382" s="180"/>
      <c r="AK382" s="180"/>
      <c r="AL382" s="180"/>
    </row>
    <row r="383" spans="1:38" s="183" customFormat="1">
      <c r="A383" s="180"/>
      <c r="P383" s="188">
        <f t="shared" si="17"/>
        <v>0</v>
      </c>
      <c r="Q383" s="187"/>
      <c r="T383" s="185"/>
      <c r="U383" s="184"/>
      <c r="X383" s="180"/>
      <c r="Y383" s="180"/>
      <c r="Z383" s="180"/>
      <c r="AA383" s="180"/>
      <c r="AB383" s="180"/>
      <c r="AC383" s="182"/>
      <c r="AD383" s="181"/>
      <c r="AE383" s="180"/>
      <c r="AF383" s="180"/>
      <c r="AG383" s="180"/>
      <c r="AH383" s="180"/>
      <c r="AI383" s="180"/>
      <c r="AJ383" s="180"/>
      <c r="AK383" s="180"/>
      <c r="AL383" s="180"/>
    </row>
    <row r="384" spans="1:38" s="183" customFormat="1">
      <c r="A384" s="180"/>
      <c r="P384" s="188">
        <f t="shared" si="17"/>
        <v>0</v>
      </c>
      <c r="Q384" s="187"/>
      <c r="T384" s="185"/>
      <c r="U384" s="184"/>
      <c r="X384" s="180"/>
      <c r="Y384" s="180"/>
      <c r="Z384" s="180"/>
      <c r="AA384" s="180"/>
      <c r="AB384" s="180"/>
      <c r="AC384" s="182"/>
      <c r="AD384" s="181"/>
      <c r="AE384" s="180"/>
      <c r="AF384" s="180"/>
      <c r="AG384" s="180"/>
      <c r="AH384" s="180"/>
      <c r="AI384" s="180"/>
      <c r="AJ384" s="180"/>
      <c r="AK384" s="180"/>
      <c r="AL384" s="180"/>
    </row>
    <row r="385" spans="1:38" s="183" customFormat="1">
      <c r="A385" s="180"/>
      <c r="P385" s="188">
        <f t="shared" si="17"/>
        <v>0</v>
      </c>
      <c r="Q385" s="187"/>
      <c r="T385" s="185"/>
      <c r="U385" s="184"/>
      <c r="X385" s="180"/>
      <c r="Y385" s="180"/>
      <c r="Z385" s="180"/>
      <c r="AA385" s="180"/>
      <c r="AB385" s="180"/>
      <c r="AC385" s="182"/>
      <c r="AD385" s="181"/>
      <c r="AE385" s="180"/>
      <c r="AF385" s="180"/>
      <c r="AG385" s="180"/>
      <c r="AH385" s="180"/>
      <c r="AI385" s="180"/>
      <c r="AJ385" s="180"/>
      <c r="AK385" s="180"/>
      <c r="AL385" s="180"/>
    </row>
    <row r="386" spans="1:38" s="183" customFormat="1">
      <c r="A386" s="180"/>
      <c r="P386" s="188">
        <f t="shared" si="17"/>
        <v>0</v>
      </c>
      <c r="Q386" s="187"/>
      <c r="T386" s="185"/>
      <c r="U386" s="184"/>
      <c r="X386" s="180"/>
      <c r="Y386" s="180"/>
      <c r="Z386" s="180"/>
      <c r="AA386" s="180"/>
      <c r="AB386" s="180"/>
      <c r="AC386" s="182"/>
      <c r="AD386" s="181"/>
      <c r="AE386" s="180"/>
      <c r="AF386" s="180"/>
      <c r="AG386" s="180"/>
      <c r="AH386" s="180"/>
      <c r="AI386" s="180"/>
      <c r="AJ386" s="180"/>
      <c r="AK386" s="180"/>
      <c r="AL386" s="180"/>
    </row>
    <row r="387" spans="1:38" s="183" customFormat="1">
      <c r="A387" s="180"/>
      <c r="P387" s="188">
        <f t="shared" si="17"/>
        <v>0</v>
      </c>
      <c r="Q387" s="187"/>
      <c r="T387" s="185"/>
      <c r="U387" s="184"/>
      <c r="X387" s="180"/>
      <c r="Y387" s="180"/>
      <c r="Z387" s="180"/>
      <c r="AA387" s="180"/>
      <c r="AB387" s="180"/>
      <c r="AC387" s="182"/>
      <c r="AD387" s="181"/>
      <c r="AE387" s="180"/>
      <c r="AF387" s="180"/>
      <c r="AG387" s="180"/>
      <c r="AH387" s="180"/>
      <c r="AI387" s="180"/>
      <c r="AJ387" s="180"/>
      <c r="AK387" s="180"/>
      <c r="AL387" s="180"/>
    </row>
    <row r="388" spans="1:38" s="183" customFormat="1">
      <c r="A388" s="180"/>
      <c r="P388" s="188">
        <f t="shared" si="17"/>
        <v>0</v>
      </c>
      <c r="Q388" s="187"/>
      <c r="T388" s="185"/>
      <c r="U388" s="184"/>
      <c r="X388" s="180"/>
      <c r="Y388" s="180"/>
      <c r="Z388" s="180"/>
      <c r="AA388" s="180"/>
      <c r="AB388" s="180"/>
      <c r="AC388" s="182"/>
      <c r="AD388" s="181"/>
      <c r="AE388" s="180"/>
      <c r="AF388" s="180"/>
      <c r="AG388" s="180"/>
      <c r="AH388" s="180"/>
      <c r="AI388" s="180"/>
      <c r="AJ388" s="180"/>
      <c r="AK388" s="180"/>
      <c r="AL388" s="180"/>
    </row>
    <row r="389" spans="1:38" s="183" customFormat="1">
      <c r="A389" s="180"/>
      <c r="P389" s="188">
        <f t="shared" si="17"/>
        <v>0</v>
      </c>
      <c r="Q389" s="187"/>
      <c r="T389" s="185"/>
      <c r="U389" s="184"/>
      <c r="X389" s="180"/>
      <c r="Y389" s="180"/>
      <c r="Z389" s="180"/>
      <c r="AA389" s="180"/>
      <c r="AB389" s="180"/>
      <c r="AC389" s="182"/>
      <c r="AD389" s="181"/>
      <c r="AE389" s="180"/>
      <c r="AF389" s="180"/>
      <c r="AG389" s="180"/>
      <c r="AH389" s="180"/>
      <c r="AI389" s="180"/>
      <c r="AJ389" s="180"/>
      <c r="AK389" s="180"/>
      <c r="AL389" s="180"/>
    </row>
    <row r="390" spans="1:38" s="183" customFormat="1">
      <c r="A390" s="180"/>
      <c r="P390" s="188">
        <f t="shared" si="17"/>
        <v>0</v>
      </c>
      <c r="Q390" s="187"/>
      <c r="T390" s="185"/>
      <c r="U390" s="184"/>
      <c r="X390" s="180"/>
      <c r="Y390" s="180"/>
      <c r="Z390" s="180"/>
      <c r="AA390" s="180"/>
      <c r="AB390" s="180"/>
      <c r="AC390" s="182"/>
      <c r="AD390" s="181"/>
      <c r="AE390" s="180"/>
      <c r="AF390" s="180"/>
      <c r="AG390" s="180"/>
      <c r="AH390" s="180"/>
      <c r="AI390" s="180"/>
      <c r="AJ390" s="180"/>
      <c r="AK390" s="180"/>
      <c r="AL390" s="180"/>
    </row>
    <row r="391" spans="1:38" s="183" customFormat="1">
      <c r="A391" s="180"/>
      <c r="P391" s="188">
        <f t="shared" si="17"/>
        <v>0</v>
      </c>
      <c r="Q391" s="187"/>
      <c r="T391" s="185"/>
      <c r="U391" s="184"/>
      <c r="X391" s="180"/>
      <c r="Y391" s="180"/>
      <c r="Z391" s="180"/>
      <c r="AA391" s="180"/>
      <c r="AB391" s="180"/>
      <c r="AC391" s="182"/>
      <c r="AD391" s="181"/>
      <c r="AE391" s="180"/>
      <c r="AF391" s="180"/>
      <c r="AG391" s="180"/>
      <c r="AH391" s="180"/>
      <c r="AI391" s="180"/>
      <c r="AJ391" s="180"/>
      <c r="AK391" s="180"/>
      <c r="AL391" s="180"/>
    </row>
    <row r="392" spans="1:38" s="183" customFormat="1">
      <c r="A392" s="180"/>
      <c r="P392" s="188">
        <f t="shared" si="17"/>
        <v>0</v>
      </c>
      <c r="Q392" s="187"/>
      <c r="T392" s="185"/>
      <c r="U392" s="184"/>
      <c r="X392" s="180"/>
      <c r="Y392" s="180"/>
      <c r="Z392" s="180"/>
      <c r="AA392" s="180"/>
      <c r="AB392" s="180"/>
      <c r="AC392" s="182"/>
      <c r="AD392" s="181"/>
      <c r="AE392" s="180"/>
      <c r="AF392" s="180"/>
      <c r="AG392" s="180"/>
      <c r="AH392" s="180"/>
      <c r="AI392" s="180"/>
      <c r="AJ392" s="180"/>
      <c r="AK392" s="180"/>
      <c r="AL392" s="180"/>
    </row>
    <row r="393" spans="1:38" s="183" customFormat="1">
      <c r="A393" s="180"/>
      <c r="P393" s="188">
        <f t="shared" si="17"/>
        <v>0</v>
      </c>
      <c r="Q393" s="187"/>
      <c r="T393" s="185"/>
      <c r="U393" s="184"/>
      <c r="X393" s="180"/>
      <c r="Y393" s="180"/>
      <c r="Z393" s="180"/>
      <c r="AA393" s="180"/>
      <c r="AB393" s="180"/>
      <c r="AC393" s="182"/>
      <c r="AD393" s="181"/>
      <c r="AE393" s="180"/>
      <c r="AF393" s="180"/>
      <c r="AG393" s="180"/>
      <c r="AH393" s="180"/>
      <c r="AI393" s="180"/>
      <c r="AJ393" s="180"/>
      <c r="AK393" s="180"/>
      <c r="AL393" s="180"/>
    </row>
    <row r="394" spans="1:38" s="183" customFormat="1">
      <c r="A394" s="180"/>
      <c r="P394" s="188">
        <f t="shared" si="17"/>
        <v>0</v>
      </c>
      <c r="Q394" s="187"/>
      <c r="T394" s="185"/>
      <c r="U394" s="184"/>
      <c r="X394" s="180"/>
      <c r="Y394" s="180"/>
      <c r="Z394" s="180"/>
      <c r="AA394" s="180"/>
      <c r="AB394" s="180"/>
      <c r="AC394" s="182"/>
      <c r="AD394" s="181"/>
      <c r="AE394" s="180"/>
      <c r="AF394" s="180"/>
      <c r="AG394" s="180"/>
      <c r="AH394" s="180"/>
      <c r="AI394" s="180"/>
      <c r="AJ394" s="180"/>
      <c r="AK394" s="180"/>
      <c r="AL394" s="180"/>
    </row>
    <row r="395" spans="1:38" s="183" customFormat="1">
      <c r="A395" s="180"/>
      <c r="P395" s="188">
        <f t="shared" si="17"/>
        <v>0</v>
      </c>
      <c r="Q395" s="187"/>
      <c r="T395" s="185"/>
      <c r="U395" s="184"/>
      <c r="X395" s="180"/>
      <c r="Y395" s="180"/>
      <c r="Z395" s="180"/>
      <c r="AA395" s="180"/>
      <c r="AB395" s="180"/>
      <c r="AC395" s="182"/>
      <c r="AD395" s="181"/>
      <c r="AE395" s="180"/>
      <c r="AF395" s="180"/>
      <c r="AG395" s="180"/>
      <c r="AH395" s="180"/>
      <c r="AI395" s="180"/>
      <c r="AJ395" s="180"/>
      <c r="AK395" s="180"/>
      <c r="AL395" s="180"/>
    </row>
    <row r="396" spans="1:38" s="183" customFormat="1">
      <c r="A396" s="180"/>
      <c r="P396" s="188">
        <f t="shared" si="17"/>
        <v>0</v>
      </c>
      <c r="Q396" s="187"/>
      <c r="T396" s="185"/>
      <c r="U396" s="184"/>
      <c r="X396" s="180"/>
      <c r="Y396" s="180"/>
      <c r="Z396" s="180"/>
      <c r="AA396" s="180"/>
      <c r="AB396" s="180"/>
      <c r="AC396" s="182"/>
      <c r="AD396" s="181"/>
      <c r="AE396" s="180"/>
      <c r="AF396" s="180"/>
      <c r="AG396" s="180"/>
      <c r="AH396" s="180"/>
      <c r="AI396" s="180"/>
      <c r="AJ396" s="180"/>
      <c r="AK396" s="180"/>
      <c r="AL396" s="180"/>
    </row>
    <row r="397" spans="1:38" s="183" customFormat="1">
      <c r="A397" s="180"/>
      <c r="P397" s="188">
        <f t="shared" si="17"/>
        <v>0</v>
      </c>
      <c r="Q397" s="187"/>
      <c r="T397" s="185"/>
      <c r="U397" s="184"/>
      <c r="X397" s="180"/>
      <c r="Y397" s="180"/>
      <c r="Z397" s="180"/>
      <c r="AA397" s="180"/>
      <c r="AB397" s="180"/>
      <c r="AC397" s="182"/>
      <c r="AD397" s="181"/>
      <c r="AE397" s="180"/>
      <c r="AF397" s="180"/>
      <c r="AG397" s="180"/>
      <c r="AH397" s="180"/>
      <c r="AI397" s="180"/>
      <c r="AJ397" s="180"/>
      <c r="AK397" s="180"/>
      <c r="AL397" s="180"/>
    </row>
    <row r="398" spans="1:38" s="183" customFormat="1">
      <c r="A398" s="180"/>
      <c r="P398" s="188">
        <f t="shared" si="17"/>
        <v>0</v>
      </c>
      <c r="Q398" s="187"/>
      <c r="T398" s="185"/>
      <c r="U398" s="184"/>
      <c r="X398" s="180"/>
      <c r="Y398" s="180"/>
      <c r="Z398" s="180"/>
      <c r="AA398" s="180"/>
      <c r="AB398" s="180"/>
      <c r="AC398" s="182"/>
      <c r="AD398" s="181"/>
      <c r="AE398" s="180"/>
      <c r="AF398" s="180"/>
      <c r="AG398" s="180"/>
      <c r="AH398" s="180"/>
      <c r="AI398" s="180"/>
      <c r="AJ398" s="180"/>
      <c r="AK398" s="180"/>
      <c r="AL398" s="180"/>
    </row>
    <row r="399" spans="1:38" s="183" customFormat="1">
      <c r="A399" s="180"/>
      <c r="P399" s="188">
        <f t="shared" si="17"/>
        <v>0</v>
      </c>
      <c r="Q399" s="187"/>
      <c r="T399" s="185"/>
      <c r="U399" s="184"/>
      <c r="X399" s="180"/>
      <c r="Y399" s="180"/>
      <c r="Z399" s="180"/>
      <c r="AA399" s="180"/>
      <c r="AB399" s="180"/>
      <c r="AC399" s="182"/>
      <c r="AD399" s="181"/>
      <c r="AE399" s="180"/>
      <c r="AF399" s="180"/>
      <c r="AG399" s="180"/>
      <c r="AH399" s="180"/>
      <c r="AI399" s="180"/>
      <c r="AJ399" s="180"/>
      <c r="AK399" s="180"/>
      <c r="AL399" s="180"/>
    </row>
    <row r="400" spans="1:38" s="183" customFormat="1">
      <c r="A400" s="180"/>
      <c r="P400" s="188">
        <f t="shared" si="17"/>
        <v>0</v>
      </c>
      <c r="Q400" s="187"/>
      <c r="T400" s="185"/>
      <c r="U400" s="184"/>
      <c r="X400" s="180"/>
      <c r="Y400" s="180"/>
      <c r="Z400" s="180"/>
      <c r="AA400" s="180"/>
      <c r="AB400" s="180"/>
      <c r="AC400" s="182"/>
      <c r="AD400" s="181"/>
      <c r="AE400" s="180"/>
      <c r="AF400" s="180"/>
      <c r="AG400" s="180"/>
      <c r="AH400" s="180"/>
      <c r="AI400" s="180"/>
      <c r="AJ400" s="180"/>
      <c r="AK400" s="180"/>
      <c r="AL400" s="180"/>
    </row>
    <row r="401" spans="1:38" s="183" customFormat="1">
      <c r="A401" s="180"/>
      <c r="P401" s="188">
        <f t="shared" si="17"/>
        <v>0</v>
      </c>
      <c r="Q401" s="187"/>
      <c r="T401" s="185"/>
      <c r="U401" s="184"/>
      <c r="X401" s="180"/>
      <c r="Y401" s="180"/>
      <c r="Z401" s="180"/>
      <c r="AA401" s="180"/>
      <c r="AB401" s="180"/>
      <c r="AC401" s="182"/>
      <c r="AD401" s="181"/>
      <c r="AE401" s="180"/>
      <c r="AF401" s="180"/>
      <c r="AG401" s="180"/>
      <c r="AH401" s="180"/>
      <c r="AI401" s="180"/>
      <c r="AJ401" s="180"/>
      <c r="AK401" s="180"/>
      <c r="AL401" s="180"/>
    </row>
    <row r="402" spans="1:38" s="183" customFormat="1">
      <c r="A402" s="180"/>
      <c r="P402" s="188">
        <f t="shared" si="17"/>
        <v>0</v>
      </c>
      <c r="Q402" s="187"/>
      <c r="T402" s="185"/>
      <c r="U402" s="184"/>
      <c r="X402" s="180"/>
      <c r="Y402" s="180"/>
      <c r="Z402" s="180"/>
      <c r="AA402" s="180"/>
      <c r="AB402" s="180"/>
      <c r="AC402" s="182"/>
      <c r="AD402" s="181"/>
      <c r="AE402" s="180"/>
      <c r="AF402" s="180"/>
      <c r="AG402" s="180"/>
      <c r="AH402" s="180"/>
      <c r="AI402" s="180"/>
      <c r="AJ402" s="180"/>
      <c r="AK402" s="180"/>
      <c r="AL402" s="180"/>
    </row>
    <row r="403" spans="1:38" s="183" customFormat="1">
      <c r="A403" s="180"/>
      <c r="P403" s="188">
        <f t="shared" si="17"/>
        <v>0</v>
      </c>
      <c r="Q403" s="187"/>
      <c r="T403" s="185"/>
      <c r="U403" s="184"/>
      <c r="X403" s="180"/>
      <c r="Y403" s="180"/>
      <c r="Z403" s="180"/>
      <c r="AA403" s="180"/>
      <c r="AB403" s="180"/>
      <c r="AC403" s="182"/>
      <c r="AD403" s="181"/>
      <c r="AE403" s="180"/>
      <c r="AF403" s="180"/>
      <c r="AG403" s="180"/>
      <c r="AH403" s="180"/>
      <c r="AI403" s="180"/>
      <c r="AJ403" s="180"/>
      <c r="AK403" s="180"/>
      <c r="AL403" s="180"/>
    </row>
    <row r="404" spans="1:38" s="183" customFormat="1">
      <c r="A404" s="180"/>
      <c r="P404" s="188">
        <f t="shared" si="17"/>
        <v>0</v>
      </c>
      <c r="Q404" s="187"/>
      <c r="T404" s="185"/>
      <c r="U404" s="184"/>
      <c r="X404" s="180"/>
      <c r="Y404" s="180"/>
      <c r="Z404" s="180"/>
      <c r="AA404" s="180"/>
      <c r="AB404" s="180"/>
      <c r="AC404" s="182"/>
      <c r="AD404" s="181"/>
      <c r="AE404" s="180"/>
      <c r="AF404" s="180"/>
      <c r="AG404" s="180"/>
      <c r="AH404" s="180"/>
      <c r="AI404" s="180"/>
      <c r="AJ404" s="180"/>
      <c r="AK404" s="180"/>
      <c r="AL404" s="180"/>
    </row>
    <row r="405" spans="1:38" s="183" customFormat="1">
      <c r="A405" s="180"/>
      <c r="P405" s="188">
        <f t="shared" si="17"/>
        <v>0</v>
      </c>
      <c r="Q405" s="187"/>
      <c r="T405" s="185"/>
      <c r="U405" s="184"/>
      <c r="X405" s="180"/>
      <c r="Y405" s="180"/>
      <c r="Z405" s="180"/>
      <c r="AA405" s="180"/>
      <c r="AB405" s="180"/>
      <c r="AC405" s="182"/>
      <c r="AD405" s="181"/>
      <c r="AE405" s="180"/>
      <c r="AF405" s="180"/>
      <c r="AG405" s="180"/>
      <c r="AH405" s="180"/>
      <c r="AI405" s="180"/>
      <c r="AJ405" s="180"/>
      <c r="AK405" s="180"/>
      <c r="AL405" s="180"/>
    </row>
    <row r="406" spans="1:38" s="183" customFormat="1">
      <c r="A406" s="180"/>
      <c r="P406" s="188">
        <f t="shared" si="17"/>
        <v>0</v>
      </c>
      <c r="Q406" s="187"/>
      <c r="T406" s="185"/>
      <c r="U406" s="184"/>
      <c r="X406" s="180"/>
      <c r="Y406" s="180"/>
      <c r="Z406" s="180"/>
      <c r="AA406" s="180"/>
      <c r="AB406" s="180"/>
      <c r="AC406" s="182"/>
      <c r="AD406" s="181"/>
      <c r="AE406" s="180"/>
      <c r="AF406" s="180"/>
      <c r="AG406" s="180"/>
      <c r="AH406" s="180"/>
      <c r="AI406" s="180"/>
      <c r="AJ406" s="180"/>
      <c r="AK406" s="180"/>
      <c r="AL406" s="180"/>
    </row>
    <row r="407" spans="1:38" s="183" customFormat="1">
      <c r="A407" s="180"/>
      <c r="P407" s="188">
        <f t="shared" si="17"/>
        <v>0</v>
      </c>
      <c r="Q407" s="187"/>
      <c r="T407" s="185"/>
      <c r="U407" s="184"/>
      <c r="X407" s="180"/>
      <c r="Y407" s="180"/>
      <c r="Z407" s="180"/>
      <c r="AA407" s="180"/>
      <c r="AB407" s="180"/>
      <c r="AC407" s="182"/>
      <c r="AD407" s="181"/>
      <c r="AE407" s="180"/>
      <c r="AF407" s="180"/>
      <c r="AG407" s="180"/>
      <c r="AH407" s="180"/>
      <c r="AI407" s="180"/>
      <c r="AJ407" s="180"/>
      <c r="AK407" s="180"/>
      <c r="AL407" s="180"/>
    </row>
    <row r="408" spans="1:38" s="183" customFormat="1">
      <c r="A408" s="180"/>
      <c r="P408" s="188">
        <f t="shared" si="17"/>
        <v>0</v>
      </c>
      <c r="Q408" s="187"/>
      <c r="T408" s="185"/>
      <c r="U408" s="184"/>
      <c r="X408" s="180"/>
      <c r="Y408" s="180"/>
      <c r="Z408" s="180"/>
      <c r="AA408" s="180"/>
      <c r="AB408" s="180"/>
      <c r="AC408" s="182"/>
      <c r="AD408" s="181"/>
      <c r="AE408" s="180"/>
      <c r="AF408" s="180"/>
      <c r="AG408" s="180"/>
      <c r="AH408" s="180"/>
      <c r="AI408" s="180"/>
      <c r="AJ408" s="180"/>
      <c r="AK408" s="180"/>
      <c r="AL408" s="180"/>
    </row>
    <row r="409" spans="1:38" s="183" customFormat="1">
      <c r="A409" s="180"/>
      <c r="P409" s="188">
        <f t="shared" si="17"/>
        <v>0</v>
      </c>
      <c r="Q409" s="187"/>
      <c r="T409" s="185"/>
      <c r="U409" s="184"/>
      <c r="X409" s="180"/>
      <c r="Y409" s="180"/>
      <c r="Z409" s="180"/>
      <c r="AA409" s="180"/>
      <c r="AB409" s="180"/>
      <c r="AC409" s="182"/>
      <c r="AD409" s="181"/>
      <c r="AE409" s="180"/>
      <c r="AF409" s="180"/>
      <c r="AG409" s="180"/>
      <c r="AH409" s="180"/>
      <c r="AI409" s="180"/>
      <c r="AJ409" s="180"/>
      <c r="AK409" s="180"/>
      <c r="AL409" s="180"/>
    </row>
    <row r="410" spans="1:38" s="183" customFormat="1">
      <c r="A410" s="180"/>
      <c r="P410" s="188">
        <f t="shared" si="17"/>
        <v>0</v>
      </c>
      <c r="Q410" s="187"/>
      <c r="T410" s="185"/>
      <c r="U410" s="184"/>
      <c r="X410" s="180"/>
      <c r="Y410" s="180"/>
      <c r="Z410" s="180"/>
      <c r="AA410" s="180"/>
      <c r="AB410" s="180"/>
      <c r="AC410" s="182"/>
      <c r="AD410" s="181"/>
      <c r="AE410" s="180"/>
      <c r="AF410" s="180"/>
      <c r="AG410" s="180"/>
      <c r="AH410" s="180"/>
      <c r="AI410" s="180"/>
      <c r="AJ410" s="180"/>
      <c r="AK410" s="180"/>
      <c r="AL410" s="180"/>
    </row>
    <row r="411" spans="1:38" s="183" customFormat="1">
      <c r="A411" s="180"/>
      <c r="P411" s="188">
        <f t="shared" si="17"/>
        <v>0</v>
      </c>
      <c r="Q411" s="187"/>
      <c r="T411" s="185"/>
      <c r="U411" s="184"/>
      <c r="X411" s="180"/>
      <c r="Y411" s="180"/>
      <c r="Z411" s="180"/>
      <c r="AA411" s="180"/>
      <c r="AB411" s="180"/>
      <c r="AC411" s="182"/>
      <c r="AD411" s="181"/>
      <c r="AE411" s="180"/>
      <c r="AF411" s="180"/>
      <c r="AG411" s="180"/>
      <c r="AH411" s="180"/>
      <c r="AI411" s="180"/>
      <c r="AJ411" s="180"/>
      <c r="AK411" s="180"/>
      <c r="AL411" s="180"/>
    </row>
    <row r="412" spans="1:38" s="183" customFormat="1">
      <c r="A412" s="180"/>
      <c r="P412" s="188">
        <f t="shared" si="17"/>
        <v>0</v>
      </c>
      <c r="Q412" s="187"/>
      <c r="T412" s="185"/>
      <c r="U412" s="184"/>
      <c r="X412" s="180"/>
      <c r="Y412" s="180"/>
      <c r="Z412" s="180"/>
      <c r="AA412" s="180"/>
      <c r="AB412" s="180"/>
      <c r="AC412" s="182"/>
      <c r="AD412" s="181"/>
      <c r="AE412" s="180"/>
      <c r="AF412" s="180"/>
      <c r="AG412" s="180"/>
      <c r="AH412" s="180"/>
      <c r="AI412" s="180"/>
      <c r="AJ412" s="180"/>
      <c r="AK412" s="180"/>
      <c r="AL412" s="180"/>
    </row>
    <row r="413" spans="1:38" s="183" customFormat="1">
      <c r="A413" s="180"/>
      <c r="P413" s="188">
        <f t="shared" si="17"/>
        <v>0</v>
      </c>
      <c r="Q413" s="187"/>
      <c r="T413" s="185"/>
      <c r="U413" s="184"/>
      <c r="X413" s="180"/>
      <c r="Y413" s="180"/>
      <c r="Z413" s="180"/>
      <c r="AA413" s="180"/>
      <c r="AB413" s="180"/>
      <c r="AC413" s="182"/>
      <c r="AD413" s="181"/>
      <c r="AE413" s="180"/>
      <c r="AF413" s="180"/>
      <c r="AG413" s="180"/>
      <c r="AH413" s="180"/>
      <c r="AI413" s="180"/>
      <c r="AJ413" s="180"/>
      <c r="AK413" s="180"/>
      <c r="AL413" s="180"/>
    </row>
    <row r="414" spans="1:38" s="183" customFormat="1">
      <c r="A414" s="180"/>
      <c r="P414" s="188">
        <f t="shared" si="17"/>
        <v>0</v>
      </c>
      <c r="Q414" s="187"/>
      <c r="T414" s="185"/>
      <c r="U414" s="184"/>
      <c r="X414" s="180"/>
      <c r="Y414" s="180"/>
      <c r="Z414" s="180"/>
      <c r="AA414" s="180"/>
      <c r="AB414" s="180"/>
      <c r="AC414" s="182"/>
      <c r="AD414" s="181"/>
      <c r="AE414" s="180"/>
      <c r="AF414" s="180"/>
      <c r="AG414" s="180"/>
      <c r="AH414" s="180"/>
      <c r="AI414" s="180"/>
      <c r="AJ414" s="180"/>
      <c r="AK414" s="180"/>
      <c r="AL414" s="180"/>
    </row>
    <row r="415" spans="1:38" s="183" customFormat="1">
      <c r="A415" s="180"/>
      <c r="P415" s="188">
        <f t="shared" si="17"/>
        <v>0</v>
      </c>
      <c r="Q415" s="187"/>
      <c r="T415" s="185"/>
      <c r="U415" s="184"/>
      <c r="X415" s="180"/>
      <c r="Y415" s="180"/>
      <c r="Z415" s="180"/>
      <c r="AA415" s="180"/>
      <c r="AB415" s="180"/>
      <c r="AC415" s="182"/>
      <c r="AD415" s="181"/>
      <c r="AE415" s="180"/>
      <c r="AF415" s="180"/>
      <c r="AG415" s="180"/>
      <c r="AH415" s="180"/>
      <c r="AI415" s="180"/>
      <c r="AJ415" s="180"/>
      <c r="AK415" s="180"/>
      <c r="AL415" s="180"/>
    </row>
    <row r="416" spans="1:38" s="183" customFormat="1">
      <c r="A416" s="180"/>
      <c r="P416" s="188">
        <f t="shared" si="17"/>
        <v>0</v>
      </c>
      <c r="Q416" s="187"/>
      <c r="T416" s="185"/>
      <c r="U416" s="184"/>
      <c r="X416" s="180"/>
      <c r="Y416" s="180"/>
      <c r="Z416" s="180"/>
      <c r="AA416" s="180"/>
      <c r="AB416" s="180"/>
      <c r="AC416" s="182"/>
      <c r="AD416" s="181"/>
      <c r="AE416" s="180"/>
      <c r="AF416" s="180"/>
      <c r="AG416" s="180"/>
      <c r="AH416" s="180"/>
      <c r="AI416" s="180"/>
      <c r="AJ416" s="180"/>
      <c r="AK416" s="180"/>
      <c r="AL416" s="180"/>
    </row>
    <row r="417" spans="1:38" s="183" customFormat="1">
      <c r="A417" s="180"/>
      <c r="P417" s="188">
        <f t="shared" si="17"/>
        <v>0</v>
      </c>
      <c r="Q417" s="187"/>
      <c r="T417" s="185"/>
      <c r="U417" s="184"/>
      <c r="X417" s="180"/>
      <c r="Y417" s="180"/>
      <c r="Z417" s="180"/>
      <c r="AA417" s="180"/>
      <c r="AB417" s="180"/>
      <c r="AC417" s="182"/>
      <c r="AD417" s="181"/>
      <c r="AE417" s="180"/>
      <c r="AF417" s="180"/>
      <c r="AG417" s="180"/>
      <c r="AH417" s="180"/>
      <c r="AI417" s="180"/>
      <c r="AJ417" s="180"/>
      <c r="AK417" s="180"/>
      <c r="AL417" s="180"/>
    </row>
    <row r="418" spans="1:38" s="183" customFormat="1">
      <c r="A418" s="180"/>
      <c r="P418" s="188">
        <f t="shared" si="17"/>
        <v>0</v>
      </c>
      <c r="Q418" s="187"/>
      <c r="T418" s="185"/>
      <c r="U418" s="184"/>
      <c r="X418" s="180"/>
      <c r="Y418" s="180"/>
      <c r="Z418" s="180"/>
      <c r="AA418" s="180"/>
      <c r="AB418" s="180"/>
      <c r="AC418" s="182"/>
      <c r="AD418" s="181"/>
      <c r="AE418" s="180"/>
      <c r="AF418" s="180"/>
      <c r="AG418" s="180"/>
      <c r="AH418" s="180"/>
      <c r="AI418" s="180"/>
      <c r="AJ418" s="180"/>
      <c r="AK418" s="180"/>
      <c r="AL418" s="180"/>
    </row>
    <row r="419" spans="1:38" s="183" customFormat="1">
      <c r="A419" s="180"/>
      <c r="P419" s="188">
        <f t="shared" si="17"/>
        <v>0</v>
      </c>
      <c r="Q419" s="187"/>
      <c r="T419" s="185"/>
      <c r="U419" s="184"/>
      <c r="X419" s="180"/>
      <c r="Y419" s="180"/>
      <c r="Z419" s="180"/>
      <c r="AA419" s="180"/>
      <c r="AB419" s="180"/>
      <c r="AC419" s="182"/>
      <c r="AD419" s="181"/>
      <c r="AE419" s="180"/>
      <c r="AF419" s="180"/>
      <c r="AG419" s="180"/>
      <c r="AH419" s="180"/>
      <c r="AI419" s="180"/>
      <c r="AJ419" s="180"/>
      <c r="AK419" s="180"/>
      <c r="AL419" s="180"/>
    </row>
    <row r="420" spans="1:38" s="183" customFormat="1">
      <c r="A420" s="180"/>
      <c r="P420" s="188">
        <f t="shared" si="17"/>
        <v>0</v>
      </c>
      <c r="Q420" s="187"/>
      <c r="T420" s="185"/>
      <c r="U420" s="184"/>
      <c r="X420" s="180"/>
      <c r="Y420" s="180"/>
      <c r="Z420" s="180"/>
      <c r="AA420" s="180"/>
      <c r="AB420" s="180"/>
      <c r="AC420" s="182"/>
      <c r="AD420" s="181"/>
      <c r="AE420" s="180"/>
      <c r="AF420" s="180"/>
      <c r="AG420" s="180"/>
      <c r="AH420" s="180"/>
      <c r="AI420" s="180"/>
      <c r="AJ420" s="180"/>
      <c r="AK420" s="180"/>
      <c r="AL420" s="180"/>
    </row>
    <row r="421" spans="1:38" s="183" customFormat="1">
      <c r="A421" s="180"/>
      <c r="P421" s="188">
        <f t="shared" si="17"/>
        <v>0</v>
      </c>
      <c r="Q421" s="187"/>
      <c r="T421" s="185"/>
      <c r="U421" s="184"/>
      <c r="X421" s="180"/>
      <c r="Y421" s="180"/>
      <c r="Z421" s="180"/>
      <c r="AA421" s="180"/>
      <c r="AB421" s="180"/>
      <c r="AC421" s="182"/>
      <c r="AD421" s="181"/>
      <c r="AE421" s="180"/>
      <c r="AF421" s="180"/>
      <c r="AG421" s="180"/>
      <c r="AH421" s="180"/>
      <c r="AI421" s="180"/>
      <c r="AJ421" s="180"/>
      <c r="AK421" s="180"/>
      <c r="AL421" s="180"/>
    </row>
    <row r="422" spans="1:38" s="183" customFormat="1">
      <c r="A422" s="180"/>
      <c r="P422" s="188">
        <f t="shared" si="17"/>
        <v>0</v>
      </c>
      <c r="Q422" s="187"/>
      <c r="T422" s="185"/>
      <c r="U422" s="184"/>
      <c r="X422" s="180"/>
      <c r="Y422" s="180"/>
      <c r="Z422" s="180"/>
      <c r="AA422" s="180"/>
      <c r="AB422" s="180"/>
      <c r="AC422" s="182"/>
      <c r="AD422" s="181"/>
      <c r="AE422" s="180"/>
      <c r="AF422" s="180"/>
      <c r="AG422" s="180"/>
      <c r="AH422" s="180"/>
      <c r="AI422" s="180"/>
      <c r="AJ422" s="180"/>
      <c r="AK422" s="180"/>
      <c r="AL422" s="180"/>
    </row>
    <row r="423" spans="1:38" s="183" customFormat="1">
      <c r="A423" s="180"/>
      <c r="P423" s="188">
        <f t="shared" si="17"/>
        <v>0</v>
      </c>
      <c r="Q423" s="187"/>
      <c r="T423" s="185"/>
      <c r="U423" s="184"/>
      <c r="X423" s="180"/>
      <c r="Y423" s="180"/>
      <c r="Z423" s="180"/>
      <c r="AA423" s="180"/>
      <c r="AB423" s="180"/>
      <c r="AC423" s="182"/>
      <c r="AD423" s="181"/>
      <c r="AE423" s="180"/>
      <c r="AF423" s="180"/>
      <c r="AG423" s="180"/>
      <c r="AH423" s="180"/>
      <c r="AI423" s="180"/>
      <c r="AJ423" s="180"/>
      <c r="AK423" s="180"/>
      <c r="AL423" s="180"/>
    </row>
    <row r="424" spans="1:38" s="183" customFormat="1">
      <c r="A424" s="180"/>
      <c r="P424" s="188">
        <f t="shared" si="17"/>
        <v>0</v>
      </c>
      <c r="Q424" s="187"/>
      <c r="T424" s="185"/>
      <c r="U424" s="184"/>
      <c r="X424" s="180"/>
      <c r="Y424" s="180"/>
      <c r="Z424" s="180"/>
      <c r="AA424" s="180"/>
      <c r="AB424" s="180"/>
      <c r="AC424" s="182"/>
      <c r="AD424" s="181"/>
      <c r="AE424" s="180"/>
      <c r="AF424" s="180"/>
      <c r="AG424" s="180"/>
      <c r="AH424" s="180"/>
      <c r="AI424" s="180"/>
      <c r="AJ424" s="180"/>
      <c r="AK424" s="180"/>
      <c r="AL424" s="180"/>
    </row>
    <row r="425" spans="1:38" s="183" customFormat="1">
      <c r="A425" s="180"/>
      <c r="P425" s="188">
        <f t="shared" si="17"/>
        <v>0</v>
      </c>
      <c r="Q425" s="187"/>
      <c r="T425" s="185"/>
      <c r="U425" s="184"/>
      <c r="X425" s="180"/>
      <c r="Y425" s="180"/>
      <c r="Z425" s="180"/>
      <c r="AA425" s="180"/>
      <c r="AB425" s="180"/>
      <c r="AC425" s="182"/>
      <c r="AD425" s="181"/>
      <c r="AE425" s="180"/>
      <c r="AF425" s="180"/>
      <c r="AG425" s="180"/>
      <c r="AH425" s="180"/>
      <c r="AI425" s="180"/>
      <c r="AJ425" s="180"/>
      <c r="AK425" s="180"/>
      <c r="AL425" s="180"/>
    </row>
    <row r="426" spans="1:38" s="183" customFormat="1">
      <c r="A426" s="180"/>
      <c r="P426" s="188">
        <f t="shared" si="17"/>
        <v>0</v>
      </c>
      <c r="Q426" s="187"/>
      <c r="T426" s="185"/>
      <c r="U426" s="184"/>
      <c r="X426" s="180"/>
      <c r="Y426" s="180"/>
      <c r="Z426" s="180"/>
      <c r="AA426" s="180"/>
      <c r="AB426" s="180"/>
      <c r="AC426" s="182"/>
      <c r="AD426" s="181"/>
      <c r="AE426" s="180"/>
      <c r="AF426" s="180"/>
      <c r="AG426" s="180"/>
      <c r="AH426" s="180"/>
      <c r="AI426" s="180"/>
      <c r="AJ426" s="180"/>
      <c r="AK426" s="180"/>
      <c r="AL426" s="180"/>
    </row>
    <row r="427" spans="1:38" s="183" customFormat="1">
      <c r="A427" s="180"/>
      <c r="P427" s="188">
        <f t="shared" si="17"/>
        <v>0</v>
      </c>
      <c r="Q427" s="187"/>
      <c r="T427" s="185"/>
      <c r="U427" s="184"/>
      <c r="X427" s="180"/>
      <c r="Y427" s="180"/>
      <c r="Z427" s="180"/>
      <c r="AA427" s="180"/>
      <c r="AB427" s="180"/>
      <c r="AC427" s="182"/>
      <c r="AD427" s="181"/>
      <c r="AE427" s="180"/>
      <c r="AF427" s="180"/>
      <c r="AG427" s="180"/>
      <c r="AH427" s="180"/>
      <c r="AI427" s="180"/>
      <c r="AJ427" s="180"/>
      <c r="AK427" s="180"/>
      <c r="AL427" s="180"/>
    </row>
    <row r="428" spans="1:38" s="183" customFormat="1">
      <c r="A428" s="180"/>
      <c r="P428" s="188">
        <f t="shared" si="17"/>
        <v>0</v>
      </c>
      <c r="Q428" s="187"/>
      <c r="T428" s="185"/>
      <c r="U428" s="184"/>
      <c r="X428" s="180"/>
      <c r="Y428" s="180"/>
      <c r="Z428" s="180"/>
      <c r="AA428" s="180"/>
      <c r="AB428" s="180"/>
      <c r="AC428" s="182"/>
      <c r="AD428" s="181"/>
      <c r="AE428" s="180"/>
      <c r="AF428" s="180"/>
      <c r="AG428" s="180"/>
      <c r="AH428" s="180"/>
      <c r="AI428" s="180"/>
      <c r="AJ428" s="180"/>
      <c r="AK428" s="180"/>
      <c r="AL428" s="180"/>
    </row>
    <row r="429" spans="1:38" s="183" customFormat="1">
      <c r="A429" s="180"/>
      <c r="P429" s="188">
        <f t="shared" si="17"/>
        <v>0</v>
      </c>
      <c r="Q429" s="187"/>
      <c r="T429" s="185"/>
      <c r="U429" s="184"/>
      <c r="X429" s="180"/>
      <c r="Y429" s="180"/>
      <c r="Z429" s="180"/>
      <c r="AA429" s="180"/>
      <c r="AB429" s="180"/>
      <c r="AC429" s="182"/>
      <c r="AD429" s="181"/>
      <c r="AE429" s="180"/>
      <c r="AF429" s="180"/>
      <c r="AG429" s="180"/>
      <c r="AH429" s="180"/>
      <c r="AI429" s="180"/>
      <c r="AJ429" s="180"/>
      <c r="AK429" s="180"/>
      <c r="AL429" s="180"/>
    </row>
    <row r="430" spans="1:38" s="183" customFormat="1">
      <c r="A430" s="180"/>
      <c r="P430" s="188">
        <f t="shared" si="17"/>
        <v>0</v>
      </c>
      <c r="Q430" s="187"/>
      <c r="T430" s="185"/>
      <c r="U430" s="184"/>
      <c r="X430" s="180"/>
      <c r="Y430" s="180"/>
      <c r="Z430" s="180"/>
      <c r="AA430" s="180"/>
      <c r="AB430" s="180"/>
      <c r="AC430" s="182"/>
      <c r="AD430" s="181"/>
      <c r="AE430" s="180"/>
      <c r="AF430" s="180"/>
      <c r="AG430" s="180"/>
      <c r="AH430" s="180"/>
      <c r="AI430" s="180"/>
      <c r="AJ430" s="180"/>
      <c r="AK430" s="180"/>
      <c r="AL430" s="180"/>
    </row>
    <row r="431" spans="1:38" s="183" customFormat="1">
      <c r="A431" s="180"/>
      <c r="P431" s="188">
        <f t="shared" si="17"/>
        <v>0</v>
      </c>
      <c r="Q431" s="187"/>
      <c r="T431" s="185"/>
      <c r="U431" s="184"/>
      <c r="X431" s="180"/>
      <c r="Y431" s="180"/>
      <c r="Z431" s="180"/>
      <c r="AA431" s="180"/>
      <c r="AB431" s="180"/>
      <c r="AC431" s="182"/>
      <c r="AD431" s="181"/>
      <c r="AE431" s="180"/>
      <c r="AF431" s="180"/>
      <c r="AG431" s="180"/>
      <c r="AH431" s="180"/>
      <c r="AI431" s="180"/>
      <c r="AJ431" s="180"/>
      <c r="AK431" s="180"/>
      <c r="AL431" s="180"/>
    </row>
    <row r="432" spans="1:38" s="183" customFormat="1">
      <c r="A432" s="180"/>
      <c r="P432" s="188">
        <f t="shared" si="17"/>
        <v>0</v>
      </c>
      <c r="Q432" s="187"/>
      <c r="T432" s="185"/>
      <c r="U432" s="184"/>
      <c r="X432" s="180"/>
      <c r="Y432" s="180"/>
      <c r="Z432" s="180"/>
      <c r="AA432" s="180"/>
      <c r="AB432" s="180"/>
      <c r="AC432" s="182"/>
      <c r="AD432" s="181"/>
      <c r="AE432" s="180"/>
      <c r="AF432" s="180"/>
      <c r="AG432" s="180"/>
      <c r="AH432" s="180"/>
      <c r="AI432" s="180"/>
      <c r="AJ432" s="180"/>
      <c r="AK432" s="180"/>
      <c r="AL432" s="180"/>
    </row>
    <row r="433" spans="1:38" s="183" customFormat="1">
      <c r="A433" s="180"/>
      <c r="P433" s="188">
        <f t="shared" si="17"/>
        <v>0</v>
      </c>
      <c r="Q433" s="187"/>
      <c r="T433" s="185"/>
      <c r="U433" s="184"/>
      <c r="X433" s="180"/>
      <c r="Y433" s="180"/>
      <c r="Z433" s="180"/>
      <c r="AA433" s="180"/>
      <c r="AB433" s="180"/>
      <c r="AC433" s="182"/>
      <c r="AD433" s="181"/>
      <c r="AE433" s="180"/>
      <c r="AF433" s="180"/>
      <c r="AG433" s="180"/>
      <c r="AH433" s="180"/>
      <c r="AI433" s="180"/>
      <c r="AJ433" s="180"/>
      <c r="AK433" s="180"/>
      <c r="AL433" s="180"/>
    </row>
    <row r="434" spans="1:38" s="183" customFormat="1">
      <c r="A434" s="180"/>
      <c r="P434" s="188">
        <f t="shared" si="17"/>
        <v>0</v>
      </c>
      <c r="Q434" s="187"/>
      <c r="T434" s="185"/>
      <c r="U434" s="184"/>
      <c r="X434" s="180"/>
      <c r="Y434" s="180"/>
      <c r="Z434" s="180"/>
      <c r="AA434" s="180"/>
      <c r="AB434" s="180"/>
      <c r="AC434" s="182"/>
      <c r="AD434" s="181"/>
      <c r="AE434" s="180"/>
      <c r="AF434" s="180"/>
      <c r="AG434" s="180"/>
      <c r="AH434" s="180"/>
      <c r="AI434" s="180"/>
      <c r="AJ434" s="180"/>
      <c r="AK434" s="180"/>
      <c r="AL434" s="180"/>
    </row>
    <row r="435" spans="1:38" s="183" customFormat="1">
      <c r="A435" s="180"/>
      <c r="P435" s="188">
        <f t="shared" si="17"/>
        <v>0</v>
      </c>
      <c r="Q435" s="187"/>
      <c r="T435" s="185"/>
      <c r="U435" s="184"/>
      <c r="X435" s="180"/>
      <c r="Y435" s="180"/>
      <c r="Z435" s="180"/>
      <c r="AA435" s="180"/>
      <c r="AB435" s="180"/>
      <c r="AC435" s="182"/>
      <c r="AD435" s="181"/>
      <c r="AE435" s="180"/>
      <c r="AF435" s="180"/>
      <c r="AG435" s="180"/>
      <c r="AH435" s="180"/>
      <c r="AI435" s="180"/>
      <c r="AJ435" s="180"/>
      <c r="AK435" s="180"/>
      <c r="AL435" s="180"/>
    </row>
    <row r="436" spans="1:38" s="183" customFormat="1">
      <c r="A436" s="180"/>
      <c r="P436" s="188">
        <f t="shared" si="17"/>
        <v>0</v>
      </c>
      <c r="Q436" s="187"/>
      <c r="T436" s="185"/>
      <c r="U436" s="184"/>
      <c r="X436" s="180"/>
      <c r="Y436" s="180"/>
      <c r="Z436" s="180"/>
      <c r="AA436" s="180"/>
      <c r="AB436" s="180"/>
      <c r="AC436" s="182"/>
      <c r="AD436" s="181"/>
      <c r="AE436" s="180"/>
      <c r="AF436" s="180"/>
      <c r="AG436" s="180"/>
      <c r="AH436" s="180"/>
      <c r="AI436" s="180"/>
      <c r="AJ436" s="180"/>
      <c r="AK436" s="180"/>
      <c r="AL436" s="180"/>
    </row>
    <row r="437" spans="1:38" s="183" customFormat="1">
      <c r="A437" s="180"/>
      <c r="P437" s="188">
        <f t="shared" si="17"/>
        <v>0</v>
      </c>
      <c r="Q437" s="187"/>
      <c r="T437" s="185"/>
      <c r="U437" s="184"/>
      <c r="X437" s="180"/>
      <c r="Y437" s="180"/>
      <c r="Z437" s="180"/>
      <c r="AA437" s="180"/>
      <c r="AB437" s="180"/>
      <c r="AC437" s="182"/>
      <c r="AD437" s="181"/>
      <c r="AE437" s="180"/>
      <c r="AF437" s="180"/>
      <c r="AG437" s="180"/>
      <c r="AH437" s="180"/>
      <c r="AI437" s="180"/>
      <c r="AJ437" s="180"/>
      <c r="AK437" s="180"/>
      <c r="AL437" s="180"/>
    </row>
    <row r="438" spans="1:38" s="183" customFormat="1">
      <c r="A438" s="180"/>
      <c r="P438" s="188">
        <f t="shared" si="17"/>
        <v>0</v>
      </c>
      <c r="Q438" s="187"/>
      <c r="T438" s="185"/>
      <c r="U438" s="184"/>
      <c r="X438" s="180"/>
      <c r="Y438" s="180"/>
      <c r="Z438" s="180"/>
      <c r="AA438" s="180"/>
      <c r="AB438" s="180"/>
      <c r="AC438" s="182"/>
      <c r="AD438" s="181"/>
      <c r="AE438" s="180"/>
      <c r="AF438" s="180"/>
      <c r="AG438" s="180"/>
      <c r="AH438" s="180"/>
      <c r="AI438" s="180"/>
      <c r="AJ438" s="180"/>
      <c r="AK438" s="180"/>
      <c r="AL438" s="180"/>
    </row>
    <row r="439" spans="1:38" s="183" customFormat="1">
      <c r="A439" s="180"/>
      <c r="P439" s="188">
        <f t="shared" si="17"/>
        <v>0</v>
      </c>
      <c r="Q439" s="187"/>
      <c r="T439" s="185"/>
      <c r="U439" s="184"/>
      <c r="X439" s="180"/>
      <c r="Y439" s="180"/>
      <c r="Z439" s="180"/>
      <c r="AA439" s="180"/>
      <c r="AB439" s="180"/>
      <c r="AC439" s="182"/>
      <c r="AD439" s="181"/>
      <c r="AE439" s="180"/>
      <c r="AF439" s="180"/>
      <c r="AG439" s="180"/>
      <c r="AH439" s="180"/>
      <c r="AI439" s="180"/>
      <c r="AJ439" s="180"/>
      <c r="AK439" s="180"/>
      <c r="AL439" s="180"/>
    </row>
    <row r="440" spans="1:38" s="183" customFormat="1">
      <c r="A440" s="180"/>
      <c r="P440" s="188">
        <f t="shared" si="17"/>
        <v>0</v>
      </c>
      <c r="Q440" s="187"/>
      <c r="T440" s="185"/>
      <c r="U440" s="184"/>
      <c r="X440" s="180"/>
      <c r="Y440" s="180"/>
      <c r="Z440" s="180"/>
      <c r="AA440" s="180"/>
      <c r="AB440" s="180"/>
      <c r="AC440" s="182"/>
      <c r="AD440" s="181"/>
      <c r="AE440" s="180"/>
      <c r="AF440" s="180"/>
      <c r="AG440" s="180"/>
      <c r="AH440" s="180"/>
      <c r="AI440" s="180"/>
      <c r="AJ440" s="180"/>
      <c r="AK440" s="180"/>
      <c r="AL440" s="180"/>
    </row>
    <row r="441" spans="1:38" s="183" customFormat="1">
      <c r="A441" s="180"/>
      <c r="P441" s="188">
        <f t="shared" si="17"/>
        <v>0</v>
      </c>
      <c r="Q441" s="187"/>
      <c r="T441" s="185"/>
      <c r="U441" s="184"/>
      <c r="X441" s="180"/>
      <c r="Y441" s="180"/>
      <c r="Z441" s="180"/>
      <c r="AA441" s="180"/>
      <c r="AB441" s="180"/>
      <c r="AC441" s="182"/>
      <c r="AD441" s="181"/>
      <c r="AE441" s="180"/>
      <c r="AF441" s="180"/>
      <c r="AG441" s="180"/>
      <c r="AH441" s="180"/>
      <c r="AI441" s="180"/>
      <c r="AJ441" s="180"/>
      <c r="AK441" s="180"/>
      <c r="AL441" s="180"/>
    </row>
    <row r="442" spans="1:38" s="183" customFormat="1">
      <c r="A442" s="180"/>
      <c r="P442" s="188">
        <f t="shared" si="17"/>
        <v>0</v>
      </c>
      <c r="Q442" s="187"/>
      <c r="T442" s="185"/>
      <c r="U442" s="184"/>
      <c r="X442" s="180"/>
      <c r="Y442" s="180"/>
      <c r="Z442" s="180"/>
      <c r="AA442" s="180"/>
      <c r="AB442" s="180"/>
      <c r="AC442" s="182"/>
      <c r="AD442" s="181"/>
      <c r="AE442" s="180"/>
      <c r="AF442" s="180"/>
      <c r="AG442" s="180"/>
      <c r="AH442" s="180"/>
      <c r="AI442" s="180"/>
      <c r="AJ442" s="180"/>
      <c r="AK442" s="180"/>
      <c r="AL442" s="180"/>
    </row>
    <row r="443" spans="1:38" s="183" customFormat="1">
      <c r="A443" s="180"/>
      <c r="P443" s="188">
        <f t="shared" si="17"/>
        <v>0</v>
      </c>
      <c r="Q443" s="187"/>
      <c r="T443" s="185"/>
      <c r="U443" s="184"/>
      <c r="X443" s="180"/>
      <c r="Y443" s="180"/>
      <c r="Z443" s="180"/>
      <c r="AA443" s="180"/>
      <c r="AB443" s="180"/>
      <c r="AC443" s="182"/>
      <c r="AD443" s="181"/>
      <c r="AE443" s="180"/>
      <c r="AF443" s="180"/>
      <c r="AG443" s="180"/>
      <c r="AH443" s="180"/>
      <c r="AI443" s="180"/>
      <c r="AJ443" s="180"/>
      <c r="AK443" s="180"/>
      <c r="AL443" s="180"/>
    </row>
    <row r="444" spans="1:38" s="183" customFormat="1">
      <c r="A444" s="180"/>
      <c r="P444" s="188">
        <f t="shared" si="17"/>
        <v>0</v>
      </c>
      <c r="Q444" s="187"/>
      <c r="T444" s="185"/>
      <c r="U444" s="184"/>
      <c r="X444" s="180"/>
      <c r="Y444" s="180"/>
      <c r="Z444" s="180"/>
      <c r="AA444" s="180"/>
      <c r="AB444" s="180"/>
      <c r="AC444" s="182"/>
      <c r="AD444" s="181"/>
      <c r="AE444" s="180"/>
      <c r="AF444" s="180"/>
      <c r="AG444" s="180"/>
      <c r="AH444" s="180"/>
      <c r="AI444" s="180"/>
      <c r="AJ444" s="180"/>
      <c r="AK444" s="180"/>
      <c r="AL444" s="180"/>
    </row>
    <row r="445" spans="1:38" s="183" customFormat="1">
      <c r="A445" s="180"/>
      <c r="P445" s="188">
        <f t="shared" ref="P445:P508" si="18">IFERROR(IF($I445="Rotary",LEFT($O445,9),$O445),"")</f>
        <v>0</v>
      </c>
      <c r="Q445" s="187"/>
      <c r="T445" s="185"/>
      <c r="U445" s="184"/>
      <c r="X445" s="180"/>
      <c r="Y445" s="180"/>
      <c r="Z445" s="180"/>
      <c r="AA445" s="180"/>
      <c r="AB445" s="180"/>
      <c r="AC445" s="182"/>
      <c r="AD445" s="181"/>
      <c r="AE445" s="180"/>
      <c r="AF445" s="180"/>
      <c r="AG445" s="180"/>
      <c r="AH445" s="180"/>
      <c r="AI445" s="180"/>
      <c r="AJ445" s="180"/>
      <c r="AK445" s="180"/>
      <c r="AL445" s="180"/>
    </row>
    <row r="446" spans="1:38" s="183" customFormat="1">
      <c r="A446" s="180"/>
      <c r="P446" s="188">
        <f t="shared" si="18"/>
        <v>0</v>
      </c>
      <c r="Q446" s="187"/>
      <c r="T446" s="185"/>
      <c r="U446" s="184"/>
      <c r="X446" s="180"/>
      <c r="Y446" s="180"/>
      <c r="Z446" s="180"/>
      <c r="AA446" s="180"/>
      <c r="AB446" s="180"/>
      <c r="AC446" s="182"/>
      <c r="AD446" s="181"/>
      <c r="AE446" s="180"/>
      <c r="AF446" s="180"/>
      <c r="AG446" s="180"/>
      <c r="AH446" s="180"/>
      <c r="AI446" s="180"/>
      <c r="AJ446" s="180"/>
      <c r="AK446" s="180"/>
      <c r="AL446" s="180"/>
    </row>
    <row r="447" spans="1:38" s="183" customFormat="1">
      <c r="A447" s="180"/>
      <c r="P447" s="188">
        <f t="shared" si="18"/>
        <v>0</v>
      </c>
      <c r="Q447" s="187"/>
      <c r="T447" s="185"/>
      <c r="U447" s="184"/>
      <c r="X447" s="180"/>
      <c r="Y447" s="180"/>
      <c r="Z447" s="180"/>
      <c r="AA447" s="180"/>
      <c r="AB447" s="180"/>
      <c r="AC447" s="182"/>
      <c r="AD447" s="181"/>
      <c r="AE447" s="180"/>
      <c r="AF447" s="180"/>
      <c r="AG447" s="180"/>
      <c r="AH447" s="180"/>
      <c r="AI447" s="180"/>
      <c r="AJ447" s="180"/>
      <c r="AK447" s="180"/>
      <c r="AL447" s="180"/>
    </row>
    <row r="448" spans="1:38" s="183" customFormat="1">
      <c r="A448" s="180"/>
      <c r="P448" s="188">
        <f t="shared" si="18"/>
        <v>0</v>
      </c>
      <c r="Q448" s="187"/>
      <c r="T448" s="185"/>
      <c r="U448" s="184"/>
      <c r="X448" s="180"/>
      <c r="Y448" s="180"/>
      <c r="Z448" s="180"/>
      <c r="AA448" s="180"/>
      <c r="AB448" s="180"/>
      <c r="AC448" s="182"/>
      <c r="AD448" s="181"/>
      <c r="AE448" s="180"/>
      <c r="AF448" s="180"/>
      <c r="AG448" s="180"/>
      <c r="AH448" s="180"/>
      <c r="AI448" s="180"/>
      <c r="AJ448" s="180"/>
      <c r="AK448" s="180"/>
      <c r="AL448" s="180"/>
    </row>
    <row r="449" spans="1:38" s="183" customFormat="1">
      <c r="A449" s="180"/>
      <c r="P449" s="188">
        <f t="shared" si="18"/>
        <v>0</v>
      </c>
      <c r="Q449" s="187"/>
      <c r="T449" s="185"/>
      <c r="U449" s="184"/>
      <c r="X449" s="180"/>
      <c r="Y449" s="180"/>
      <c r="Z449" s="180"/>
      <c r="AA449" s="180"/>
      <c r="AB449" s="180"/>
      <c r="AC449" s="182"/>
      <c r="AD449" s="181"/>
      <c r="AE449" s="180"/>
      <c r="AF449" s="180"/>
      <c r="AG449" s="180"/>
      <c r="AH449" s="180"/>
      <c r="AI449" s="180"/>
      <c r="AJ449" s="180"/>
      <c r="AK449" s="180"/>
      <c r="AL449" s="180"/>
    </row>
    <row r="450" spans="1:38" s="183" customFormat="1">
      <c r="A450" s="180"/>
      <c r="P450" s="188">
        <f t="shared" si="18"/>
        <v>0</v>
      </c>
      <c r="Q450" s="187"/>
      <c r="T450" s="185"/>
      <c r="U450" s="184"/>
      <c r="X450" s="180"/>
      <c r="Y450" s="180"/>
      <c r="Z450" s="180"/>
      <c r="AA450" s="180"/>
      <c r="AB450" s="180"/>
      <c r="AC450" s="182"/>
      <c r="AD450" s="181"/>
      <c r="AE450" s="180"/>
      <c r="AF450" s="180"/>
      <c r="AG450" s="180"/>
      <c r="AH450" s="180"/>
      <c r="AI450" s="180"/>
      <c r="AJ450" s="180"/>
      <c r="AK450" s="180"/>
      <c r="AL450" s="180"/>
    </row>
    <row r="451" spans="1:38" s="183" customFormat="1">
      <c r="A451" s="180"/>
      <c r="P451" s="188">
        <f t="shared" si="18"/>
        <v>0</v>
      </c>
      <c r="Q451" s="187"/>
      <c r="T451" s="185"/>
      <c r="U451" s="184"/>
      <c r="X451" s="180"/>
      <c r="Y451" s="180"/>
      <c r="Z451" s="180"/>
      <c r="AA451" s="180"/>
      <c r="AB451" s="180"/>
      <c r="AC451" s="182"/>
      <c r="AD451" s="181"/>
      <c r="AE451" s="180"/>
      <c r="AF451" s="180"/>
      <c r="AG451" s="180"/>
      <c r="AH451" s="180"/>
      <c r="AI451" s="180"/>
      <c r="AJ451" s="180"/>
      <c r="AK451" s="180"/>
      <c r="AL451" s="180"/>
    </row>
    <row r="452" spans="1:38" s="183" customFormat="1">
      <c r="A452" s="180"/>
      <c r="P452" s="188">
        <f t="shared" si="18"/>
        <v>0</v>
      </c>
      <c r="Q452" s="187"/>
      <c r="T452" s="185"/>
      <c r="U452" s="184"/>
      <c r="X452" s="180"/>
      <c r="Y452" s="180"/>
      <c r="Z452" s="180"/>
      <c r="AA452" s="180"/>
      <c r="AB452" s="180"/>
      <c r="AC452" s="182"/>
      <c r="AD452" s="181"/>
      <c r="AE452" s="180"/>
      <c r="AF452" s="180"/>
      <c r="AG452" s="180"/>
      <c r="AH452" s="180"/>
      <c r="AI452" s="180"/>
      <c r="AJ452" s="180"/>
      <c r="AK452" s="180"/>
      <c r="AL452" s="180"/>
    </row>
    <row r="453" spans="1:38" s="183" customFormat="1">
      <c r="A453" s="180"/>
      <c r="P453" s="188">
        <f t="shared" si="18"/>
        <v>0</v>
      </c>
      <c r="Q453" s="187"/>
      <c r="T453" s="185"/>
      <c r="U453" s="184"/>
      <c r="X453" s="180"/>
      <c r="Y453" s="180"/>
      <c r="Z453" s="180"/>
      <c r="AA453" s="180"/>
      <c r="AB453" s="180"/>
      <c r="AC453" s="182"/>
      <c r="AD453" s="181"/>
      <c r="AE453" s="180"/>
      <c r="AF453" s="180"/>
      <c r="AG453" s="180"/>
      <c r="AH453" s="180"/>
      <c r="AI453" s="180"/>
      <c r="AJ453" s="180"/>
      <c r="AK453" s="180"/>
      <c r="AL453" s="180"/>
    </row>
    <row r="454" spans="1:38" s="183" customFormat="1">
      <c r="A454" s="180"/>
      <c r="P454" s="188">
        <f t="shared" si="18"/>
        <v>0</v>
      </c>
      <c r="Q454" s="187"/>
      <c r="T454" s="185"/>
      <c r="U454" s="184"/>
      <c r="X454" s="180"/>
      <c r="Y454" s="180"/>
      <c r="Z454" s="180"/>
      <c r="AA454" s="180"/>
      <c r="AB454" s="180"/>
      <c r="AC454" s="182"/>
      <c r="AD454" s="181"/>
      <c r="AE454" s="180"/>
      <c r="AF454" s="180"/>
      <c r="AG454" s="180"/>
      <c r="AH454" s="180"/>
      <c r="AI454" s="180"/>
      <c r="AJ454" s="180"/>
      <c r="AK454" s="180"/>
      <c r="AL454" s="180"/>
    </row>
    <row r="455" spans="1:38" s="183" customFormat="1">
      <c r="A455" s="180"/>
      <c r="P455" s="188">
        <f t="shared" si="18"/>
        <v>0</v>
      </c>
      <c r="Q455" s="187"/>
      <c r="T455" s="185"/>
      <c r="U455" s="184"/>
      <c r="X455" s="180"/>
      <c r="Y455" s="180"/>
      <c r="Z455" s="180"/>
      <c r="AA455" s="180"/>
      <c r="AB455" s="180"/>
      <c r="AC455" s="182"/>
      <c r="AD455" s="181"/>
      <c r="AE455" s="180"/>
      <c r="AF455" s="180"/>
      <c r="AG455" s="180"/>
      <c r="AH455" s="180"/>
      <c r="AI455" s="180"/>
      <c r="AJ455" s="180"/>
      <c r="AK455" s="180"/>
      <c r="AL455" s="180"/>
    </row>
    <row r="456" spans="1:38" s="183" customFormat="1">
      <c r="A456" s="180"/>
      <c r="P456" s="188">
        <f t="shared" si="18"/>
        <v>0</v>
      </c>
      <c r="Q456" s="187"/>
      <c r="T456" s="185"/>
      <c r="U456" s="184"/>
      <c r="X456" s="180"/>
      <c r="Y456" s="180"/>
      <c r="Z456" s="180"/>
      <c r="AA456" s="180"/>
      <c r="AB456" s="180"/>
      <c r="AC456" s="182"/>
      <c r="AD456" s="181"/>
      <c r="AE456" s="180"/>
      <c r="AF456" s="180"/>
      <c r="AG456" s="180"/>
      <c r="AH456" s="180"/>
      <c r="AI456" s="180"/>
      <c r="AJ456" s="180"/>
      <c r="AK456" s="180"/>
      <c r="AL456" s="180"/>
    </row>
    <row r="457" spans="1:38" s="183" customFormat="1">
      <c r="A457" s="180"/>
      <c r="P457" s="188">
        <f t="shared" si="18"/>
        <v>0</v>
      </c>
      <c r="Q457" s="187"/>
      <c r="T457" s="185"/>
      <c r="U457" s="184"/>
      <c r="X457" s="180"/>
      <c r="Y457" s="180"/>
      <c r="Z457" s="180"/>
      <c r="AA457" s="180"/>
      <c r="AB457" s="180"/>
      <c r="AC457" s="182"/>
      <c r="AD457" s="181"/>
      <c r="AE457" s="180"/>
      <c r="AF457" s="180"/>
      <c r="AG457" s="180"/>
      <c r="AH457" s="180"/>
      <c r="AI457" s="180"/>
      <c r="AJ457" s="180"/>
      <c r="AK457" s="180"/>
      <c r="AL457" s="180"/>
    </row>
    <row r="458" spans="1:38" s="183" customFormat="1">
      <c r="A458" s="180"/>
      <c r="P458" s="188">
        <f t="shared" si="18"/>
        <v>0</v>
      </c>
      <c r="Q458" s="187"/>
      <c r="T458" s="185"/>
      <c r="U458" s="184"/>
      <c r="X458" s="180"/>
      <c r="Y458" s="180"/>
      <c r="Z458" s="180"/>
      <c r="AA458" s="180"/>
      <c r="AB458" s="180"/>
      <c r="AC458" s="182"/>
      <c r="AD458" s="181"/>
      <c r="AE458" s="180"/>
      <c r="AF458" s="180"/>
      <c r="AG458" s="180"/>
      <c r="AH458" s="180"/>
      <c r="AI458" s="180"/>
      <c r="AJ458" s="180"/>
      <c r="AK458" s="180"/>
      <c r="AL458" s="180"/>
    </row>
    <row r="459" spans="1:38" s="183" customFormat="1">
      <c r="A459" s="180"/>
      <c r="P459" s="188">
        <f t="shared" si="18"/>
        <v>0</v>
      </c>
      <c r="Q459" s="187"/>
      <c r="T459" s="185"/>
      <c r="U459" s="184"/>
      <c r="X459" s="180"/>
      <c r="Y459" s="180"/>
      <c r="Z459" s="180"/>
      <c r="AA459" s="180"/>
      <c r="AB459" s="180"/>
      <c r="AC459" s="182"/>
      <c r="AD459" s="181"/>
      <c r="AE459" s="180"/>
      <c r="AF459" s="180"/>
      <c r="AG459" s="180"/>
      <c r="AH459" s="180"/>
      <c r="AI459" s="180"/>
      <c r="AJ459" s="180"/>
      <c r="AK459" s="180"/>
      <c r="AL459" s="180"/>
    </row>
    <row r="460" spans="1:38" s="183" customFormat="1">
      <c r="A460" s="180"/>
      <c r="P460" s="188">
        <f t="shared" si="18"/>
        <v>0</v>
      </c>
      <c r="Q460" s="187"/>
      <c r="T460" s="185"/>
      <c r="U460" s="184"/>
      <c r="X460" s="180"/>
      <c r="Y460" s="180"/>
      <c r="Z460" s="180"/>
      <c r="AA460" s="180"/>
      <c r="AB460" s="180"/>
      <c r="AC460" s="182"/>
      <c r="AD460" s="181"/>
      <c r="AE460" s="180"/>
      <c r="AF460" s="180"/>
      <c r="AG460" s="180"/>
      <c r="AH460" s="180"/>
      <c r="AI460" s="180"/>
      <c r="AJ460" s="180"/>
      <c r="AK460" s="180"/>
      <c r="AL460" s="180"/>
    </row>
    <row r="461" spans="1:38" s="183" customFormat="1">
      <c r="A461" s="180"/>
      <c r="P461" s="188">
        <f t="shared" si="18"/>
        <v>0</v>
      </c>
      <c r="Q461" s="187"/>
      <c r="T461" s="185"/>
      <c r="U461" s="184"/>
      <c r="X461" s="180"/>
      <c r="Y461" s="180"/>
      <c r="Z461" s="180"/>
      <c r="AA461" s="180"/>
      <c r="AB461" s="180"/>
      <c r="AC461" s="182"/>
      <c r="AD461" s="181"/>
      <c r="AE461" s="180"/>
      <c r="AF461" s="180"/>
      <c r="AG461" s="180"/>
      <c r="AH461" s="180"/>
      <c r="AI461" s="180"/>
      <c r="AJ461" s="180"/>
      <c r="AK461" s="180"/>
      <c r="AL461" s="180"/>
    </row>
    <row r="462" spans="1:38" s="183" customFormat="1">
      <c r="A462" s="180"/>
      <c r="P462" s="188">
        <f t="shared" si="18"/>
        <v>0</v>
      </c>
      <c r="Q462" s="187"/>
      <c r="T462" s="185"/>
      <c r="U462" s="184"/>
      <c r="X462" s="180"/>
      <c r="Y462" s="180"/>
      <c r="Z462" s="180"/>
      <c r="AA462" s="180"/>
      <c r="AB462" s="180"/>
      <c r="AC462" s="182"/>
      <c r="AD462" s="181"/>
      <c r="AE462" s="180"/>
      <c r="AF462" s="180"/>
      <c r="AG462" s="180"/>
      <c r="AH462" s="180"/>
      <c r="AI462" s="180"/>
      <c r="AJ462" s="180"/>
      <c r="AK462" s="180"/>
      <c r="AL462" s="180"/>
    </row>
    <row r="463" spans="1:38" s="183" customFormat="1">
      <c r="A463" s="180"/>
      <c r="P463" s="188">
        <f t="shared" si="18"/>
        <v>0</v>
      </c>
      <c r="Q463" s="187"/>
      <c r="T463" s="185"/>
      <c r="U463" s="184"/>
      <c r="X463" s="180"/>
      <c r="Y463" s="180"/>
      <c r="Z463" s="180"/>
      <c r="AA463" s="180"/>
      <c r="AB463" s="180"/>
      <c r="AC463" s="182"/>
      <c r="AD463" s="181"/>
      <c r="AE463" s="180"/>
      <c r="AF463" s="180"/>
      <c r="AG463" s="180"/>
      <c r="AH463" s="180"/>
      <c r="AI463" s="180"/>
      <c r="AJ463" s="180"/>
      <c r="AK463" s="180"/>
      <c r="AL463" s="180"/>
    </row>
    <row r="464" spans="1:38" s="183" customFormat="1">
      <c r="A464" s="180"/>
      <c r="P464" s="188">
        <f t="shared" si="18"/>
        <v>0</v>
      </c>
      <c r="Q464" s="187"/>
      <c r="T464" s="185"/>
      <c r="U464" s="184"/>
      <c r="X464" s="180"/>
      <c r="Y464" s="180"/>
      <c r="Z464" s="180"/>
      <c r="AA464" s="180"/>
      <c r="AB464" s="180"/>
      <c r="AC464" s="182"/>
      <c r="AD464" s="181"/>
      <c r="AE464" s="180"/>
      <c r="AF464" s="180"/>
      <c r="AG464" s="180"/>
      <c r="AH464" s="180"/>
      <c r="AI464" s="180"/>
      <c r="AJ464" s="180"/>
      <c r="AK464" s="180"/>
      <c r="AL464" s="180"/>
    </row>
    <row r="465" spans="1:38" s="183" customFormat="1">
      <c r="A465" s="180"/>
      <c r="P465" s="188">
        <f t="shared" si="18"/>
        <v>0</v>
      </c>
      <c r="Q465" s="187"/>
      <c r="T465" s="185"/>
      <c r="U465" s="184"/>
      <c r="X465" s="180"/>
      <c r="Y465" s="180"/>
      <c r="Z465" s="180"/>
      <c r="AA465" s="180"/>
      <c r="AB465" s="180"/>
      <c r="AC465" s="182"/>
      <c r="AD465" s="181"/>
      <c r="AE465" s="180"/>
      <c r="AF465" s="180"/>
      <c r="AG465" s="180"/>
      <c r="AH465" s="180"/>
      <c r="AI465" s="180"/>
      <c r="AJ465" s="180"/>
      <c r="AK465" s="180"/>
      <c r="AL465" s="180"/>
    </row>
    <row r="466" spans="1:38" s="183" customFormat="1">
      <c r="A466" s="180"/>
      <c r="P466" s="188">
        <f t="shared" si="18"/>
        <v>0</v>
      </c>
      <c r="Q466" s="187"/>
      <c r="T466" s="185"/>
      <c r="U466" s="184"/>
      <c r="X466" s="180"/>
      <c r="Y466" s="180"/>
      <c r="Z466" s="180"/>
      <c r="AA466" s="180"/>
      <c r="AB466" s="180"/>
      <c r="AC466" s="182"/>
      <c r="AD466" s="181"/>
      <c r="AE466" s="180"/>
      <c r="AF466" s="180"/>
      <c r="AG466" s="180"/>
      <c r="AH466" s="180"/>
      <c r="AI466" s="180"/>
      <c r="AJ466" s="180"/>
      <c r="AK466" s="180"/>
      <c r="AL466" s="180"/>
    </row>
    <row r="467" spans="1:38" s="183" customFormat="1">
      <c r="A467" s="180"/>
      <c r="P467" s="188">
        <f t="shared" si="18"/>
        <v>0</v>
      </c>
      <c r="Q467" s="187"/>
      <c r="T467" s="185"/>
      <c r="U467" s="184"/>
      <c r="X467" s="180"/>
      <c r="Y467" s="180"/>
      <c r="Z467" s="180"/>
      <c r="AA467" s="180"/>
      <c r="AB467" s="180"/>
      <c r="AC467" s="182"/>
      <c r="AD467" s="181"/>
      <c r="AE467" s="180"/>
      <c r="AF467" s="180"/>
      <c r="AG467" s="180"/>
      <c r="AH467" s="180"/>
      <c r="AI467" s="180"/>
      <c r="AJ467" s="180"/>
      <c r="AK467" s="180"/>
      <c r="AL467" s="180"/>
    </row>
    <row r="468" spans="1:38" s="183" customFormat="1">
      <c r="A468" s="180"/>
      <c r="P468" s="188">
        <f t="shared" si="18"/>
        <v>0</v>
      </c>
      <c r="Q468" s="187"/>
      <c r="T468" s="185"/>
      <c r="U468" s="184"/>
      <c r="X468" s="180"/>
      <c r="Y468" s="180"/>
      <c r="Z468" s="180"/>
      <c r="AA468" s="180"/>
      <c r="AB468" s="180"/>
      <c r="AC468" s="182"/>
      <c r="AD468" s="181"/>
      <c r="AE468" s="180"/>
      <c r="AF468" s="180"/>
      <c r="AG468" s="180"/>
      <c r="AH468" s="180"/>
      <c r="AI468" s="180"/>
      <c r="AJ468" s="180"/>
      <c r="AK468" s="180"/>
      <c r="AL468" s="180"/>
    </row>
    <row r="469" spans="1:38" s="183" customFormat="1">
      <c r="A469" s="180"/>
      <c r="P469" s="188">
        <f t="shared" si="18"/>
        <v>0</v>
      </c>
      <c r="Q469" s="187"/>
      <c r="T469" s="185"/>
      <c r="U469" s="184"/>
      <c r="X469" s="180"/>
      <c r="Y469" s="180"/>
      <c r="Z469" s="180"/>
      <c r="AA469" s="180"/>
      <c r="AB469" s="180"/>
      <c r="AC469" s="182"/>
      <c r="AD469" s="181"/>
      <c r="AE469" s="180"/>
      <c r="AF469" s="180"/>
      <c r="AG469" s="180"/>
      <c r="AH469" s="180"/>
      <c r="AI469" s="180"/>
      <c r="AJ469" s="180"/>
      <c r="AK469" s="180"/>
      <c r="AL469" s="180"/>
    </row>
    <row r="470" spans="1:38" s="183" customFormat="1">
      <c r="A470" s="180"/>
      <c r="P470" s="188">
        <f t="shared" si="18"/>
        <v>0</v>
      </c>
      <c r="Q470" s="187"/>
      <c r="T470" s="185"/>
      <c r="U470" s="184"/>
      <c r="X470" s="180"/>
      <c r="Y470" s="180"/>
      <c r="Z470" s="180"/>
      <c r="AA470" s="180"/>
      <c r="AB470" s="180"/>
      <c r="AC470" s="182"/>
      <c r="AD470" s="181"/>
      <c r="AE470" s="180"/>
      <c r="AF470" s="180"/>
      <c r="AG470" s="180"/>
      <c r="AH470" s="180"/>
      <c r="AI470" s="180"/>
      <c r="AJ470" s="180"/>
      <c r="AK470" s="180"/>
      <c r="AL470" s="180"/>
    </row>
    <row r="471" spans="1:38" s="183" customFormat="1">
      <c r="A471" s="180"/>
      <c r="P471" s="188">
        <f t="shared" si="18"/>
        <v>0</v>
      </c>
      <c r="Q471" s="187"/>
      <c r="T471" s="185"/>
      <c r="U471" s="184"/>
      <c r="X471" s="180"/>
      <c r="Y471" s="180"/>
      <c r="Z471" s="180"/>
      <c r="AA471" s="180"/>
      <c r="AB471" s="180"/>
      <c r="AC471" s="182"/>
      <c r="AD471" s="181"/>
      <c r="AE471" s="180"/>
      <c r="AF471" s="180"/>
      <c r="AG471" s="180"/>
      <c r="AH471" s="180"/>
      <c r="AI471" s="180"/>
      <c r="AJ471" s="180"/>
      <c r="AK471" s="180"/>
      <c r="AL471" s="180"/>
    </row>
    <row r="472" spans="1:38" s="183" customFormat="1">
      <c r="A472" s="180"/>
      <c r="P472" s="188">
        <f t="shared" si="18"/>
        <v>0</v>
      </c>
      <c r="Q472" s="187"/>
      <c r="T472" s="185"/>
      <c r="U472" s="184"/>
      <c r="X472" s="180"/>
      <c r="Y472" s="180"/>
      <c r="Z472" s="180"/>
      <c r="AA472" s="180"/>
      <c r="AB472" s="180"/>
      <c r="AC472" s="182"/>
      <c r="AD472" s="181"/>
      <c r="AE472" s="180"/>
      <c r="AF472" s="180"/>
      <c r="AG472" s="180"/>
      <c r="AH472" s="180"/>
      <c r="AI472" s="180"/>
      <c r="AJ472" s="180"/>
      <c r="AK472" s="180"/>
      <c r="AL472" s="180"/>
    </row>
    <row r="473" spans="1:38" s="183" customFormat="1">
      <c r="A473" s="180"/>
      <c r="P473" s="188">
        <f t="shared" si="18"/>
        <v>0</v>
      </c>
      <c r="Q473" s="187"/>
      <c r="T473" s="185"/>
      <c r="U473" s="184"/>
      <c r="X473" s="180"/>
      <c r="Y473" s="180"/>
      <c r="Z473" s="180"/>
      <c r="AA473" s="180"/>
      <c r="AB473" s="180"/>
      <c r="AC473" s="182"/>
      <c r="AD473" s="181"/>
      <c r="AE473" s="180"/>
      <c r="AF473" s="180"/>
      <c r="AG473" s="180"/>
      <c r="AH473" s="180"/>
      <c r="AI473" s="180"/>
      <c r="AJ473" s="180"/>
      <c r="AK473" s="180"/>
      <c r="AL473" s="180"/>
    </row>
    <row r="474" spans="1:38" s="183" customFormat="1">
      <c r="A474" s="180"/>
      <c r="P474" s="188">
        <f t="shared" si="18"/>
        <v>0</v>
      </c>
      <c r="Q474" s="187"/>
      <c r="T474" s="185"/>
      <c r="U474" s="184"/>
      <c r="X474" s="180"/>
      <c r="Y474" s="180"/>
      <c r="Z474" s="180"/>
      <c r="AA474" s="180"/>
      <c r="AB474" s="180"/>
      <c r="AC474" s="182"/>
      <c r="AD474" s="181"/>
      <c r="AE474" s="180"/>
      <c r="AF474" s="180"/>
      <c r="AG474" s="180"/>
      <c r="AH474" s="180"/>
      <c r="AI474" s="180"/>
      <c r="AJ474" s="180"/>
      <c r="AK474" s="180"/>
      <c r="AL474" s="180"/>
    </row>
    <row r="475" spans="1:38" s="183" customFormat="1">
      <c r="A475" s="180"/>
      <c r="P475" s="188">
        <f t="shared" si="18"/>
        <v>0</v>
      </c>
      <c r="Q475" s="187"/>
      <c r="T475" s="185"/>
      <c r="U475" s="184"/>
      <c r="X475" s="180"/>
      <c r="Y475" s="180"/>
      <c r="Z475" s="180"/>
      <c r="AA475" s="180"/>
      <c r="AB475" s="180"/>
      <c r="AC475" s="182"/>
      <c r="AD475" s="181"/>
      <c r="AE475" s="180"/>
      <c r="AF475" s="180"/>
      <c r="AG475" s="180"/>
      <c r="AH475" s="180"/>
      <c r="AI475" s="180"/>
      <c r="AJ475" s="180"/>
      <c r="AK475" s="180"/>
      <c r="AL475" s="180"/>
    </row>
    <row r="476" spans="1:38" s="183" customFormat="1">
      <c r="A476" s="180"/>
      <c r="P476" s="188">
        <f t="shared" si="18"/>
        <v>0</v>
      </c>
      <c r="Q476" s="187"/>
      <c r="T476" s="185"/>
      <c r="U476" s="184"/>
      <c r="X476" s="180"/>
      <c r="Y476" s="180"/>
      <c r="Z476" s="180"/>
      <c r="AA476" s="180"/>
      <c r="AB476" s="180"/>
      <c r="AC476" s="182"/>
      <c r="AD476" s="181"/>
      <c r="AE476" s="180"/>
      <c r="AF476" s="180"/>
      <c r="AG476" s="180"/>
      <c r="AH476" s="180"/>
      <c r="AI476" s="180"/>
      <c r="AJ476" s="180"/>
      <c r="AK476" s="180"/>
      <c r="AL476" s="180"/>
    </row>
    <row r="477" spans="1:38" s="183" customFormat="1">
      <c r="A477" s="180"/>
      <c r="P477" s="188">
        <f t="shared" si="18"/>
        <v>0</v>
      </c>
      <c r="Q477" s="187"/>
      <c r="T477" s="185"/>
      <c r="U477" s="184"/>
      <c r="X477" s="180"/>
      <c r="Y477" s="180"/>
      <c r="Z477" s="180"/>
      <c r="AA477" s="180"/>
      <c r="AB477" s="180"/>
      <c r="AC477" s="182"/>
      <c r="AD477" s="181"/>
      <c r="AE477" s="180"/>
      <c r="AF477" s="180"/>
      <c r="AG477" s="180"/>
      <c r="AH477" s="180"/>
      <c r="AI477" s="180"/>
      <c r="AJ477" s="180"/>
      <c r="AK477" s="180"/>
      <c r="AL477" s="180"/>
    </row>
    <row r="478" spans="1:38" s="183" customFormat="1">
      <c r="A478" s="180"/>
      <c r="P478" s="188">
        <f t="shared" si="18"/>
        <v>0</v>
      </c>
      <c r="Q478" s="187"/>
      <c r="T478" s="185"/>
      <c r="U478" s="184"/>
      <c r="X478" s="180"/>
      <c r="Y478" s="180"/>
      <c r="Z478" s="180"/>
      <c r="AA478" s="180"/>
      <c r="AB478" s="180"/>
      <c r="AC478" s="182"/>
      <c r="AD478" s="181"/>
      <c r="AE478" s="180"/>
      <c r="AF478" s="180"/>
      <c r="AG478" s="180"/>
      <c r="AH478" s="180"/>
      <c r="AI478" s="180"/>
      <c r="AJ478" s="180"/>
      <c r="AK478" s="180"/>
      <c r="AL478" s="180"/>
    </row>
    <row r="479" spans="1:38" s="183" customFormat="1">
      <c r="A479" s="180"/>
      <c r="P479" s="188">
        <f t="shared" si="18"/>
        <v>0</v>
      </c>
      <c r="Q479" s="187"/>
      <c r="T479" s="185"/>
      <c r="U479" s="184"/>
      <c r="X479" s="180"/>
      <c r="Y479" s="180"/>
      <c r="Z479" s="180"/>
      <c r="AA479" s="180"/>
      <c r="AB479" s="180"/>
      <c r="AC479" s="182"/>
      <c r="AD479" s="181"/>
      <c r="AE479" s="180"/>
      <c r="AF479" s="180"/>
      <c r="AG479" s="180"/>
      <c r="AH479" s="180"/>
      <c r="AI479" s="180"/>
      <c r="AJ479" s="180"/>
      <c r="AK479" s="180"/>
      <c r="AL479" s="180"/>
    </row>
    <row r="480" spans="1:38" s="183" customFormat="1">
      <c r="A480" s="180"/>
      <c r="P480" s="188">
        <f t="shared" si="18"/>
        <v>0</v>
      </c>
      <c r="Q480" s="187"/>
      <c r="T480" s="185"/>
      <c r="U480" s="184"/>
      <c r="X480" s="180"/>
      <c r="Y480" s="180"/>
      <c r="Z480" s="180"/>
      <c r="AA480" s="180"/>
      <c r="AB480" s="180"/>
      <c r="AC480" s="182"/>
      <c r="AD480" s="181"/>
      <c r="AE480" s="180"/>
      <c r="AF480" s="180"/>
      <c r="AG480" s="180"/>
      <c r="AH480" s="180"/>
      <c r="AI480" s="180"/>
      <c r="AJ480" s="180"/>
      <c r="AK480" s="180"/>
      <c r="AL480" s="180"/>
    </row>
    <row r="481" spans="1:38" s="183" customFormat="1">
      <c r="A481" s="180"/>
      <c r="P481" s="188">
        <f t="shared" si="18"/>
        <v>0</v>
      </c>
      <c r="Q481" s="187"/>
      <c r="T481" s="185"/>
      <c r="U481" s="184"/>
      <c r="X481" s="180"/>
      <c r="Y481" s="180"/>
      <c r="Z481" s="180"/>
      <c r="AA481" s="180"/>
      <c r="AB481" s="180"/>
      <c r="AC481" s="182"/>
      <c r="AD481" s="181"/>
      <c r="AE481" s="180"/>
      <c r="AF481" s="180"/>
      <c r="AG481" s="180"/>
      <c r="AH481" s="180"/>
      <c r="AI481" s="180"/>
      <c r="AJ481" s="180"/>
      <c r="AK481" s="180"/>
      <c r="AL481" s="180"/>
    </row>
    <row r="482" spans="1:38" s="183" customFormat="1">
      <c r="A482" s="180"/>
      <c r="P482" s="188">
        <f t="shared" si="18"/>
        <v>0</v>
      </c>
      <c r="Q482" s="187"/>
      <c r="T482" s="185"/>
      <c r="U482" s="184"/>
      <c r="X482" s="180"/>
      <c r="Y482" s="180"/>
      <c r="Z482" s="180"/>
      <c r="AA482" s="180"/>
      <c r="AB482" s="180"/>
      <c r="AC482" s="182"/>
      <c r="AD482" s="181"/>
      <c r="AE482" s="180"/>
      <c r="AF482" s="180"/>
      <c r="AG482" s="180"/>
      <c r="AH482" s="180"/>
      <c r="AI482" s="180"/>
      <c r="AJ482" s="180"/>
      <c r="AK482" s="180"/>
      <c r="AL482" s="180"/>
    </row>
    <row r="483" spans="1:38" s="183" customFormat="1">
      <c r="A483" s="180"/>
      <c r="P483" s="188">
        <f t="shared" si="18"/>
        <v>0</v>
      </c>
      <c r="Q483" s="187"/>
      <c r="T483" s="185"/>
      <c r="U483" s="184"/>
      <c r="X483" s="180"/>
      <c r="Y483" s="180"/>
      <c r="Z483" s="180"/>
      <c r="AA483" s="180"/>
      <c r="AB483" s="180"/>
      <c r="AC483" s="182"/>
      <c r="AD483" s="181"/>
      <c r="AE483" s="180"/>
      <c r="AF483" s="180"/>
      <c r="AG483" s="180"/>
      <c r="AH483" s="180"/>
      <c r="AI483" s="180"/>
      <c r="AJ483" s="180"/>
      <c r="AK483" s="180"/>
      <c r="AL483" s="180"/>
    </row>
    <row r="484" spans="1:38" s="183" customFormat="1">
      <c r="A484" s="180"/>
      <c r="P484" s="188">
        <f t="shared" si="18"/>
        <v>0</v>
      </c>
      <c r="Q484" s="187"/>
      <c r="T484" s="185"/>
      <c r="U484" s="184"/>
      <c r="X484" s="180"/>
      <c r="Y484" s="180"/>
      <c r="Z484" s="180"/>
      <c r="AA484" s="180"/>
      <c r="AB484" s="180"/>
      <c r="AC484" s="182"/>
      <c r="AD484" s="181"/>
      <c r="AE484" s="180"/>
      <c r="AF484" s="180"/>
      <c r="AG484" s="180"/>
      <c r="AH484" s="180"/>
      <c r="AI484" s="180"/>
      <c r="AJ484" s="180"/>
      <c r="AK484" s="180"/>
      <c r="AL484" s="180"/>
    </row>
    <row r="485" spans="1:38" s="183" customFormat="1">
      <c r="A485" s="180"/>
      <c r="P485" s="188">
        <f t="shared" si="18"/>
        <v>0</v>
      </c>
      <c r="Q485" s="187"/>
      <c r="T485" s="185"/>
      <c r="U485" s="184"/>
      <c r="X485" s="180"/>
      <c r="Y485" s="180"/>
      <c r="Z485" s="180"/>
      <c r="AA485" s="180"/>
      <c r="AB485" s="180"/>
      <c r="AC485" s="182"/>
      <c r="AD485" s="181"/>
      <c r="AE485" s="180"/>
      <c r="AF485" s="180"/>
      <c r="AG485" s="180"/>
      <c r="AH485" s="180"/>
      <c r="AI485" s="180"/>
      <c r="AJ485" s="180"/>
      <c r="AK485" s="180"/>
      <c r="AL485" s="180"/>
    </row>
    <row r="486" spans="1:38" s="183" customFormat="1">
      <c r="A486" s="180"/>
      <c r="P486" s="188">
        <f t="shared" si="18"/>
        <v>0</v>
      </c>
      <c r="Q486" s="187"/>
      <c r="T486" s="185"/>
      <c r="U486" s="184"/>
      <c r="X486" s="180"/>
      <c r="Y486" s="180"/>
      <c r="Z486" s="180"/>
      <c r="AA486" s="180"/>
      <c r="AB486" s="180"/>
      <c r="AC486" s="182"/>
      <c r="AD486" s="181"/>
      <c r="AE486" s="180"/>
      <c r="AF486" s="180"/>
      <c r="AG486" s="180"/>
      <c r="AH486" s="180"/>
      <c r="AI486" s="180"/>
      <c r="AJ486" s="180"/>
      <c r="AK486" s="180"/>
      <c r="AL486" s="180"/>
    </row>
    <row r="487" spans="1:38" s="183" customFormat="1">
      <c r="A487" s="180"/>
      <c r="P487" s="188">
        <f t="shared" si="18"/>
        <v>0</v>
      </c>
      <c r="Q487" s="187"/>
      <c r="T487" s="185"/>
      <c r="U487" s="184"/>
      <c r="X487" s="180"/>
      <c r="Y487" s="180"/>
      <c r="Z487" s="180"/>
      <c r="AA487" s="180"/>
      <c r="AB487" s="180"/>
      <c r="AC487" s="182"/>
      <c r="AD487" s="181"/>
      <c r="AE487" s="180"/>
      <c r="AF487" s="180"/>
      <c r="AG487" s="180"/>
      <c r="AH487" s="180"/>
      <c r="AI487" s="180"/>
      <c r="AJ487" s="180"/>
      <c r="AK487" s="180"/>
      <c r="AL487" s="180"/>
    </row>
    <row r="488" spans="1:38" s="183" customFormat="1">
      <c r="A488" s="180"/>
      <c r="P488" s="188">
        <f t="shared" si="18"/>
        <v>0</v>
      </c>
      <c r="Q488" s="187"/>
      <c r="T488" s="185"/>
      <c r="U488" s="184"/>
      <c r="X488" s="180"/>
      <c r="Y488" s="180"/>
      <c r="Z488" s="180"/>
      <c r="AA488" s="180"/>
      <c r="AB488" s="180"/>
      <c r="AC488" s="182"/>
      <c r="AD488" s="181"/>
      <c r="AE488" s="180"/>
      <c r="AF488" s="180"/>
      <c r="AG488" s="180"/>
      <c r="AH488" s="180"/>
      <c r="AI488" s="180"/>
      <c r="AJ488" s="180"/>
      <c r="AK488" s="180"/>
      <c r="AL488" s="180"/>
    </row>
    <row r="489" spans="1:38" s="183" customFormat="1">
      <c r="A489" s="180"/>
      <c r="P489" s="188">
        <f t="shared" si="18"/>
        <v>0</v>
      </c>
      <c r="Q489" s="187"/>
      <c r="T489" s="185"/>
      <c r="U489" s="184"/>
      <c r="X489" s="180"/>
      <c r="Y489" s="180"/>
      <c r="Z489" s="180"/>
      <c r="AA489" s="180"/>
      <c r="AB489" s="180"/>
      <c r="AC489" s="182"/>
      <c r="AD489" s="181"/>
      <c r="AE489" s="180"/>
      <c r="AF489" s="180"/>
      <c r="AG489" s="180"/>
      <c r="AH489" s="180"/>
      <c r="AI489" s="180"/>
      <c r="AJ489" s="180"/>
      <c r="AK489" s="180"/>
      <c r="AL489" s="180"/>
    </row>
    <row r="490" spans="1:38" s="183" customFormat="1">
      <c r="A490" s="180"/>
      <c r="P490" s="188">
        <f t="shared" si="18"/>
        <v>0</v>
      </c>
      <c r="Q490" s="187"/>
      <c r="T490" s="185"/>
      <c r="U490" s="184"/>
      <c r="X490" s="180"/>
      <c r="Y490" s="180"/>
      <c r="Z490" s="180"/>
      <c r="AA490" s="180"/>
      <c r="AB490" s="180"/>
      <c r="AC490" s="182"/>
      <c r="AD490" s="181"/>
      <c r="AE490" s="180"/>
      <c r="AF490" s="180"/>
      <c r="AG490" s="180"/>
      <c r="AH490" s="180"/>
      <c r="AI490" s="180"/>
      <c r="AJ490" s="180"/>
      <c r="AK490" s="180"/>
      <c r="AL490" s="180"/>
    </row>
    <row r="491" spans="1:38" s="183" customFormat="1">
      <c r="A491" s="180"/>
      <c r="P491" s="188">
        <f t="shared" si="18"/>
        <v>0</v>
      </c>
      <c r="Q491" s="187"/>
      <c r="T491" s="185"/>
      <c r="U491" s="184"/>
      <c r="X491" s="180"/>
      <c r="Y491" s="180"/>
      <c r="Z491" s="180"/>
      <c r="AA491" s="180"/>
      <c r="AB491" s="180"/>
      <c r="AC491" s="182"/>
      <c r="AD491" s="181"/>
      <c r="AE491" s="180"/>
      <c r="AF491" s="180"/>
      <c r="AG491" s="180"/>
      <c r="AH491" s="180"/>
      <c r="AI491" s="180"/>
      <c r="AJ491" s="180"/>
      <c r="AK491" s="180"/>
      <c r="AL491" s="180"/>
    </row>
    <row r="492" spans="1:38" s="183" customFormat="1">
      <c r="A492" s="180"/>
      <c r="P492" s="188">
        <f t="shared" si="18"/>
        <v>0</v>
      </c>
      <c r="Q492" s="187"/>
      <c r="T492" s="185"/>
      <c r="U492" s="184"/>
      <c r="X492" s="180"/>
      <c r="Y492" s="180"/>
      <c r="Z492" s="180"/>
      <c r="AA492" s="180"/>
      <c r="AB492" s="180"/>
      <c r="AC492" s="182"/>
      <c r="AD492" s="181"/>
      <c r="AE492" s="180"/>
      <c r="AF492" s="180"/>
      <c r="AG492" s="180"/>
      <c r="AH492" s="180"/>
      <c r="AI492" s="180"/>
      <c r="AJ492" s="180"/>
      <c r="AK492" s="180"/>
      <c r="AL492" s="180"/>
    </row>
    <row r="493" spans="1:38" s="183" customFormat="1">
      <c r="A493" s="180"/>
      <c r="P493" s="188">
        <f t="shared" si="18"/>
        <v>0</v>
      </c>
      <c r="Q493" s="187"/>
      <c r="T493" s="185"/>
      <c r="U493" s="184"/>
      <c r="X493" s="180"/>
      <c r="Y493" s="180"/>
      <c r="Z493" s="180"/>
      <c r="AA493" s="180"/>
      <c r="AB493" s="180"/>
      <c r="AC493" s="182"/>
      <c r="AD493" s="181"/>
      <c r="AE493" s="180"/>
      <c r="AF493" s="180"/>
      <c r="AG493" s="180"/>
      <c r="AH493" s="180"/>
      <c r="AI493" s="180"/>
      <c r="AJ493" s="180"/>
      <c r="AK493" s="180"/>
      <c r="AL493" s="180"/>
    </row>
    <row r="494" spans="1:38" s="183" customFormat="1">
      <c r="A494" s="180"/>
      <c r="P494" s="188">
        <f t="shared" si="18"/>
        <v>0</v>
      </c>
      <c r="Q494" s="187"/>
      <c r="T494" s="185"/>
      <c r="U494" s="184"/>
      <c r="X494" s="180"/>
      <c r="Y494" s="180"/>
      <c r="Z494" s="180"/>
      <c r="AA494" s="180"/>
      <c r="AB494" s="180"/>
      <c r="AC494" s="182"/>
      <c r="AD494" s="181"/>
      <c r="AE494" s="180"/>
      <c r="AF494" s="180"/>
      <c r="AG494" s="180"/>
      <c r="AH494" s="180"/>
      <c r="AI494" s="180"/>
      <c r="AJ494" s="180"/>
      <c r="AK494" s="180"/>
      <c r="AL494" s="180"/>
    </row>
    <row r="495" spans="1:38" s="183" customFormat="1">
      <c r="A495" s="180"/>
      <c r="P495" s="188">
        <f t="shared" si="18"/>
        <v>0</v>
      </c>
      <c r="Q495" s="187"/>
      <c r="T495" s="185"/>
      <c r="U495" s="184"/>
      <c r="X495" s="180"/>
      <c r="Y495" s="180"/>
      <c r="Z495" s="180"/>
      <c r="AA495" s="180"/>
      <c r="AB495" s="180"/>
      <c r="AC495" s="182"/>
      <c r="AD495" s="181"/>
      <c r="AE495" s="180"/>
      <c r="AF495" s="180"/>
      <c r="AG495" s="180"/>
      <c r="AH495" s="180"/>
      <c r="AI495" s="180"/>
      <c r="AJ495" s="180"/>
      <c r="AK495" s="180"/>
      <c r="AL495" s="180"/>
    </row>
    <row r="496" spans="1:38" s="183" customFormat="1">
      <c r="A496" s="180"/>
      <c r="P496" s="188">
        <f t="shared" si="18"/>
        <v>0</v>
      </c>
      <c r="Q496" s="187"/>
      <c r="T496" s="185"/>
      <c r="U496" s="184"/>
      <c r="X496" s="180"/>
      <c r="Y496" s="180"/>
      <c r="Z496" s="180"/>
      <c r="AA496" s="180"/>
      <c r="AB496" s="180"/>
      <c r="AC496" s="182"/>
      <c r="AD496" s="181"/>
      <c r="AE496" s="180"/>
      <c r="AF496" s="180"/>
      <c r="AG496" s="180"/>
      <c r="AH496" s="180"/>
      <c r="AI496" s="180"/>
      <c r="AJ496" s="180"/>
      <c r="AK496" s="180"/>
      <c r="AL496" s="180"/>
    </row>
    <row r="497" spans="1:38" s="183" customFormat="1">
      <c r="A497" s="180"/>
      <c r="P497" s="188">
        <f t="shared" si="18"/>
        <v>0</v>
      </c>
      <c r="Q497" s="187"/>
      <c r="T497" s="185"/>
      <c r="U497" s="184"/>
      <c r="X497" s="180"/>
      <c r="Y497" s="180"/>
      <c r="Z497" s="180"/>
      <c r="AA497" s="180"/>
      <c r="AB497" s="180"/>
      <c r="AC497" s="182"/>
      <c r="AD497" s="181"/>
      <c r="AE497" s="180"/>
      <c r="AF497" s="180"/>
      <c r="AG497" s="180"/>
      <c r="AH497" s="180"/>
      <c r="AI497" s="180"/>
      <c r="AJ497" s="180"/>
      <c r="AK497" s="180"/>
      <c r="AL497" s="180"/>
    </row>
    <row r="498" spans="1:38" s="183" customFormat="1">
      <c r="A498" s="180"/>
      <c r="P498" s="188">
        <f t="shared" si="18"/>
        <v>0</v>
      </c>
      <c r="Q498" s="187"/>
      <c r="T498" s="185"/>
      <c r="U498" s="184"/>
      <c r="X498" s="180"/>
      <c r="Y498" s="180"/>
      <c r="Z498" s="180"/>
      <c r="AA498" s="180"/>
      <c r="AB498" s="180"/>
      <c r="AC498" s="182"/>
      <c r="AD498" s="181"/>
      <c r="AE498" s="180"/>
      <c r="AF498" s="180"/>
      <c r="AG498" s="180"/>
      <c r="AH498" s="180"/>
      <c r="AI498" s="180"/>
      <c r="AJ498" s="180"/>
      <c r="AK498" s="180"/>
      <c r="AL498" s="180"/>
    </row>
    <row r="499" spans="1:38" s="183" customFormat="1">
      <c r="A499" s="180"/>
      <c r="P499" s="188">
        <f t="shared" si="18"/>
        <v>0</v>
      </c>
      <c r="Q499" s="187"/>
      <c r="T499" s="185"/>
      <c r="U499" s="184"/>
      <c r="X499" s="180"/>
      <c r="Y499" s="180"/>
      <c r="Z499" s="180"/>
      <c r="AA499" s="180"/>
      <c r="AB499" s="180"/>
      <c r="AC499" s="182"/>
      <c r="AD499" s="181"/>
      <c r="AE499" s="180"/>
      <c r="AF499" s="180"/>
      <c r="AG499" s="180"/>
      <c r="AH499" s="180"/>
      <c r="AI499" s="180"/>
      <c r="AJ499" s="180"/>
      <c r="AK499" s="180"/>
      <c r="AL499" s="180"/>
    </row>
    <row r="500" spans="1:38" s="183" customFormat="1">
      <c r="A500" s="180"/>
      <c r="P500" s="188">
        <f t="shared" si="18"/>
        <v>0</v>
      </c>
      <c r="Q500" s="187"/>
      <c r="T500" s="185"/>
      <c r="U500" s="184"/>
      <c r="X500" s="180"/>
      <c r="Y500" s="180"/>
      <c r="Z500" s="180"/>
      <c r="AA500" s="180"/>
      <c r="AB500" s="180"/>
      <c r="AC500" s="182"/>
      <c r="AD500" s="181"/>
      <c r="AE500" s="180"/>
      <c r="AF500" s="180"/>
      <c r="AG500" s="180"/>
      <c r="AH500" s="180"/>
      <c r="AI500" s="180"/>
      <c r="AJ500" s="180"/>
      <c r="AK500" s="180"/>
      <c r="AL500" s="180"/>
    </row>
    <row r="501" spans="1:38" s="183" customFormat="1">
      <c r="A501" s="180"/>
      <c r="P501" s="188">
        <f t="shared" si="18"/>
        <v>0</v>
      </c>
      <c r="Q501" s="187"/>
      <c r="T501" s="185"/>
      <c r="U501" s="184"/>
      <c r="X501" s="180"/>
      <c r="Y501" s="180"/>
      <c r="Z501" s="180"/>
      <c r="AA501" s="180"/>
      <c r="AB501" s="180"/>
      <c r="AC501" s="182"/>
      <c r="AD501" s="181"/>
      <c r="AE501" s="180"/>
      <c r="AF501" s="180"/>
      <c r="AG501" s="180"/>
      <c r="AH501" s="180"/>
      <c r="AI501" s="180"/>
      <c r="AJ501" s="180"/>
      <c r="AK501" s="180"/>
      <c r="AL501" s="180"/>
    </row>
    <row r="502" spans="1:38" s="183" customFormat="1">
      <c r="A502" s="180"/>
      <c r="P502" s="188">
        <f t="shared" si="18"/>
        <v>0</v>
      </c>
      <c r="Q502" s="187"/>
      <c r="T502" s="185"/>
      <c r="U502" s="184"/>
      <c r="X502" s="180"/>
      <c r="Y502" s="180"/>
      <c r="Z502" s="180"/>
      <c r="AA502" s="180"/>
      <c r="AB502" s="180"/>
      <c r="AC502" s="182"/>
      <c r="AD502" s="181"/>
      <c r="AE502" s="180"/>
      <c r="AF502" s="180"/>
      <c r="AG502" s="180"/>
      <c r="AH502" s="180"/>
      <c r="AI502" s="180"/>
      <c r="AJ502" s="180"/>
      <c r="AK502" s="180"/>
      <c r="AL502" s="180"/>
    </row>
    <row r="503" spans="1:38" s="183" customFormat="1">
      <c r="A503" s="180"/>
      <c r="P503" s="188">
        <f t="shared" si="18"/>
        <v>0</v>
      </c>
      <c r="Q503" s="187"/>
      <c r="T503" s="185"/>
      <c r="U503" s="184"/>
      <c r="X503" s="180"/>
      <c r="Y503" s="180"/>
      <c r="Z503" s="180"/>
      <c r="AA503" s="180"/>
      <c r="AB503" s="180"/>
      <c r="AC503" s="182"/>
      <c r="AD503" s="181"/>
      <c r="AE503" s="180"/>
      <c r="AF503" s="180"/>
      <c r="AG503" s="180"/>
      <c r="AH503" s="180"/>
      <c r="AI503" s="180"/>
      <c r="AJ503" s="180"/>
      <c r="AK503" s="180"/>
      <c r="AL503" s="180"/>
    </row>
    <row r="504" spans="1:38" s="183" customFormat="1">
      <c r="A504" s="180"/>
      <c r="P504" s="188">
        <f t="shared" si="18"/>
        <v>0</v>
      </c>
      <c r="Q504" s="187"/>
      <c r="T504" s="185"/>
      <c r="U504" s="184"/>
      <c r="X504" s="180"/>
      <c r="Y504" s="180"/>
      <c r="Z504" s="180"/>
      <c r="AA504" s="180"/>
      <c r="AB504" s="180"/>
      <c r="AC504" s="182"/>
      <c r="AD504" s="181"/>
      <c r="AE504" s="180"/>
      <c r="AF504" s="180"/>
      <c r="AG504" s="180"/>
      <c r="AH504" s="180"/>
      <c r="AI504" s="180"/>
      <c r="AJ504" s="180"/>
      <c r="AK504" s="180"/>
      <c r="AL504" s="180"/>
    </row>
    <row r="505" spans="1:38" s="183" customFormat="1">
      <c r="A505" s="180"/>
      <c r="P505" s="188">
        <f t="shared" si="18"/>
        <v>0</v>
      </c>
      <c r="Q505" s="187"/>
      <c r="T505" s="185"/>
      <c r="U505" s="184"/>
      <c r="X505" s="180"/>
      <c r="Y505" s="180"/>
      <c r="Z505" s="180"/>
      <c r="AA505" s="180"/>
      <c r="AB505" s="180"/>
      <c r="AC505" s="182"/>
      <c r="AD505" s="181"/>
      <c r="AE505" s="180"/>
      <c r="AF505" s="180"/>
      <c r="AG505" s="180"/>
      <c r="AH505" s="180"/>
      <c r="AI505" s="180"/>
      <c r="AJ505" s="180"/>
      <c r="AK505" s="180"/>
      <c r="AL505" s="180"/>
    </row>
    <row r="506" spans="1:38" s="183" customFormat="1">
      <c r="A506" s="180"/>
      <c r="P506" s="188">
        <f t="shared" si="18"/>
        <v>0</v>
      </c>
      <c r="Q506" s="187"/>
      <c r="T506" s="185"/>
      <c r="U506" s="184"/>
      <c r="X506" s="180"/>
      <c r="Y506" s="180"/>
      <c r="Z506" s="180"/>
      <c r="AA506" s="180"/>
      <c r="AB506" s="180"/>
      <c r="AC506" s="182"/>
      <c r="AD506" s="181"/>
      <c r="AE506" s="180"/>
      <c r="AF506" s="180"/>
      <c r="AG506" s="180"/>
      <c r="AH506" s="180"/>
      <c r="AI506" s="180"/>
      <c r="AJ506" s="180"/>
      <c r="AK506" s="180"/>
      <c r="AL506" s="180"/>
    </row>
    <row r="507" spans="1:38" s="183" customFormat="1">
      <c r="A507" s="180"/>
      <c r="P507" s="188">
        <f t="shared" si="18"/>
        <v>0</v>
      </c>
      <c r="Q507" s="187"/>
      <c r="T507" s="185"/>
      <c r="U507" s="184"/>
      <c r="X507" s="180"/>
      <c r="Y507" s="180"/>
      <c r="Z507" s="180"/>
      <c r="AA507" s="180"/>
      <c r="AB507" s="180"/>
      <c r="AC507" s="182"/>
      <c r="AD507" s="181"/>
      <c r="AE507" s="180"/>
      <c r="AF507" s="180"/>
      <c r="AG507" s="180"/>
      <c r="AH507" s="180"/>
      <c r="AI507" s="180"/>
      <c r="AJ507" s="180"/>
      <c r="AK507" s="180"/>
      <c r="AL507" s="180"/>
    </row>
    <row r="508" spans="1:38" s="183" customFormat="1">
      <c r="A508" s="180"/>
      <c r="P508" s="188">
        <f t="shared" si="18"/>
        <v>0</v>
      </c>
      <c r="Q508" s="187"/>
      <c r="T508" s="185"/>
      <c r="U508" s="184"/>
      <c r="X508" s="180"/>
      <c r="Y508" s="180"/>
      <c r="Z508" s="180"/>
      <c r="AA508" s="180"/>
      <c r="AB508" s="180"/>
      <c r="AC508" s="182"/>
      <c r="AD508" s="181"/>
      <c r="AE508" s="180"/>
      <c r="AF508" s="180"/>
      <c r="AG508" s="180"/>
      <c r="AH508" s="180"/>
      <c r="AI508" s="180"/>
      <c r="AJ508" s="180"/>
      <c r="AK508" s="180"/>
      <c r="AL508" s="180"/>
    </row>
    <row r="509" spans="1:38" s="183" customFormat="1">
      <c r="A509" s="180"/>
      <c r="P509" s="188">
        <f t="shared" ref="P509:P570" si="19">IFERROR(IF($I509="Rotary",LEFT($O509,9),$O509),"")</f>
        <v>0</v>
      </c>
      <c r="Q509" s="187"/>
      <c r="T509" s="185"/>
      <c r="U509" s="184"/>
      <c r="X509" s="180"/>
      <c r="Y509" s="180"/>
      <c r="Z509" s="180"/>
      <c r="AA509" s="180"/>
      <c r="AB509" s="180"/>
      <c r="AC509" s="182"/>
      <c r="AD509" s="181"/>
      <c r="AE509" s="180"/>
      <c r="AF509" s="180"/>
      <c r="AG509" s="180"/>
      <c r="AH509" s="180"/>
      <c r="AI509" s="180"/>
      <c r="AJ509" s="180"/>
      <c r="AK509" s="180"/>
      <c r="AL509" s="180"/>
    </row>
    <row r="510" spans="1:38" s="183" customFormat="1">
      <c r="A510" s="180"/>
      <c r="P510" s="188">
        <f t="shared" si="19"/>
        <v>0</v>
      </c>
      <c r="Q510" s="187"/>
      <c r="T510" s="185"/>
      <c r="U510" s="184"/>
      <c r="X510" s="180"/>
      <c r="Y510" s="180"/>
      <c r="Z510" s="180"/>
      <c r="AA510" s="180"/>
      <c r="AB510" s="180"/>
      <c r="AC510" s="182"/>
      <c r="AD510" s="181"/>
      <c r="AE510" s="180"/>
      <c r="AF510" s="180"/>
      <c r="AG510" s="180"/>
      <c r="AH510" s="180"/>
      <c r="AI510" s="180"/>
      <c r="AJ510" s="180"/>
      <c r="AK510" s="180"/>
      <c r="AL510" s="180"/>
    </row>
    <row r="511" spans="1:38" s="183" customFormat="1">
      <c r="A511" s="180"/>
      <c r="P511" s="188">
        <f t="shared" si="19"/>
        <v>0</v>
      </c>
      <c r="Q511" s="187"/>
      <c r="T511" s="185"/>
      <c r="U511" s="184"/>
      <c r="X511" s="180"/>
      <c r="Y511" s="180"/>
      <c r="Z511" s="180"/>
      <c r="AA511" s="180"/>
      <c r="AB511" s="180"/>
      <c r="AC511" s="182"/>
      <c r="AD511" s="181"/>
      <c r="AE511" s="180"/>
      <c r="AF511" s="180"/>
      <c r="AG511" s="180"/>
      <c r="AH511" s="180"/>
      <c r="AI511" s="180"/>
      <c r="AJ511" s="180"/>
      <c r="AK511" s="180"/>
      <c r="AL511" s="180"/>
    </row>
    <row r="512" spans="1:38" s="183" customFormat="1">
      <c r="A512" s="180"/>
      <c r="P512" s="188">
        <f t="shared" si="19"/>
        <v>0</v>
      </c>
      <c r="Q512" s="187"/>
      <c r="T512" s="185"/>
      <c r="U512" s="184"/>
      <c r="X512" s="180"/>
      <c r="Y512" s="180"/>
      <c r="Z512" s="180"/>
      <c r="AA512" s="180"/>
      <c r="AB512" s="180"/>
      <c r="AC512" s="182"/>
      <c r="AD512" s="181"/>
      <c r="AE512" s="180"/>
      <c r="AF512" s="180"/>
      <c r="AG512" s="180"/>
      <c r="AH512" s="180"/>
      <c r="AI512" s="180"/>
      <c r="AJ512" s="180"/>
      <c r="AK512" s="180"/>
      <c r="AL512" s="180"/>
    </row>
    <row r="513" spans="1:38" s="183" customFormat="1">
      <c r="A513" s="180"/>
      <c r="P513" s="188">
        <f t="shared" si="19"/>
        <v>0</v>
      </c>
      <c r="Q513" s="187"/>
      <c r="T513" s="185"/>
      <c r="U513" s="184"/>
      <c r="X513" s="180"/>
      <c r="Y513" s="180"/>
      <c r="Z513" s="180"/>
      <c r="AA513" s="180"/>
      <c r="AB513" s="180"/>
      <c r="AC513" s="182"/>
      <c r="AD513" s="181"/>
      <c r="AE513" s="180"/>
      <c r="AF513" s="180"/>
      <c r="AG513" s="180"/>
      <c r="AH513" s="180"/>
      <c r="AI513" s="180"/>
      <c r="AJ513" s="180"/>
      <c r="AK513" s="180"/>
      <c r="AL513" s="180"/>
    </row>
    <row r="514" spans="1:38" s="183" customFormat="1">
      <c r="A514" s="180"/>
      <c r="P514" s="188">
        <f t="shared" si="19"/>
        <v>0</v>
      </c>
      <c r="Q514" s="187"/>
      <c r="T514" s="185"/>
      <c r="U514" s="184"/>
      <c r="X514" s="180"/>
      <c r="Y514" s="180"/>
      <c r="Z514" s="180"/>
      <c r="AA514" s="180"/>
      <c r="AB514" s="180"/>
      <c r="AC514" s="182"/>
      <c r="AD514" s="181"/>
      <c r="AE514" s="180"/>
      <c r="AF514" s="180"/>
      <c r="AG514" s="180"/>
      <c r="AH514" s="180"/>
      <c r="AI514" s="180"/>
      <c r="AJ514" s="180"/>
      <c r="AK514" s="180"/>
      <c r="AL514" s="180"/>
    </row>
    <row r="515" spans="1:38" s="183" customFormat="1">
      <c r="A515" s="180"/>
      <c r="P515" s="188">
        <f t="shared" si="19"/>
        <v>0</v>
      </c>
      <c r="Q515" s="187"/>
      <c r="T515" s="185"/>
      <c r="U515" s="184"/>
      <c r="X515" s="180"/>
      <c r="Y515" s="180"/>
      <c r="Z515" s="180"/>
      <c r="AA515" s="180"/>
      <c r="AB515" s="180"/>
      <c r="AC515" s="182"/>
      <c r="AD515" s="181"/>
      <c r="AE515" s="180"/>
      <c r="AF515" s="180"/>
      <c r="AG515" s="180"/>
      <c r="AH515" s="180"/>
      <c r="AI515" s="180"/>
      <c r="AJ515" s="180"/>
      <c r="AK515" s="180"/>
      <c r="AL515" s="180"/>
    </row>
    <row r="516" spans="1:38" s="183" customFormat="1">
      <c r="A516" s="180"/>
      <c r="P516" s="188">
        <f t="shared" si="19"/>
        <v>0</v>
      </c>
      <c r="Q516" s="187"/>
      <c r="T516" s="185"/>
      <c r="U516" s="184"/>
      <c r="X516" s="180"/>
      <c r="Y516" s="180"/>
      <c r="Z516" s="180"/>
      <c r="AA516" s="180"/>
      <c r="AB516" s="180"/>
      <c r="AC516" s="182"/>
      <c r="AD516" s="181"/>
      <c r="AE516" s="180"/>
      <c r="AF516" s="180"/>
      <c r="AG516" s="180"/>
      <c r="AH516" s="180"/>
      <c r="AI516" s="180"/>
      <c r="AJ516" s="180"/>
      <c r="AK516" s="180"/>
      <c r="AL516" s="180"/>
    </row>
    <row r="517" spans="1:38" s="183" customFormat="1">
      <c r="A517" s="180"/>
      <c r="P517" s="188">
        <f t="shared" si="19"/>
        <v>0</v>
      </c>
      <c r="Q517" s="187"/>
      <c r="T517" s="185"/>
      <c r="U517" s="184"/>
      <c r="X517" s="180"/>
      <c r="Y517" s="180"/>
      <c r="Z517" s="180"/>
      <c r="AA517" s="180"/>
      <c r="AB517" s="180"/>
      <c r="AC517" s="182"/>
      <c r="AD517" s="181"/>
      <c r="AE517" s="180"/>
      <c r="AF517" s="180"/>
      <c r="AG517" s="180"/>
      <c r="AH517" s="180"/>
      <c r="AI517" s="180"/>
      <c r="AJ517" s="180"/>
      <c r="AK517" s="180"/>
      <c r="AL517" s="180"/>
    </row>
    <row r="518" spans="1:38" s="183" customFormat="1">
      <c r="A518" s="180"/>
      <c r="P518" s="188">
        <f t="shared" si="19"/>
        <v>0</v>
      </c>
      <c r="Q518" s="187"/>
      <c r="T518" s="185"/>
      <c r="U518" s="184"/>
      <c r="X518" s="180"/>
      <c r="Y518" s="180"/>
      <c r="Z518" s="180"/>
      <c r="AA518" s="180"/>
      <c r="AB518" s="180"/>
      <c r="AC518" s="182"/>
      <c r="AD518" s="181"/>
      <c r="AE518" s="180"/>
      <c r="AF518" s="180"/>
      <c r="AG518" s="180"/>
      <c r="AH518" s="180"/>
      <c r="AI518" s="180"/>
      <c r="AJ518" s="180"/>
      <c r="AK518" s="180"/>
      <c r="AL518" s="180"/>
    </row>
    <row r="519" spans="1:38" s="183" customFormat="1">
      <c r="A519" s="180"/>
      <c r="P519" s="188">
        <f t="shared" si="19"/>
        <v>0</v>
      </c>
      <c r="Q519" s="187"/>
      <c r="T519" s="185"/>
      <c r="U519" s="184"/>
      <c r="X519" s="180"/>
      <c r="Y519" s="180"/>
      <c r="Z519" s="180"/>
      <c r="AA519" s="180"/>
      <c r="AB519" s="180"/>
      <c r="AC519" s="182"/>
      <c r="AD519" s="181"/>
      <c r="AE519" s="180"/>
      <c r="AF519" s="180"/>
      <c r="AG519" s="180"/>
      <c r="AH519" s="180"/>
      <c r="AI519" s="180"/>
      <c r="AJ519" s="180"/>
      <c r="AK519" s="180"/>
      <c r="AL519" s="180"/>
    </row>
    <row r="520" spans="1:38" s="183" customFormat="1">
      <c r="A520" s="180"/>
      <c r="P520" s="188">
        <f t="shared" si="19"/>
        <v>0</v>
      </c>
      <c r="Q520" s="187"/>
      <c r="T520" s="185"/>
      <c r="U520" s="184"/>
      <c r="X520" s="180"/>
      <c r="Y520" s="180"/>
      <c r="Z520" s="180"/>
      <c r="AA520" s="180"/>
      <c r="AB520" s="180"/>
      <c r="AC520" s="182"/>
      <c r="AD520" s="181"/>
      <c r="AE520" s="180"/>
      <c r="AF520" s="180"/>
      <c r="AG520" s="180"/>
      <c r="AH520" s="180"/>
      <c r="AI520" s="180"/>
      <c r="AJ520" s="180"/>
      <c r="AK520" s="180"/>
      <c r="AL520" s="180"/>
    </row>
    <row r="521" spans="1:38" s="183" customFormat="1">
      <c r="A521" s="180"/>
      <c r="P521" s="188">
        <f t="shared" si="19"/>
        <v>0</v>
      </c>
      <c r="Q521" s="187"/>
      <c r="T521" s="185"/>
      <c r="U521" s="184"/>
      <c r="X521" s="180"/>
      <c r="Y521" s="180"/>
      <c r="Z521" s="180"/>
      <c r="AA521" s="180"/>
      <c r="AB521" s="180"/>
      <c r="AC521" s="182"/>
      <c r="AD521" s="181"/>
      <c r="AE521" s="180"/>
      <c r="AF521" s="180"/>
      <c r="AG521" s="180"/>
      <c r="AH521" s="180"/>
      <c r="AI521" s="180"/>
      <c r="AJ521" s="180"/>
      <c r="AK521" s="180"/>
      <c r="AL521" s="180"/>
    </row>
    <row r="522" spans="1:38" s="183" customFormat="1">
      <c r="A522" s="180"/>
      <c r="P522" s="188">
        <f t="shared" si="19"/>
        <v>0</v>
      </c>
      <c r="Q522" s="187"/>
      <c r="T522" s="185"/>
      <c r="U522" s="184"/>
      <c r="X522" s="180"/>
      <c r="Y522" s="180"/>
      <c r="Z522" s="180"/>
      <c r="AA522" s="180"/>
      <c r="AB522" s="180"/>
      <c r="AC522" s="182"/>
      <c r="AD522" s="181"/>
      <c r="AE522" s="180"/>
      <c r="AF522" s="180"/>
      <c r="AG522" s="180"/>
      <c r="AH522" s="180"/>
      <c r="AI522" s="180"/>
      <c r="AJ522" s="180"/>
      <c r="AK522" s="180"/>
      <c r="AL522" s="180"/>
    </row>
    <row r="523" spans="1:38" s="183" customFormat="1">
      <c r="A523" s="180"/>
      <c r="P523" s="188">
        <f t="shared" si="19"/>
        <v>0</v>
      </c>
      <c r="Q523" s="187"/>
      <c r="T523" s="185"/>
      <c r="U523" s="184"/>
      <c r="X523" s="180"/>
      <c r="Y523" s="180"/>
      <c r="Z523" s="180"/>
      <c r="AA523" s="180"/>
      <c r="AB523" s="180"/>
      <c r="AC523" s="182"/>
      <c r="AD523" s="181"/>
      <c r="AE523" s="180"/>
      <c r="AF523" s="180"/>
      <c r="AG523" s="180"/>
      <c r="AH523" s="180"/>
      <c r="AI523" s="180"/>
      <c r="AJ523" s="180"/>
      <c r="AK523" s="180"/>
      <c r="AL523" s="180"/>
    </row>
    <row r="524" spans="1:38" s="183" customFormat="1">
      <c r="A524" s="180"/>
      <c r="P524" s="188">
        <f t="shared" si="19"/>
        <v>0</v>
      </c>
      <c r="Q524" s="187"/>
      <c r="T524" s="185"/>
      <c r="U524" s="184"/>
      <c r="X524" s="180"/>
      <c r="Y524" s="180"/>
      <c r="Z524" s="180"/>
      <c r="AA524" s="180"/>
      <c r="AB524" s="180"/>
      <c r="AC524" s="182"/>
      <c r="AD524" s="181"/>
      <c r="AE524" s="180"/>
      <c r="AF524" s="180"/>
      <c r="AG524" s="180"/>
      <c r="AH524" s="180"/>
      <c r="AI524" s="180"/>
      <c r="AJ524" s="180"/>
      <c r="AK524" s="180"/>
      <c r="AL524" s="180"/>
    </row>
    <row r="525" spans="1:38" s="183" customFormat="1">
      <c r="A525" s="180"/>
      <c r="P525" s="188">
        <f t="shared" si="19"/>
        <v>0</v>
      </c>
      <c r="Q525" s="187"/>
      <c r="T525" s="185"/>
      <c r="U525" s="184"/>
      <c r="X525" s="180"/>
      <c r="Y525" s="180"/>
      <c r="Z525" s="180"/>
      <c r="AA525" s="180"/>
      <c r="AB525" s="180"/>
      <c r="AC525" s="182"/>
      <c r="AD525" s="181"/>
      <c r="AE525" s="180"/>
      <c r="AF525" s="180"/>
      <c r="AG525" s="180"/>
      <c r="AH525" s="180"/>
      <c r="AI525" s="180"/>
      <c r="AJ525" s="180"/>
      <c r="AK525" s="180"/>
      <c r="AL525" s="180"/>
    </row>
    <row r="526" spans="1:38" s="183" customFormat="1">
      <c r="A526" s="180"/>
      <c r="P526" s="188">
        <f t="shared" si="19"/>
        <v>0</v>
      </c>
      <c r="Q526" s="187"/>
      <c r="T526" s="185"/>
      <c r="U526" s="184"/>
      <c r="X526" s="180"/>
      <c r="Y526" s="180"/>
      <c r="Z526" s="180"/>
      <c r="AA526" s="180"/>
      <c r="AB526" s="180"/>
      <c r="AC526" s="182"/>
      <c r="AD526" s="181"/>
      <c r="AE526" s="180"/>
      <c r="AF526" s="180"/>
      <c r="AG526" s="180"/>
      <c r="AH526" s="180"/>
      <c r="AI526" s="180"/>
      <c r="AJ526" s="180"/>
      <c r="AK526" s="180"/>
      <c r="AL526" s="180"/>
    </row>
    <row r="527" spans="1:38" s="183" customFormat="1">
      <c r="A527" s="180"/>
      <c r="P527" s="188">
        <f t="shared" si="19"/>
        <v>0</v>
      </c>
      <c r="Q527" s="187"/>
      <c r="T527" s="185"/>
      <c r="U527" s="184"/>
      <c r="X527" s="180"/>
      <c r="Y527" s="180"/>
      <c r="Z527" s="180"/>
      <c r="AA527" s="180"/>
      <c r="AB527" s="180"/>
      <c r="AC527" s="182"/>
      <c r="AD527" s="181"/>
      <c r="AE527" s="180"/>
      <c r="AF527" s="180"/>
      <c r="AG527" s="180"/>
      <c r="AH527" s="180"/>
      <c r="AI527" s="180"/>
      <c r="AJ527" s="180"/>
      <c r="AK527" s="180"/>
      <c r="AL527" s="180"/>
    </row>
    <row r="528" spans="1:38" s="183" customFormat="1">
      <c r="A528" s="180"/>
      <c r="P528" s="188">
        <f t="shared" si="19"/>
        <v>0</v>
      </c>
      <c r="Q528" s="187"/>
      <c r="T528" s="185"/>
      <c r="U528" s="184"/>
      <c r="X528" s="180"/>
      <c r="Y528" s="180"/>
      <c r="Z528" s="180"/>
      <c r="AA528" s="180"/>
      <c r="AB528" s="180"/>
      <c r="AC528" s="182"/>
      <c r="AD528" s="181"/>
      <c r="AE528" s="180"/>
      <c r="AF528" s="180"/>
      <c r="AG528" s="180"/>
      <c r="AH528" s="180"/>
      <c r="AI528" s="180"/>
      <c r="AJ528" s="180"/>
      <c r="AK528" s="180"/>
      <c r="AL528" s="180"/>
    </row>
    <row r="529" spans="1:38" s="183" customFormat="1">
      <c r="A529" s="180"/>
      <c r="P529" s="188">
        <f t="shared" si="19"/>
        <v>0</v>
      </c>
      <c r="Q529" s="187"/>
      <c r="T529" s="185"/>
      <c r="U529" s="184"/>
      <c r="X529" s="180"/>
      <c r="Y529" s="180"/>
      <c r="Z529" s="180"/>
      <c r="AA529" s="180"/>
      <c r="AB529" s="180"/>
      <c r="AC529" s="182"/>
      <c r="AD529" s="181"/>
      <c r="AE529" s="180"/>
      <c r="AF529" s="180"/>
      <c r="AG529" s="180"/>
      <c r="AH529" s="180"/>
      <c r="AI529" s="180"/>
      <c r="AJ529" s="180"/>
      <c r="AK529" s="180"/>
      <c r="AL529" s="180"/>
    </row>
    <row r="530" spans="1:38" s="183" customFormat="1">
      <c r="A530" s="180"/>
      <c r="P530" s="188">
        <f t="shared" si="19"/>
        <v>0</v>
      </c>
      <c r="Q530" s="187"/>
      <c r="T530" s="185"/>
      <c r="U530" s="184"/>
      <c r="X530" s="180"/>
      <c r="Y530" s="180"/>
      <c r="Z530" s="180"/>
      <c r="AA530" s="180"/>
      <c r="AB530" s="180"/>
      <c r="AC530" s="182"/>
      <c r="AD530" s="181"/>
      <c r="AE530" s="180"/>
      <c r="AF530" s="180"/>
      <c r="AG530" s="180"/>
      <c r="AH530" s="180"/>
      <c r="AI530" s="180"/>
      <c r="AJ530" s="180"/>
      <c r="AK530" s="180"/>
      <c r="AL530" s="180"/>
    </row>
    <row r="531" spans="1:38" s="183" customFormat="1">
      <c r="A531" s="180"/>
      <c r="P531" s="188">
        <f t="shared" si="19"/>
        <v>0</v>
      </c>
      <c r="Q531" s="187"/>
      <c r="T531" s="185"/>
      <c r="U531" s="184"/>
      <c r="X531" s="180"/>
      <c r="Y531" s="180"/>
      <c r="Z531" s="180"/>
      <c r="AA531" s="180"/>
      <c r="AB531" s="180"/>
      <c r="AC531" s="182"/>
      <c r="AD531" s="181"/>
      <c r="AE531" s="180"/>
      <c r="AF531" s="180"/>
      <c r="AG531" s="180"/>
      <c r="AH531" s="180"/>
      <c r="AI531" s="180"/>
      <c r="AJ531" s="180"/>
      <c r="AK531" s="180"/>
      <c r="AL531" s="180"/>
    </row>
    <row r="532" spans="1:38" s="183" customFormat="1">
      <c r="A532" s="180"/>
      <c r="P532" s="188">
        <f t="shared" si="19"/>
        <v>0</v>
      </c>
      <c r="Q532" s="187"/>
      <c r="T532" s="185"/>
      <c r="U532" s="184"/>
      <c r="X532" s="180"/>
      <c r="Y532" s="180"/>
      <c r="Z532" s="180"/>
      <c r="AA532" s="180"/>
      <c r="AB532" s="180"/>
      <c r="AC532" s="182"/>
      <c r="AD532" s="181"/>
      <c r="AE532" s="180"/>
      <c r="AF532" s="180"/>
      <c r="AG532" s="180"/>
      <c r="AH532" s="180"/>
      <c r="AI532" s="180"/>
      <c r="AJ532" s="180"/>
      <c r="AK532" s="180"/>
      <c r="AL532" s="180"/>
    </row>
    <row r="533" spans="1:38" s="183" customFormat="1">
      <c r="A533" s="180"/>
      <c r="P533" s="188">
        <f t="shared" si="19"/>
        <v>0</v>
      </c>
      <c r="Q533" s="187"/>
      <c r="T533" s="185"/>
      <c r="U533" s="184"/>
      <c r="X533" s="180"/>
      <c r="Y533" s="180"/>
      <c r="Z533" s="180"/>
      <c r="AA533" s="180"/>
      <c r="AB533" s="180"/>
      <c r="AC533" s="182"/>
      <c r="AD533" s="181"/>
      <c r="AE533" s="180"/>
      <c r="AF533" s="180"/>
      <c r="AG533" s="180"/>
      <c r="AH533" s="180"/>
      <c r="AI533" s="180"/>
      <c r="AJ533" s="180"/>
      <c r="AK533" s="180"/>
      <c r="AL533" s="180"/>
    </row>
    <row r="534" spans="1:38" s="183" customFormat="1">
      <c r="A534" s="180"/>
      <c r="P534" s="188">
        <f t="shared" si="19"/>
        <v>0</v>
      </c>
      <c r="Q534" s="187"/>
      <c r="T534" s="185"/>
      <c r="U534" s="184"/>
      <c r="X534" s="180"/>
      <c r="Y534" s="180"/>
      <c r="Z534" s="180"/>
      <c r="AA534" s="180"/>
      <c r="AB534" s="180"/>
      <c r="AC534" s="182"/>
      <c r="AD534" s="181"/>
      <c r="AE534" s="180"/>
      <c r="AF534" s="180"/>
      <c r="AG534" s="180"/>
      <c r="AH534" s="180"/>
      <c r="AI534" s="180"/>
      <c r="AJ534" s="180"/>
      <c r="AK534" s="180"/>
      <c r="AL534" s="180"/>
    </row>
    <row r="535" spans="1:38" s="183" customFormat="1">
      <c r="A535" s="180"/>
      <c r="P535" s="188">
        <f t="shared" si="19"/>
        <v>0</v>
      </c>
      <c r="Q535" s="187"/>
      <c r="T535" s="185"/>
      <c r="U535" s="184"/>
      <c r="X535" s="180"/>
      <c r="Y535" s="180"/>
      <c r="Z535" s="180"/>
      <c r="AA535" s="180"/>
      <c r="AB535" s="180"/>
      <c r="AC535" s="182"/>
      <c r="AD535" s="181"/>
      <c r="AE535" s="180"/>
      <c r="AF535" s="180"/>
      <c r="AG535" s="180"/>
      <c r="AH535" s="180"/>
      <c r="AI535" s="180"/>
      <c r="AJ535" s="180"/>
      <c r="AK535" s="180"/>
      <c r="AL535" s="180"/>
    </row>
    <row r="536" spans="1:38" s="183" customFormat="1">
      <c r="A536" s="180"/>
      <c r="P536" s="188">
        <f t="shared" si="19"/>
        <v>0</v>
      </c>
      <c r="Q536" s="187"/>
      <c r="T536" s="185"/>
      <c r="U536" s="184"/>
      <c r="X536" s="180"/>
      <c r="Y536" s="180"/>
      <c r="Z536" s="180"/>
      <c r="AA536" s="180"/>
      <c r="AB536" s="180"/>
      <c r="AC536" s="182"/>
      <c r="AD536" s="181"/>
      <c r="AE536" s="180"/>
      <c r="AF536" s="180"/>
      <c r="AG536" s="180"/>
      <c r="AH536" s="180"/>
      <c r="AI536" s="180"/>
      <c r="AJ536" s="180"/>
      <c r="AK536" s="180"/>
      <c r="AL536" s="180"/>
    </row>
    <row r="537" spans="1:38" s="183" customFormat="1">
      <c r="A537" s="180"/>
      <c r="P537" s="188">
        <f t="shared" si="19"/>
        <v>0</v>
      </c>
      <c r="Q537" s="187"/>
      <c r="T537" s="185"/>
      <c r="U537" s="184"/>
      <c r="X537" s="180"/>
      <c r="Y537" s="180"/>
      <c r="Z537" s="180"/>
      <c r="AA537" s="180"/>
      <c r="AB537" s="180"/>
      <c r="AC537" s="182"/>
      <c r="AD537" s="181"/>
      <c r="AE537" s="180"/>
      <c r="AF537" s="180"/>
      <c r="AG537" s="180"/>
      <c r="AH537" s="180"/>
      <c r="AI537" s="180"/>
      <c r="AJ537" s="180"/>
      <c r="AK537" s="180"/>
      <c r="AL537" s="180"/>
    </row>
    <row r="538" spans="1:38" s="183" customFormat="1">
      <c r="A538" s="180"/>
      <c r="P538" s="188">
        <f t="shared" si="19"/>
        <v>0</v>
      </c>
      <c r="Q538" s="187"/>
      <c r="T538" s="185"/>
      <c r="U538" s="184"/>
      <c r="X538" s="180"/>
      <c r="Y538" s="180"/>
      <c r="Z538" s="180"/>
      <c r="AA538" s="180"/>
      <c r="AB538" s="180"/>
      <c r="AC538" s="182"/>
      <c r="AD538" s="181"/>
      <c r="AE538" s="180"/>
      <c r="AF538" s="180"/>
      <c r="AG538" s="180"/>
      <c r="AH538" s="180"/>
      <c r="AI538" s="180"/>
      <c r="AJ538" s="180"/>
      <c r="AK538" s="180"/>
      <c r="AL538" s="180"/>
    </row>
    <row r="539" spans="1:38" s="183" customFormat="1">
      <c r="A539" s="180"/>
      <c r="P539" s="188">
        <f t="shared" si="19"/>
        <v>0</v>
      </c>
      <c r="Q539" s="187"/>
      <c r="T539" s="185"/>
      <c r="U539" s="184"/>
      <c r="X539" s="180"/>
      <c r="Y539" s="180"/>
      <c r="Z539" s="180"/>
      <c r="AA539" s="180"/>
      <c r="AB539" s="180"/>
      <c r="AC539" s="182"/>
      <c r="AD539" s="181"/>
      <c r="AE539" s="180"/>
      <c r="AF539" s="180"/>
      <c r="AG539" s="180"/>
      <c r="AH539" s="180"/>
      <c r="AI539" s="180"/>
      <c r="AJ539" s="180"/>
      <c r="AK539" s="180"/>
      <c r="AL539" s="180"/>
    </row>
    <row r="540" spans="1:38" s="183" customFormat="1">
      <c r="A540" s="180"/>
      <c r="P540" s="188">
        <f t="shared" si="19"/>
        <v>0</v>
      </c>
      <c r="Q540" s="187"/>
      <c r="T540" s="185"/>
      <c r="U540" s="184"/>
      <c r="X540" s="180"/>
      <c r="Y540" s="180"/>
      <c r="Z540" s="180"/>
      <c r="AA540" s="180"/>
      <c r="AB540" s="180"/>
      <c r="AC540" s="182"/>
      <c r="AD540" s="181"/>
      <c r="AE540" s="180"/>
      <c r="AF540" s="180"/>
      <c r="AG540" s="180"/>
      <c r="AH540" s="180"/>
      <c r="AI540" s="180"/>
      <c r="AJ540" s="180"/>
      <c r="AK540" s="180"/>
      <c r="AL540" s="180"/>
    </row>
    <row r="541" spans="1:38" s="183" customFormat="1">
      <c r="A541" s="180"/>
      <c r="P541" s="188">
        <f t="shared" si="19"/>
        <v>0</v>
      </c>
      <c r="Q541" s="187"/>
      <c r="T541" s="185"/>
      <c r="U541" s="184"/>
      <c r="X541" s="180"/>
      <c r="Y541" s="180"/>
      <c r="Z541" s="180"/>
      <c r="AA541" s="180"/>
      <c r="AB541" s="180"/>
      <c r="AC541" s="182"/>
      <c r="AD541" s="181"/>
      <c r="AE541" s="180"/>
      <c r="AF541" s="180"/>
      <c r="AG541" s="180"/>
      <c r="AH541" s="180"/>
      <c r="AI541" s="180"/>
      <c r="AJ541" s="180"/>
      <c r="AK541" s="180"/>
      <c r="AL541" s="180"/>
    </row>
    <row r="542" spans="1:38" s="183" customFormat="1">
      <c r="A542" s="180"/>
      <c r="P542" s="188">
        <f t="shared" si="19"/>
        <v>0</v>
      </c>
      <c r="Q542" s="187"/>
      <c r="T542" s="185"/>
      <c r="U542" s="184"/>
      <c r="X542" s="180"/>
      <c r="Y542" s="180"/>
      <c r="Z542" s="180"/>
      <c r="AA542" s="180"/>
      <c r="AB542" s="180"/>
      <c r="AC542" s="182"/>
      <c r="AD542" s="181"/>
      <c r="AE542" s="180"/>
      <c r="AF542" s="180"/>
      <c r="AG542" s="180"/>
      <c r="AH542" s="180"/>
      <c r="AI542" s="180"/>
      <c r="AJ542" s="180"/>
      <c r="AK542" s="180"/>
      <c r="AL542" s="180"/>
    </row>
    <row r="543" spans="1:38" s="183" customFormat="1">
      <c r="A543" s="180"/>
      <c r="P543" s="188">
        <f t="shared" si="19"/>
        <v>0</v>
      </c>
      <c r="Q543" s="187"/>
      <c r="T543" s="185"/>
      <c r="U543" s="184"/>
      <c r="X543" s="180"/>
      <c r="Y543" s="180"/>
      <c r="Z543" s="180"/>
      <c r="AA543" s="180"/>
      <c r="AB543" s="180"/>
      <c r="AC543" s="182"/>
      <c r="AD543" s="181"/>
      <c r="AE543" s="180"/>
      <c r="AF543" s="180"/>
      <c r="AG543" s="180"/>
      <c r="AH543" s="180"/>
      <c r="AI543" s="180"/>
      <c r="AJ543" s="180"/>
      <c r="AK543" s="180"/>
      <c r="AL543" s="180"/>
    </row>
    <row r="544" spans="1:38" s="183" customFormat="1">
      <c r="A544" s="180"/>
      <c r="P544" s="188">
        <f t="shared" si="19"/>
        <v>0</v>
      </c>
      <c r="Q544" s="187"/>
      <c r="T544" s="185"/>
      <c r="U544" s="184"/>
      <c r="X544" s="180"/>
      <c r="Y544" s="180"/>
      <c r="Z544" s="180"/>
      <c r="AA544" s="180"/>
      <c r="AB544" s="180"/>
      <c r="AC544" s="182"/>
      <c r="AD544" s="181"/>
      <c r="AE544" s="180"/>
      <c r="AF544" s="180"/>
      <c r="AG544" s="180"/>
      <c r="AH544" s="180"/>
      <c r="AI544" s="180"/>
      <c r="AJ544" s="180"/>
      <c r="AK544" s="180"/>
      <c r="AL544" s="180"/>
    </row>
    <row r="545" spans="1:38" s="183" customFormat="1">
      <c r="A545" s="180"/>
      <c r="P545" s="188">
        <f t="shared" si="19"/>
        <v>0</v>
      </c>
      <c r="Q545" s="187"/>
      <c r="T545" s="185"/>
      <c r="U545" s="184"/>
      <c r="X545" s="180"/>
      <c r="Y545" s="180"/>
      <c r="Z545" s="180"/>
      <c r="AA545" s="180"/>
      <c r="AB545" s="180"/>
      <c r="AC545" s="182"/>
      <c r="AD545" s="181"/>
      <c r="AE545" s="180"/>
      <c r="AF545" s="180"/>
      <c r="AG545" s="180"/>
      <c r="AH545" s="180"/>
      <c r="AI545" s="180"/>
      <c r="AJ545" s="180"/>
      <c r="AK545" s="180"/>
      <c r="AL545" s="180"/>
    </row>
    <row r="546" spans="1:38" s="183" customFormat="1">
      <c r="A546" s="180"/>
      <c r="P546" s="188">
        <f t="shared" si="19"/>
        <v>0</v>
      </c>
      <c r="Q546" s="187"/>
      <c r="T546" s="185"/>
      <c r="U546" s="184"/>
      <c r="X546" s="180"/>
      <c r="Y546" s="180"/>
      <c r="Z546" s="180"/>
      <c r="AA546" s="180"/>
      <c r="AB546" s="180"/>
      <c r="AC546" s="182"/>
      <c r="AD546" s="181"/>
      <c r="AE546" s="180"/>
      <c r="AF546" s="180"/>
      <c r="AG546" s="180"/>
      <c r="AH546" s="180"/>
      <c r="AI546" s="180"/>
      <c r="AJ546" s="180"/>
      <c r="AK546" s="180"/>
      <c r="AL546" s="180"/>
    </row>
    <row r="547" spans="1:38" s="183" customFormat="1">
      <c r="A547" s="180"/>
      <c r="P547" s="188">
        <f t="shared" si="19"/>
        <v>0</v>
      </c>
      <c r="Q547" s="187"/>
      <c r="T547" s="185"/>
      <c r="U547" s="184"/>
      <c r="X547" s="180"/>
      <c r="Y547" s="180"/>
      <c r="Z547" s="180"/>
      <c r="AA547" s="180"/>
      <c r="AB547" s="180"/>
      <c r="AC547" s="182"/>
      <c r="AD547" s="181"/>
      <c r="AE547" s="180"/>
      <c r="AF547" s="180"/>
      <c r="AG547" s="180"/>
      <c r="AH547" s="180"/>
      <c r="AI547" s="180"/>
      <c r="AJ547" s="180"/>
      <c r="AK547" s="180"/>
      <c r="AL547" s="180"/>
    </row>
    <row r="548" spans="1:38" s="183" customFormat="1">
      <c r="A548" s="180"/>
      <c r="P548" s="188">
        <f t="shared" si="19"/>
        <v>0</v>
      </c>
      <c r="Q548" s="187"/>
      <c r="T548" s="185"/>
      <c r="U548" s="184"/>
      <c r="X548" s="180"/>
      <c r="Y548" s="180"/>
      <c r="Z548" s="180"/>
      <c r="AA548" s="180"/>
      <c r="AB548" s="180"/>
      <c r="AC548" s="182"/>
      <c r="AD548" s="181"/>
      <c r="AE548" s="180"/>
      <c r="AF548" s="180"/>
      <c r="AG548" s="180"/>
      <c r="AH548" s="180"/>
      <c r="AI548" s="180"/>
      <c r="AJ548" s="180"/>
      <c r="AK548" s="180"/>
      <c r="AL548" s="180"/>
    </row>
    <row r="549" spans="1:38" s="183" customFormat="1">
      <c r="A549" s="180"/>
      <c r="P549" s="188">
        <f t="shared" si="19"/>
        <v>0</v>
      </c>
      <c r="Q549" s="187"/>
      <c r="T549" s="185"/>
      <c r="U549" s="184"/>
      <c r="X549" s="180"/>
      <c r="Y549" s="180"/>
      <c r="Z549" s="180"/>
      <c r="AA549" s="180"/>
      <c r="AB549" s="180"/>
      <c r="AC549" s="182"/>
      <c r="AD549" s="181"/>
      <c r="AE549" s="180"/>
      <c r="AF549" s="180"/>
      <c r="AG549" s="180"/>
      <c r="AH549" s="180"/>
      <c r="AI549" s="180"/>
      <c r="AJ549" s="180"/>
      <c r="AK549" s="180"/>
      <c r="AL549" s="180"/>
    </row>
    <row r="550" spans="1:38" s="183" customFormat="1">
      <c r="A550" s="180"/>
      <c r="P550" s="188">
        <f t="shared" si="19"/>
        <v>0</v>
      </c>
      <c r="Q550" s="187"/>
      <c r="T550" s="185"/>
      <c r="U550" s="184"/>
      <c r="X550" s="180"/>
      <c r="Y550" s="180"/>
      <c r="Z550" s="180"/>
      <c r="AA550" s="180"/>
      <c r="AB550" s="180"/>
      <c r="AC550" s="182"/>
      <c r="AD550" s="181"/>
      <c r="AE550" s="180"/>
      <c r="AF550" s="180"/>
      <c r="AG550" s="180"/>
      <c r="AH550" s="180"/>
      <c r="AI550" s="180"/>
      <c r="AJ550" s="180"/>
      <c r="AK550" s="180"/>
      <c r="AL550" s="180"/>
    </row>
    <row r="551" spans="1:38" s="183" customFormat="1">
      <c r="A551" s="180"/>
      <c r="P551" s="188">
        <f t="shared" si="19"/>
        <v>0</v>
      </c>
      <c r="Q551" s="187"/>
      <c r="T551" s="185"/>
      <c r="U551" s="184"/>
      <c r="X551" s="180"/>
      <c r="Y551" s="180"/>
      <c r="Z551" s="180"/>
      <c r="AA551" s="180"/>
      <c r="AB551" s="180"/>
      <c r="AC551" s="182"/>
      <c r="AD551" s="181"/>
      <c r="AE551" s="180"/>
      <c r="AF551" s="180"/>
      <c r="AG551" s="180"/>
      <c r="AH551" s="180"/>
      <c r="AI551" s="180"/>
      <c r="AJ551" s="180"/>
      <c r="AK551" s="180"/>
      <c r="AL551" s="180"/>
    </row>
    <row r="552" spans="1:38" s="183" customFormat="1">
      <c r="A552" s="180"/>
      <c r="P552" s="188">
        <f t="shared" si="19"/>
        <v>0</v>
      </c>
      <c r="Q552" s="187"/>
      <c r="T552" s="185"/>
      <c r="U552" s="184"/>
      <c r="X552" s="180"/>
      <c r="Y552" s="180"/>
      <c r="Z552" s="180"/>
      <c r="AA552" s="180"/>
      <c r="AB552" s="180"/>
      <c r="AC552" s="182"/>
      <c r="AD552" s="181"/>
      <c r="AE552" s="180"/>
      <c r="AF552" s="180"/>
      <c r="AG552" s="180"/>
      <c r="AH552" s="180"/>
      <c r="AI552" s="180"/>
      <c r="AJ552" s="180"/>
      <c r="AK552" s="180"/>
      <c r="AL552" s="180"/>
    </row>
    <row r="553" spans="1:38" s="183" customFormat="1">
      <c r="A553" s="180"/>
      <c r="P553" s="188">
        <f t="shared" si="19"/>
        <v>0</v>
      </c>
      <c r="Q553" s="187"/>
      <c r="T553" s="185"/>
      <c r="U553" s="184"/>
      <c r="X553" s="180"/>
      <c r="Y553" s="180"/>
      <c r="Z553" s="180"/>
      <c r="AA553" s="180"/>
      <c r="AB553" s="180"/>
      <c r="AC553" s="182"/>
      <c r="AD553" s="181"/>
      <c r="AE553" s="180"/>
      <c r="AF553" s="180"/>
      <c r="AG553" s="180"/>
      <c r="AH553" s="180"/>
      <c r="AI553" s="180"/>
      <c r="AJ553" s="180"/>
      <c r="AK553" s="180"/>
      <c r="AL553" s="180"/>
    </row>
    <row r="554" spans="1:38" s="183" customFormat="1">
      <c r="A554" s="180"/>
      <c r="P554" s="188">
        <f t="shared" si="19"/>
        <v>0</v>
      </c>
      <c r="Q554" s="187"/>
      <c r="T554" s="185"/>
      <c r="U554" s="184"/>
      <c r="X554" s="180"/>
      <c r="Y554" s="180"/>
      <c r="Z554" s="180"/>
      <c r="AA554" s="180"/>
      <c r="AB554" s="180"/>
      <c r="AC554" s="182"/>
      <c r="AD554" s="181"/>
      <c r="AE554" s="180"/>
      <c r="AF554" s="180"/>
      <c r="AG554" s="180"/>
      <c r="AH554" s="180"/>
      <c r="AI554" s="180"/>
      <c r="AJ554" s="180"/>
      <c r="AK554" s="180"/>
      <c r="AL554" s="180"/>
    </row>
    <row r="555" spans="1:38" s="183" customFormat="1">
      <c r="A555" s="180"/>
      <c r="P555" s="188">
        <f t="shared" si="19"/>
        <v>0</v>
      </c>
      <c r="Q555" s="187"/>
      <c r="T555" s="185"/>
      <c r="U555" s="184"/>
      <c r="X555" s="180"/>
      <c r="Y555" s="180"/>
      <c r="Z555" s="180"/>
      <c r="AA555" s="180"/>
      <c r="AB555" s="180"/>
      <c r="AC555" s="182"/>
      <c r="AD555" s="181"/>
      <c r="AE555" s="180"/>
      <c r="AF555" s="180"/>
      <c r="AG555" s="180"/>
      <c r="AH555" s="180"/>
      <c r="AI555" s="180"/>
      <c r="AJ555" s="180"/>
      <c r="AK555" s="180"/>
      <c r="AL555" s="180"/>
    </row>
    <row r="556" spans="1:38" s="183" customFormat="1">
      <c r="A556" s="180"/>
      <c r="P556" s="188">
        <f t="shared" si="19"/>
        <v>0</v>
      </c>
      <c r="Q556" s="187"/>
      <c r="T556" s="185"/>
      <c r="U556" s="184"/>
      <c r="X556" s="180"/>
      <c r="Y556" s="180"/>
      <c r="Z556" s="180"/>
      <c r="AA556" s="180"/>
      <c r="AB556" s="180"/>
      <c r="AC556" s="182"/>
      <c r="AD556" s="181"/>
      <c r="AE556" s="180"/>
      <c r="AF556" s="180"/>
      <c r="AG556" s="180"/>
      <c r="AH556" s="180"/>
      <c r="AI556" s="180"/>
      <c r="AJ556" s="180"/>
      <c r="AK556" s="180"/>
      <c r="AL556" s="180"/>
    </row>
    <row r="557" spans="1:38" s="183" customFormat="1">
      <c r="A557" s="180"/>
      <c r="P557" s="188">
        <f t="shared" si="19"/>
        <v>0</v>
      </c>
      <c r="Q557" s="187"/>
      <c r="T557" s="185"/>
      <c r="U557" s="184"/>
      <c r="X557" s="180"/>
      <c r="Y557" s="180"/>
      <c r="Z557" s="180"/>
      <c r="AA557" s="180"/>
      <c r="AB557" s="180"/>
      <c r="AC557" s="182"/>
      <c r="AD557" s="181"/>
      <c r="AE557" s="180"/>
      <c r="AF557" s="180"/>
      <c r="AG557" s="180"/>
      <c r="AH557" s="180"/>
      <c r="AI557" s="180"/>
      <c r="AJ557" s="180"/>
      <c r="AK557" s="180"/>
      <c r="AL557" s="180"/>
    </row>
    <row r="558" spans="1:38" s="183" customFormat="1">
      <c r="A558" s="180"/>
      <c r="P558" s="188">
        <f t="shared" si="19"/>
        <v>0</v>
      </c>
      <c r="Q558" s="187"/>
      <c r="T558" s="185"/>
      <c r="U558" s="184"/>
      <c r="X558" s="180"/>
      <c r="Y558" s="180"/>
      <c r="Z558" s="180"/>
      <c r="AA558" s="180"/>
      <c r="AB558" s="180"/>
      <c r="AC558" s="182"/>
      <c r="AD558" s="181"/>
      <c r="AE558" s="180"/>
      <c r="AF558" s="180"/>
      <c r="AG558" s="180"/>
      <c r="AH558" s="180"/>
      <c r="AI558" s="180"/>
      <c r="AJ558" s="180"/>
      <c r="AK558" s="180"/>
      <c r="AL558" s="180"/>
    </row>
    <row r="559" spans="1:38" s="183" customFormat="1">
      <c r="A559" s="180"/>
      <c r="P559" s="188">
        <f t="shared" si="19"/>
        <v>0</v>
      </c>
      <c r="Q559" s="187"/>
      <c r="T559" s="185"/>
      <c r="U559" s="184"/>
      <c r="X559" s="180"/>
      <c r="Y559" s="180"/>
      <c r="Z559" s="180"/>
      <c r="AA559" s="180"/>
      <c r="AB559" s="180"/>
      <c r="AC559" s="182"/>
      <c r="AD559" s="181"/>
      <c r="AE559" s="180"/>
      <c r="AF559" s="180"/>
      <c r="AG559" s="180"/>
      <c r="AH559" s="180"/>
      <c r="AI559" s="180"/>
      <c r="AJ559" s="180"/>
      <c r="AK559" s="180"/>
      <c r="AL559" s="180"/>
    </row>
    <row r="560" spans="1:38" s="183" customFormat="1">
      <c r="A560" s="180"/>
      <c r="P560" s="188">
        <f t="shared" si="19"/>
        <v>0</v>
      </c>
      <c r="Q560" s="187"/>
      <c r="T560" s="185"/>
      <c r="U560" s="184"/>
      <c r="X560" s="180"/>
      <c r="Y560" s="180"/>
      <c r="Z560" s="180"/>
      <c r="AA560" s="180"/>
      <c r="AB560" s="180"/>
      <c r="AC560" s="182"/>
      <c r="AD560" s="181"/>
      <c r="AE560" s="180"/>
      <c r="AF560" s="180"/>
      <c r="AG560" s="180"/>
      <c r="AH560" s="180"/>
      <c r="AI560" s="180"/>
      <c r="AJ560" s="180"/>
      <c r="AK560" s="180"/>
      <c r="AL560" s="180"/>
    </row>
    <row r="561" spans="1:38" s="183" customFormat="1">
      <c r="A561" s="180"/>
      <c r="P561" s="188">
        <f t="shared" si="19"/>
        <v>0</v>
      </c>
      <c r="Q561" s="187"/>
      <c r="T561" s="185"/>
      <c r="U561" s="184"/>
      <c r="X561" s="180"/>
      <c r="Y561" s="180"/>
      <c r="Z561" s="180"/>
      <c r="AA561" s="180"/>
      <c r="AB561" s="180"/>
      <c r="AC561" s="182"/>
      <c r="AD561" s="181"/>
      <c r="AE561" s="180"/>
      <c r="AF561" s="180"/>
      <c r="AG561" s="180"/>
      <c r="AH561" s="180"/>
      <c r="AI561" s="180"/>
      <c r="AJ561" s="180"/>
      <c r="AK561" s="180"/>
      <c r="AL561" s="180"/>
    </row>
    <row r="562" spans="1:38" s="183" customFormat="1">
      <c r="A562" s="180"/>
      <c r="P562" s="188">
        <f t="shared" si="19"/>
        <v>0</v>
      </c>
      <c r="Q562" s="187"/>
      <c r="T562" s="185"/>
      <c r="U562" s="184"/>
      <c r="X562" s="180"/>
      <c r="Y562" s="180"/>
      <c r="Z562" s="180"/>
      <c r="AA562" s="180"/>
      <c r="AB562" s="180"/>
      <c r="AC562" s="182"/>
      <c r="AD562" s="181"/>
      <c r="AE562" s="180"/>
      <c r="AF562" s="180"/>
      <c r="AG562" s="180"/>
      <c r="AH562" s="180"/>
      <c r="AI562" s="180"/>
      <c r="AJ562" s="180"/>
      <c r="AK562" s="180"/>
      <c r="AL562" s="180"/>
    </row>
    <row r="563" spans="1:38" s="183" customFormat="1">
      <c r="A563" s="180"/>
      <c r="P563" s="188">
        <f t="shared" si="19"/>
        <v>0</v>
      </c>
      <c r="Q563" s="187"/>
      <c r="T563" s="185"/>
      <c r="U563" s="184"/>
      <c r="X563" s="180"/>
      <c r="Y563" s="180"/>
      <c r="Z563" s="180"/>
      <c r="AA563" s="180"/>
      <c r="AB563" s="180"/>
      <c r="AC563" s="182"/>
      <c r="AD563" s="181"/>
      <c r="AE563" s="180"/>
      <c r="AF563" s="180"/>
      <c r="AG563" s="180"/>
      <c r="AH563" s="180"/>
      <c r="AI563" s="180"/>
      <c r="AJ563" s="180"/>
      <c r="AK563" s="180"/>
      <c r="AL563" s="180"/>
    </row>
    <row r="564" spans="1:38" s="183" customFormat="1">
      <c r="A564" s="180"/>
      <c r="P564" s="188">
        <f t="shared" si="19"/>
        <v>0</v>
      </c>
      <c r="Q564" s="187"/>
      <c r="T564" s="185"/>
      <c r="U564" s="184"/>
      <c r="X564" s="180"/>
      <c r="Y564" s="180"/>
      <c r="Z564" s="180"/>
      <c r="AA564" s="180"/>
      <c r="AB564" s="180"/>
      <c r="AC564" s="182"/>
      <c r="AD564" s="181"/>
      <c r="AE564" s="180"/>
      <c r="AF564" s="180"/>
      <c r="AG564" s="180"/>
      <c r="AH564" s="180"/>
      <c r="AI564" s="180"/>
      <c r="AJ564" s="180"/>
      <c r="AK564" s="180"/>
      <c r="AL564" s="180"/>
    </row>
    <row r="565" spans="1:38" s="183" customFormat="1">
      <c r="A565" s="180"/>
      <c r="P565" s="188">
        <f t="shared" si="19"/>
        <v>0</v>
      </c>
      <c r="Q565" s="187"/>
      <c r="T565" s="185"/>
      <c r="U565" s="184"/>
      <c r="X565" s="180"/>
      <c r="Y565" s="180"/>
      <c r="Z565" s="180"/>
      <c r="AA565" s="180"/>
      <c r="AB565" s="180"/>
      <c r="AC565" s="182"/>
      <c r="AD565" s="181"/>
      <c r="AE565" s="180"/>
      <c r="AF565" s="180"/>
      <c r="AG565" s="180"/>
      <c r="AH565" s="180"/>
      <c r="AI565" s="180"/>
      <c r="AJ565" s="180"/>
      <c r="AK565" s="180"/>
      <c r="AL565" s="180"/>
    </row>
    <row r="566" spans="1:38" s="183" customFormat="1">
      <c r="A566" s="180"/>
      <c r="P566" s="188">
        <f t="shared" si="19"/>
        <v>0</v>
      </c>
      <c r="Q566" s="187"/>
      <c r="T566" s="185"/>
      <c r="U566" s="184"/>
      <c r="X566" s="180"/>
      <c r="Y566" s="180"/>
      <c r="Z566" s="180"/>
      <c r="AA566" s="180"/>
      <c r="AB566" s="180"/>
      <c r="AC566" s="182"/>
      <c r="AD566" s="181"/>
      <c r="AE566" s="180"/>
      <c r="AF566" s="180"/>
      <c r="AG566" s="180"/>
      <c r="AH566" s="180"/>
      <c r="AI566" s="180"/>
      <c r="AJ566" s="180"/>
      <c r="AK566" s="180"/>
      <c r="AL566" s="180"/>
    </row>
    <row r="567" spans="1:38" s="183" customFormat="1">
      <c r="A567" s="180"/>
      <c r="P567" s="188">
        <f t="shared" si="19"/>
        <v>0</v>
      </c>
      <c r="Q567" s="187"/>
      <c r="T567" s="185"/>
      <c r="U567" s="184"/>
      <c r="X567" s="180"/>
      <c r="Y567" s="180"/>
      <c r="Z567" s="180"/>
      <c r="AA567" s="180"/>
      <c r="AB567" s="180"/>
      <c r="AC567" s="182"/>
      <c r="AD567" s="181"/>
      <c r="AE567" s="180"/>
      <c r="AF567" s="180"/>
      <c r="AG567" s="180"/>
      <c r="AH567" s="180"/>
      <c r="AI567" s="180"/>
      <c r="AJ567" s="180"/>
      <c r="AK567" s="180"/>
      <c r="AL567" s="180"/>
    </row>
    <row r="568" spans="1:38" s="183" customFormat="1">
      <c r="A568" s="180"/>
      <c r="P568" s="188">
        <f t="shared" si="19"/>
        <v>0</v>
      </c>
      <c r="Q568" s="187"/>
      <c r="T568" s="185"/>
      <c r="U568" s="184"/>
      <c r="X568" s="180"/>
      <c r="Y568" s="180"/>
      <c r="Z568" s="180"/>
      <c r="AA568" s="180"/>
      <c r="AB568" s="180"/>
      <c r="AC568" s="182"/>
      <c r="AD568" s="181"/>
      <c r="AE568" s="180"/>
      <c r="AF568" s="180"/>
      <c r="AG568" s="180"/>
      <c r="AH568" s="180"/>
      <c r="AI568" s="180"/>
      <c r="AJ568" s="180"/>
      <c r="AK568" s="180"/>
      <c r="AL568" s="180"/>
    </row>
    <row r="569" spans="1:38" s="183" customFormat="1">
      <c r="A569" s="180"/>
      <c r="P569" s="188">
        <f t="shared" si="19"/>
        <v>0</v>
      </c>
      <c r="Q569" s="187"/>
      <c r="T569" s="185"/>
      <c r="U569" s="184"/>
      <c r="X569" s="180"/>
      <c r="Y569" s="180"/>
      <c r="Z569" s="180"/>
      <c r="AA569" s="180"/>
      <c r="AB569" s="180"/>
      <c r="AC569" s="182"/>
      <c r="AD569" s="181"/>
      <c r="AE569" s="180"/>
      <c r="AF569" s="180"/>
      <c r="AG569" s="180"/>
      <c r="AH569" s="180"/>
      <c r="AI569" s="180"/>
      <c r="AJ569" s="180"/>
      <c r="AK569" s="180"/>
      <c r="AL569" s="180"/>
    </row>
    <row r="570" spans="1:38" s="183" customFormat="1">
      <c r="A570" s="180"/>
      <c r="P570" s="188">
        <f t="shared" si="19"/>
        <v>0</v>
      </c>
      <c r="Q570" s="187"/>
      <c r="T570" s="185"/>
      <c r="U570" s="184"/>
      <c r="X570" s="180"/>
      <c r="Y570" s="180"/>
      <c r="Z570" s="180"/>
      <c r="AA570" s="180"/>
      <c r="AB570" s="180"/>
      <c r="AC570" s="182"/>
      <c r="AD570" s="181"/>
      <c r="AE570" s="180"/>
      <c r="AF570" s="180"/>
      <c r="AG570" s="180"/>
      <c r="AH570" s="180"/>
      <c r="AI570" s="180"/>
      <c r="AJ570" s="180"/>
      <c r="AK570" s="180"/>
      <c r="AL570" s="180"/>
    </row>
  </sheetData>
  <sheetProtection algorithmName="SHA-512" hashValue="WfsabveCrQVBcmITO/Y3aBC9RNjkZEmahltw65BWO5ShAA3X7zIu0wUSKhPSeaKv7rLO20t68aJMCIvHcgtvQA==" saltValue="vWdMyIdrtH+vAf00Q2oq3w==" spinCount="100000" sheet="1" objects="1" scenarios="1"/>
  <mergeCells count="26">
    <mergeCell ref="S7:S8"/>
    <mergeCell ref="B2:AB4"/>
    <mergeCell ref="B7:C8"/>
    <mergeCell ref="D7:D8"/>
    <mergeCell ref="E7:E8"/>
    <mergeCell ref="F7:F8"/>
    <mergeCell ref="G7:G8"/>
    <mergeCell ref="H7:H8"/>
    <mergeCell ref="I7:I8"/>
    <mergeCell ref="J7:J8"/>
    <mergeCell ref="K7:M7"/>
    <mergeCell ref="N7:N8"/>
    <mergeCell ref="O7:O8"/>
    <mergeCell ref="P7:P8"/>
    <mergeCell ref="Q7:Q8"/>
    <mergeCell ref="R7:R8"/>
    <mergeCell ref="AA7:AA8"/>
    <mergeCell ref="AB7:AB8"/>
    <mergeCell ref="AC7:AC8"/>
    <mergeCell ref="AD7:AD8"/>
    <mergeCell ref="T7:T8"/>
    <mergeCell ref="U7:U8"/>
    <mergeCell ref="V7:W7"/>
    <mergeCell ref="X7:X8"/>
    <mergeCell ref="Y7:Y8"/>
    <mergeCell ref="Z7:Z8"/>
  </mergeCells>
  <phoneticPr fontId="2" type="noConversion"/>
  <conditionalFormatting sqref="N3">
    <cfRule type="cellIs" dxfId="8" priority="5" operator="equal">
      <formula>0</formula>
    </cfRule>
  </conditionalFormatting>
  <conditionalFormatting sqref="N9:N60">
    <cfRule type="cellIs" dxfId="7" priority="3" operator="equal">
      <formula>0</formula>
    </cfRule>
  </conditionalFormatting>
  <conditionalFormatting sqref="Y9:Y60">
    <cfRule type="expression" dxfId="6" priority="1">
      <formula>$N9=0</formula>
    </cfRule>
    <cfRule type="expression" dxfId="5" priority="2">
      <formula>$N9=0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C7B3-9025-4581-86C8-3229C113A8ED}">
  <sheetPr>
    <tabColor theme="3" tint="0.59999389629810485"/>
  </sheetPr>
  <dimension ref="A1:V223"/>
  <sheetViews>
    <sheetView showGridLines="0" view="pageBreakPreview" topLeftCell="B17" zoomScale="70" zoomScaleNormal="85" zoomScaleSheetLayoutView="70" workbookViewId="0">
      <selection activeCell="H30" sqref="H30"/>
    </sheetView>
  </sheetViews>
  <sheetFormatPr defaultColWidth="2.68359375" defaultRowHeight="13.5" customHeight="1"/>
  <cols>
    <col min="1" max="3" width="2.41796875" style="57" customWidth="1"/>
    <col min="4" max="5" width="5.7890625" style="57" customWidth="1"/>
    <col min="6" max="6" width="30.20703125" style="57" customWidth="1"/>
    <col min="7" max="7" width="28.7890625" style="57" customWidth="1"/>
    <col min="8" max="8" width="60.89453125" style="57" bestFit="1" customWidth="1"/>
    <col min="9" max="9" width="5" style="57" customWidth="1"/>
    <col min="10" max="10" width="4.1015625" style="57" customWidth="1"/>
    <col min="11" max="11" width="7" style="57" customWidth="1"/>
    <col min="12" max="12" width="41" style="57" customWidth="1"/>
    <col min="13" max="13" width="9.7890625" style="58" customWidth="1"/>
    <col min="14" max="15" width="11.7890625" style="58" customWidth="1"/>
    <col min="16" max="16" width="12.7890625" style="57" customWidth="1"/>
    <col min="17" max="17" width="9.7890625" style="57" customWidth="1"/>
    <col min="18" max="18" width="20.7890625" style="57" customWidth="1"/>
    <col min="19" max="19" width="2.68359375" style="57" customWidth="1"/>
    <col min="20" max="20" width="6" style="57" customWidth="1"/>
    <col min="21" max="22" width="2.68359375" style="57"/>
    <col min="23" max="23" width="19.20703125" style="57" customWidth="1"/>
    <col min="24" max="16384" width="2.68359375" style="57"/>
  </cols>
  <sheetData>
    <row r="1" spans="1:22" ht="5.25" customHeight="1"/>
    <row r="2" spans="1:22" ht="21" customHeight="1" thickBot="1">
      <c r="A2" s="57" t="s">
        <v>320</v>
      </c>
    </row>
    <row r="3" spans="1:22" ht="3.75" customHeight="1" thickTop="1" thickBo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60"/>
      <c r="N3" s="60"/>
      <c r="O3" s="60"/>
      <c r="P3" s="59"/>
      <c r="Q3" s="59"/>
      <c r="R3" s="59"/>
      <c r="S3" s="59"/>
      <c r="T3" s="59"/>
      <c r="U3" s="59"/>
      <c r="V3" s="59"/>
    </row>
    <row r="4" spans="1:22" ht="20.55" customHeight="1" thickTop="1">
      <c r="C4" s="57" t="s">
        <v>315</v>
      </c>
      <c r="H4" s="427" t="s">
        <v>327</v>
      </c>
      <c r="I4" s="427"/>
      <c r="J4" s="427"/>
      <c r="K4" s="427"/>
      <c r="L4" s="427"/>
      <c r="M4" s="427"/>
      <c r="R4" s="58" t="s">
        <v>53</v>
      </c>
    </row>
    <row r="5" spans="1:22" ht="20.55" customHeight="1">
      <c r="H5" s="428"/>
      <c r="I5" s="428"/>
      <c r="J5" s="428"/>
      <c r="K5" s="428"/>
      <c r="L5" s="428"/>
      <c r="M5" s="428"/>
      <c r="R5" s="58" t="s">
        <v>54</v>
      </c>
    </row>
    <row r="6" spans="1:22" ht="19.95" customHeight="1" thickBot="1">
      <c r="D6" s="61" t="s">
        <v>395</v>
      </c>
      <c r="M6" s="57"/>
      <c r="N6" s="57"/>
      <c r="O6" s="57"/>
      <c r="R6" s="58" t="s">
        <v>55</v>
      </c>
    </row>
    <row r="7" spans="1:22" ht="19.95" customHeight="1">
      <c r="D7" s="415" t="s">
        <v>56</v>
      </c>
      <c r="E7" s="429" t="s">
        <v>72</v>
      </c>
      <c r="F7" s="417" t="s">
        <v>73</v>
      </c>
      <c r="G7" s="417" t="s">
        <v>74</v>
      </c>
      <c r="H7" s="417" t="s">
        <v>75</v>
      </c>
      <c r="I7" s="62"/>
      <c r="J7" s="62"/>
      <c r="K7" s="62"/>
      <c r="L7" s="398" t="s">
        <v>348</v>
      </c>
      <c r="M7" s="398"/>
      <c r="N7" s="398"/>
      <c r="O7" s="398"/>
      <c r="P7" s="398" t="s">
        <v>349</v>
      </c>
      <c r="Q7" s="398"/>
      <c r="R7" s="399"/>
    </row>
    <row r="8" spans="1:22" ht="20.100000000000001" customHeight="1" thickBot="1">
      <c r="D8" s="416"/>
      <c r="E8" s="402"/>
      <c r="F8" s="418"/>
      <c r="G8" s="418"/>
      <c r="H8" s="418"/>
      <c r="I8" s="63"/>
      <c r="J8" s="63"/>
      <c r="K8" s="63"/>
      <c r="L8" s="64" t="s">
        <v>76</v>
      </c>
      <c r="M8" s="65" t="s">
        <v>77</v>
      </c>
      <c r="N8" s="400" t="s">
        <v>78</v>
      </c>
      <c r="O8" s="400"/>
      <c r="P8" s="64" t="s">
        <v>76</v>
      </c>
      <c r="Q8" s="65" t="s">
        <v>77</v>
      </c>
      <c r="R8" s="66" t="s">
        <v>79</v>
      </c>
    </row>
    <row r="9" spans="1:22" ht="17.55" customHeight="1">
      <c r="D9" s="419">
        <v>1</v>
      </c>
      <c r="E9" s="406" t="s">
        <v>328</v>
      </c>
      <c r="F9" s="43" t="s">
        <v>329</v>
      </c>
      <c r="G9" s="43" t="s">
        <v>332</v>
      </c>
      <c r="H9" s="167" t="s">
        <v>334</v>
      </c>
      <c r="I9" s="43"/>
      <c r="J9" s="43"/>
      <c r="K9" s="52"/>
      <c r="L9" s="40"/>
      <c r="M9" s="44"/>
      <c r="N9" s="424"/>
      <c r="O9" s="424"/>
      <c r="P9" s="44"/>
      <c r="Q9" s="44"/>
      <c r="R9" s="45"/>
    </row>
    <row r="10" spans="1:22" ht="20.100000000000001" customHeight="1">
      <c r="D10" s="420"/>
      <c r="E10" s="422"/>
      <c r="F10" s="53" t="s">
        <v>330</v>
      </c>
      <c r="G10" s="53" t="s">
        <v>333</v>
      </c>
      <c r="H10" s="168" t="s">
        <v>335</v>
      </c>
      <c r="I10" s="54"/>
      <c r="J10" s="42"/>
      <c r="K10" s="46"/>
      <c r="L10" s="47"/>
      <c r="M10" s="32"/>
      <c r="N10" s="425"/>
      <c r="O10" s="425"/>
      <c r="P10" s="32"/>
      <c r="Q10" s="32"/>
      <c r="R10" s="48"/>
    </row>
    <row r="11" spans="1:22" ht="20.100000000000001" customHeight="1">
      <c r="D11" s="420"/>
      <c r="E11" s="422"/>
      <c r="F11" s="53" t="s">
        <v>331</v>
      </c>
      <c r="G11" s="53" t="s">
        <v>333</v>
      </c>
      <c r="H11" s="54" t="s">
        <v>337</v>
      </c>
      <c r="I11" s="54"/>
      <c r="J11" s="42"/>
      <c r="K11" s="46"/>
      <c r="L11" s="47"/>
      <c r="M11" s="32"/>
      <c r="N11" s="425"/>
      <c r="O11" s="425"/>
      <c r="P11" s="32"/>
      <c r="Q11" s="32"/>
      <c r="R11" s="48"/>
    </row>
    <row r="12" spans="1:22" ht="20.100000000000001" customHeight="1">
      <c r="D12" s="420"/>
      <c r="E12" s="422"/>
      <c r="F12" s="21"/>
      <c r="G12" s="21"/>
      <c r="H12" s="168"/>
      <c r="I12" s="42"/>
      <c r="J12" s="42"/>
      <c r="K12" s="46"/>
      <c r="L12" s="47"/>
      <c r="M12" s="32"/>
      <c r="N12" s="425"/>
      <c r="O12" s="425"/>
      <c r="P12" s="32"/>
      <c r="Q12" s="32"/>
      <c r="R12" s="48"/>
    </row>
    <row r="13" spans="1:22" ht="20.100000000000001" customHeight="1">
      <c r="D13" s="420"/>
      <c r="E13" s="422"/>
      <c r="F13" s="21"/>
      <c r="G13" s="21"/>
      <c r="H13" s="169"/>
      <c r="I13" s="42"/>
      <c r="J13" s="42"/>
      <c r="K13" s="46"/>
      <c r="L13" s="47"/>
      <c r="M13" s="32"/>
      <c r="N13" s="425"/>
      <c r="O13" s="425"/>
      <c r="P13" s="32"/>
      <c r="Q13" s="32"/>
      <c r="R13" s="48"/>
    </row>
    <row r="14" spans="1:22" ht="20.100000000000001" customHeight="1">
      <c r="D14" s="420"/>
      <c r="E14" s="422"/>
      <c r="F14" s="42"/>
      <c r="G14" s="42"/>
      <c r="H14" s="170"/>
      <c r="I14" s="42"/>
      <c r="J14" s="42"/>
      <c r="K14" s="46"/>
      <c r="L14" s="47"/>
      <c r="M14" s="32"/>
      <c r="N14" s="425"/>
      <c r="O14" s="425"/>
      <c r="P14" s="32"/>
      <c r="Q14" s="32"/>
      <c r="R14" s="48"/>
    </row>
    <row r="15" spans="1:22" ht="20.100000000000001" customHeight="1">
      <c r="D15" s="420"/>
      <c r="E15" s="422"/>
      <c r="F15" s="42"/>
      <c r="G15" s="42"/>
      <c r="H15" s="42"/>
      <c r="I15" s="42"/>
      <c r="J15" s="42"/>
      <c r="K15" s="46"/>
      <c r="L15" s="47"/>
      <c r="M15" s="32"/>
      <c r="N15" s="425"/>
      <c r="O15" s="425"/>
      <c r="P15" s="32"/>
      <c r="Q15" s="32"/>
      <c r="R15" s="48"/>
    </row>
    <row r="16" spans="1:22" ht="20.100000000000001" customHeight="1" thickBot="1">
      <c r="D16" s="421"/>
      <c r="E16" s="423"/>
      <c r="F16" s="19"/>
      <c r="G16" s="19"/>
      <c r="H16" s="19"/>
      <c r="I16" s="19"/>
      <c r="J16" s="19"/>
      <c r="K16" s="55"/>
      <c r="L16" s="56"/>
      <c r="M16" s="26"/>
      <c r="N16" s="426"/>
      <c r="O16" s="426"/>
      <c r="P16" s="26"/>
      <c r="Q16" s="26"/>
      <c r="R16" s="51"/>
    </row>
    <row r="17" spans="4:19" ht="19.95" customHeight="1">
      <c r="D17" s="415" t="s">
        <v>56</v>
      </c>
      <c r="E17" s="417" t="s">
        <v>72</v>
      </c>
      <c r="F17" s="417" t="s">
        <v>73</v>
      </c>
      <c r="G17" s="417" t="s">
        <v>80</v>
      </c>
      <c r="H17" s="417" t="s">
        <v>81</v>
      </c>
      <c r="I17" s="62"/>
      <c r="J17" s="62"/>
      <c r="K17" s="67"/>
      <c r="L17" s="397" t="s">
        <v>348</v>
      </c>
      <c r="M17" s="398"/>
      <c r="N17" s="398"/>
      <c r="O17" s="398"/>
      <c r="P17" s="398" t="s">
        <v>349</v>
      </c>
      <c r="Q17" s="398"/>
      <c r="R17" s="399"/>
    </row>
    <row r="18" spans="4:19" ht="20.100000000000001" customHeight="1" thickBot="1">
      <c r="D18" s="416"/>
      <c r="E18" s="418"/>
      <c r="F18" s="418"/>
      <c r="G18" s="418"/>
      <c r="H18" s="418"/>
      <c r="I18" s="63"/>
      <c r="J18" s="63"/>
      <c r="K18" s="68"/>
      <c r="L18" s="69" t="s">
        <v>76</v>
      </c>
      <c r="M18" s="65" t="s">
        <v>77</v>
      </c>
      <c r="N18" s="400" t="s">
        <v>78</v>
      </c>
      <c r="O18" s="400"/>
      <c r="P18" s="64" t="s">
        <v>76</v>
      </c>
      <c r="Q18" s="65" t="s">
        <v>77</v>
      </c>
      <c r="R18" s="66" t="s">
        <v>79</v>
      </c>
    </row>
    <row r="19" spans="4:19" ht="20.100000000000001" customHeight="1">
      <c r="D19" s="404" t="s">
        <v>66</v>
      </c>
      <c r="E19" s="406" t="s">
        <v>67</v>
      </c>
      <c r="F19" s="453" t="s">
        <v>340</v>
      </c>
      <c r="G19" s="140" t="s">
        <v>343</v>
      </c>
      <c r="H19" s="94" t="s">
        <v>729</v>
      </c>
      <c r="I19" s="140"/>
      <c r="J19" s="140"/>
      <c r="K19" s="158"/>
      <c r="L19" s="159"/>
      <c r="M19" s="148"/>
      <c r="N19" s="462"/>
      <c r="O19" s="462"/>
      <c r="P19" s="148"/>
      <c r="Q19" s="148"/>
      <c r="R19" s="45"/>
    </row>
    <row r="20" spans="4:19" ht="20.100000000000001" customHeight="1">
      <c r="D20" s="405"/>
      <c r="E20" s="407"/>
      <c r="F20" s="540"/>
      <c r="G20" s="16" t="s">
        <v>344</v>
      </c>
      <c r="H20" s="85" t="s">
        <v>726</v>
      </c>
      <c r="I20" s="16"/>
      <c r="J20" s="16"/>
      <c r="K20" s="46"/>
      <c r="L20" s="47"/>
      <c r="M20" s="49"/>
      <c r="N20" s="403"/>
      <c r="O20" s="403"/>
      <c r="P20" s="49"/>
      <c r="Q20" s="49"/>
      <c r="R20" s="48"/>
    </row>
    <row r="21" spans="4:19" ht="20.100000000000001" customHeight="1">
      <c r="D21" s="405"/>
      <c r="E21" s="408"/>
      <c r="F21" s="16"/>
      <c r="G21" s="22" t="s">
        <v>718</v>
      </c>
      <c r="H21" s="595"/>
      <c r="I21" s="98"/>
      <c r="J21" s="16"/>
      <c r="K21" s="16"/>
      <c r="L21" s="16"/>
      <c r="M21" s="90"/>
      <c r="N21" s="49"/>
      <c r="O21" s="347"/>
      <c r="P21" s="347"/>
      <c r="Q21" s="49"/>
      <c r="R21" s="49"/>
      <c r="S21" s="48"/>
    </row>
    <row r="22" spans="4:19" ht="20.100000000000001" customHeight="1">
      <c r="D22" s="405"/>
      <c r="E22" s="407"/>
      <c r="F22" s="403" t="s">
        <v>394</v>
      </c>
      <c r="G22" s="16" t="s">
        <v>343</v>
      </c>
      <c r="H22" s="348" t="s">
        <v>736</v>
      </c>
      <c r="I22" s="16"/>
      <c r="J22" s="16"/>
      <c r="K22" s="46"/>
      <c r="L22" s="160"/>
      <c r="M22" s="49"/>
      <c r="N22" s="403"/>
      <c r="O22" s="403"/>
      <c r="P22" s="49"/>
      <c r="Q22" s="49"/>
      <c r="R22" s="48"/>
    </row>
    <row r="23" spans="4:19" ht="20.100000000000001" customHeight="1">
      <c r="D23" s="405"/>
      <c r="E23" s="407"/>
      <c r="F23" s="403"/>
      <c r="G23" s="16" t="s">
        <v>344</v>
      </c>
      <c r="H23" s="595" t="s">
        <v>737</v>
      </c>
      <c r="I23" s="16"/>
      <c r="J23" s="16"/>
      <c r="K23" s="46"/>
      <c r="L23" s="47"/>
      <c r="M23" s="49"/>
      <c r="N23" s="403"/>
      <c r="O23" s="403"/>
      <c r="P23" s="49"/>
      <c r="Q23" s="49"/>
      <c r="R23" s="48"/>
    </row>
    <row r="24" spans="4:19" ht="20.100000000000001" customHeight="1">
      <c r="D24" s="405"/>
      <c r="E24" s="407"/>
      <c r="F24" s="403"/>
      <c r="G24" s="16" t="s">
        <v>345</v>
      </c>
      <c r="H24" s="595"/>
      <c r="I24" s="16"/>
      <c r="J24" s="16"/>
      <c r="K24" s="46"/>
      <c r="L24" s="47"/>
      <c r="M24" s="49"/>
      <c r="N24" s="403"/>
      <c r="O24" s="403"/>
      <c r="P24" s="49"/>
      <c r="Q24" s="49"/>
      <c r="R24" s="48"/>
    </row>
    <row r="25" spans="4:19" ht="20.100000000000001" customHeight="1">
      <c r="D25" s="405"/>
      <c r="E25" s="407"/>
      <c r="F25" s="403"/>
      <c r="G25" s="16" t="s">
        <v>346</v>
      </c>
      <c r="H25" s="348"/>
      <c r="I25" s="16"/>
      <c r="J25" s="16"/>
      <c r="K25" s="46"/>
      <c r="M25" s="49"/>
      <c r="N25" s="403"/>
      <c r="O25" s="403"/>
      <c r="P25" s="49"/>
      <c r="Q25" s="49"/>
      <c r="R25" s="48"/>
    </row>
    <row r="26" spans="4:19" ht="20.100000000000001" customHeight="1">
      <c r="D26" s="405"/>
      <c r="E26" s="407"/>
      <c r="F26" s="450" t="s">
        <v>347</v>
      </c>
      <c r="G26" s="450" t="s">
        <v>679</v>
      </c>
      <c r="H26" s="348" t="s">
        <v>676</v>
      </c>
      <c r="I26" s="596">
        <v>33</v>
      </c>
      <c r="J26" s="16"/>
      <c r="K26" s="46"/>
      <c r="L26" s="160"/>
      <c r="M26" s="49"/>
      <c r="N26" s="403"/>
      <c r="O26" s="403"/>
      <c r="P26" s="49"/>
      <c r="Q26" s="49"/>
      <c r="R26" s="48"/>
    </row>
    <row r="27" spans="4:19" ht="20.100000000000001" customHeight="1">
      <c r="D27" s="405"/>
      <c r="E27" s="407"/>
      <c r="F27" s="451"/>
      <c r="G27" s="451"/>
      <c r="H27" s="348" t="s">
        <v>677</v>
      </c>
      <c r="I27" s="596">
        <v>34</v>
      </c>
      <c r="J27" s="16"/>
      <c r="K27" s="46"/>
      <c r="L27" s="160"/>
      <c r="M27" s="49"/>
      <c r="N27" s="403"/>
      <c r="O27" s="403"/>
      <c r="P27" s="49"/>
      <c r="Q27" s="49"/>
      <c r="R27" s="48"/>
    </row>
    <row r="28" spans="4:19" ht="20.100000000000001" customHeight="1">
      <c r="D28" s="405"/>
      <c r="E28" s="407"/>
      <c r="F28" s="451"/>
      <c r="G28" s="451"/>
      <c r="H28" s="348" t="s">
        <v>152</v>
      </c>
      <c r="I28" s="596">
        <v>35</v>
      </c>
      <c r="J28" s="16"/>
      <c r="K28" s="46"/>
      <c r="L28" s="160"/>
      <c r="M28" s="49"/>
      <c r="N28" s="403"/>
      <c r="O28" s="403"/>
      <c r="P28" s="49"/>
      <c r="Q28" s="49"/>
      <c r="R28" s="48"/>
    </row>
    <row r="29" spans="4:19" ht="20.100000000000001" customHeight="1">
      <c r="D29" s="405"/>
      <c r="E29" s="407"/>
      <c r="F29" s="451"/>
      <c r="G29" s="451"/>
      <c r="H29" s="348" t="s">
        <v>191</v>
      </c>
      <c r="I29" s="596">
        <v>36</v>
      </c>
      <c r="J29" s="16"/>
      <c r="K29" s="46"/>
      <c r="L29" s="160"/>
      <c r="M29" s="49"/>
      <c r="N29" s="403"/>
      <c r="O29" s="403"/>
      <c r="P29" s="49"/>
      <c r="Q29" s="49"/>
      <c r="R29" s="48"/>
    </row>
    <row r="30" spans="4:19" ht="20.100000000000001" customHeight="1">
      <c r="D30" s="405"/>
      <c r="E30" s="407"/>
      <c r="F30" s="451"/>
      <c r="G30" s="451"/>
      <c r="H30" s="348" t="s">
        <v>192</v>
      </c>
      <c r="I30" s="596">
        <v>37</v>
      </c>
      <c r="J30" s="16"/>
      <c r="K30" s="46"/>
      <c r="L30" s="160"/>
      <c r="M30" s="49"/>
      <c r="N30" s="403"/>
      <c r="O30" s="403"/>
      <c r="P30" s="49"/>
      <c r="Q30" s="49"/>
      <c r="R30" s="48"/>
    </row>
    <row r="31" spans="4:19" ht="20.100000000000001" customHeight="1">
      <c r="D31" s="405"/>
      <c r="E31" s="407"/>
      <c r="F31" s="451"/>
      <c r="G31" s="451"/>
      <c r="H31" s="348" t="s">
        <v>706</v>
      </c>
      <c r="I31" s="596">
        <v>38</v>
      </c>
      <c r="J31" s="16"/>
      <c r="K31" s="46"/>
      <c r="L31" s="160"/>
      <c r="M31" s="49"/>
      <c r="N31" s="403"/>
      <c r="O31" s="403"/>
      <c r="P31" s="49"/>
      <c r="Q31" s="49"/>
      <c r="R31" s="48"/>
    </row>
    <row r="32" spans="4:19" ht="20.100000000000001" customHeight="1">
      <c r="D32" s="405"/>
      <c r="E32" s="407"/>
      <c r="F32" s="451"/>
      <c r="G32" s="451"/>
      <c r="H32" s="348" t="s">
        <v>707</v>
      </c>
      <c r="I32" s="596">
        <v>39</v>
      </c>
      <c r="J32" s="16"/>
      <c r="K32" s="46"/>
      <c r="L32" s="160"/>
      <c r="M32" s="49"/>
      <c r="N32" s="403"/>
      <c r="O32" s="403"/>
      <c r="P32" s="49"/>
      <c r="Q32" s="49"/>
      <c r="R32" s="48"/>
    </row>
    <row r="33" spans="4:18" ht="20.100000000000001" customHeight="1">
      <c r="D33" s="405"/>
      <c r="E33" s="407"/>
      <c r="F33" s="451"/>
      <c r="G33" s="451"/>
      <c r="H33" s="348" t="s">
        <v>708</v>
      </c>
      <c r="I33" s="596">
        <v>40</v>
      </c>
      <c r="J33" s="16"/>
      <c r="K33" s="46"/>
      <c r="L33" s="160"/>
      <c r="M33" s="49"/>
      <c r="N33" s="403"/>
      <c r="O33" s="403"/>
      <c r="P33" s="49"/>
      <c r="Q33" s="49"/>
      <c r="R33" s="48"/>
    </row>
    <row r="34" spans="4:18" ht="20.100000000000001" hidden="1" customHeight="1">
      <c r="D34" s="405"/>
      <c r="E34" s="407"/>
      <c r="F34" s="451"/>
      <c r="G34" s="451"/>
      <c r="H34" s="348" t="s">
        <v>148</v>
      </c>
      <c r="I34" s="596"/>
      <c r="J34" s="16"/>
      <c r="K34" s="46"/>
      <c r="L34" s="160"/>
      <c r="M34" s="49"/>
      <c r="N34" s="403"/>
      <c r="O34" s="403"/>
      <c r="P34" s="49"/>
      <c r="Q34" s="49"/>
      <c r="R34" s="48"/>
    </row>
    <row r="35" spans="4:18" ht="20.100000000000001" hidden="1" customHeight="1">
      <c r="D35" s="405"/>
      <c r="E35" s="407"/>
      <c r="F35" s="451"/>
      <c r="G35" s="451"/>
      <c r="H35" s="348" t="s">
        <v>149</v>
      </c>
      <c r="I35" s="596"/>
      <c r="J35" s="16"/>
      <c r="K35" s="46"/>
      <c r="L35" s="160"/>
      <c r="M35" s="49"/>
      <c r="N35" s="403"/>
      <c r="O35" s="403"/>
      <c r="P35" s="49"/>
      <c r="Q35" s="49"/>
      <c r="R35" s="48"/>
    </row>
    <row r="36" spans="4:18" ht="20.100000000000001" hidden="1" customHeight="1">
      <c r="D36" s="405"/>
      <c r="E36" s="407"/>
      <c r="F36" s="451"/>
      <c r="G36" s="451"/>
      <c r="H36" s="348" t="s">
        <v>150</v>
      </c>
      <c r="I36" s="596"/>
      <c r="J36" s="16"/>
      <c r="K36" s="46"/>
      <c r="L36" s="160"/>
      <c r="M36" s="49"/>
      <c r="N36" s="403"/>
      <c r="O36" s="403"/>
      <c r="P36" s="49"/>
      <c r="Q36" s="49"/>
      <c r="R36" s="48"/>
    </row>
    <row r="37" spans="4:18" ht="20.100000000000001" hidden="1" customHeight="1">
      <c r="D37" s="405"/>
      <c r="E37" s="407"/>
      <c r="F37" s="451"/>
      <c r="G37" s="451"/>
      <c r="H37" s="348" t="s">
        <v>133</v>
      </c>
      <c r="I37" s="596"/>
      <c r="J37" s="16"/>
      <c r="K37" s="46"/>
      <c r="L37" s="160"/>
      <c r="M37" s="49"/>
      <c r="N37" s="403"/>
      <c r="O37" s="403"/>
      <c r="P37" s="49"/>
      <c r="Q37" s="49"/>
      <c r="R37" s="48"/>
    </row>
    <row r="38" spans="4:18" ht="20.100000000000001" hidden="1" customHeight="1">
      <c r="D38" s="405"/>
      <c r="E38" s="407"/>
      <c r="F38" s="451"/>
      <c r="G38" s="451"/>
      <c r="H38" s="348" t="s">
        <v>134</v>
      </c>
      <c r="I38" s="596"/>
      <c r="J38" s="16"/>
      <c r="K38" s="46"/>
      <c r="L38" s="160"/>
      <c r="M38" s="49"/>
      <c r="N38" s="403"/>
      <c r="O38" s="403"/>
      <c r="P38" s="49"/>
      <c r="Q38" s="49"/>
      <c r="R38" s="48"/>
    </row>
    <row r="39" spans="4:18" ht="20.100000000000001" hidden="1" customHeight="1">
      <c r="D39" s="405"/>
      <c r="E39" s="407"/>
      <c r="F39" s="451"/>
      <c r="G39" s="451"/>
      <c r="H39" s="348" t="s">
        <v>135</v>
      </c>
      <c r="I39" s="596"/>
      <c r="J39" s="16"/>
      <c r="K39" s="46"/>
      <c r="L39" s="160"/>
      <c r="M39" s="49"/>
      <c r="N39" s="403"/>
      <c r="O39" s="403"/>
      <c r="P39" s="49"/>
      <c r="Q39" s="49"/>
      <c r="R39" s="48"/>
    </row>
    <row r="40" spans="4:18" ht="20.100000000000001" hidden="1" customHeight="1">
      <c r="D40" s="405"/>
      <c r="E40" s="407"/>
      <c r="F40" s="451"/>
      <c r="G40" s="451"/>
      <c r="H40" s="348" t="s">
        <v>136</v>
      </c>
      <c r="I40" s="596"/>
      <c r="J40" s="16"/>
      <c r="K40" s="46"/>
      <c r="L40" s="160"/>
      <c r="M40" s="49"/>
      <c r="N40" s="403"/>
      <c r="O40" s="403"/>
      <c r="P40" s="49"/>
      <c r="Q40" s="49"/>
      <c r="R40" s="48"/>
    </row>
    <row r="41" spans="4:18" ht="20.100000000000001" hidden="1" customHeight="1">
      <c r="D41" s="405"/>
      <c r="E41" s="407"/>
      <c r="F41" s="453"/>
      <c r="G41" s="453"/>
      <c r="H41" s="348" t="s">
        <v>137</v>
      </c>
      <c r="I41" s="596"/>
      <c r="J41" s="16"/>
      <c r="K41" s="46"/>
      <c r="L41" s="160"/>
      <c r="M41" s="49"/>
      <c r="N41" s="403"/>
      <c r="O41" s="403"/>
      <c r="P41" s="49"/>
      <c r="Q41" s="49"/>
      <c r="R41" s="48"/>
    </row>
    <row r="42" spans="4:18" ht="20.100000000000001" customHeight="1">
      <c r="D42" s="405"/>
      <c r="E42" s="407"/>
      <c r="F42" s="450" t="s">
        <v>347</v>
      </c>
      <c r="G42" s="450" t="s">
        <v>680</v>
      </c>
      <c r="H42" s="348" t="s">
        <v>701</v>
      </c>
      <c r="I42" s="596">
        <v>17</v>
      </c>
      <c r="J42" s="16"/>
      <c r="K42" s="46"/>
      <c r="L42" s="160"/>
      <c r="M42" s="49"/>
      <c r="N42" s="403"/>
      <c r="O42" s="403"/>
      <c r="P42" s="49"/>
      <c r="Q42" s="49"/>
      <c r="R42" s="48"/>
    </row>
    <row r="43" spans="4:18" ht="20.100000000000001" customHeight="1">
      <c r="D43" s="405"/>
      <c r="E43" s="407"/>
      <c r="F43" s="451"/>
      <c r="G43" s="451"/>
      <c r="H43" s="348" t="s">
        <v>702</v>
      </c>
      <c r="I43" s="596">
        <v>18</v>
      </c>
      <c r="J43" s="16"/>
      <c r="K43" s="46"/>
      <c r="L43" s="160"/>
      <c r="M43" s="49"/>
      <c r="N43" s="403"/>
      <c r="O43" s="403"/>
      <c r="P43" s="49"/>
      <c r="Q43" s="49"/>
      <c r="R43" s="48"/>
    </row>
    <row r="44" spans="4:18" ht="20.100000000000001" customHeight="1">
      <c r="D44" s="405"/>
      <c r="E44" s="407"/>
      <c r="F44" s="451"/>
      <c r="G44" s="451"/>
      <c r="H44" s="348" t="s">
        <v>703</v>
      </c>
      <c r="I44" s="596">
        <v>19</v>
      </c>
      <c r="J44" s="16"/>
      <c r="K44" s="46"/>
      <c r="L44" s="160"/>
      <c r="M44" s="49"/>
      <c r="N44" s="403"/>
      <c r="O44" s="403"/>
      <c r="P44" s="49"/>
      <c r="Q44" s="49"/>
      <c r="R44" s="48"/>
    </row>
    <row r="45" spans="4:18" ht="20.100000000000001" customHeight="1">
      <c r="D45" s="405"/>
      <c r="E45" s="407"/>
      <c r="F45" s="451"/>
      <c r="G45" s="451"/>
      <c r="H45" s="348" t="s">
        <v>704</v>
      </c>
      <c r="I45" s="596">
        <v>20</v>
      </c>
      <c r="J45" s="16"/>
      <c r="K45" s="46"/>
      <c r="L45" s="160"/>
      <c r="M45" s="49"/>
      <c r="N45" s="403"/>
      <c r="O45" s="403"/>
      <c r="P45" s="49"/>
      <c r="Q45" s="49"/>
      <c r="R45" s="48"/>
    </row>
    <row r="46" spans="4:18" ht="20.100000000000001" customHeight="1">
      <c r="D46" s="405"/>
      <c r="E46" s="407"/>
      <c r="F46" s="451"/>
      <c r="G46" s="451"/>
      <c r="H46" s="348" t="s">
        <v>705</v>
      </c>
      <c r="I46" s="596">
        <v>21</v>
      </c>
      <c r="J46" s="16"/>
      <c r="K46" s="46"/>
      <c r="L46" s="160"/>
      <c r="M46" s="49"/>
      <c r="N46" s="403"/>
      <c r="O46" s="403"/>
      <c r="P46" s="49"/>
      <c r="Q46" s="49"/>
      <c r="R46" s="48"/>
    </row>
    <row r="47" spans="4:18" ht="20.100000000000001" customHeight="1">
      <c r="D47" s="405"/>
      <c r="E47" s="407"/>
      <c r="F47" s="451"/>
      <c r="G47" s="451"/>
      <c r="H47" s="348" t="s">
        <v>188</v>
      </c>
      <c r="I47" s="596">
        <v>22</v>
      </c>
      <c r="J47" s="16"/>
      <c r="K47" s="46"/>
      <c r="L47" s="160"/>
      <c r="M47" s="49"/>
      <c r="N47" s="403"/>
      <c r="O47" s="403"/>
      <c r="P47" s="49"/>
      <c r="Q47" s="49"/>
      <c r="R47" s="48"/>
    </row>
    <row r="48" spans="4:18" ht="20.100000000000001" customHeight="1">
      <c r="D48" s="405"/>
      <c r="E48" s="407"/>
      <c r="F48" s="451"/>
      <c r="G48" s="451"/>
      <c r="H48" s="348" t="s">
        <v>189</v>
      </c>
      <c r="I48" s="596">
        <v>23</v>
      </c>
      <c r="J48" s="16"/>
      <c r="K48" s="46"/>
      <c r="L48" s="160"/>
      <c r="M48" s="49"/>
      <c r="N48" s="403"/>
      <c r="O48" s="403"/>
      <c r="P48" s="49"/>
      <c r="Q48" s="49"/>
      <c r="R48" s="48"/>
    </row>
    <row r="49" spans="4:18" ht="20.100000000000001" customHeight="1">
      <c r="D49" s="405"/>
      <c r="E49" s="407"/>
      <c r="F49" s="451"/>
      <c r="G49" s="451"/>
      <c r="H49" s="348" t="s">
        <v>681</v>
      </c>
      <c r="I49" s="596">
        <v>24</v>
      </c>
      <c r="J49" s="16"/>
      <c r="K49" s="46"/>
      <c r="L49" s="160"/>
      <c r="M49" s="49"/>
      <c r="N49" s="403"/>
      <c r="O49" s="403"/>
      <c r="P49" s="49"/>
      <c r="Q49" s="49"/>
      <c r="R49" s="48"/>
    </row>
    <row r="50" spans="4:18" ht="20.100000000000001" customHeight="1">
      <c r="D50" s="405"/>
      <c r="E50" s="407"/>
      <c r="F50" s="451"/>
      <c r="G50" s="451"/>
      <c r="H50" s="348" t="s">
        <v>709</v>
      </c>
      <c r="I50" s="596">
        <v>25</v>
      </c>
      <c r="J50" s="16"/>
      <c r="K50" s="46"/>
      <c r="L50" s="160"/>
      <c r="M50" s="49"/>
      <c r="N50" s="403"/>
      <c r="O50" s="403"/>
      <c r="P50" s="49"/>
      <c r="Q50" s="49"/>
      <c r="R50" s="48"/>
    </row>
    <row r="51" spans="4:18" ht="20.100000000000001" customHeight="1">
      <c r="D51" s="405"/>
      <c r="E51" s="407"/>
      <c r="F51" s="451"/>
      <c r="G51" s="451"/>
      <c r="H51" s="348" t="s">
        <v>710</v>
      </c>
      <c r="I51" s="596">
        <v>26</v>
      </c>
      <c r="J51" s="16"/>
      <c r="K51" s="46"/>
      <c r="L51" s="160"/>
      <c r="M51" s="49"/>
      <c r="N51" s="403"/>
      <c r="O51" s="403"/>
      <c r="P51" s="49"/>
      <c r="Q51" s="49"/>
      <c r="R51" s="48"/>
    </row>
    <row r="52" spans="4:18" ht="20.100000000000001" customHeight="1">
      <c r="D52" s="405"/>
      <c r="E52" s="407"/>
      <c r="F52" s="451"/>
      <c r="G52" s="451"/>
      <c r="H52" s="348" t="s">
        <v>711</v>
      </c>
      <c r="I52" s="596">
        <v>27</v>
      </c>
      <c r="J52" s="16"/>
      <c r="K52" s="46"/>
      <c r="L52" s="160"/>
      <c r="M52" s="49"/>
      <c r="N52" s="403"/>
      <c r="O52" s="403"/>
      <c r="P52" s="49"/>
      <c r="Q52" s="49"/>
      <c r="R52" s="48"/>
    </row>
    <row r="53" spans="4:18" ht="20.100000000000001" customHeight="1">
      <c r="D53" s="405"/>
      <c r="E53" s="407"/>
      <c r="F53" s="451"/>
      <c r="G53" s="451"/>
      <c r="H53" s="348" t="s">
        <v>712</v>
      </c>
      <c r="I53" s="596">
        <v>28</v>
      </c>
      <c r="J53" s="16"/>
      <c r="K53" s="46"/>
      <c r="L53" s="160"/>
      <c r="M53" s="49"/>
      <c r="N53" s="403"/>
      <c r="O53" s="403"/>
      <c r="P53" s="49"/>
      <c r="Q53" s="49"/>
      <c r="R53" s="48"/>
    </row>
    <row r="54" spans="4:18" ht="20.100000000000001" customHeight="1">
      <c r="D54" s="405"/>
      <c r="E54" s="407"/>
      <c r="F54" s="451"/>
      <c r="G54" s="451"/>
      <c r="H54" s="348" t="s">
        <v>713</v>
      </c>
      <c r="I54" s="596">
        <v>29</v>
      </c>
      <c r="J54" s="16"/>
      <c r="K54" s="46"/>
      <c r="L54" s="160"/>
      <c r="M54" s="49"/>
      <c r="N54" s="403"/>
      <c r="O54" s="403"/>
      <c r="P54" s="49"/>
      <c r="Q54" s="49"/>
      <c r="R54" s="48"/>
    </row>
    <row r="55" spans="4:18" ht="20.100000000000001" customHeight="1">
      <c r="D55" s="405"/>
      <c r="E55" s="407"/>
      <c r="F55" s="451"/>
      <c r="G55" s="451"/>
      <c r="H55" s="348" t="s">
        <v>714</v>
      </c>
      <c r="I55" s="596">
        <v>30</v>
      </c>
      <c r="J55" s="16"/>
      <c r="K55" s="46"/>
      <c r="L55" s="160"/>
      <c r="M55" s="49"/>
      <c r="N55" s="403"/>
      <c r="O55" s="403"/>
      <c r="P55" s="49"/>
      <c r="Q55" s="49"/>
      <c r="R55" s="48"/>
    </row>
    <row r="56" spans="4:18" ht="20.100000000000001" customHeight="1">
      <c r="D56" s="405"/>
      <c r="E56" s="407"/>
      <c r="F56" s="451"/>
      <c r="G56" s="451"/>
      <c r="H56" s="348" t="s">
        <v>715</v>
      </c>
      <c r="I56" s="596">
        <v>31</v>
      </c>
      <c r="J56" s="16"/>
      <c r="K56" s="46"/>
      <c r="L56" s="160"/>
      <c r="M56" s="49"/>
      <c r="N56" s="403"/>
      <c r="O56" s="403"/>
      <c r="P56" s="49"/>
      <c r="Q56" s="49"/>
      <c r="R56" s="48"/>
    </row>
    <row r="57" spans="4:18" ht="20.100000000000001" customHeight="1">
      <c r="D57" s="405"/>
      <c r="E57" s="407"/>
      <c r="F57" s="453"/>
      <c r="G57" s="453"/>
      <c r="H57" s="348" t="s">
        <v>716</v>
      </c>
      <c r="I57" s="596">
        <v>32</v>
      </c>
      <c r="J57" s="16"/>
      <c r="K57" s="46"/>
      <c r="L57" s="160"/>
      <c r="M57" s="49"/>
      <c r="N57" s="403"/>
      <c r="O57" s="403"/>
      <c r="P57" s="49"/>
      <c r="Q57" s="49"/>
      <c r="R57" s="48"/>
    </row>
    <row r="58" spans="4:18" ht="20.100000000000001" customHeight="1">
      <c r="D58" s="405"/>
      <c r="E58" s="407"/>
      <c r="F58" s="455" t="s">
        <v>355</v>
      </c>
      <c r="G58" s="16" t="s">
        <v>343</v>
      </c>
      <c r="H58" s="348" t="s">
        <v>374</v>
      </c>
      <c r="I58" s="16"/>
      <c r="J58" s="16"/>
      <c r="K58" s="46"/>
      <c r="L58" s="47"/>
      <c r="M58" s="49"/>
      <c r="N58" s="403"/>
      <c r="O58" s="403"/>
      <c r="P58" s="49"/>
      <c r="Q58" s="49"/>
      <c r="R58" s="48"/>
    </row>
    <row r="59" spans="4:18" ht="20.100000000000001" customHeight="1">
      <c r="D59" s="405"/>
      <c r="E59" s="407"/>
      <c r="F59" s="451"/>
      <c r="G59" s="16" t="s">
        <v>344</v>
      </c>
      <c r="H59" s="348" t="s">
        <v>530</v>
      </c>
      <c r="I59" s="16"/>
      <c r="J59" s="16"/>
      <c r="K59" s="46"/>
      <c r="L59" s="47"/>
      <c r="M59" s="49"/>
      <c r="N59" s="403"/>
      <c r="O59" s="403"/>
      <c r="P59" s="49"/>
      <c r="Q59" s="49"/>
      <c r="R59" s="48"/>
    </row>
    <row r="60" spans="4:18" ht="20.100000000000001" customHeight="1">
      <c r="D60" s="405"/>
      <c r="E60" s="407"/>
      <c r="F60" s="451"/>
      <c r="G60" s="16" t="s">
        <v>345</v>
      </c>
      <c r="H60" s="348" t="s">
        <v>375</v>
      </c>
      <c r="I60" s="16"/>
      <c r="J60" s="16"/>
      <c r="K60" s="46"/>
      <c r="L60" s="47"/>
      <c r="M60" s="49"/>
      <c r="N60" s="403"/>
      <c r="O60" s="403"/>
      <c r="P60" s="49"/>
      <c r="Q60" s="49"/>
      <c r="R60" s="48"/>
    </row>
    <row r="61" spans="4:18" ht="20.100000000000001" customHeight="1">
      <c r="D61" s="405"/>
      <c r="E61" s="407"/>
      <c r="F61" s="453"/>
      <c r="G61" s="16" t="s">
        <v>346</v>
      </c>
      <c r="H61" s="348" t="s">
        <v>531</v>
      </c>
      <c r="I61" s="16"/>
      <c r="J61" s="16"/>
      <c r="K61" s="46"/>
      <c r="L61" s="47"/>
      <c r="M61" s="49"/>
      <c r="N61" s="403"/>
      <c r="O61" s="403"/>
      <c r="P61" s="49"/>
      <c r="Q61" s="49"/>
      <c r="R61" s="48"/>
    </row>
    <row r="62" spans="4:18" ht="20.100000000000001" customHeight="1">
      <c r="D62" s="464">
        <v>2</v>
      </c>
      <c r="E62" s="463" t="s">
        <v>142</v>
      </c>
      <c r="F62" s="140" t="s">
        <v>383</v>
      </c>
      <c r="G62" s="16" t="s">
        <v>145</v>
      </c>
      <c r="H62" s="162"/>
      <c r="I62" s="16"/>
      <c r="J62" s="16"/>
      <c r="K62" s="46"/>
      <c r="L62" s="47"/>
      <c r="M62" s="49"/>
      <c r="N62" s="403"/>
      <c r="O62" s="403"/>
      <c r="P62" s="49"/>
      <c r="Q62" s="49"/>
      <c r="R62" s="48"/>
    </row>
    <row r="63" spans="4:18" ht="20.100000000000001" customHeight="1">
      <c r="D63" s="433"/>
      <c r="E63" s="407"/>
      <c r="F63" s="140" t="s">
        <v>143</v>
      </c>
      <c r="G63" s="161" t="s">
        <v>144</v>
      </c>
      <c r="H63" s="15" t="s">
        <v>381</v>
      </c>
      <c r="I63" s="16"/>
      <c r="J63" s="16"/>
      <c r="K63" s="46"/>
      <c r="L63" s="47"/>
      <c r="M63" s="49"/>
      <c r="N63" s="403"/>
      <c r="O63" s="403"/>
      <c r="P63" s="49"/>
      <c r="Q63" s="49"/>
      <c r="R63" s="48"/>
    </row>
    <row r="64" spans="4:18" ht="20.100000000000001" customHeight="1">
      <c r="D64" s="433"/>
      <c r="E64" s="407"/>
      <c r="F64" s="140" t="s">
        <v>384</v>
      </c>
      <c r="G64" s="161" t="s">
        <v>146</v>
      </c>
      <c r="H64" s="15" t="s">
        <v>382</v>
      </c>
      <c r="I64" s="16"/>
      <c r="J64" s="16"/>
      <c r="K64" s="46"/>
      <c r="L64" s="47"/>
      <c r="M64" s="49"/>
      <c r="N64" s="403"/>
      <c r="O64" s="403"/>
      <c r="P64" s="49"/>
      <c r="Q64" s="49"/>
      <c r="R64" s="48"/>
    </row>
    <row r="65" spans="4:18" ht="20.100000000000001" customHeight="1">
      <c r="D65" s="433"/>
      <c r="E65" s="407"/>
      <c r="F65" s="140" t="s">
        <v>377</v>
      </c>
      <c r="G65" s="161" t="s">
        <v>138</v>
      </c>
      <c r="H65" s="15" t="s">
        <v>387</v>
      </c>
      <c r="I65" s="16"/>
      <c r="J65" s="16"/>
      <c r="K65" s="46"/>
      <c r="L65" s="47"/>
      <c r="M65" s="49"/>
      <c r="N65" s="403"/>
      <c r="O65" s="403"/>
      <c r="P65" s="49"/>
      <c r="Q65" s="49"/>
      <c r="R65" s="48"/>
    </row>
    <row r="66" spans="4:18" ht="20.100000000000001" customHeight="1">
      <c r="D66" s="433"/>
      <c r="E66" s="407"/>
      <c r="F66" s="140" t="s">
        <v>378</v>
      </c>
      <c r="G66" s="161" t="s">
        <v>138</v>
      </c>
      <c r="H66" s="15" t="s">
        <v>387</v>
      </c>
      <c r="I66" s="16"/>
      <c r="J66" s="16"/>
      <c r="K66" s="46"/>
      <c r="L66" s="47"/>
      <c r="M66" s="49"/>
      <c r="N66" s="403"/>
      <c r="O66" s="403"/>
      <c r="P66" s="49"/>
      <c r="Q66" s="49"/>
      <c r="R66" s="48"/>
    </row>
    <row r="67" spans="4:18" ht="20.100000000000001" customHeight="1">
      <c r="D67" s="433"/>
      <c r="E67" s="407"/>
      <c r="F67" s="140" t="s">
        <v>379</v>
      </c>
      <c r="G67" s="161" t="s">
        <v>138</v>
      </c>
      <c r="H67" s="15" t="s">
        <v>387</v>
      </c>
      <c r="I67" s="16"/>
      <c r="J67" s="16"/>
      <c r="K67" s="46"/>
      <c r="L67" s="47"/>
      <c r="M67" s="49"/>
      <c r="N67" s="403"/>
      <c r="O67" s="403"/>
      <c r="P67" s="49"/>
      <c r="Q67" s="49"/>
      <c r="R67" s="48"/>
    </row>
    <row r="68" spans="4:18" ht="20.100000000000001" customHeight="1">
      <c r="D68" s="433"/>
      <c r="E68" s="407"/>
      <c r="F68" s="140" t="s">
        <v>380</v>
      </c>
      <c r="G68" s="161" t="s">
        <v>138</v>
      </c>
      <c r="H68" s="15" t="s">
        <v>387</v>
      </c>
      <c r="I68" s="16"/>
      <c r="J68" s="16"/>
      <c r="K68" s="46"/>
      <c r="M68" s="49"/>
      <c r="N68" s="403"/>
      <c r="O68" s="403"/>
      <c r="P68" s="49"/>
      <c r="Q68" s="49"/>
      <c r="R68" s="48"/>
    </row>
    <row r="69" spans="4:18" ht="20.100000000000001" customHeight="1">
      <c r="D69" s="433"/>
      <c r="E69" s="407"/>
      <c r="F69" s="140" t="s">
        <v>674</v>
      </c>
      <c r="G69" s="161" t="s">
        <v>140</v>
      </c>
      <c r="H69" s="15" t="s">
        <v>390</v>
      </c>
      <c r="I69" s="16"/>
      <c r="J69" s="16"/>
      <c r="K69" s="46"/>
      <c r="L69" s="160"/>
      <c r="M69" s="49"/>
      <c r="N69" s="403"/>
      <c r="O69" s="403"/>
      <c r="P69" s="49"/>
      <c r="Q69" s="49"/>
      <c r="R69" s="48"/>
    </row>
    <row r="70" spans="4:18" ht="20.100000000000001" customHeight="1">
      <c r="D70" s="433"/>
      <c r="E70" s="407"/>
      <c r="F70" s="140" t="s">
        <v>675</v>
      </c>
      <c r="G70" s="16" t="s">
        <v>139</v>
      </c>
      <c r="H70" s="15" t="s">
        <v>391</v>
      </c>
      <c r="I70" s="16"/>
      <c r="J70" s="16"/>
      <c r="K70" s="46"/>
      <c r="L70" s="47"/>
      <c r="M70" s="49"/>
      <c r="N70" s="403"/>
      <c r="O70" s="403"/>
      <c r="P70" s="49"/>
      <c r="Q70" s="49"/>
      <c r="R70" s="48"/>
    </row>
    <row r="71" spans="4:18" ht="20.100000000000001" customHeight="1">
      <c r="D71" s="433"/>
      <c r="E71" s="407"/>
      <c r="F71" s="140" t="s">
        <v>386</v>
      </c>
      <c r="G71" s="16" t="s">
        <v>139</v>
      </c>
      <c r="H71" s="15" t="s">
        <v>391</v>
      </c>
      <c r="I71" s="16"/>
      <c r="J71" s="16"/>
      <c r="K71" s="46"/>
      <c r="L71" s="47"/>
      <c r="M71" s="49"/>
      <c r="N71" s="403"/>
      <c r="O71" s="403"/>
      <c r="P71" s="49"/>
      <c r="Q71" s="49"/>
      <c r="R71" s="48"/>
    </row>
    <row r="72" spans="4:18" ht="20.100000000000001" customHeight="1">
      <c r="D72" s="433"/>
      <c r="E72" s="407"/>
      <c r="F72" s="450" t="s">
        <v>339</v>
      </c>
      <c r="G72" s="450" t="s">
        <v>147</v>
      </c>
      <c r="H72" s="15"/>
      <c r="I72" s="16"/>
      <c r="J72" s="16"/>
      <c r="K72" s="46"/>
      <c r="L72" s="47"/>
      <c r="M72" s="49"/>
      <c r="N72" s="403"/>
      <c r="O72" s="403"/>
      <c r="P72" s="49"/>
      <c r="Q72" s="49"/>
      <c r="R72" s="48"/>
    </row>
    <row r="73" spans="4:18" ht="20.100000000000001" customHeight="1" thickBot="1">
      <c r="D73" s="434"/>
      <c r="E73" s="423"/>
      <c r="F73" s="456"/>
      <c r="G73" s="456"/>
      <c r="H73" s="20" t="s">
        <v>392</v>
      </c>
      <c r="I73" s="19"/>
      <c r="J73" s="19"/>
      <c r="K73" s="55"/>
      <c r="L73" s="56"/>
      <c r="M73" s="26"/>
      <c r="N73" s="426"/>
      <c r="O73" s="426"/>
      <c r="P73" s="26"/>
      <c r="Q73" s="26"/>
      <c r="R73" s="51"/>
    </row>
    <row r="74" spans="4:18" ht="20.100000000000001" customHeight="1">
      <c r="D74" s="58"/>
      <c r="E74" s="58"/>
      <c r="F74" s="58"/>
      <c r="G74" s="58"/>
      <c r="H74" s="58"/>
      <c r="I74" s="58"/>
      <c r="J74" s="58"/>
      <c r="K74" s="58"/>
      <c r="L74" s="70"/>
      <c r="N74" s="71"/>
      <c r="O74" s="71"/>
      <c r="P74" s="58"/>
      <c r="Q74" s="58"/>
      <c r="R74" s="58"/>
    </row>
    <row r="75" spans="4:18" ht="19.95" customHeight="1"/>
    <row r="76" spans="4:18" ht="19.95" customHeight="1" thickBot="1">
      <c r="D76" s="57" t="s">
        <v>317</v>
      </c>
    </row>
    <row r="77" spans="4:18" ht="19.95" customHeight="1" thickBot="1">
      <c r="D77" s="135" t="s">
        <v>517</v>
      </c>
      <c r="E77" s="77"/>
      <c r="F77" s="77"/>
      <c r="G77" s="126"/>
      <c r="H77" s="77"/>
      <c r="I77" s="77"/>
      <c r="J77" s="77"/>
      <c r="K77" s="77"/>
      <c r="L77" s="77"/>
      <c r="M77" s="76"/>
      <c r="N77" s="76"/>
      <c r="O77" s="76"/>
      <c r="P77" s="77"/>
      <c r="Q77" s="77"/>
      <c r="R77" s="133"/>
    </row>
    <row r="78" spans="4:18" ht="19.95" customHeight="1">
      <c r="D78" s="415" t="s">
        <v>82</v>
      </c>
      <c r="E78" s="417" t="s">
        <v>34</v>
      </c>
      <c r="F78" s="417" t="s">
        <v>73</v>
      </c>
      <c r="G78" s="398" t="s">
        <v>118</v>
      </c>
      <c r="H78" s="417" t="s">
        <v>75</v>
      </c>
      <c r="I78" s="417" t="s">
        <v>83</v>
      </c>
      <c r="J78" s="417"/>
      <c r="K78" s="417"/>
      <c r="L78" s="398" t="s">
        <v>348</v>
      </c>
      <c r="M78" s="398"/>
      <c r="N78" s="398"/>
      <c r="O78" s="398"/>
      <c r="P78" s="398" t="s">
        <v>349</v>
      </c>
      <c r="Q78" s="398"/>
      <c r="R78" s="399"/>
    </row>
    <row r="79" spans="4:18" ht="20.100000000000001" customHeight="1" thickBot="1">
      <c r="D79" s="416"/>
      <c r="E79" s="418"/>
      <c r="F79" s="418"/>
      <c r="G79" s="418"/>
      <c r="H79" s="418"/>
      <c r="I79" s="63" t="s">
        <v>57</v>
      </c>
      <c r="J79" s="63" t="s">
        <v>58</v>
      </c>
      <c r="K79" s="63" t="s">
        <v>82</v>
      </c>
      <c r="L79" s="64" t="s">
        <v>76</v>
      </c>
      <c r="M79" s="65" t="s">
        <v>77</v>
      </c>
      <c r="N79" s="400" t="s">
        <v>78</v>
      </c>
      <c r="O79" s="400"/>
      <c r="P79" s="64" t="s">
        <v>76</v>
      </c>
      <c r="Q79" s="65" t="s">
        <v>77</v>
      </c>
      <c r="R79" s="66" t="s">
        <v>79</v>
      </c>
    </row>
    <row r="80" spans="4:18" ht="20.100000000000001" customHeight="1">
      <c r="D80" s="419">
        <v>1</v>
      </c>
      <c r="E80" s="139">
        <v>1</v>
      </c>
      <c r="F80" s="342" t="s">
        <v>627</v>
      </c>
      <c r="G80" s="141" t="s">
        <v>159</v>
      </c>
      <c r="H80" s="8" t="s">
        <v>415</v>
      </c>
      <c r="I80" s="143">
        <v>0</v>
      </c>
      <c r="J80" s="143">
        <v>3</v>
      </c>
      <c r="K80" s="144" t="s">
        <v>119</v>
      </c>
      <c r="L80" s="145"/>
      <c r="M80" s="146"/>
      <c r="N80" s="523"/>
      <c r="O80" s="523"/>
      <c r="P80" s="147"/>
      <c r="Q80" s="148"/>
      <c r="R80" s="138"/>
    </row>
    <row r="81" spans="4:18" ht="20.100000000000001" customHeight="1">
      <c r="D81" s="420"/>
      <c r="E81" s="50">
        <v>2</v>
      </c>
      <c r="F81" s="6"/>
      <c r="G81" s="141"/>
      <c r="H81" s="8"/>
      <c r="I81" s="88">
        <v>0</v>
      </c>
      <c r="J81" s="88">
        <v>4</v>
      </c>
      <c r="K81" s="87" t="str">
        <f>K80</f>
        <v>MP1-1</v>
      </c>
      <c r="L81" s="90"/>
      <c r="M81" s="50"/>
      <c r="N81" s="413"/>
      <c r="O81" s="413"/>
      <c r="P81" s="90"/>
      <c r="Q81" s="49"/>
      <c r="R81" s="33"/>
    </row>
    <row r="82" spans="4:18" ht="20.100000000000001" customHeight="1">
      <c r="D82" s="420"/>
      <c r="E82" s="50">
        <v>3</v>
      </c>
      <c r="F82" s="6" t="s">
        <v>153</v>
      </c>
      <c r="G82" s="141" t="s">
        <v>160</v>
      </c>
      <c r="H82" s="8" t="s">
        <v>416</v>
      </c>
      <c r="I82" s="88">
        <v>0</v>
      </c>
      <c r="J82" s="88">
        <v>5</v>
      </c>
      <c r="K82" s="87" t="str">
        <f t="shared" ref="K82:K95" si="0">K81</f>
        <v>MP1-1</v>
      </c>
      <c r="L82" s="89"/>
      <c r="M82" s="50"/>
      <c r="N82" s="413"/>
      <c r="O82" s="413"/>
      <c r="P82" s="90"/>
      <c r="Q82" s="49"/>
      <c r="R82" s="33"/>
    </row>
    <row r="83" spans="4:18" ht="20.100000000000001" customHeight="1">
      <c r="D83" s="420"/>
      <c r="E83" s="50">
        <v>4</v>
      </c>
      <c r="F83" s="6"/>
      <c r="G83" s="141"/>
      <c r="H83" s="8"/>
      <c r="I83" s="88">
        <v>0</v>
      </c>
      <c r="J83" s="88">
        <v>6</v>
      </c>
      <c r="K83" s="87" t="str">
        <f t="shared" si="0"/>
        <v>MP1-1</v>
      </c>
      <c r="L83" s="89"/>
      <c r="M83" s="50"/>
      <c r="N83" s="413"/>
      <c r="O83" s="413"/>
      <c r="P83" s="90"/>
      <c r="Q83" s="49"/>
      <c r="R83" s="33"/>
    </row>
    <row r="84" spans="4:18" ht="20.100000000000001" customHeight="1">
      <c r="D84" s="420"/>
      <c r="E84" s="50">
        <v>5</v>
      </c>
      <c r="F84" s="6"/>
      <c r="G84" s="141"/>
      <c r="H84" s="8"/>
      <c r="I84" s="88">
        <v>0</v>
      </c>
      <c r="J84" s="88">
        <v>7</v>
      </c>
      <c r="K84" s="87" t="str">
        <f t="shared" si="0"/>
        <v>MP1-1</v>
      </c>
      <c r="L84" s="89"/>
      <c r="M84" s="50"/>
      <c r="N84" s="413"/>
      <c r="O84" s="413"/>
      <c r="P84" s="90"/>
      <c r="Q84" s="49"/>
      <c r="R84" s="33"/>
    </row>
    <row r="85" spans="4:18" ht="20.100000000000001" customHeight="1">
      <c r="D85" s="420"/>
      <c r="E85" s="50">
        <v>6</v>
      </c>
      <c r="F85" s="6"/>
      <c r="G85" s="141"/>
      <c r="H85" s="8"/>
      <c r="I85" s="88">
        <v>0</v>
      </c>
      <c r="J85" s="88">
        <v>8</v>
      </c>
      <c r="K85" s="87" t="str">
        <f t="shared" si="0"/>
        <v>MP1-1</v>
      </c>
      <c r="L85" s="89"/>
      <c r="M85" s="50"/>
      <c r="N85" s="413"/>
      <c r="O85" s="413"/>
      <c r="P85" s="90"/>
      <c r="Q85" s="49"/>
      <c r="R85" s="33"/>
    </row>
    <row r="86" spans="4:18" ht="20.100000000000001" customHeight="1">
      <c r="D86" s="420"/>
      <c r="E86" s="50">
        <v>7</v>
      </c>
      <c r="F86" s="6"/>
      <c r="G86" s="141"/>
      <c r="H86" s="8"/>
      <c r="I86" s="88">
        <v>0</v>
      </c>
      <c r="J86" s="88">
        <v>9</v>
      </c>
      <c r="K86" s="87" t="str">
        <f t="shared" si="0"/>
        <v>MP1-1</v>
      </c>
      <c r="L86" s="89"/>
      <c r="M86" s="50"/>
      <c r="N86" s="413"/>
      <c r="O86" s="413"/>
      <c r="P86" s="90"/>
      <c r="Q86" s="49"/>
      <c r="R86" s="33"/>
    </row>
    <row r="87" spans="4:18" ht="20.100000000000001" customHeight="1">
      <c r="D87" s="420"/>
      <c r="E87" s="50">
        <v>8</v>
      </c>
      <c r="F87" s="6"/>
      <c r="G87" s="141"/>
      <c r="H87" s="9"/>
      <c r="I87" s="88">
        <v>0</v>
      </c>
      <c r="J87" s="88" t="s">
        <v>59</v>
      </c>
      <c r="K87" s="87" t="str">
        <f t="shared" si="0"/>
        <v>MP1-1</v>
      </c>
      <c r="L87" s="90"/>
      <c r="M87" s="50"/>
      <c r="N87" s="413"/>
      <c r="O87" s="413"/>
      <c r="P87" s="90"/>
      <c r="Q87" s="49"/>
      <c r="R87" s="33"/>
    </row>
    <row r="88" spans="4:18" ht="20.100000000000001" customHeight="1">
      <c r="D88" s="420"/>
      <c r="E88" s="50">
        <v>9</v>
      </c>
      <c r="F88" s="6"/>
      <c r="G88" s="141"/>
      <c r="H88" s="9"/>
      <c r="I88" s="88">
        <v>0</v>
      </c>
      <c r="J88" s="88" t="s">
        <v>60</v>
      </c>
      <c r="K88" s="87" t="str">
        <f t="shared" si="0"/>
        <v>MP1-1</v>
      </c>
      <c r="L88" s="90"/>
      <c r="M88" s="50"/>
      <c r="N88" s="413"/>
      <c r="O88" s="413"/>
      <c r="P88" s="90"/>
      <c r="Q88" s="49"/>
      <c r="R88" s="33"/>
    </row>
    <row r="89" spans="4:18" ht="20.100000000000001" customHeight="1">
      <c r="D89" s="420"/>
      <c r="E89" s="50">
        <v>10</v>
      </c>
      <c r="F89" s="6"/>
      <c r="G89" s="141"/>
      <c r="H89" s="9"/>
      <c r="I89" s="88">
        <v>0</v>
      </c>
      <c r="J89" s="88" t="s">
        <v>61</v>
      </c>
      <c r="K89" s="87" t="str">
        <f t="shared" si="0"/>
        <v>MP1-1</v>
      </c>
      <c r="L89" s="90"/>
      <c r="M89" s="50"/>
      <c r="N89" s="413"/>
      <c r="O89" s="413"/>
      <c r="P89" s="90"/>
      <c r="Q89" s="49"/>
      <c r="R89" s="33"/>
    </row>
    <row r="90" spans="4:18" ht="20.100000000000001" customHeight="1">
      <c r="D90" s="420"/>
      <c r="E90" s="50">
        <v>11</v>
      </c>
      <c r="F90" s="6"/>
      <c r="G90" s="141"/>
      <c r="H90" s="9"/>
      <c r="I90" s="88">
        <v>0</v>
      </c>
      <c r="J90" s="88" t="s">
        <v>62</v>
      </c>
      <c r="K90" s="87" t="str">
        <f t="shared" si="0"/>
        <v>MP1-1</v>
      </c>
      <c r="L90" s="89"/>
      <c r="M90" s="50"/>
      <c r="N90" s="413"/>
      <c r="O90" s="413"/>
      <c r="P90" s="90"/>
      <c r="Q90" s="49"/>
      <c r="R90" s="33"/>
    </row>
    <row r="91" spans="4:18" ht="20.100000000000001" customHeight="1">
      <c r="D91" s="420"/>
      <c r="E91" s="50">
        <v>12</v>
      </c>
      <c r="F91" s="10"/>
      <c r="G91" s="11"/>
      <c r="H91" s="12"/>
      <c r="I91" s="88">
        <v>0</v>
      </c>
      <c r="J91" s="88" t="s">
        <v>63</v>
      </c>
      <c r="K91" s="87" t="str">
        <f t="shared" si="0"/>
        <v>MP1-1</v>
      </c>
      <c r="L91" s="89"/>
      <c r="M91" s="50"/>
      <c r="N91" s="413"/>
      <c r="O91" s="413"/>
      <c r="P91" s="90"/>
      <c r="Q91" s="49"/>
      <c r="R91" s="33"/>
    </row>
    <row r="92" spans="4:18" ht="20.100000000000001" customHeight="1">
      <c r="D92" s="420"/>
      <c r="E92" s="50">
        <v>13</v>
      </c>
      <c r="F92" s="16"/>
      <c r="G92" s="17"/>
      <c r="H92" s="15"/>
      <c r="I92" s="88">
        <v>0</v>
      </c>
      <c r="J92" s="88" t="s">
        <v>64</v>
      </c>
      <c r="K92" s="87" t="str">
        <f t="shared" si="0"/>
        <v>MP1-1</v>
      </c>
      <c r="L92" s="89"/>
      <c r="M92" s="50"/>
      <c r="N92" s="413"/>
      <c r="O92" s="413"/>
      <c r="P92" s="90"/>
      <c r="Q92" s="49"/>
      <c r="R92" s="33"/>
    </row>
    <row r="93" spans="4:18" ht="20.100000000000001" customHeight="1">
      <c r="D93" s="420"/>
      <c r="E93" s="50">
        <v>14</v>
      </c>
      <c r="F93" s="14"/>
      <c r="G93" s="17"/>
      <c r="H93" s="142"/>
      <c r="I93" s="88">
        <v>1</v>
      </c>
      <c r="J93" s="88">
        <v>0</v>
      </c>
      <c r="K93" s="87" t="str">
        <f t="shared" si="0"/>
        <v>MP1-1</v>
      </c>
      <c r="L93" s="18"/>
      <c r="M93" s="50"/>
      <c r="N93" s="413"/>
      <c r="O93" s="413"/>
      <c r="P93" s="90"/>
      <c r="Q93" s="49"/>
      <c r="R93" s="33"/>
    </row>
    <row r="94" spans="4:18" ht="20.100000000000001" customHeight="1">
      <c r="D94" s="420"/>
      <c r="E94" s="50">
        <v>15</v>
      </c>
      <c r="F94" s="16"/>
      <c r="G94" s="17"/>
      <c r="H94" s="15"/>
      <c r="I94" s="88">
        <v>1</v>
      </c>
      <c r="J94" s="88">
        <v>1</v>
      </c>
      <c r="K94" s="87" t="str">
        <f t="shared" si="0"/>
        <v>MP1-1</v>
      </c>
      <c r="L94" s="18"/>
      <c r="M94" s="50"/>
      <c r="N94" s="413"/>
      <c r="O94" s="413"/>
      <c r="P94" s="90"/>
      <c r="Q94" s="49"/>
      <c r="R94" s="33"/>
    </row>
    <row r="95" spans="4:18" ht="20.100000000000001" customHeight="1">
      <c r="D95" s="420"/>
      <c r="E95" s="50">
        <v>16</v>
      </c>
      <c r="F95" s="16"/>
      <c r="G95" s="17"/>
      <c r="H95" s="15"/>
      <c r="I95" s="86">
        <v>1</v>
      </c>
      <c r="J95" s="86">
        <v>2</v>
      </c>
      <c r="K95" s="87" t="str">
        <f t="shared" si="0"/>
        <v>MP1-1</v>
      </c>
      <c r="L95" s="34"/>
      <c r="M95" s="50"/>
      <c r="N95" s="413"/>
      <c r="O95" s="413"/>
      <c r="P95" s="90"/>
      <c r="Q95" s="49"/>
      <c r="R95" s="33"/>
    </row>
    <row r="96" spans="4:18" ht="20.100000000000001" customHeight="1">
      <c r="D96" s="420"/>
      <c r="E96" s="50">
        <v>17</v>
      </c>
      <c r="F96" s="16"/>
      <c r="G96" s="17"/>
      <c r="H96" s="15"/>
      <c r="I96" s="86">
        <v>1</v>
      </c>
      <c r="J96" s="86">
        <v>3</v>
      </c>
      <c r="K96" s="87" t="s">
        <v>120</v>
      </c>
      <c r="L96" s="34"/>
      <c r="M96" s="50"/>
      <c r="N96" s="413"/>
      <c r="O96" s="413"/>
      <c r="P96" s="90"/>
      <c r="Q96" s="49"/>
      <c r="R96" s="33"/>
    </row>
    <row r="97" spans="4:18" ht="20.100000000000001" customHeight="1">
      <c r="D97" s="420"/>
      <c r="E97" s="50">
        <v>18</v>
      </c>
      <c r="F97" s="16"/>
      <c r="G97" s="17"/>
      <c r="H97" s="15"/>
      <c r="I97" s="86">
        <v>1</v>
      </c>
      <c r="J97" s="86">
        <v>4</v>
      </c>
      <c r="K97" s="87" t="str">
        <f>K96</f>
        <v>MP1-2</v>
      </c>
      <c r="L97" s="89"/>
      <c r="M97" s="50"/>
      <c r="N97" s="413"/>
      <c r="O97" s="413"/>
      <c r="P97" s="90"/>
      <c r="Q97" s="49"/>
      <c r="R97" s="33"/>
    </row>
    <row r="98" spans="4:18" ht="20.100000000000001" customHeight="1">
      <c r="D98" s="420"/>
      <c r="E98" s="50">
        <v>19</v>
      </c>
      <c r="F98" s="16"/>
      <c r="G98" s="17"/>
      <c r="H98" s="15"/>
      <c r="I98" s="86">
        <v>1</v>
      </c>
      <c r="J98" s="86">
        <v>5</v>
      </c>
      <c r="K98" s="87" t="str">
        <f t="shared" ref="K98:K108" si="1">K97</f>
        <v>MP1-2</v>
      </c>
      <c r="L98" s="91"/>
      <c r="M98" s="50"/>
      <c r="N98" s="413"/>
      <c r="O98" s="413"/>
      <c r="P98" s="90"/>
      <c r="Q98" s="49"/>
      <c r="R98" s="33"/>
    </row>
    <row r="99" spans="4:18" ht="20.100000000000001" customHeight="1">
      <c r="D99" s="420"/>
      <c r="E99" s="50">
        <v>20</v>
      </c>
      <c r="F99" s="16"/>
      <c r="G99" s="17"/>
      <c r="H99" s="15"/>
      <c r="I99" s="86">
        <v>1</v>
      </c>
      <c r="J99" s="86">
        <v>6</v>
      </c>
      <c r="K99" s="87" t="str">
        <f t="shared" si="1"/>
        <v>MP1-2</v>
      </c>
      <c r="L99" s="89"/>
      <c r="M99" s="50"/>
      <c r="N99" s="413"/>
      <c r="O99" s="413"/>
      <c r="P99" s="90"/>
      <c r="Q99" s="49"/>
      <c r="R99" s="33"/>
    </row>
    <row r="100" spans="4:18" ht="20.100000000000001" customHeight="1">
      <c r="D100" s="420"/>
      <c r="E100" s="50">
        <v>21</v>
      </c>
      <c r="F100" s="16"/>
      <c r="G100" s="17"/>
      <c r="H100" s="15"/>
      <c r="I100" s="86">
        <v>1</v>
      </c>
      <c r="J100" s="86">
        <v>7</v>
      </c>
      <c r="K100" s="87" t="str">
        <f t="shared" si="1"/>
        <v>MP1-2</v>
      </c>
      <c r="L100" s="91"/>
      <c r="M100" s="50"/>
      <c r="N100" s="413"/>
      <c r="O100" s="413"/>
      <c r="P100" s="90"/>
      <c r="Q100" s="49"/>
      <c r="R100" s="33"/>
    </row>
    <row r="101" spans="4:18" ht="20.100000000000001" customHeight="1">
      <c r="D101" s="420"/>
      <c r="E101" s="50">
        <v>22</v>
      </c>
      <c r="F101" s="16"/>
      <c r="G101" s="17"/>
      <c r="H101" s="15"/>
      <c r="I101" s="86">
        <v>1</v>
      </c>
      <c r="J101" s="86">
        <v>8</v>
      </c>
      <c r="K101" s="87" t="str">
        <f t="shared" si="1"/>
        <v>MP1-2</v>
      </c>
      <c r="L101" s="91"/>
      <c r="M101" s="50"/>
      <c r="N101" s="413"/>
      <c r="O101" s="413"/>
      <c r="P101" s="90"/>
      <c r="Q101" s="49"/>
      <c r="R101" s="33"/>
    </row>
    <row r="102" spans="4:18" ht="20.100000000000001" customHeight="1">
      <c r="D102" s="420"/>
      <c r="E102" s="50">
        <v>23</v>
      </c>
      <c r="F102" s="16"/>
      <c r="G102" s="17"/>
      <c r="H102" s="15"/>
      <c r="I102" s="86">
        <v>1</v>
      </c>
      <c r="J102" s="86">
        <v>9</v>
      </c>
      <c r="K102" s="87" t="str">
        <f t="shared" si="1"/>
        <v>MP1-2</v>
      </c>
      <c r="L102" s="91"/>
      <c r="M102" s="50"/>
      <c r="N102" s="413"/>
      <c r="O102" s="413"/>
      <c r="P102" s="90"/>
      <c r="Q102" s="49"/>
      <c r="R102" s="33"/>
    </row>
    <row r="103" spans="4:18" ht="20.100000000000001" customHeight="1">
      <c r="D103" s="420"/>
      <c r="E103" s="50">
        <v>24</v>
      </c>
      <c r="F103" s="6"/>
      <c r="G103" s="11"/>
      <c r="H103" s="12"/>
      <c r="I103" s="104">
        <v>1</v>
      </c>
      <c r="J103" s="104" t="s">
        <v>59</v>
      </c>
      <c r="K103" s="87" t="str">
        <f t="shared" si="1"/>
        <v>MP1-2</v>
      </c>
      <c r="L103" s="91"/>
      <c r="M103" s="50"/>
      <c r="N103" s="413"/>
      <c r="O103" s="413"/>
      <c r="P103" s="90"/>
      <c r="Q103" s="49"/>
      <c r="R103" s="33"/>
    </row>
    <row r="104" spans="4:18" ht="20.100000000000001" customHeight="1">
      <c r="D104" s="420"/>
      <c r="E104" s="50">
        <v>25</v>
      </c>
      <c r="F104" s="10"/>
      <c r="G104" s="11"/>
      <c r="H104" s="12"/>
      <c r="I104" s="104">
        <v>1</v>
      </c>
      <c r="J104" s="86" t="s">
        <v>60</v>
      </c>
      <c r="K104" s="87" t="str">
        <f t="shared" si="1"/>
        <v>MP1-2</v>
      </c>
      <c r="L104" s="91"/>
      <c r="M104" s="50"/>
      <c r="N104" s="413"/>
      <c r="O104" s="413"/>
      <c r="P104" s="90"/>
      <c r="Q104" s="49"/>
      <c r="R104" s="33"/>
    </row>
    <row r="105" spans="4:18" ht="20.100000000000001" customHeight="1">
      <c r="D105" s="420"/>
      <c r="E105" s="50">
        <v>26</v>
      </c>
      <c r="F105" s="6"/>
      <c r="G105" s="7"/>
      <c r="H105" s="105"/>
      <c r="I105" s="104">
        <v>1</v>
      </c>
      <c r="J105" s="86" t="s">
        <v>61</v>
      </c>
      <c r="K105" s="87" t="str">
        <f t="shared" si="1"/>
        <v>MP1-2</v>
      </c>
      <c r="L105" s="91"/>
      <c r="M105" s="50"/>
      <c r="N105" s="413"/>
      <c r="O105" s="413"/>
      <c r="P105" s="90"/>
      <c r="Q105" s="49"/>
      <c r="R105" s="33"/>
    </row>
    <row r="106" spans="4:18" ht="20.100000000000001" customHeight="1">
      <c r="D106" s="420"/>
      <c r="E106" s="50">
        <v>27</v>
      </c>
      <c r="F106" s="6"/>
      <c r="G106" s="7"/>
      <c r="H106" s="105"/>
      <c r="I106" s="104">
        <v>1</v>
      </c>
      <c r="J106" s="86" t="s">
        <v>62</v>
      </c>
      <c r="K106" s="87" t="str">
        <f t="shared" si="1"/>
        <v>MP1-2</v>
      </c>
      <c r="L106" s="91"/>
      <c r="M106" s="50"/>
      <c r="N106" s="413"/>
      <c r="O106" s="413"/>
      <c r="P106" s="90"/>
      <c r="Q106" s="49"/>
      <c r="R106" s="33"/>
    </row>
    <row r="107" spans="4:18" ht="20.100000000000001" customHeight="1">
      <c r="D107" s="420"/>
      <c r="E107" s="50">
        <v>28</v>
      </c>
      <c r="F107" s="10" t="s">
        <v>88</v>
      </c>
      <c r="G107" s="11" t="s">
        <v>89</v>
      </c>
      <c r="H107" s="105" t="s">
        <v>421</v>
      </c>
      <c r="I107" s="104">
        <v>1</v>
      </c>
      <c r="J107" s="86" t="s">
        <v>63</v>
      </c>
      <c r="K107" s="87" t="str">
        <f t="shared" si="1"/>
        <v>MP1-2</v>
      </c>
      <c r="L107" s="89"/>
      <c r="N107" s="413"/>
      <c r="O107" s="413"/>
      <c r="P107" s="90"/>
      <c r="Q107" s="49"/>
      <c r="R107" s="33"/>
    </row>
    <row r="108" spans="4:18" ht="20.100000000000001" customHeight="1">
      <c r="D108" s="420"/>
      <c r="E108" s="50">
        <v>29</v>
      </c>
      <c r="F108" s="10" t="s">
        <v>88</v>
      </c>
      <c r="G108" s="11" t="s">
        <v>89</v>
      </c>
      <c r="H108" s="105" t="s">
        <v>424</v>
      </c>
      <c r="I108" s="104">
        <v>1</v>
      </c>
      <c r="J108" s="86" t="s">
        <v>64</v>
      </c>
      <c r="K108" s="87" t="str">
        <f t="shared" si="1"/>
        <v>MP1-2</v>
      </c>
      <c r="L108" s="91"/>
      <c r="M108" s="50"/>
      <c r="N108" s="524"/>
      <c r="O108" s="524"/>
      <c r="P108" s="90"/>
      <c r="Q108" s="49"/>
      <c r="R108" s="33"/>
    </row>
    <row r="109" spans="4:18" ht="20.100000000000001" customHeight="1">
      <c r="D109" s="420"/>
      <c r="E109" s="50">
        <v>30</v>
      </c>
      <c r="F109" s="86"/>
      <c r="G109" s="86"/>
      <c r="H109" s="15"/>
      <c r="I109" s="104"/>
      <c r="J109" s="104"/>
      <c r="K109" s="87"/>
      <c r="L109" s="89"/>
      <c r="M109" s="50"/>
      <c r="N109" s="524"/>
      <c r="O109" s="524"/>
      <c r="P109" s="90"/>
      <c r="Q109" s="49"/>
      <c r="R109" s="33"/>
    </row>
    <row r="110" spans="4:18" ht="20.100000000000001" customHeight="1">
      <c r="D110" s="420"/>
      <c r="E110" s="50">
        <v>31</v>
      </c>
      <c r="F110" s="16"/>
      <c r="G110" s="17"/>
      <c r="H110" s="15"/>
      <c r="I110" s="104"/>
      <c r="J110" s="86"/>
      <c r="K110" s="87"/>
      <c r="L110" s="91"/>
      <c r="M110" s="50"/>
      <c r="N110" s="524"/>
      <c r="O110" s="524"/>
      <c r="P110" s="90"/>
      <c r="Q110" s="49"/>
      <c r="R110" s="33"/>
    </row>
    <row r="111" spans="4:18" ht="20.100000000000001" customHeight="1">
      <c r="D111" s="420"/>
      <c r="E111" s="50">
        <v>32</v>
      </c>
      <c r="F111" s="16"/>
      <c r="G111" s="17"/>
      <c r="H111" s="15"/>
      <c r="I111" s="101"/>
      <c r="J111" s="88"/>
      <c r="K111" s="87"/>
      <c r="L111" s="91"/>
      <c r="M111" s="50"/>
      <c r="N111" s="524"/>
      <c r="O111" s="524"/>
      <c r="P111" s="90"/>
      <c r="Q111" s="49"/>
      <c r="R111" s="33"/>
    </row>
    <row r="112" spans="4:18" ht="20.100000000000001" customHeight="1">
      <c r="D112" s="420"/>
      <c r="E112" s="50">
        <v>33</v>
      </c>
      <c r="F112" s="14"/>
      <c r="G112" s="17"/>
      <c r="H112" s="15"/>
      <c r="I112" s="101"/>
      <c r="J112" s="88"/>
      <c r="K112" s="87"/>
      <c r="L112" s="91"/>
      <c r="M112" s="89"/>
      <c r="N112" s="524"/>
      <c r="O112" s="524"/>
      <c r="P112" s="90"/>
      <c r="Q112" s="49"/>
      <c r="R112" s="33"/>
    </row>
    <row r="113" spans="4:18" ht="20.100000000000001" customHeight="1">
      <c r="D113" s="420"/>
      <c r="E113" s="50">
        <v>34</v>
      </c>
      <c r="F113" s="16"/>
      <c r="G113" s="17"/>
      <c r="H113" s="15"/>
      <c r="I113" s="101"/>
      <c r="J113" s="88"/>
      <c r="K113" s="87"/>
      <c r="L113" s="91"/>
      <c r="M113" s="89"/>
      <c r="N113" s="524"/>
      <c r="O113" s="524"/>
      <c r="P113" s="90"/>
      <c r="Q113" s="49"/>
      <c r="R113" s="33"/>
    </row>
    <row r="114" spans="4:18" ht="20.100000000000001" customHeight="1">
      <c r="D114" s="420"/>
      <c r="E114" s="50">
        <v>35</v>
      </c>
      <c r="F114" s="16"/>
      <c r="G114" s="17"/>
      <c r="H114" s="15"/>
      <c r="I114" s="101"/>
      <c r="J114" s="88"/>
      <c r="K114" s="87"/>
      <c r="L114" s="91"/>
      <c r="M114" s="89"/>
      <c r="N114" s="524"/>
      <c r="O114" s="524"/>
      <c r="P114" s="90"/>
      <c r="Q114" s="49"/>
      <c r="R114" s="33"/>
    </row>
    <row r="115" spans="4:18" ht="20.100000000000001" customHeight="1">
      <c r="D115" s="420"/>
      <c r="E115" s="50">
        <v>36</v>
      </c>
      <c r="F115" s="16"/>
      <c r="G115" s="17"/>
      <c r="H115" s="15"/>
      <c r="I115" s="101"/>
      <c r="J115" s="88"/>
      <c r="K115" s="87"/>
      <c r="L115" s="91"/>
      <c r="M115" s="50"/>
      <c r="N115" s="524"/>
      <c r="O115" s="524"/>
      <c r="P115" s="90"/>
      <c r="Q115" s="49"/>
      <c r="R115" s="33"/>
    </row>
    <row r="116" spans="4:18" ht="20.100000000000001" customHeight="1">
      <c r="D116" s="420"/>
      <c r="E116" s="50">
        <v>37</v>
      </c>
      <c r="F116" s="16"/>
      <c r="G116" s="17"/>
      <c r="H116" s="15"/>
      <c r="I116" s="101"/>
      <c r="J116" s="88"/>
      <c r="K116" s="87"/>
      <c r="L116" s="91"/>
      <c r="M116" s="50"/>
      <c r="N116" s="524"/>
      <c r="O116" s="524"/>
      <c r="P116" s="90"/>
      <c r="Q116" s="49"/>
      <c r="R116" s="33"/>
    </row>
    <row r="117" spans="4:18" ht="20.100000000000001" customHeight="1">
      <c r="D117" s="420"/>
      <c r="E117" s="50">
        <v>38</v>
      </c>
      <c r="F117" s="16"/>
      <c r="G117" s="17"/>
      <c r="H117" s="15"/>
      <c r="I117" s="101"/>
      <c r="J117" s="88"/>
      <c r="K117" s="87"/>
      <c r="L117" s="91"/>
      <c r="M117" s="50"/>
      <c r="N117" s="524"/>
      <c r="O117" s="524"/>
      <c r="P117" s="90"/>
      <c r="Q117" s="49"/>
      <c r="R117" s="33"/>
    </row>
    <row r="118" spans="4:18" ht="20.100000000000001" customHeight="1">
      <c r="D118" s="420"/>
      <c r="E118" s="50">
        <v>39</v>
      </c>
      <c r="F118" s="16"/>
      <c r="G118" s="17"/>
      <c r="H118" s="15"/>
      <c r="I118" s="101"/>
      <c r="J118" s="88"/>
      <c r="K118" s="87"/>
      <c r="L118" s="91"/>
      <c r="M118" s="50"/>
      <c r="N118" s="524"/>
      <c r="O118" s="524"/>
      <c r="P118" s="90"/>
      <c r="Q118" s="49"/>
      <c r="R118" s="33"/>
    </row>
    <row r="119" spans="4:18" ht="20.100000000000001" customHeight="1">
      <c r="D119" s="420"/>
      <c r="E119" s="50">
        <v>40</v>
      </c>
      <c r="F119" s="6"/>
      <c r="G119" s="11"/>
      <c r="H119" s="8"/>
      <c r="I119" s="101"/>
      <c r="J119" s="101"/>
      <c r="K119" s="87"/>
      <c r="L119" s="91"/>
      <c r="M119" s="50"/>
      <c r="N119" s="524"/>
      <c r="O119" s="524"/>
      <c r="P119" s="90"/>
      <c r="Q119" s="49"/>
      <c r="R119" s="33"/>
    </row>
    <row r="120" spans="4:18" ht="20.100000000000001" customHeight="1">
      <c r="D120" s="420"/>
      <c r="E120" s="50">
        <v>41</v>
      </c>
      <c r="F120" s="10"/>
      <c r="G120" s="11"/>
      <c r="H120" s="12"/>
      <c r="I120" s="101"/>
      <c r="J120" s="88"/>
      <c r="K120" s="87"/>
      <c r="L120" s="89"/>
      <c r="M120" s="50"/>
      <c r="N120" s="524"/>
      <c r="O120" s="524"/>
      <c r="P120" s="90"/>
      <c r="Q120" s="49"/>
      <c r="R120" s="33"/>
    </row>
    <row r="121" spans="4:18" ht="20.100000000000001" customHeight="1" thickBot="1">
      <c r="D121" s="421"/>
      <c r="E121" s="25">
        <v>42</v>
      </c>
      <c r="F121" s="132"/>
      <c r="G121" s="127"/>
      <c r="H121" s="129"/>
      <c r="I121" s="102"/>
      <c r="J121" s="103"/>
      <c r="K121" s="92"/>
      <c r="L121" s="130"/>
      <c r="M121" s="25"/>
      <c r="N121" s="525"/>
      <c r="O121" s="525"/>
      <c r="P121" s="37"/>
      <c r="Q121" s="26"/>
      <c r="R121" s="38"/>
    </row>
    <row r="122" spans="4:18" ht="20.100000000000001" customHeight="1">
      <c r="D122" s="58"/>
      <c r="E122" s="58"/>
      <c r="F122" s="72"/>
      <c r="G122" s="72"/>
      <c r="H122" s="72"/>
      <c r="I122" s="72"/>
      <c r="J122" s="72"/>
      <c r="K122" s="72"/>
      <c r="L122" s="70"/>
      <c r="N122" s="71"/>
      <c r="O122" s="57"/>
      <c r="P122" s="70"/>
      <c r="Q122" s="58"/>
      <c r="R122" s="71"/>
    </row>
    <row r="123" spans="4:18" ht="20.100000000000001" customHeight="1" thickBot="1">
      <c r="D123" s="58"/>
      <c r="E123" s="58"/>
      <c r="F123" s="72"/>
      <c r="G123" s="72"/>
      <c r="H123" s="72"/>
      <c r="I123" s="72"/>
      <c r="J123" s="72"/>
      <c r="K123" s="72"/>
      <c r="L123" s="70"/>
      <c r="N123" s="71"/>
      <c r="O123" s="57"/>
      <c r="P123" s="70"/>
      <c r="Q123" s="58"/>
      <c r="R123" s="71"/>
    </row>
    <row r="124" spans="4:18" ht="20.100000000000001" customHeight="1" thickBot="1">
      <c r="D124" s="149" t="s">
        <v>518</v>
      </c>
      <c r="E124" s="134"/>
      <c r="F124" s="73"/>
      <c r="G124" s="74"/>
      <c r="H124" s="75"/>
      <c r="I124" s="150"/>
      <c r="J124" s="150"/>
      <c r="K124" s="150"/>
      <c r="L124" s="151"/>
      <c r="M124" s="136"/>
      <c r="N124" s="152"/>
      <c r="O124" s="126"/>
      <c r="P124" s="151"/>
      <c r="Q124" s="136"/>
      <c r="R124" s="153"/>
    </row>
    <row r="125" spans="4:18" ht="19.95" customHeight="1">
      <c r="D125" s="415" t="s">
        <v>82</v>
      </c>
      <c r="E125" s="417" t="s">
        <v>34</v>
      </c>
      <c r="F125" s="417" t="s">
        <v>73</v>
      </c>
      <c r="G125" s="398" t="s">
        <v>118</v>
      </c>
      <c r="H125" s="417" t="s">
        <v>75</v>
      </c>
      <c r="I125" s="417" t="s">
        <v>83</v>
      </c>
      <c r="J125" s="417"/>
      <c r="K125" s="417"/>
      <c r="L125" s="398" t="s">
        <v>348</v>
      </c>
      <c r="M125" s="398"/>
      <c r="N125" s="398"/>
      <c r="O125" s="398"/>
      <c r="P125" s="398" t="s">
        <v>349</v>
      </c>
      <c r="Q125" s="398"/>
      <c r="R125" s="399"/>
    </row>
    <row r="126" spans="4:18" ht="20.100000000000001" customHeight="1" thickBot="1">
      <c r="D126" s="416"/>
      <c r="E126" s="418"/>
      <c r="F126" s="418"/>
      <c r="G126" s="418"/>
      <c r="H126" s="418"/>
      <c r="I126" s="63" t="s">
        <v>57</v>
      </c>
      <c r="J126" s="63" t="s">
        <v>58</v>
      </c>
      <c r="K126" s="63" t="s">
        <v>82</v>
      </c>
      <c r="L126" s="64" t="s">
        <v>76</v>
      </c>
      <c r="M126" s="65" t="s">
        <v>77</v>
      </c>
      <c r="N126" s="400" t="s">
        <v>78</v>
      </c>
      <c r="O126" s="400"/>
      <c r="P126" s="64" t="s">
        <v>76</v>
      </c>
      <c r="Q126" s="65" t="s">
        <v>77</v>
      </c>
      <c r="R126" s="66" t="s">
        <v>79</v>
      </c>
    </row>
    <row r="127" spans="4:18" ht="20.100000000000001" customHeight="1">
      <c r="D127" s="420">
        <v>5</v>
      </c>
      <c r="E127" s="29">
        <v>1</v>
      </c>
      <c r="F127" s="140" t="s">
        <v>95</v>
      </c>
      <c r="G127" s="141" t="s">
        <v>161</v>
      </c>
      <c r="H127" s="142" t="s">
        <v>515</v>
      </c>
      <c r="I127" s="21">
        <v>0</v>
      </c>
      <c r="J127" s="21">
        <v>3</v>
      </c>
      <c r="K127" s="154" t="s">
        <v>84</v>
      </c>
      <c r="L127" s="30"/>
      <c r="M127" s="32"/>
      <c r="N127" s="425"/>
      <c r="O127" s="425"/>
      <c r="P127" s="31"/>
      <c r="Q127" s="32"/>
      <c r="R127" s="39"/>
    </row>
    <row r="128" spans="4:18" ht="20.100000000000001" customHeight="1">
      <c r="D128" s="420"/>
      <c r="E128" s="23">
        <v>2</v>
      </c>
      <c r="F128" s="16" t="s">
        <v>68</v>
      </c>
      <c r="G128" s="17" t="s">
        <v>162</v>
      </c>
      <c r="H128" s="15" t="s">
        <v>359</v>
      </c>
      <c r="I128" s="21">
        <v>0</v>
      </c>
      <c r="J128" s="21">
        <v>4</v>
      </c>
      <c r="K128" s="21" t="str">
        <f>K127</f>
        <v>MP5-1</v>
      </c>
      <c r="L128" s="30"/>
      <c r="M128" s="32"/>
      <c r="N128" s="425"/>
      <c r="O128" s="425"/>
      <c r="P128" s="31"/>
      <c r="Q128" s="32"/>
      <c r="R128" s="39"/>
    </row>
    <row r="129" spans="4:18" ht="20.100000000000001" customHeight="1">
      <c r="D129" s="420"/>
      <c r="E129" s="23">
        <v>3</v>
      </c>
      <c r="F129" s="14" t="s">
        <v>97</v>
      </c>
      <c r="G129" s="17" t="s">
        <v>163</v>
      </c>
      <c r="H129" s="15" t="s">
        <v>433</v>
      </c>
      <c r="I129" s="21">
        <v>0</v>
      </c>
      <c r="J129" s="21">
        <v>5</v>
      </c>
      <c r="K129" s="21" t="str">
        <f t="shared" ref="K129:K142" si="2">K128</f>
        <v>MP5-1</v>
      </c>
      <c r="L129" s="30"/>
      <c r="M129" s="32"/>
      <c r="N129" s="425"/>
      <c r="O129" s="425"/>
      <c r="P129" s="31"/>
      <c r="Q129" s="32"/>
      <c r="R129" s="39"/>
    </row>
    <row r="130" spans="4:18" ht="20.100000000000001" customHeight="1">
      <c r="D130" s="420"/>
      <c r="E130" s="23">
        <v>4</v>
      </c>
      <c r="F130" s="16" t="s">
        <v>97</v>
      </c>
      <c r="G130" s="17" t="s">
        <v>164</v>
      </c>
      <c r="H130" s="15" t="s">
        <v>428</v>
      </c>
      <c r="I130" s="21">
        <v>0</v>
      </c>
      <c r="J130" s="21">
        <v>6</v>
      </c>
      <c r="K130" s="21" t="str">
        <f t="shared" si="2"/>
        <v>MP5-1</v>
      </c>
      <c r="L130" s="30"/>
      <c r="M130" s="32"/>
      <c r="N130" s="425"/>
      <c r="O130" s="425"/>
      <c r="P130" s="31"/>
      <c r="Q130" s="32"/>
      <c r="R130" s="39"/>
    </row>
    <row r="131" spans="4:18" ht="20.100000000000001" customHeight="1">
      <c r="D131" s="420"/>
      <c r="E131" s="23">
        <v>5</v>
      </c>
      <c r="F131" s="16"/>
      <c r="G131" s="17"/>
      <c r="H131" s="15"/>
      <c r="I131" s="21">
        <v>0</v>
      </c>
      <c r="J131" s="21">
        <v>7</v>
      </c>
      <c r="K131" s="21" t="str">
        <f t="shared" si="2"/>
        <v>MP5-1</v>
      </c>
      <c r="L131" s="30"/>
      <c r="M131" s="32"/>
      <c r="N131" s="425"/>
      <c r="O131" s="425"/>
      <c r="P131" s="31"/>
      <c r="Q131" s="32"/>
      <c r="R131" s="39"/>
    </row>
    <row r="132" spans="4:18" ht="20.100000000000001" customHeight="1">
      <c r="D132" s="420"/>
      <c r="E132" s="23">
        <v>6</v>
      </c>
      <c r="F132" s="16" t="s">
        <v>95</v>
      </c>
      <c r="G132" s="17" t="s">
        <v>165</v>
      </c>
      <c r="H132" s="15" t="s">
        <v>367</v>
      </c>
      <c r="I132" s="21">
        <v>0</v>
      </c>
      <c r="J132" s="21">
        <v>8</v>
      </c>
      <c r="K132" s="21" t="str">
        <f t="shared" si="2"/>
        <v>MP5-1</v>
      </c>
      <c r="L132" s="30"/>
      <c r="M132" s="32"/>
      <c r="N132" s="425"/>
      <c r="O132" s="425"/>
      <c r="P132" s="31"/>
      <c r="Q132" s="32"/>
      <c r="R132" s="39"/>
    </row>
    <row r="133" spans="4:18" ht="20.100000000000001" customHeight="1">
      <c r="D133" s="420"/>
      <c r="E133" s="23">
        <v>7</v>
      </c>
      <c r="F133" s="16" t="s">
        <v>70</v>
      </c>
      <c r="G133" s="17" t="s">
        <v>166</v>
      </c>
      <c r="H133" s="15" t="s">
        <v>532</v>
      </c>
      <c r="I133" s="21">
        <v>0</v>
      </c>
      <c r="J133" s="21">
        <v>9</v>
      </c>
      <c r="K133" s="21" t="str">
        <f t="shared" si="2"/>
        <v>MP5-1</v>
      </c>
      <c r="L133" s="40"/>
      <c r="M133" s="32"/>
      <c r="N133" s="425"/>
      <c r="O133" s="425"/>
      <c r="P133" s="31"/>
      <c r="Q133" s="32"/>
      <c r="R133" s="39"/>
    </row>
    <row r="134" spans="4:18" ht="20.100000000000001" customHeight="1">
      <c r="D134" s="420"/>
      <c r="E134" s="23">
        <v>8</v>
      </c>
      <c r="F134" s="16" t="s">
        <v>95</v>
      </c>
      <c r="G134" s="17" t="s">
        <v>167</v>
      </c>
      <c r="H134" s="15" t="s">
        <v>368</v>
      </c>
      <c r="I134" s="21">
        <v>0</v>
      </c>
      <c r="J134" s="21" t="s">
        <v>59</v>
      </c>
      <c r="K134" s="21" t="str">
        <f t="shared" si="2"/>
        <v>MP5-1</v>
      </c>
      <c r="L134" s="40"/>
      <c r="M134" s="32"/>
      <c r="N134" s="425"/>
      <c r="O134" s="425"/>
      <c r="P134" s="31"/>
      <c r="Q134" s="32"/>
      <c r="R134" s="39"/>
    </row>
    <row r="135" spans="4:18" ht="20.100000000000001" customHeight="1">
      <c r="D135" s="420"/>
      <c r="E135" s="23">
        <v>9</v>
      </c>
      <c r="F135" s="16" t="s">
        <v>71</v>
      </c>
      <c r="G135" s="17" t="s">
        <v>208</v>
      </c>
      <c r="H135" s="15" t="s">
        <v>533</v>
      </c>
      <c r="I135" s="21">
        <v>0</v>
      </c>
      <c r="J135" s="21" t="s">
        <v>60</v>
      </c>
      <c r="K135" s="21" t="str">
        <f t="shared" si="2"/>
        <v>MP5-1</v>
      </c>
      <c r="L135" s="40"/>
      <c r="M135" s="32"/>
      <c r="N135" s="425"/>
      <c r="O135" s="425"/>
      <c r="P135" s="31"/>
      <c r="Q135" s="32"/>
      <c r="R135" s="39"/>
    </row>
    <row r="136" spans="4:18" ht="20.100000000000001" customHeight="1">
      <c r="D136" s="420"/>
      <c r="E136" s="23">
        <v>10</v>
      </c>
      <c r="F136" s="16"/>
      <c r="G136" s="17"/>
      <c r="H136" s="15"/>
      <c r="I136" s="21">
        <v>0</v>
      </c>
      <c r="J136" s="21" t="s">
        <v>61</v>
      </c>
      <c r="K136" s="21" t="str">
        <f t="shared" si="2"/>
        <v>MP5-1</v>
      </c>
      <c r="L136" s="40"/>
      <c r="M136" s="32"/>
      <c r="N136" s="425"/>
      <c r="O136" s="425"/>
      <c r="P136" s="31"/>
      <c r="Q136" s="32"/>
      <c r="R136" s="39"/>
    </row>
    <row r="137" spans="4:18" ht="20.100000000000001" customHeight="1">
      <c r="D137" s="420"/>
      <c r="E137" s="23">
        <v>11</v>
      </c>
      <c r="F137" s="10" t="s">
        <v>94</v>
      </c>
      <c r="G137" s="11" t="s">
        <v>168</v>
      </c>
      <c r="H137" s="12" t="s">
        <v>542</v>
      </c>
      <c r="I137" s="21">
        <v>0</v>
      </c>
      <c r="J137" s="21" t="s">
        <v>62</v>
      </c>
      <c r="K137" s="21" t="str">
        <f t="shared" si="2"/>
        <v>MP5-1</v>
      </c>
      <c r="L137" s="30"/>
      <c r="M137" s="32"/>
      <c r="N137" s="425"/>
      <c r="O137" s="425"/>
      <c r="P137" s="31"/>
      <c r="Q137" s="32"/>
      <c r="R137" s="39"/>
    </row>
    <row r="138" spans="4:18" ht="20.100000000000001" customHeight="1">
      <c r="D138" s="420"/>
      <c r="E138" s="23">
        <v>12</v>
      </c>
      <c r="F138" s="10" t="s">
        <v>69</v>
      </c>
      <c r="G138" s="11" t="s">
        <v>169</v>
      </c>
      <c r="H138" s="12" t="s">
        <v>543</v>
      </c>
      <c r="I138" s="21">
        <v>0</v>
      </c>
      <c r="J138" s="21" t="s">
        <v>63</v>
      </c>
      <c r="K138" s="21" t="str">
        <f t="shared" si="2"/>
        <v>MP5-1</v>
      </c>
      <c r="L138" s="30"/>
      <c r="M138" s="32"/>
      <c r="N138" s="425"/>
      <c r="O138" s="425"/>
      <c r="P138" s="31"/>
      <c r="Q138" s="32"/>
      <c r="R138" s="39"/>
    </row>
    <row r="139" spans="4:18" ht="20.100000000000001" customHeight="1">
      <c r="D139" s="420"/>
      <c r="E139" s="23">
        <v>13</v>
      </c>
      <c r="F139" s="6"/>
      <c r="G139" s="7"/>
      <c r="H139" s="105"/>
      <c r="I139" s="21">
        <v>0</v>
      </c>
      <c r="J139" s="21" t="s">
        <v>64</v>
      </c>
      <c r="K139" s="21" t="str">
        <f t="shared" si="2"/>
        <v>MP5-1</v>
      </c>
      <c r="L139" s="30"/>
      <c r="M139" s="32"/>
      <c r="N139" s="425"/>
      <c r="O139" s="425"/>
      <c r="P139" s="31"/>
      <c r="Q139" s="32"/>
      <c r="R139" s="39"/>
    </row>
    <row r="140" spans="4:18" ht="20.100000000000001" customHeight="1">
      <c r="D140" s="420"/>
      <c r="E140" s="23">
        <v>14</v>
      </c>
      <c r="F140" s="6"/>
      <c r="G140" s="7"/>
      <c r="H140" s="105"/>
      <c r="I140" s="21">
        <v>1</v>
      </c>
      <c r="J140" s="21">
        <v>0</v>
      </c>
      <c r="K140" s="21" t="str">
        <f t="shared" si="2"/>
        <v>MP5-1</v>
      </c>
      <c r="L140" s="30"/>
      <c r="M140" s="32"/>
      <c r="N140" s="425"/>
      <c r="O140" s="425"/>
      <c r="P140" s="31"/>
      <c r="Q140" s="32"/>
      <c r="R140" s="39"/>
    </row>
    <row r="141" spans="4:18" ht="20.100000000000001" customHeight="1">
      <c r="D141" s="420"/>
      <c r="E141" s="23">
        <v>15</v>
      </c>
      <c r="F141" s="16"/>
      <c r="G141" s="17"/>
      <c r="H141" s="105"/>
      <c r="I141" s="21">
        <v>1</v>
      </c>
      <c r="J141" s="21">
        <v>1</v>
      </c>
      <c r="K141" s="21" t="str">
        <f t="shared" si="2"/>
        <v>MP5-1</v>
      </c>
      <c r="L141" s="40"/>
      <c r="M141" s="32"/>
      <c r="N141" s="425"/>
      <c r="O141" s="425"/>
      <c r="P141" s="31"/>
      <c r="Q141" s="32"/>
      <c r="R141" s="39"/>
    </row>
    <row r="142" spans="4:18" ht="20.100000000000001" customHeight="1">
      <c r="D142" s="420"/>
      <c r="E142" s="23">
        <v>16</v>
      </c>
      <c r="F142" s="6"/>
      <c r="G142" s="7"/>
      <c r="H142" s="105"/>
      <c r="I142" s="21">
        <v>1</v>
      </c>
      <c r="J142" s="21">
        <v>2</v>
      </c>
      <c r="K142" s="21" t="str">
        <f t="shared" si="2"/>
        <v>MP5-1</v>
      </c>
      <c r="L142" s="41"/>
      <c r="M142" s="32"/>
      <c r="N142" s="425"/>
      <c r="O142" s="425"/>
      <c r="P142" s="31"/>
      <c r="Q142" s="32"/>
      <c r="R142" s="39"/>
    </row>
    <row r="143" spans="4:18" ht="20.100000000000001" customHeight="1">
      <c r="D143" s="420"/>
      <c r="E143" s="32">
        <v>17</v>
      </c>
      <c r="F143" s="6"/>
      <c r="G143" s="7"/>
      <c r="H143" s="106"/>
      <c r="I143" s="88">
        <v>1</v>
      </c>
      <c r="J143" s="88">
        <v>3</v>
      </c>
      <c r="K143" s="21" t="s">
        <v>85</v>
      </c>
      <c r="L143" s="31"/>
      <c r="M143" s="32"/>
      <c r="N143" s="425"/>
      <c r="O143" s="425"/>
      <c r="P143" s="31"/>
      <c r="Q143" s="32"/>
      <c r="R143" s="39"/>
    </row>
    <row r="144" spans="4:18" ht="20.100000000000001" customHeight="1">
      <c r="D144" s="420"/>
      <c r="E144" s="32">
        <v>18</v>
      </c>
      <c r="F144" s="16"/>
      <c r="G144" s="17"/>
      <c r="H144" s="157"/>
      <c r="I144" s="88">
        <v>1</v>
      </c>
      <c r="J144" s="88">
        <v>4</v>
      </c>
      <c r="K144" s="21" t="str">
        <f>K143</f>
        <v>MP5-2</v>
      </c>
      <c r="L144" s="31"/>
      <c r="M144" s="32"/>
      <c r="N144" s="425"/>
      <c r="O144" s="425"/>
      <c r="P144" s="31"/>
      <c r="Q144" s="32"/>
      <c r="R144" s="39"/>
    </row>
    <row r="145" spans="4:20" ht="20.100000000000001" customHeight="1">
      <c r="D145" s="420"/>
      <c r="E145" s="32">
        <v>19</v>
      </c>
      <c r="F145" s="6"/>
      <c r="G145" s="7"/>
      <c r="H145" s="105"/>
      <c r="I145" s="88">
        <v>1</v>
      </c>
      <c r="J145" s="88">
        <v>5</v>
      </c>
      <c r="K145" s="21" t="str">
        <f>K144</f>
        <v>MP5-2</v>
      </c>
      <c r="L145" s="31"/>
      <c r="M145" s="32"/>
      <c r="N145" s="425"/>
      <c r="O145" s="425"/>
      <c r="P145" s="31"/>
      <c r="Q145" s="32"/>
      <c r="R145" s="39"/>
    </row>
    <row r="146" spans="4:20" ht="20.100000000000001" customHeight="1">
      <c r="D146" s="420"/>
      <c r="E146" s="32">
        <v>20</v>
      </c>
      <c r="F146" s="6"/>
      <c r="G146" s="7"/>
      <c r="H146" s="105"/>
      <c r="I146" s="88">
        <v>1</v>
      </c>
      <c r="J146" s="88">
        <v>6</v>
      </c>
      <c r="K146" s="21" t="str">
        <f>K145</f>
        <v>MP5-2</v>
      </c>
      <c r="L146" s="31"/>
      <c r="M146" s="32"/>
      <c r="N146" s="425"/>
      <c r="O146" s="425"/>
      <c r="P146" s="31"/>
      <c r="Q146" s="32"/>
      <c r="R146" s="39"/>
    </row>
    <row r="147" spans="4:20" ht="20.100000000000001" customHeight="1" thickBot="1">
      <c r="D147" s="421"/>
      <c r="E147" s="26">
        <v>21</v>
      </c>
      <c r="F147" s="19"/>
      <c r="G147" s="155"/>
      <c r="H147" s="156"/>
      <c r="I147" s="103">
        <v>1</v>
      </c>
      <c r="J147" s="103">
        <v>7</v>
      </c>
      <c r="K147" s="24" t="str">
        <f>K146</f>
        <v>MP5-2</v>
      </c>
      <c r="L147" s="37"/>
      <c r="M147" s="26"/>
      <c r="N147" s="426"/>
      <c r="O147" s="426"/>
      <c r="P147" s="37"/>
      <c r="Q147" s="26"/>
      <c r="R147" s="38"/>
    </row>
    <row r="148" spans="4:20" ht="20.100000000000001" customHeight="1" thickBot="1">
      <c r="D148" s="78"/>
      <c r="E148" s="78"/>
      <c r="F148" s="79"/>
      <c r="G148" s="79"/>
      <c r="H148" s="79"/>
      <c r="I148" s="79"/>
      <c r="J148" s="79"/>
      <c r="K148" s="79"/>
      <c r="L148" s="80"/>
      <c r="M148" s="78"/>
      <c r="N148" s="81"/>
      <c r="O148" s="82"/>
      <c r="P148" s="80"/>
      <c r="Q148" s="78"/>
      <c r="R148" s="81"/>
    </row>
    <row r="149" spans="4:20" ht="20.100000000000001" customHeight="1" thickBot="1">
      <c r="D149" s="149" t="s">
        <v>519</v>
      </c>
      <c r="E149" s="134"/>
      <c r="F149" s="73"/>
      <c r="G149" s="74"/>
      <c r="H149" s="75"/>
      <c r="I149" s="150"/>
      <c r="J149" s="150"/>
      <c r="K149" s="150"/>
      <c r="L149" s="151"/>
      <c r="M149" s="136"/>
      <c r="N149" s="152"/>
      <c r="O149" s="126"/>
      <c r="P149" s="151"/>
      <c r="Q149" s="136"/>
      <c r="R149" s="153"/>
    </row>
    <row r="150" spans="4:20" ht="19.95" customHeight="1">
      <c r="D150" s="415" t="s">
        <v>82</v>
      </c>
      <c r="E150" s="417" t="s">
        <v>34</v>
      </c>
      <c r="F150" s="417" t="s">
        <v>73</v>
      </c>
      <c r="G150" s="398" t="s">
        <v>118</v>
      </c>
      <c r="H150" s="417" t="s">
        <v>75</v>
      </c>
      <c r="I150" s="417" t="s">
        <v>83</v>
      </c>
      <c r="J150" s="417"/>
      <c r="K150" s="417"/>
      <c r="L150" s="398" t="s">
        <v>348</v>
      </c>
      <c r="M150" s="398"/>
      <c r="N150" s="398"/>
      <c r="O150" s="398"/>
      <c r="P150" s="398" t="s">
        <v>349</v>
      </c>
      <c r="Q150" s="398"/>
      <c r="R150" s="399"/>
    </row>
    <row r="151" spans="4:20" ht="19.95" customHeight="1" thickBot="1">
      <c r="D151" s="416"/>
      <c r="E151" s="418"/>
      <c r="F151" s="418"/>
      <c r="G151" s="418"/>
      <c r="H151" s="418"/>
      <c r="I151" s="63" t="s">
        <v>57</v>
      </c>
      <c r="J151" s="63" t="s">
        <v>58</v>
      </c>
      <c r="K151" s="63" t="s">
        <v>82</v>
      </c>
      <c r="L151" s="64" t="s">
        <v>76</v>
      </c>
      <c r="M151" s="65" t="s">
        <v>77</v>
      </c>
      <c r="N151" s="400" t="s">
        <v>78</v>
      </c>
      <c r="O151" s="400"/>
      <c r="P151" s="64" t="s">
        <v>76</v>
      </c>
      <c r="Q151" s="65" t="s">
        <v>77</v>
      </c>
      <c r="R151" s="66" t="s">
        <v>79</v>
      </c>
    </row>
    <row r="152" spans="4:20" ht="19.95" customHeight="1">
      <c r="D152" s="420">
        <v>6</v>
      </c>
      <c r="E152" s="29">
        <v>1</v>
      </c>
      <c r="F152" s="6" t="s">
        <v>95</v>
      </c>
      <c r="G152" s="7" t="s">
        <v>170</v>
      </c>
      <c r="H152" s="105" t="s">
        <v>457</v>
      </c>
      <c r="I152" s="21">
        <v>0</v>
      </c>
      <c r="J152" s="21">
        <v>3</v>
      </c>
      <c r="K152" s="154" t="s">
        <v>86</v>
      </c>
      <c r="L152" s="91"/>
      <c r="M152" s="32"/>
      <c r="N152" s="425"/>
      <c r="O152" s="425"/>
      <c r="P152" s="31"/>
      <c r="Q152" s="32"/>
      <c r="R152" s="39"/>
      <c r="T152" s="83"/>
    </row>
    <row r="153" spans="4:20" ht="19.95" customHeight="1">
      <c r="D153" s="420"/>
      <c r="E153" s="23">
        <v>2</v>
      </c>
      <c r="F153" s="6" t="s">
        <v>68</v>
      </c>
      <c r="G153" s="7" t="s">
        <v>171</v>
      </c>
      <c r="H153" s="106" t="s">
        <v>534</v>
      </c>
      <c r="I153" s="21">
        <v>0</v>
      </c>
      <c r="J153" s="21">
        <v>4</v>
      </c>
      <c r="K153" s="21" t="str">
        <f>K152</f>
        <v>MP6-1</v>
      </c>
      <c r="L153" s="91"/>
      <c r="M153" s="32"/>
      <c r="N153" s="425"/>
      <c r="O153" s="425"/>
      <c r="P153" s="31"/>
      <c r="Q153" s="32"/>
      <c r="R153" s="39"/>
      <c r="T153" s="84"/>
    </row>
    <row r="154" spans="4:20" ht="19.95" customHeight="1">
      <c r="D154" s="420"/>
      <c r="E154" s="23">
        <v>3</v>
      </c>
      <c r="F154" s="6" t="s">
        <v>94</v>
      </c>
      <c r="G154" s="7" t="s">
        <v>172</v>
      </c>
      <c r="H154" s="105" t="s">
        <v>458</v>
      </c>
      <c r="I154" s="21">
        <v>0</v>
      </c>
      <c r="J154" s="21">
        <v>5</v>
      </c>
      <c r="K154" s="21" t="str">
        <f t="shared" ref="K154:K167" si="3">K153</f>
        <v>MP6-1</v>
      </c>
      <c r="L154" s="30"/>
      <c r="M154" s="32"/>
      <c r="N154" s="425"/>
      <c r="O154" s="425"/>
      <c r="P154" s="31"/>
      <c r="Q154" s="32"/>
      <c r="R154" s="39"/>
      <c r="T154" s="84"/>
    </row>
    <row r="155" spans="4:20" ht="19.95" customHeight="1">
      <c r="D155" s="420"/>
      <c r="E155" s="23">
        <v>4</v>
      </c>
      <c r="F155" s="6" t="s">
        <v>156</v>
      </c>
      <c r="G155" s="7" t="s">
        <v>207</v>
      </c>
      <c r="H155" s="105" t="s">
        <v>459</v>
      </c>
      <c r="I155" s="21">
        <v>0</v>
      </c>
      <c r="J155" s="21">
        <v>6</v>
      </c>
      <c r="K155" s="21" t="str">
        <f t="shared" si="3"/>
        <v>MP6-1</v>
      </c>
      <c r="L155" s="30"/>
      <c r="M155" s="32"/>
      <c r="N155" s="425"/>
      <c r="O155" s="425"/>
      <c r="P155" s="31"/>
      <c r="Q155" s="32"/>
      <c r="R155" s="39"/>
      <c r="T155" s="84"/>
    </row>
    <row r="156" spans="4:20" ht="19.95" customHeight="1">
      <c r="D156" s="420"/>
      <c r="E156" s="23">
        <v>5</v>
      </c>
      <c r="F156" s="6" t="s">
        <v>93</v>
      </c>
      <c r="G156" s="7" t="s">
        <v>173</v>
      </c>
      <c r="H156" s="105" t="s">
        <v>460</v>
      </c>
      <c r="I156" s="42">
        <v>0</v>
      </c>
      <c r="J156" s="42">
        <v>7</v>
      </c>
      <c r="K156" s="21" t="str">
        <f t="shared" si="3"/>
        <v>MP6-1</v>
      </c>
      <c r="L156" s="12"/>
      <c r="M156" s="32"/>
      <c r="N156" s="425"/>
      <c r="O156" s="425"/>
      <c r="P156" s="31"/>
      <c r="Q156" s="32"/>
      <c r="R156" s="39"/>
      <c r="T156" s="84"/>
    </row>
    <row r="157" spans="4:20" ht="19.95" customHeight="1">
      <c r="D157" s="420"/>
      <c r="E157" s="23">
        <v>6</v>
      </c>
      <c r="F157" s="6" t="s">
        <v>93</v>
      </c>
      <c r="G157" s="7" t="s">
        <v>174</v>
      </c>
      <c r="H157" s="105" t="s">
        <v>461</v>
      </c>
      <c r="I157" s="42">
        <v>0</v>
      </c>
      <c r="J157" s="42">
        <v>8</v>
      </c>
      <c r="K157" s="21" t="str">
        <f t="shared" si="3"/>
        <v>MP6-1</v>
      </c>
      <c r="L157" s="13"/>
      <c r="M157" s="32"/>
      <c r="N157" s="425"/>
      <c r="O157" s="425"/>
      <c r="P157" s="31"/>
      <c r="Q157" s="32"/>
      <c r="R157" s="39"/>
      <c r="T157" s="84"/>
    </row>
    <row r="158" spans="4:20" ht="19.95" customHeight="1">
      <c r="D158" s="420"/>
      <c r="E158" s="23">
        <v>7</v>
      </c>
      <c r="F158" s="6" t="s">
        <v>93</v>
      </c>
      <c r="G158" s="7" t="s">
        <v>175</v>
      </c>
      <c r="H158" s="105" t="s">
        <v>462</v>
      </c>
      <c r="I158" s="42">
        <v>0</v>
      </c>
      <c r="J158" s="42">
        <v>9</v>
      </c>
      <c r="K158" s="21" t="str">
        <f t="shared" si="3"/>
        <v>MP6-1</v>
      </c>
      <c r="L158" s="15"/>
      <c r="M158" s="32"/>
      <c r="N158" s="425"/>
      <c r="O158" s="425"/>
      <c r="P158" s="31"/>
      <c r="Q158" s="32"/>
      <c r="R158" s="39"/>
      <c r="T158" s="84"/>
    </row>
    <row r="159" spans="4:20" ht="19.95" customHeight="1">
      <c r="D159" s="420"/>
      <c r="E159" s="23">
        <v>8</v>
      </c>
      <c r="F159" s="16"/>
      <c r="G159" s="17"/>
      <c r="H159" s="15"/>
      <c r="I159" s="42">
        <v>0</v>
      </c>
      <c r="J159" s="42" t="s">
        <v>59</v>
      </c>
      <c r="K159" s="21" t="str">
        <f t="shared" si="3"/>
        <v>MP6-1</v>
      </c>
      <c r="L159" s="15"/>
      <c r="M159" s="32"/>
      <c r="N159" s="425"/>
      <c r="O159" s="425"/>
      <c r="P159" s="31"/>
      <c r="Q159" s="32"/>
      <c r="R159" s="39"/>
      <c r="T159" s="84"/>
    </row>
    <row r="160" spans="4:20" ht="19.95" customHeight="1">
      <c r="D160" s="420"/>
      <c r="E160" s="23">
        <v>9</v>
      </c>
      <c r="F160" s="16" t="s">
        <v>94</v>
      </c>
      <c r="G160" s="17" t="s">
        <v>176</v>
      </c>
      <c r="H160" s="15" t="s">
        <v>504</v>
      </c>
      <c r="I160" s="21">
        <v>0</v>
      </c>
      <c r="J160" s="21" t="s">
        <v>60</v>
      </c>
      <c r="K160" s="21" t="str">
        <f t="shared" si="3"/>
        <v>MP6-1</v>
      </c>
      <c r="L160" s="15"/>
      <c r="M160" s="32"/>
      <c r="N160" s="425"/>
      <c r="O160" s="425"/>
      <c r="P160" s="31"/>
      <c r="Q160" s="32"/>
      <c r="R160" s="39"/>
      <c r="T160" s="84"/>
    </row>
    <row r="161" spans="4:20" ht="19.95" customHeight="1">
      <c r="D161" s="420"/>
      <c r="E161" s="23">
        <v>10</v>
      </c>
      <c r="F161" s="16" t="s">
        <v>231</v>
      </c>
      <c r="G161" s="17" t="s">
        <v>177</v>
      </c>
      <c r="H161" s="15" t="s">
        <v>505</v>
      </c>
      <c r="I161" s="21">
        <v>0</v>
      </c>
      <c r="J161" s="21" t="s">
        <v>61</v>
      </c>
      <c r="K161" s="21" t="str">
        <f t="shared" si="3"/>
        <v>MP6-1</v>
      </c>
      <c r="L161" s="31"/>
      <c r="M161" s="32"/>
      <c r="N161" s="425"/>
      <c r="O161" s="425"/>
      <c r="P161" s="31"/>
      <c r="Q161" s="32"/>
      <c r="R161" s="39"/>
      <c r="T161" s="84"/>
    </row>
    <row r="162" spans="4:20" ht="19.95" customHeight="1">
      <c r="D162" s="420"/>
      <c r="E162" s="23">
        <v>11</v>
      </c>
      <c r="F162" s="16" t="s">
        <v>90</v>
      </c>
      <c r="G162" s="17" t="s">
        <v>178</v>
      </c>
      <c r="H162" s="15" t="s">
        <v>506</v>
      </c>
      <c r="I162" s="21">
        <v>0</v>
      </c>
      <c r="J162" s="21" t="s">
        <v>62</v>
      </c>
      <c r="K162" s="21" t="str">
        <f t="shared" si="3"/>
        <v>MP6-1</v>
      </c>
      <c r="L162" s="31"/>
      <c r="M162" s="32"/>
      <c r="N162" s="526"/>
      <c r="O162" s="526"/>
      <c r="P162" s="31"/>
      <c r="Q162" s="32"/>
      <c r="R162" s="39"/>
      <c r="T162" s="84"/>
    </row>
    <row r="163" spans="4:20" ht="19.95" customHeight="1">
      <c r="D163" s="420"/>
      <c r="E163" s="23">
        <v>12</v>
      </c>
      <c r="F163" s="10" t="s">
        <v>94</v>
      </c>
      <c r="G163" s="11" t="s">
        <v>179</v>
      </c>
      <c r="H163" s="12" t="s">
        <v>484</v>
      </c>
      <c r="I163" s="21">
        <v>0</v>
      </c>
      <c r="J163" s="21" t="s">
        <v>63</v>
      </c>
      <c r="K163" s="21" t="str">
        <f t="shared" si="3"/>
        <v>MP6-1</v>
      </c>
      <c r="L163" s="31"/>
      <c r="M163" s="32"/>
      <c r="N163" s="425"/>
      <c r="O163" s="425"/>
      <c r="P163" s="31"/>
      <c r="Q163" s="32"/>
      <c r="R163" s="39"/>
      <c r="T163" s="84"/>
    </row>
    <row r="164" spans="4:20" ht="19.95" customHeight="1">
      <c r="D164" s="420"/>
      <c r="E164" s="23">
        <v>13</v>
      </c>
      <c r="F164" s="6" t="s">
        <v>92</v>
      </c>
      <c r="G164" s="11" t="s">
        <v>180</v>
      </c>
      <c r="H164" s="13" t="s">
        <v>485</v>
      </c>
      <c r="I164" s="21">
        <v>0</v>
      </c>
      <c r="J164" s="21" t="s">
        <v>64</v>
      </c>
      <c r="K164" s="21" t="str">
        <f t="shared" si="3"/>
        <v>MP6-1</v>
      </c>
      <c r="L164" s="40"/>
      <c r="M164" s="32"/>
      <c r="N164" s="425"/>
      <c r="O164" s="425"/>
      <c r="P164" s="31"/>
      <c r="Q164" s="32"/>
      <c r="R164" s="39"/>
      <c r="T164" s="84"/>
    </row>
    <row r="165" spans="4:20" ht="19.95" customHeight="1">
      <c r="D165" s="420"/>
      <c r="E165" s="23">
        <v>14</v>
      </c>
      <c r="F165" s="16" t="s">
        <v>94</v>
      </c>
      <c r="G165" s="17" t="s">
        <v>273</v>
      </c>
      <c r="H165" s="15" t="s">
        <v>486</v>
      </c>
      <c r="I165" s="21">
        <v>1</v>
      </c>
      <c r="J165" s="21">
        <v>0</v>
      </c>
      <c r="K165" s="21" t="str">
        <f t="shared" si="3"/>
        <v>MP6-1</v>
      </c>
      <c r="L165" s="40"/>
      <c r="M165" s="32"/>
      <c r="N165" s="425"/>
      <c r="O165" s="425"/>
      <c r="P165" s="31"/>
      <c r="Q165" s="32"/>
      <c r="R165" s="39"/>
      <c r="T165" s="84"/>
    </row>
    <row r="166" spans="4:20" ht="19.95" customHeight="1">
      <c r="D166" s="420"/>
      <c r="E166" s="23">
        <v>15</v>
      </c>
      <c r="F166" s="16" t="s">
        <v>246</v>
      </c>
      <c r="G166" s="17" t="s">
        <v>181</v>
      </c>
      <c r="H166" s="15" t="s">
        <v>487</v>
      </c>
      <c r="I166" s="21">
        <v>1</v>
      </c>
      <c r="J166" s="21">
        <v>1</v>
      </c>
      <c r="K166" s="21" t="str">
        <f t="shared" si="3"/>
        <v>MP6-1</v>
      </c>
      <c r="L166" s="40"/>
      <c r="M166" s="32"/>
      <c r="N166" s="425"/>
      <c r="O166" s="425"/>
      <c r="P166" s="31"/>
      <c r="Q166" s="32"/>
      <c r="R166" s="39"/>
      <c r="T166" s="84"/>
    </row>
    <row r="167" spans="4:20" ht="19.95" customHeight="1">
      <c r="D167" s="420"/>
      <c r="E167" s="23">
        <v>16</v>
      </c>
      <c r="F167" s="16" t="s">
        <v>90</v>
      </c>
      <c r="G167" s="17" t="s">
        <v>182</v>
      </c>
      <c r="H167" s="15" t="s">
        <v>488</v>
      </c>
      <c r="I167" s="42">
        <v>1</v>
      </c>
      <c r="J167" s="42">
        <v>2</v>
      </c>
      <c r="K167" s="21" t="str">
        <f t="shared" si="3"/>
        <v>MP6-1</v>
      </c>
      <c r="L167" s="31"/>
      <c r="M167" s="32"/>
      <c r="N167" s="425"/>
      <c r="O167" s="425"/>
      <c r="P167" s="31"/>
      <c r="Q167" s="32"/>
      <c r="R167" s="39"/>
    </row>
    <row r="168" spans="4:20" ht="19.95" customHeight="1">
      <c r="D168" s="420"/>
      <c r="E168" s="23">
        <v>17</v>
      </c>
      <c r="F168" s="16"/>
      <c r="G168" s="17"/>
      <c r="H168" s="15"/>
      <c r="I168" s="88">
        <v>1</v>
      </c>
      <c r="J168" s="88">
        <v>3</v>
      </c>
      <c r="K168" s="21" t="s">
        <v>87</v>
      </c>
      <c r="L168" s="31"/>
      <c r="M168" s="31"/>
      <c r="N168" s="425"/>
      <c r="O168" s="425"/>
      <c r="P168" s="31"/>
      <c r="Q168" s="32"/>
      <c r="R168" s="39"/>
    </row>
    <row r="169" spans="4:20" ht="19.95" customHeight="1">
      <c r="D169" s="420"/>
      <c r="E169" s="23">
        <v>18</v>
      </c>
      <c r="F169" s="16"/>
      <c r="G169" s="17"/>
      <c r="H169" s="15"/>
      <c r="I169" s="88">
        <v>1</v>
      </c>
      <c r="J169" s="88">
        <v>4</v>
      </c>
      <c r="K169" s="21" t="str">
        <f>K168</f>
        <v>MP6-2</v>
      </c>
      <c r="L169" s="31"/>
      <c r="M169" s="32"/>
      <c r="N169" s="425"/>
      <c r="O169" s="425"/>
      <c r="P169" s="31"/>
      <c r="Q169" s="32"/>
      <c r="R169" s="39"/>
    </row>
    <row r="170" spans="4:20" ht="19.95" customHeight="1">
      <c r="D170" s="420"/>
      <c r="E170" s="23">
        <v>19</v>
      </c>
      <c r="F170" s="16"/>
      <c r="G170" s="17"/>
      <c r="H170" s="15"/>
      <c r="I170" s="88">
        <v>1</v>
      </c>
      <c r="J170" s="88">
        <v>5</v>
      </c>
      <c r="K170" s="21" t="str">
        <f>K169</f>
        <v>MP6-2</v>
      </c>
      <c r="L170" s="31"/>
      <c r="M170" s="32"/>
      <c r="N170" s="425"/>
      <c r="O170" s="425"/>
      <c r="P170" s="31"/>
      <c r="Q170" s="32"/>
      <c r="R170" s="39"/>
    </row>
    <row r="171" spans="4:20" ht="19.95" customHeight="1">
      <c r="D171" s="420"/>
      <c r="E171" s="23">
        <v>20</v>
      </c>
      <c r="F171" s="16"/>
      <c r="G171" s="17"/>
      <c r="H171" s="15"/>
      <c r="I171" s="88">
        <v>1</v>
      </c>
      <c r="J171" s="88">
        <v>6</v>
      </c>
      <c r="K171" s="21" t="str">
        <f>K170</f>
        <v>MP6-2</v>
      </c>
      <c r="L171" s="31"/>
      <c r="M171" s="32"/>
      <c r="N171" s="425"/>
      <c r="O171" s="425"/>
      <c r="P171" s="31"/>
      <c r="Q171" s="32"/>
      <c r="R171" s="39"/>
      <c r="T171" s="83"/>
    </row>
    <row r="172" spans="4:20" ht="19.95" customHeight="1" thickBot="1">
      <c r="D172" s="421"/>
      <c r="E172" s="26">
        <v>21</v>
      </c>
      <c r="F172" s="19"/>
      <c r="G172" s="19"/>
      <c r="H172" s="20"/>
      <c r="I172" s="103">
        <v>1</v>
      </c>
      <c r="J172" s="103">
        <v>7</v>
      </c>
      <c r="K172" s="24" t="str">
        <f>K171</f>
        <v>MP6-2</v>
      </c>
      <c r="L172" s="37"/>
      <c r="M172" s="26"/>
      <c r="N172" s="426"/>
      <c r="O172" s="426"/>
      <c r="P172" s="37"/>
      <c r="Q172" s="26"/>
      <c r="R172" s="38"/>
      <c r="T172" s="83"/>
    </row>
    <row r="173" spans="4:20" ht="19.95" customHeight="1" thickBot="1"/>
    <row r="174" spans="4:20" ht="19.95" customHeight="1" thickBot="1">
      <c r="D174" s="149" t="s">
        <v>518</v>
      </c>
      <c r="E174" s="134"/>
      <c r="F174" s="73"/>
      <c r="G174" s="74"/>
      <c r="H174" s="75"/>
      <c r="I174" s="150"/>
      <c r="J174" s="150"/>
      <c r="K174" s="150"/>
      <c r="L174" s="151"/>
      <c r="M174" s="136"/>
      <c r="N174" s="152"/>
      <c r="O174" s="126"/>
      <c r="P174" s="151"/>
      <c r="Q174" s="136"/>
      <c r="R174" s="153"/>
    </row>
    <row r="175" spans="4:20" ht="19.95" customHeight="1">
      <c r="D175" s="415" t="s">
        <v>82</v>
      </c>
      <c r="E175" s="417" t="s">
        <v>34</v>
      </c>
      <c r="F175" s="417" t="s">
        <v>73</v>
      </c>
      <c r="G175" s="398" t="s">
        <v>118</v>
      </c>
      <c r="H175" s="417" t="s">
        <v>75</v>
      </c>
      <c r="I175" s="417" t="s">
        <v>83</v>
      </c>
      <c r="J175" s="417"/>
      <c r="K175" s="417"/>
      <c r="L175" s="398" t="s">
        <v>348</v>
      </c>
      <c r="M175" s="398"/>
      <c r="N175" s="398"/>
      <c r="O175" s="398"/>
      <c r="P175" s="398" t="s">
        <v>349</v>
      </c>
      <c r="Q175" s="398"/>
      <c r="R175" s="399"/>
    </row>
    <row r="176" spans="4:20" ht="20.100000000000001" customHeight="1" thickBot="1">
      <c r="D176" s="416"/>
      <c r="E176" s="418"/>
      <c r="F176" s="418"/>
      <c r="G176" s="418"/>
      <c r="H176" s="418"/>
      <c r="I176" s="63" t="s">
        <v>57</v>
      </c>
      <c r="J176" s="63" t="s">
        <v>58</v>
      </c>
      <c r="K176" s="63" t="s">
        <v>82</v>
      </c>
      <c r="L176" s="64" t="s">
        <v>76</v>
      </c>
      <c r="M176" s="65" t="s">
        <v>77</v>
      </c>
      <c r="N176" s="400" t="s">
        <v>78</v>
      </c>
      <c r="O176" s="400"/>
      <c r="P176" s="64" t="s">
        <v>76</v>
      </c>
      <c r="Q176" s="65" t="s">
        <v>77</v>
      </c>
      <c r="R176" s="66" t="s">
        <v>79</v>
      </c>
    </row>
    <row r="177" spans="4:18" ht="20.100000000000001" customHeight="1">
      <c r="D177" s="419">
        <v>7</v>
      </c>
      <c r="E177" s="139">
        <v>1</v>
      </c>
      <c r="F177" s="140" t="s">
        <v>95</v>
      </c>
      <c r="G177" s="17" t="s">
        <v>183</v>
      </c>
      <c r="H177" s="142" t="s">
        <v>516</v>
      </c>
      <c r="I177" s="143">
        <v>0</v>
      </c>
      <c r="J177" s="143">
        <v>3</v>
      </c>
      <c r="K177" s="154" t="s">
        <v>154</v>
      </c>
      <c r="L177" s="145"/>
      <c r="M177" s="148"/>
      <c r="N177" s="462"/>
      <c r="O177" s="462"/>
      <c r="P177" s="147"/>
      <c r="Q177" s="148"/>
      <c r="R177" s="138"/>
    </row>
    <row r="178" spans="4:18" ht="20.100000000000001" customHeight="1">
      <c r="D178" s="420"/>
      <c r="E178" s="23">
        <v>2</v>
      </c>
      <c r="F178" s="16" t="s">
        <v>68</v>
      </c>
      <c r="G178" s="17" t="s">
        <v>274</v>
      </c>
      <c r="H178" s="15" t="s">
        <v>360</v>
      </c>
      <c r="I178" s="88">
        <v>0</v>
      </c>
      <c r="J178" s="88">
        <v>4</v>
      </c>
      <c r="K178" s="21" t="str">
        <f>K177</f>
        <v>MP7-1</v>
      </c>
      <c r="L178" s="30"/>
      <c r="M178" s="32"/>
      <c r="N178" s="425"/>
      <c r="O178" s="425"/>
      <c r="P178" s="31"/>
      <c r="Q178" s="32"/>
      <c r="R178" s="39"/>
    </row>
    <row r="179" spans="4:18" ht="20.100000000000001" customHeight="1">
      <c r="D179" s="420"/>
      <c r="E179" s="23">
        <v>3</v>
      </c>
      <c r="F179" s="14" t="s">
        <v>97</v>
      </c>
      <c r="G179" s="17" t="s">
        <v>184</v>
      </c>
      <c r="H179" s="15" t="s">
        <v>434</v>
      </c>
      <c r="I179" s="88">
        <v>0</v>
      </c>
      <c r="J179" s="88">
        <v>5</v>
      </c>
      <c r="K179" s="21" t="str">
        <f t="shared" ref="K179:K192" si="4">K178</f>
        <v>MP7-1</v>
      </c>
      <c r="L179" s="30"/>
      <c r="M179" s="32"/>
      <c r="N179" s="425"/>
      <c r="O179" s="425"/>
      <c r="P179" s="31"/>
      <c r="Q179" s="32"/>
      <c r="R179" s="39"/>
    </row>
    <row r="180" spans="4:18" ht="20.100000000000001" customHeight="1">
      <c r="D180" s="420"/>
      <c r="E180" s="23">
        <v>4</v>
      </c>
      <c r="F180" s="16" t="s">
        <v>97</v>
      </c>
      <c r="G180" s="17" t="s">
        <v>185</v>
      </c>
      <c r="H180" s="15" t="s">
        <v>429</v>
      </c>
      <c r="I180" s="88">
        <v>0</v>
      </c>
      <c r="J180" s="88">
        <v>6</v>
      </c>
      <c r="K180" s="21" t="str">
        <f t="shared" si="4"/>
        <v>MP7-1</v>
      </c>
      <c r="L180" s="30"/>
      <c r="M180" s="32"/>
      <c r="N180" s="425"/>
      <c r="O180" s="425"/>
      <c r="P180" s="31"/>
      <c r="Q180" s="32"/>
      <c r="R180" s="39"/>
    </row>
    <row r="181" spans="4:18" ht="20.100000000000001" customHeight="1">
      <c r="D181" s="420"/>
      <c r="E181" s="23">
        <v>5</v>
      </c>
      <c r="F181" s="16"/>
      <c r="G181" s="17"/>
      <c r="H181" s="15"/>
      <c r="I181" s="88">
        <v>0</v>
      </c>
      <c r="J181" s="88">
        <v>7</v>
      </c>
      <c r="K181" s="21" t="str">
        <f t="shared" si="4"/>
        <v>MP7-1</v>
      </c>
      <c r="L181" s="30"/>
      <c r="M181" s="32"/>
      <c r="N181" s="425"/>
      <c r="O181" s="425"/>
      <c r="P181" s="31"/>
      <c r="Q181" s="32"/>
      <c r="R181" s="39"/>
    </row>
    <row r="182" spans="4:18" ht="20.100000000000001" customHeight="1">
      <c r="D182" s="420"/>
      <c r="E182" s="23">
        <v>6</v>
      </c>
      <c r="F182" s="16" t="s">
        <v>95</v>
      </c>
      <c r="G182" s="17" t="s">
        <v>186</v>
      </c>
      <c r="H182" s="15" t="s">
        <v>369</v>
      </c>
      <c r="I182" s="88">
        <v>0</v>
      </c>
      <c r="J182" s="88">
        <v>8</v>
      </c>
      <c r="K182" s="21" t="str">
        <f t="shared" si="4"/>
        <v>MP7-1</v>
      </c>
      <c r="L182" s="30"/>
      <c r="M182" s="32"/>
      <c r="N182" s="425"/>
      <c r="O182" s="425"/>
      <c r="P182" s="31"/>
      <c r="Q182" s="32"/>
      <c r="R182" s="39"/>
    </row>
    <row r="183" spans="4:18" ht="20.100000000000001" customHeight="1">
      <c r="D183" s="420"/>
      <c r="E183" s="23">
        <v>7</v>
      </c>
      <c r="F183" s="16" t="s">
        <v>70</v>
      </c>
      <c r="G183" s="17" t="s">
        <v>187</v>
      </c>
      <c r="H183" s="15" t="s">
        <v>535</v>
      </c>
      <c r="I183" s="88">
        <v>0</v>
      </c>
      <c r="J183" s="88">
        <v>9</v>
      </c>
      <c r="K183" s="21" t="str">
        <f t="shared" si="4"/>
        <v>MP7-1</v>
      </c>
      <c r="L183" s="40"/>
      <c r="M183" s="32"/>
      <c r="N183" s="425"/>
      <c r="O183" s="425"/>
      <c r="P183" s="31"/>
      <c r="Q183" s="32"/>
      <c r="R183" s="39"/>
    </row>
    <row r="184" spans="4:18" ht="20.100000000000001" customHeight="1">
      <c r="D184" s="420"/>
      <c r="E184" s="23">
        <v>8</v>
      </c>
      <c r="F184" s="16" t="s">
        <v>95</v>
      </c>
      <c r="G184" s="17" t="s">
        <v>275</v>
      </c>
      <c r="H184" s="15" t="s">
        <v>370</v>
      </c>
      <c r="I184" s="88">
        <v>0</v>
      </c>
      <c r="J184" s="88" t="s">
        <v>59</v>
      </c>
      <c r="K184" s="21" t="str">
        <f t="shared" si="4"/>
        <v>MP7-1</v>
      </c>
      <c r="L184" s="40"/>
      <c r="M184" s="32"/>
      <c r="N184" s="425"/>
      <c r="O184" s="425"/>
      <c r="P184" s="31"/>
      <c r="Q184" s="32"/>
      <c r="R184" s="39"/>
    </row>
    <row r="185" spans="4:18" ht="20.100000000000001" customHeight="1">
      <c r="D185" s="420"/>
      <c r="E185" s="23">
        <v>9</v>
      </c>
      <c r="F185" s="16" t="s">
        <v>71</v>
      </c>
      <c r="G185" s="17" t="s">
        <v>193</v>
      </c>
      <c r="H185" s="15" t="s">
        <v>536</v>
      </c>
      <c r="I185" s="88">
        <v>0</v>
      </c>
      <c r="J185" s="88" t="s">
        <v>60</v>
      </c>
      <c r="K185" s="21" t="str">
        <f t="shared" si="4"/>
        <v>MP7-1</v>
      </c>
      <c r="L185" s="40"/>
      <c r="M185" s="32"/>
      <c r="N185" s="425"/>
      <c r="O185" s="425"/>
      <c r="P185" s="31"/>
      <c r="Q185" s="32"/>
      <c r="R185" s="39"/>
    </row>
    <row r="186" spans="4:18" ht="20.100000000000001" customHeight="1">
      <c r="D186" s="420"/>
      <c r="E186" s="23">
        <v>10</v>
      </c>
      <c r="F186" s="16"/>
      <c r="G186" s="17"/>
      <c r="H186" s="15"/>
      <c r="I186" s="88">
        <v>0</v>
      </c>
      <c r="J186" s="88" t="s">
        <v>61</v>
      </c>
      <c r="K186" s="21" t="str">
        <f t="shared" si="4"/>
        <v>MP7-1</v>
      </c>
      <c r="L186" s="40"/>
      <c r="M186" s="32"/>
      <c r="N186" s="425"/>
      <c r="O186" s="425"/>
      <c r="P186" s="31"/>
      <c r="Q186" s="32"/>
      <c r="R186" s="39"/>
    </row>
    <row r="187" spans="4:18" ht="20.100000000000001" customHeight="1">
      <c r="D187" s="420"/>
      <c r="E187" s="23">
        <v>11</v>
      </c>
      <c r="F187" s="10" t="s">
        <v>94</v>
      </c>
      <c r="G187" s="17" t="s">
        <v>194</v>
      </c>
      <c r="H187" s="12" t="s">
        <v>544</v>
      </c>
      <c r="I187" s="88">
        <v>0</v>
      </c>
      <c r="J187" s="88" t="s">
        <v>62</v>
      </c>
      <c r="K187" s="21" t="str">
        <f t="shared" si="4"/>
        <v>MP7-1</v>
      </c>
      <c r="L187" s="30"/>
      <c r="M187" s="32"/>
      <c r="N187" s="425"/>
      <c r="O187" s="425"/>
      <c r="P187" s="31"/>
      <c r="Q187" s="32"/>
      <c r="R187" s="39"/>
    </row>
    <row r="188" spans="4:18" ht="20.100000000000001" customHeight="1">
      <c r="D188" s="420"/>
      <c r="E188" s="23">
        <v>12</v>
      </c>
      <c r="F188" s="10" t="s">
        <v>69</v>
      </c>
      <c r="G188" s="17" t="s">
        <v>276</v>
      </c>
      <c r="H188" s="12" t="s">
        <v>545</v>
      </c>
      <c r="I188" s="88">
        <v>0</v>
      </c>
      <c r="J188" s="88" t="s">
        <v>63</v>
      </c>
      <c r="K188" s="21" t="str">
        <f t="shared" si="4"/>
        <v>MP7-1</v>
      </c>
      <c r="L188" s="30"/>
      <c r="M188" s="32"/>
      <c r="N188" s="425"/>
      <c r="O188" s="425"/>
      <c r="P188" s="31"/>
      <c r="Q188" s="32"/>
      <c r="R188" s="39"/>
    </row>
    <row r="189" spans="4:18" ht="20.100000000000001" customHeight="1">
      <c r="D189" s="420"/>
      <c r="E189" s="23">
        <v>13</v>
      </c>
      <c r="F189" s="6"/>
      <c r="G189" s="7"/>
      <c r="H189" s="13"/>
      <c r="I189" s="88">
        <v>0</v>
      </c>
      <c r="J189" s="88" t="s">
        <v>64</v>
      </c>
      <c r="K189" s="21" t="str">
        <f t="shared" si="4"/>
        <v>MP7-1</v>
      </c>
      <c r="L189" s="30"/>
      <c r="M189" s="32"/>
      <c r="N189" s="425"/>
      <c r="O189" s="425"/>
      <c r="P189" s="31"/>
      <c r="Q189" s="32"/>
      <c r="R189" s="39"/>
    </row>
    <row r="190" spans="4:18" ht="20.100000000000001" customHeight="1">
      <c r="D190" s="420"/>
      <c r="E190" s="23">
        <v>14</v>
      </c>
      <c r="F190" s="6"/>
      <c r="G190" s="17"/>
      <c r="H190" s="15"/>
      <c r="I190" s="88">
        <v>1</v>
      </c>
      <c r="J190" s="88">
        <v>0</v>
      </c>
      <c r="K190" s="21" t="str">
        <f t="shared" si="4"/>
        <v>MP7-1</v>
      </c>
      <c r="L190" s="30"/>
      <c r="M190" s="32"/>
      <c r="N190" s="425"/>
      <c r="O190" s="425"/>
      <c r="P190" s="31"/>
      <c r="Q190" s="32"/>
      <c r="R190" s="39"/>
    </row>
    <row r="191" spans="4:18" ht="20.100000000000001" customHeight="1">
      <c r="D191" s="420"/>
      <c r="E191" s="23">
        <v>15</v>
      </c>
      <c r="F191" s="16"/>
      <c r="G191" s="17"/>
      <c r="H191" s="15"/>
      <c r="I191" s="88">
        <v>1</v>
      </c>
      <c r="J191" s="88">
        <v>1</v>
      </c>
      <c r="K191" s="21" t="str">
        <f t="shared" si="4"/>
        <v>MP7-1</v>
      </c>
      <c r="L191" s="40"/>
      <c r="M191" s="32"/>
      <c r="N191" s="425"/>
      <c r="O191" s="425"/>
      <c r="P191" s="31"/>
      <c r="Q191" s="32"/>
      <c r="R191" s="39"/>
    </row>
    <row r="192" spans="4:18" ht="20.100000000000001" customHeight="1">
      <c r="D192" s="420"/>
      <c r="E192" s="23">
        <v>16</v>
      </c>
      <c r="F192" s="6"/>
      <c r="G192" s="17"/>
      <c r="H192" s="15"/>
      <c r="I192" s="88">
        <v>1</v>
      </c>
      <c r="J192" s="88">
        <v>2</v>
      </c>
      <c r="K192" s="21" t="str">
        <f t="shared" si="4"/>
        <v>MP7-1</v>
      </c>
      <c r="L192" s="41"/>
      <c r="M192" s="32"/>
      <c r="N192" s="425"/>
      <c r="O192" s="425"/>
      <c r="P192" s="31"/>
      <c r="Q192" s="32"/>
      <c r="R192" s="39"/>
    </row>
    <row r="193" spans="4:18" ht="20.100000000000001" customHeight="1">
      <c r="D193" s="420"/>
      <c r="E193" s="32">
        <v>17</v>
      </c>
      <c r="F193" s="6"/>
      <c r="G193" s="11"/>
      <c r="H193" s="15"/>
      <c r="I193" s="88">
        <v>1</v>
      </c>
      <c r="J193" s="88">
        <v>3</v>
      </c>
      <c r="K193" s="21" t="s">
        <v>155</v>
      </c>
      <c r="L193" s="31"/>
      <c r="M193" s="32"/>
      <c r="N193" s="425"/>
      <c r="O193" s="425"/>
      <c r="P193" s="31"/>
      <c r="Q193" s="32"/>
      <c r="R193" s="39"/>
    </row>
    <row r="194" spans="4:18" ht="20.100000000000001" customHeight="1">
      <c r="D194" s="420"/>
      <c r="E194" s="32">
        <v>18</v>
      </c>
      <c r="F194" s="16"/>
      <c r="G194" s="17"/>
      <c r="H194" s="15"/>
      <c r="I194" s="88">
        <v>1</v>
      </c>
      <c r="J194" s="88">
        <v>4</v>
      </c>
      <c r="K194" s="21" t="str">
        <f>K193</f>
        <v>MP7-2</v>
      </c>
      <c r="L194" s="31"/>
      <c r="M194" s="32"/>
      <c r="N194" s="425"/>
      <c r="O194" s="425"/>
      <c r="P194" s="31"/>
      <c r="Q194" s="32"/>
      <c r="R194" s="39"/>
    </row>
    <row r="195" spans="4:18" ht="20.100000000000001" customHeight="1">
      <c r="D195" s="420"/>
      <c r="E195" s="32">
        <v>19</v>
      </c>
      <c r="F195" s="6"/>
      <c r="G195" s="17"/>
      <c r="H195" s="15"/>
      <c r="I195" s="88">
        <v>1</v>
      </c>
      <c r="J195" s="88">
        <v>5</v>
      </c>
      <c r="K195" s="21" t="str">
        <f>K194</f>
        <v>MP7-2</v>
      </c>
      <c r="L195" s="31"/>
      <c r="M195" s="32"/>
      <c r="N195" s="425"/>
      <c r="O195" s="425"/>
      <c r="P195" s="31"/>
      <c r="Q195" s="32"/>
      <c r="R195" s="39"/>
    </row>
    <row r="196" spans="4:18" ht="20.100000000000001" customHeight="1">
      <c r="D196" s="420"/>
      <c r="E196" s="32">
        <v>20</v>
      </c>
      <c r="F196" s="6"/>
      <c r="G196" s="17"/>
      <c r="H196" s="15"/>
      <c r="I196" s="88">
        <v>1</v>
      </c>
      <c r="J196" s="88">
        <v>6</v>
      </c>
      <c r="K196" s="21" t="str">
        <f>K195</f>
        <v>MP7-2</v>
      </c>
      <c r="L196" s="31"/>
      <c r="M196" s="32"/>
      <c r="N196" s="425"/>
      <c r="O196" s="425"/>
      <c r="P196" s="31"/>
      <c r="Q196" s="32"/>
      <c r="R196" s="39"/>
    </row>
    <row r="197" spans="4:18" ht="20.100000000000001" customHeight="1" thickBot="1">
      <c r="D197" s="421"/>
      <c r="E197" s="26">
        <v>21</v>
      </c>
      <c r="F197" s="19"/>
      <c r="G197" s="155"/>
      <c r="H197" s="20"/>
      <c r="I197" s="103">
        <v>1</v>
      </c>
      <c r="J197" s="103">
        <v>7</v>
      </c>
      <c r="K197" s="24" t="str">
        <f>K196</f>
        <v>MP7-2</v>
      </c>
      <c r="L197" s="37"/>
      <c r="M197" s="26"/>
      <c r="N197" s="426"/>
      <c r="O197" s="426"/>
      <c r="P197" s="37"/>
      <c r="Q197" s="26"/>
      <c r="R197" s="38"/>
    </row>
    <row r="198" spans="4:18" ht="19.95" customHeight="1" thickBot="1">
      <c r="F198" s="79"/>
    </row>
    <row r="199" spans="4:18" ht="19.95" customHeight="1" thickBot="1">
      <c r="D199" s="149" t="s">
        <v>518</v>
      </c>
      <c r="E199" s="134"/>
      <c r="F199" s="73"/>
      <c r="G199" s="74"/>
      <c r="H199" s="75"/>
      <c r="I199" s="150"/>
      <c r="J199" s="150"/>
      <c r="K199" s="150"/>
      <c r="L199" s="151"/>
      <c r="M199" s="136"/>
      <c r="N199" s="152"/>
      <c r="O199" s="126"/>
      <c r="P199" s="151"/>
      <c r="Q199" s="136"/>
      <c r="R199" s="153"/>
    </row>
    <row r="200" spans="4:18" ht="19.95" customHeight="1">
      <c r="D200" s="415" t="s">
        <v>82</v>
      </c>
      <c r="E200" s="417" t="s">
        <v>34</v>
      </c>
      <c r="F200" s="417" t="s">
        <v>73</v>
      </c>
      <c r="G200" s="398" t="s">
        <v>118</v>
      </c>
      <c r="H200" s="417" t="s">
        <v>75</v>
      </c>
      <c r="I200" s="417" t="s">
        <v>83</v>
      </c>
      <c r="J200" s="417"/>
      <c r="K200" s="417"/>
      <c r="L200" s="398" t="s">
        <v>348</v>
      </c>
      <c r="M200" s="398"/>
      <c r="N200" s="398"/>
      <c r="O200" s="398"/>
      <c r="P200" s="398" t="s">
        <v>349</v>
      </c>
      <c r="Q200" s="398"/>
      <c r="R200" s="399"/>
    </row>
    <row r="201" spans="4:18" ht="20.100000000000001" customHeight="1" thickBot="1">
      <c r="D201" s="416"/>
      <c r="E201" s="418"/>
      <c r="F201" s="418"/>
      <c r="G201" s="418"/>
      <c r="H201" s="418"/>
      <c r="I201" s="63" t="s">
        <v>57</v>
      </c>
      <c r="J201" s="63" t="s">
        <v>58</v>
      </c>
      <c r="K201" s="63" t="s">
        <v>82</v>
      </c>
      <c r="L201" s="64" t="s">
        <v>76</v>
      </c>
      <c r="M201" s="65" t="s">
        <v>77</v>
      </c>
      <c r="N201" s="400" t="s">
        <v>78</v>
      </c>
      <c r="O201" s="400"/>
      <c r="P201" s="64" t="s">
        <v>76</v>
      </c>
      <c r="Q201" s="65" t="s">
        <v>77</v>
      </c>
      <c r="R201" s="66" t="s">
        <v>79</v>
      </c>
    </row>
    <row r="202" spans="4:18" ht="20.100000000000001" customHeight="1">
      <c r="D202" s="419">
        <v>8</v>
      </c>
      <c r="E202" s="139">
        <v>1</v>
      </c>
      <c r="F202" s="6" t="s">
        <v>95</v>
      </c>
      <c r="G202" s="7" t="s">
        <v>277</v>
      </c>
      <c r="H202" s="105" t="s">
        <v>463</v>
      </c>
      <c r="I202" s="143">
        <v>0</v>
      </c>
      <c r="J202" s="143">
        <v>3</v>
      </c>
      <c r="K202" s="154" t="s">
        <v>195</v>
      </c>
      <c r="L202" s="145"/>
      <c r="M202" s="148"/>
      <c r="N202" s="462"/>
      <c r="O202" s="462"/>
      <c r="P202" s="147"/>
      <c r="Q202" s="148"/>
      <c r="R202" s="138"/>
    </row>
    <row r="203" spans="4:18" ht="20.100000000000001" customHeight="1">
      <c r="D203" s="420"/>
      <c r="E203" s="23">
        <v>2</v>
      </c>
      <c r="F203" s="6" t="s">
        <v>68</v>
      </c>
      <c r="G203" s="7" t="s">
        <v>278</v>
      </c>
      <c r="H203" s="106" t="s">
        <v>537</v>
      </c>
      <c r="I203" s="88">
        <v>0</v>
      </c>
      <c r="J203" s="88">
        <v>4</v>
      </c>
      <c r="K203" s="21" t="str">
        <f>K202</f>
        <v>MP8-1</v>
      </c>
      <c r="L203" s="30"/>
      <c r="M203" s="32"/>
      <c r="N203" s="425"/>
      <c r="O203" s="425"/>
      <c r="P203" s="31"/>
      <c r="Q203" s="32"/>
      <c r="R203" s="39"/>
    </row>
    <row r="204" spans="4:18" ht="20.100000000000001" customHeight="1">
      <c r="D204" s="420"/>
      <c r="E204" s="23">
        <v>3</v>
      </c>
      <c r="F204" s="6" t="s">
        <v>94</v>
      </c>
      <c r="G204" s="7" t="s">
        <v>279</v>
      </c>
      <c r="H204" s="105" t="s">
        <v>464</v>
      </c>
      <c r="I204" s="88">
        <v>0</v>
      </c>
      <c r="J204" s="88">
        <v>5</v>
      </c>
      <c r="K204" s="21" t="str">
        <f t="shared" ref="K204:K217" si="5">K203</f>
        <v>MP8-1</v>
      </c>
      <c r="L204" s="30"/>
      <c r="M204" s="32"/>
      <c r="N204" s="425"/>
      <c r="O204" s="425"/>
      <c r="P204" s="31"/>
      <c r="Q204" s="32"/>
      <c r="R204" s="39"/>
    </row>
    <row r="205" spans="4:18" ht="20.100000000000001" customHeight="1">
      <c r="D205" s="420"/>
      <c r="E205" s="23">
        <v>4</v>
      </c>
      <c r="F205" s="6" t="s">
        <v>156</v>
      </c>
      <c r="G205" s="7" t="s">
        <v>280</v>
      </c>
      <c r="H205" s="105" t="s">
        <v>465</v>
      </c>
      <c r="I205" s="88">
        <v>0</v>
      </c>
      <c r="J205" s="88">
        <v>6</v>
      </c>
      <c r="K205" s="21" t="str">
        <f t="shared" si="5"/>
        <v>MP8-1</v>
      </c>
      <c r="L205" s="30"/>
      <c r="M205" s="32"/>
      <c r="N205" s="425"/>
      <c r="O205" s="425"/>
      <c r="P205" s="31"/>
      <c r="Q205" s="32"/>
      <c r="R205" s="39"/>
    </row>
    <row r="206" spans="4:18" ht="20.100000000000001" customHeight="1">
      <c r="D206" s="420"/>
      <c r="E206" s="23">
        <v>5</v>
      </c>
      <c r="F206" s="6" t="s">
        <v>93</v>
      </c>
      <c r="G206" s="7" t="s">
        <v>302</v>
      </c>
      <c r="H206" s="105" t="s">
        <v>466</v>
      </c>
      <c r="I206" s="88">
        <v>0</v>
      </c>
      <c r="J206" s="88">
        <v>7</v>
      </c>
      <c r="K206" s="21" t="str">
        <f t="shared" si="5"/>
        <v>MP8-1</v>
      </c>
      <c r="L206" s="30"/>
      <c r="M206" s="32"/>
      <c r="N206" s="425"/>
      <c r="O206" s="425"/>
      <c r="P206" s="31"/>
      <c r="Q206" s="32"/>
      <c r="R206" s="39"/>
    </row>
    <row r="207" spans="4:18" ht="20.100000000000001" customHeight="1">
      <c r="D207" s="420"/>
      <c r="E207" s="23">
        <v>6</v>
      </c>
      <c r="F207" s="6" t="s">
        <v>93</v>
      </c>
      <c r="G207" s="7" t="s">
        <v>303</v>
      </c>
      <c r="H207" s="105" t="s">
        <v>467</v>
      </c>
      <c r="I207" s="88">
        <v>0</v>
      </c>
      <c r="J207" s="88">
        <v>8</v>
      </c>
      <c r="K207" s="21" t="str">
        <f t="shared" si="5"/>
        <v>MP8-1</v>
      </c>
      <c r="L207" s="30"/>
      <c r="M207" s="32"/>
      <c r="N207" s="425"/>
      <c r="O207" s="425"/>
      <c r="P207" s="31"/>
      <c r="Q207" s="32"/>
      <c r="R207" s="39"/>
    </row>
    <row r="208" spans="4:18" ht="20.100000000000001" customHeight="1">
      <c r="D208" s="420"/>
      <c r="E208" s="23">
        <v>7</v>
      </c>
      <c r="F208" s="6" t="s">
        <v>93</v>
      </c>
      <c r="G208" s="7" t="s">
        <v>281</v>
      </c>
      <c r="H208" s="105" t="s">
        <v>468</v>
      </c>
      <c r="I208" s="88">
        <v>0</v>
      </c>
      <c r="J208" s="88">
        <v>9</v>
      </c>
      <c r="K208" s="21" t="str">
        <f t="shared" si="5"/>
        <v>MP8-1</v>
      </c>
      <c r="L208" s="40"/>
      <c r="M208" s="32"/>
      <c r="N208" s="425"/>
      <c r="O208" s="425"/>
      <c r="P208" s="31"/>
      <c r="Q208" s="32"/>
      <c r="R208" s="39"/>
    </row>
    <row r="209" spans="4:18" ht="20.100000000000001" customHeight="1">
      <c r="D209" s="420"/>
      <c r="E209" s="23">
        <v>8</v>
      </c>
      <c r="F209" s="16"/>
      <c r="G209" s="141"/>
      <c r="H209" s="9"/>
      <c r="I209" s="88">
        <v>0</v>
      </c>
      <c r="J209" s="88" t="s">
        <v>59</v>
      </c>
      <c r="K209" s="21" t="str">
        <f t="shared" si="5"/>
        <v>MP8-1</v>
      </c>
      <c r="L209" s="40"/>
      <c r="M209" s="32"/>
      <c r="N209" s="425"/>
      <c r="O209" s="425"/>
      <c r="P209" s="31"/>
      <c r="Q209" s="32"/>
      <c r="R209" s="39"/>
    </row>
    <row r="210" spans="4:18" ht="20.100000000000001" customHeight="1">
      <c r="D210" s="420"/>
      <c r="E210" s="23">
        <v>9</v>
      </c>
      <c r="F210" s="16" t="s">
        <v>94</v>
      </c>
      <c r="G210" s="17" t="s">
        <v>282</v>
      </c>
      <c r="H210" s="15" t="s">
        <v>507</v>
      </c>
      <c r="I210" s="88">
        <v>0</v>
      </c>
      <c r="J210" s="88" t="s">
        <v>60</v>
      </c>
      <c r="K210" s="21" t="str">
        <f t="shared" si="5"/>
        <v>MP8-1</v>
      </c>
      <c r="L210" s="40"/>
      <c r="M210" s="32"/>
      <c r="N210" s="425"/>
      <c r="O210" s="425"/>
      <c r="P210" s="31"/>
      <c r="Q210" s="32"/>
      <c r="R210" s="39"/>
    </row>
    <row r="211" spans="4:18" ht="20.100000000000001" customHeight="1">
      <c r="D211" s="420"/>
      <c r="E211" s="23">
        <v>10</v>
      </c>
      <c r="F211" s="16" t="s">
        <v>231</v>
      </c>
      <c r="G211" s="17" t="s">
        <v>283</v>
      </c>
      <c r="H211" s="15" t="s">
        <v>508</v>
      </c>
      <c r="I211" s="88">
        <v>0</v>
      </c>
      <c r="J211" s="88" t="s">
        <v>61</v>
      </c>
      <c r="K211" s="21" t="str">
        <f t="shared" si="5"/>
        <v>MP8-1</v>
      </c>
      <c r="L211" s="40"/>
      <c r="M211" s="32"/>
      <c r="N211" s="425"/>
      <c r="O211" s="425"/>
      <c r="P211" s="31"/>
      <c r="Q211" s="32"/>
      <c r="R211" s="39"/>
    </row>
    <row r="212" spans="4:18" ht="20.100000000000001" customHeight="1">
      <c r="D212" s="420"/>
      <c r="E212" s="23">
        <v>11</v>
      </c>
      <c r="F212" s="16" t="s">
        <v>90</v>
      </c>
      <c r="G212" s="17" t="s">
        <v>284</v>
      </c>
      <c r="H212" s="15" t="s">
        <v>509</v>
      </c>
      <c r="I212" s="88">
        <v>0</v>
      </c>
      <c r="J212" s="88" t="s">
        <v>62</v>
      </c>
      <c r="K212" s="21" t="str">
        <f t="shared" si="5"/>
        <v>MP8-1</v>
      </c>
      <c r="L212" s="30"/>
      <c r="M212" s="32"/>
      <c r="N212" s="425"/>
      <c r="O212" s="425"/>
      <c r="P212" s="31"/>
      <c r="Q212" s="32"/>
      <c r="R212" s="39"/>
    </row>
    <row r="213" spans="4:18" ht="20.100000000000001" customHeight="1">
      <c r="D213" s="420"/>
      <c r="E213" s="23">
        <v>12</v>
      </c>
      <c r="F213" s="10" t="s">
        <v>94</v>
      </c>
      <c r="G213" s="11" t="s">
        <v>304</v>
      </c>
      <c r="H213" s="15" t="s">
        <v>489</v>
      </c>
      <c r="I213" s="88">
        <v>0</v>
      </c>
      <c r="J213" s="88" t="s">
        <v>63</v>
      </c>
      <c r="K213" s="21" t="str">
        <f t="shared" si="5"/>
        <v>MP8-1</v>
      </c>
      <c r="L213" s="30"/>
      <c r="M213" s="32"/>
      <c r="N213" s="425"/>
      <c r="O213" s="425"/>
      <c r="P213" s="31"/>
      <c r="Q213" s="32"/>
      <c r="R213" s="39"/>
    </row>
    <row r="214" spans="4:18" ht="20.100000000000001" customHeight="1">
      <c r="D214" s="420"/>
      <c r="E214" s="23">
        <v>13</v>
      </c>
      <c r="F214" s="6" t="s">
        <v>92</v>
      </c>
      <c r="G214" s="17" t="s">
        <v>305</v>
      </c>
      <c r="H214" s="15" t="s">
        <v>490</v>
      </c>
      <c r="I214" s="88">
        <v>0</v>
      </c>
      <c r="J214" s="88" t="s">
        <v>64</v>
      </c>
      <c r="K214" s="21" t="str">
        <f t="shared" si="5"/>
        <v>MP8-1</v>
      </c>
      <c r="L214" s="30"/>
      <c r="M214" s="32"/>
      <c r="N214" s="425"/>
      <c r="O214" s="425"/>
      <c r="P214" s="31"/>
      <c r="Q214" s="32"/>
      <c r="R214" s="39"/>
    </row>
    <row r="215" spans="4:18" ht="20.100000000000001" customHeight="1">
      <c r="D215" s="420"/>
      <c r="E215" s="23">
        <v>14</v>
      </c>
      <c r="F215" s="16" t="s">
        <v>94</v>
      </c>
      <c r="G215" s="17" t="s">
        <v>285</v>
      </c>
      <c r="H215" s="15" t="s">
        <v>491</v>
      </c>
      <c r="I215" s="88">
        <v>1</v>
      </c>
      <c r="J215" s="88">
        <v>0</v>
      </c>
      <c r="K215" s="21" t="str">
        <f t="shared" si="5"/>
        <v>MP8-1</v>
      </c>
      <c r="L215" s="30"/>
      <c r="M215" s="32"/>
      <c r="N215" s="425"/>
      <c r="O215" s="425"/>
      <c r="P215" s="31"/>
      <c r="Q215" s="32"/>
      <c r="R215" s="39"/>
    </row>
    <row r="216" spans="4:18" ht="20.100000000000001" customHeight="1">
      <c r="D216" s="420"/>
      <c r="E216" s="23">
        <v>15</v>
      </c>
      <c r="F216" s="16" t="s">
        <v>246</v>
      </c>
      <c r="G216" s="17" t="s">
        <v>286</v>
      </c>
      <c r="H216" s="15" t="s">
        <v>492</v>
      </c>
      <c r="I216" s="88">
        <v>1</v>
      </c>
      <c r="J216" s="88">
        <v>1</v>
      </c>
      <c r="K216" s="21" t="str">
        <f t="shared" si="5"/>
        <v>MP8-1</v>
      </c>
      <c r="L216" s="40"/>
      <c r="M216" s="32"/>
      <c r="N216" s="425"/>
      <c r="O216" s="425"/>
      <c r="P216" s="31"/>
      <c r="Q216" s="32"/>
      <c r="R216" s="39"/>
    </row>
    <row r="217" spans="4:18" ht="20.100000000000001" customHeight="1">
      <c r="D217" s="420"/>
      <c r="E217" s="23">
        <v>16</v>
      </c>
      <c r="F217" s="16" t="s">
        <v>90</v>
      </c>
      <c r="G217" s="17" t="s">
        <v>287</v>
      </c>
      <c r="H217" s="15" t="s">
        <v>493</v>
      </c>
      <c r="I217" s="88">
        <v>1</v>
      </c>
      <c r="J217" s="88">
        <v>2</v>
      </c>
      <c r="K217" s="21" t="str">
        <f t="shared" si="5"/>
        <v>MP8-1</v>
      </c>
      <c r="L217" s="41"/>
      <c r="M217" s="32"/>
      <c r="N217" s="425"/>
      <c r="O217" s="425"/>
      <c r="P217" s="31"/>
      <c r="Q217" s="32"/>
      <c r="R217" s="39"/>
    </row>
    <row r="218" spans="4:18" ht="20.100000000000001" customHeight="1">
      <c r="D218" s="420"/>
      <c r="E218" s="32">
        <v>17</v>
      </c>
      <c r="F218" s="16"/>
      <c r="G218" s="17"/>
      <c r="H218" s="15"/>
      <c r="I218" s="88">
        <v>1</v>
      </c>
      <c r="J218" s="88">
        <v>3</v>
      </c>
      <c r="K218" s="21" t="s">
        <v>196</v>
      </c>
      <c r="L218" s="31"/>
      <c r="M218" s="32"/>
      <c r="N218" s="425"/>
      <c r="O218" s="425"/>
      <c r="P218" s="31"/>
      <c r="Q218" s="32"/>
      <c r="R218" s="39"/>
    </row>
    <row r="219" spans="4:18" ht="20.100000000000001" customHeight="1">
      <c r="D219" s="420"/>
      <c r="E219" s="32">
        <v>18</v>
      </c>
      <c r="F219" s="16"/>
      <c r="G219" s="17"/>
      <c r="H219" s="15"/>
      <c r="I219" s="88">
        <v>1</v>
      </c>
      <c r="J219" s="88">
        <v>4</v>
      </c>
      <c r="K219" s="21" t="str">
        <f>K218</f>
        <v>MP8-2</v>
      </c>
      <c r="L219" s="31"/>
      <c r="M219" s="32"/>
      <c r="N219" s="425"/>
      <c r="O219" s="425"/>
      <c r="P219" s="31"/>
      <c r="Q219" s="32"/>
      <c r="R219" s="39"/>
    </row>
    <row r="220" spans="4:18" ht="20.100000000000001" customHeight="1">
      <c r="D220" s="420"/>
      <c r="E220" s="32">
        <v>19</v>
      </c>
      <c r="F220" s="16"/>
      <c r="G220" s="17"/>
      <c r="H220" s="15"/>
      <c r="I220" s="88">
        <v>1</v>
      </c>
      <c r="J220" s="88">
        <v>5</v>
      </c>
      <c r="K220" s="21" t="str">
        <f>K219</f>
        <v>MP8-2</v>
      </c>
      <c r="M220" s="32"/>
      <c r="N220" s="425"/>
      <c r="O220" s="425"/>
      <c r="P220" s="31"/>
      <c r="Q220" s="32"/>
      <c r="R220" s="39"/>
    </row>
    <row r="221" spans="4:18" ht="20.100000000000001" customHeight="1">
      <c r="D221" s="420"/>
      <c r="E221" s="32">
        <v>20</v>
      </c>
      <c r="F221" s="6"/>
      <c r="G221" s="7"/>
      <c r="H221" s="105"/>
      <c r="I221" s="88">
        <v>1</v>
      </c>
      <c r="J221" s="88">
        <v>6</v>
      </c>
      <c r="K221" s="21" t="str">
        <f>K220</f>
        <v>MP8-2</v>
      </c>
      <c r="L221" s="31"/>
      <c r="M221" s="32"/>
      <c r="N221" s="425"/>
      <c r="O221" s="425"/>
      <c r="P221" s="31"/>
      <c r="Q221" s="32"/>
      <c r="R221" s="39"/>
    </row>
    <row r="222" spans="4:18" ht="20.100000000000001" customHeight="1" thickBot="1">
      <c r="D222" s="421"/>
      <c r="E222" s="26">
        <v>21</v>
      </c>
      <c r="F222" s="19"/>
      <c r="G222" s="155"/>
      <c r="H222" s="20"/>
      <c r="I222" s="103">
        <v>1</v>
      </c>
      <c r="J222" s="103">
        <v>7</v>
      </c>
      <c r="K222" s="24" t="str">
        <f>K221</f>
        <v>MP8-2</v>
      </c>
      <c r="L222" s="37"/>
      <c r="M222" s="26"/>
      <c r="N222" s="426"/>
      <c r="O222" s="426"/>
      <c r="P222" s="37"/>
      <c r="Q222" s="26"/>
      <c r="R222" s="38"/>
    </row>
    <row r="223" spans="4:18" ht="19.95" customHeight="1"/>
  </sheetData>
  <mergeCells count="270">
    <mergeCell ref="H4:M5"/>
    <mergeCell ref="D7:D8"/>
    <mergeCell ref="E7:E8"/>
    <mergeCell ref="F7:F8"/>
    <mergeCell ref="G7:G8"/>
    <mergeCell ref="H7:H8"/>
    <mergeCell ref="L7:O7"/>
    <mergeCell ref="N15:O15"/>
    <mergeCell ref="N16:O16"/>
    <mergeCell ref="D17:D18"/>
    <mergeCell ref="E17:E18"/>
    <mergeCell ref="F17:F18"/>
    <mergeCell ref="G17:G18"/>
    <mergeCell ref="H17:H18"/>
    <mergeCell ref="L17:O17"/>
    <mergeCell ref="P7:R7"/>
    <mergeCell ref="N8:O8"/>
    <mergeCell ref="D9:D16"/>
    <mergeCell ref="E9:E16"/>
    <mergeCell ref="N9:O9"/>
    <mergeCell ref="N10:O10"/>
    <mergeCell ref="N11:O11"/>
    <mergeCell ref="N12:O12"/>
    <mergeCell ref="N13:O13"/>
    <mergeCell ref="N14:O14"/>
    <mergeCell ref="P17:R17"/>
    <mergeCell ref="N18:O18"/>
    <mergeCell ref="D19:D61"/>
    <mergeCell ref="E19:E61"/>
    <mergeCell ref="F19:F20"/>
    <mergeCell ref="N19:O19"/>
    <mergeCell ref="N20:O20"/>
    <mergeCell ref="F22:F25"/>
    <mergeCell ref="N22:O22"/>
    <mergeCell ref="N23:O23"/>
    <mergeCell ref="N32:O32"/>
    <mergeCell ref="N33:O33"/>
    <mergeCell ref="N34:O34"/>
    <mergeCell ref="N35:O35"/>
    <mergeCell ref="N36:O36"/>
    <mergeCell ref="N37:O37"/>
    <mergeCell ref="N24:O24"/>
    <mergeCell ref="N25:O25"/>
    <mergeCell ref="F26:F41"/>
    <mergeCell ref="G26:G41"/>
    <mergeCell ref="N26:O26"/>
    <mergeCell ref="N27:O27"/>
    <mergeCell ref="N28:O28"/>
    <mergeCell ref="N29:O29"/>
    <mergeCell ref="N30:O30"/>
    <mergeCell ref="N31:O31"/>
    <mergeCell ref="N38:O38"/>
    <mergeCell ref="N39:O39"/>
    <mergeCell ref="N40:O40"/>
    <mergeCell ref="N41:O41"/>
    <mergeCell ref="F42:F57"/>
    <mergeCell ref="G42:G57"/>
    <mergeCell ref="N42:O42"/>
    <mergeCell ref="N43:O43"/>
    <mergeCell ref="N44:O44"/>
    <mergeCell ref="N45:O45"/>
    <mergeCell ref="N52:O52"/>
    <mergeCell ref="N53:O53"/>
    <mergeCell ref="N54:O54"/>
    <mergeCell ref="N55:O55"/>
    <mergeCell ref="N56:O56"/>
    <mergeCell ref="N57:O57"/>
    <mergeCell ref="N46:O46"/>
    <mergeCell ref="N47:O47"/>
    <mergeCell ref="N48:O48"/>
    <mergeCell ref="N49:O49"/>
    <mergeCell ref="N50:O50"/>
    <mergeCell ref="N51:O51"/>
    <mergeCell ref="F58:F61"/>
    <mergeCell ref="N58:O58"/>
    <mergeCell ref="N59:O59"/>
    <mergeCell ref="N60:O60"/>
    <mergeCell ref="N61:O61"/>
    <mergeCell ref="N70:O70"/>
    <mergeCell ref="N71:O71"/>
    <mergeCell ref="F72:F73"/>
    <mergeCell ref="G72:G73"/>
    <mergeCell ref="N72:O72"/>
    <mergeCell ref="N73:O73"/>
    <mergeCell ref="D62:D73"/>
    <mergeCell ref="E62:E73"/>
    <mergeCell ref="N62:O62"/>
    <mergeCell ref="N63:O63"/>
    <mergeCell ref="N64:O64"/>
    <mergeCell ref="N65:O65"/>
    <mergeCell ref="N66:O66"/>
    <mergeCell ref="N67:O67"/>
    <mergeCell ref="N68:O68"/>
    <mergeCell ref="N69:O69"/>
    <mergeCell ref="L78:O78"/>
    <mergeCell ref="P78:R78"/>
    <mergeCell ref="N79:O79"/>
    <mergeCell ref="D80:D121"/>
    <mergeCell ref="N80:O80"/>
    <mergeCell ref="N81:O81"/>
    <mergeCell ref="N82:O82"/>
    <mergeCell ref="N83:O83"/>
    <mergeCell ref="N84:O84"/>
    <mergeCell ref="N85:O85"/>
    <mergeCell ref="D78:D79"/>
    <mergeCell ref="E78:E79"/>
    <mergeCell ref="F78:F79"/>
    <mergeCell ref="G78:G79"/>
    <mergeCell ref="H78:H79"/>
    <mergeCell ref="I78:K78"/>
    <mergeCell ref="N92:O92"/>
    <mergeCell ref="N93:O93"/>
    <mergeCell ref="N94:O94"/>
    <mergeCell ref="N95:O95"/>
    <mergeCell ref="N96:O96"/>
    <mergeCell ref="N97:O97"/>
    <mergeCell ref="N86:O86"/>
    <mergeCell ref="N87:O87"/>
    <mergeCell ref="N88:O88"/>
    <mergeCell ref="N89:O89"/>
    <mergeCell ref="N90:O90"/>
    <mergeCell ref="N91:O91"/>
    <mergeCell ref="N104:O104"/>
    <mergeCell ref="N105:O105"/>
    <mergeCell ref="N106:O106"/>
    <mergeCell ref="N107:O107"/>
    <mergeCell ref="N108:O108"/>
    <mergeCell ref="N109:O109"/>
    <mergeCell ref="N98:O98"/>
    <mergeCell ref="N99:O99"/>
    <mergeCell ref="N100:O100"/>
    <mergeCell ref="N101:O101"/>
    <mergeCell ref="N102:O102"/>
    <mergeCell ref="N103:O103"/>
    <mergeCell ref="N116:O116"/>
    <mergeCell ref="N117:O117"/>
    <mergeCell ref="N133:O133"/>
    <mergeCell ref="N134:O134"/>
    <mergeCell ref="N118:O118"/>
    <mergeCell ref="N119:O119"/>
    <mergeCell ref="N120:O120"/>
    <mergeCell ref="N121:O121"/>
    <mergeCell ref="N110:O110"/>
    <mergeCell ref="N111:O111"/>
    <mergeCell ref="N112:O112"/>
    <mergeCell ref="N113:O113"/>
    <mergeCell ref="N114:O114"/>
    <mergeCell ref="N115:O115"/>
    <mergeCell ref="D150:D151"/>
    <mergeCell ref="E150:E151"/>
    <mergeCell ref="F150:F151"/>
    <mergeCell ref="G150:G151"/>
    <mergeCell ref="H150:H151"/>
    <mergeCell ref="I150:K150"/>
    <mergeCell ref="L150:O150"/>
    <mergeCell ref="L125:O125"/>
    <mergeCell ref="P125:R125"/>
    <mergeCell ref="N126:O126"/>
    <mergeCell ref="D127:D147"/>
    <mergeCell ref="N127:O127"/>
    <mergeCell ref="N128:O128"/>
    <mergeCell ref="N129:O129"/>
    <mergeCell ref="N130:O130"/>
    <mergeCell ref="N131:O131"/>
    <mergeCell ref="N132:O132"/>
    <mergeCell ref="D125:D126"/>
    <mergeCell ref="E125:E126"/>
    <mergeCell ref="F125:F126"/>
    <mergeCell ref="G125:G126"/>
    <mergeCell ref="H125:H126"/>
    <mergeCell ref="I125:K125"/>
    <mergeCell ref="N139:O139"/>
    <mergeCell ref="P150:R150"/>
    <mergeCell ref="N151:O151"/>
    <mergeCell ref="D152:D172"/>
    <mergeCell ref="N152:O152"/>
    <mergeCell ref="N153:O153"/>
    <mergeCell ref="N154:O154"/>
    <mergeCell ref="N155:O155"/>
    <mergeCell ref="N156:O156"/>
    <mergeCell ref="N157:O157"/>
    <mergeCell ref="N158:O158"/>
    <mergeCell ref="N165:O165"/>
    <mergeCell ref="N166:O166"/>
    <mergeCell ref="N167:O167"/>
    <mergeCell ref="N168:O168"/>
    <mergeCell ref="N169:O169"/>
    <mergeCell ref="N170:O170"/>
    <mergeCell ref="N159:O159"/>
    <mergeCell ref="N160:O160"/>
    <mergeCell ref="N161:O161"/>
    <mergeCell ref="N162:O162"/>
    <mergeCell ref="N163:O163"/>
    <mergeCell ref="N164:O164"/>
    <mergeCell ref="N171:O171"/>
    <mergeCell ref="N172:O172"/>
    <mergeCell ref="D175:D176"/>
    <mergeCell ref="E175:E176"/>
    <mergeCell ref="F175:F176"/>
    <mergeCell ref="G175:G176"/>
    <mergeCell ref="H175:H176"/>
    <mergeCell ref="I175:K175"/>
    <mergeCell ref="L175:O175"/>
    <mergeCell ref="P175:R175"/>
    <mergeCell ref="N176:O176"/>
    <mergeCell ref="D177:D197"/>
    <mergeCell ref="N177:O177"/>
    <mergeCell ref="N178:O178"/>
    <mergeCell ref="N179:O179"/>
    <mergeCell ref="N180:O180"/>
    <mergeCell ref="N181:O181"/>
    <mergeCell ref="N182:O182"/>
    <mergeCell ref="N183:O183"/>
    <mergeCell ref="N196:O196"/>
    <mergeCell ref="N197:O197"/>
    <mergeCell ref="N190:O190"/>
    <mergeCell ref="N191:O191"/>
    <mergeCell ref="N192:O192"/>
    <mergeCell ref="N193:O193"/>
    <mergeCell ref="N194:O194"/>
    <mergeCell ref="N195:O195"/>
    <mergeCell ref="N184:O184"/>
    <mergeCell ref="N185:O185"/>
    <mergeCell ref="N186:O186"/>
    <mergeCell ref="N187:O187"/>
    <mergeCell ref="N188:O188"/>
    <mergeCell ref="N189:O189"/>
    <mergeCell ref="N217:O217"/>
    <mergeCell ref="N218:O218"/>
    <mergeCell ref="N219:O219"/>
    <mergeCell ref="F200:F201"/>
    <mergeCell ref="G200:G201"/>
    <mergeCell ref="H200:H201"/>
    <mergeCell ref="I200:K200"/>
    <mergeCell ref="N135:O135"/>
    <mergeCell ref="N136:O136"/>
    <mergeCell ref="N137:O137"/>
    <mergeCell ref="N138:O138"/>
    <mergeCell ref="N145:O145"/>
    <mergeCell ref="N146:O146"/>
    <mergeCell ref="N147:O147"/>
    <mergeCell ref="N140:O140"/>
    <mergeCell ref="N141:O141"/>
    <mergeCell ref="N142:O142"/>
    <mergeCell ref="N143:O143"/>
    <mergeCell ref="N144:O144"/>
    <mergeCell ref="N220:O220"/>
    <mergeCell ref="N221:O221"/>
    <mergeCell ref="N222:O222"/>
    <mergeCell ref="D200:D201"/>
    <mergeCell ref="E200:E201"/>
    <mergeCell ref="L200:O200"/>
    <mergeCell ref="P200:R200"/>
    <mergeCell ref="N201:O201"/>
    <mergeCell ref="D202:D222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</mergeCells>
  <phoneticPr fontId="2" type="noConversion"/>
  <conditionalFormatting sqref="F80">
    <cfRule type="cellIs" dxfId="4" priority="1" operator="equal">
      <formula>0</formula>
    </cfRule>
  </conditionalFormatting>
  <dataValidations count="2">
    <dataValidation type="list" allowBlank="1" showInputMessage="1" showErrorMessage="1" sqref="Q9:Q16 M22:M73 M9:M16 M199 Q199 M202:M222 Q202:Q222 M169:M172 Q127:Q149 Q152:Q172 Q80:Q124 M80:M106 M108:M111 M115:M124 M127:M149 M174 Q174 M177:M197 Q177:Q197 M152:M167 M19:M20 Q19:Q20 Q22:Q73" xr:uid="{12FD77AA-DEEA-4EE6-8684-1CD68F469B89}">
      <formula1>$R$4:$R$6</formula1>
    </dataValidation>
    <dataValidation type="list" allowBlank="1" showInputMessage="1" showErrorMessage="1" sqref="N21 R21" xr:uid="{51EE315A-2AE3-48B2-8B79-FE81F24C8ED8}">
      <formula1>$S$4:$S$6</formula1>
    </dataValidation>
  </dataValidations>
  <pageMargins left="0.39" right="0.39" top="0.59" bottom="0.59" header="0.12" footer="0.31"/>
  <pageSetup paperSize="8" scale="47" orientation="portrait" horizontalDpi="300" verticalDpi="300" r:id="rId1"/>
  <headerFooter alignWithMargins="0">
    <oddHeader>&amp;L&amp;G&amp;R&amp;8&amp;A</oddHeader>
    <oddFooter>&amp;C&amp;9&amp;[&amp;P</oddFooter>
  </headerFooter>
  <rowBreaks count="2" manualBreakCount="2">
    <brk id="74" max="22" man="1"/>
    <brk id="122" max="22" man="1"/>
  </rowBreaks>
  <drawing r:id="rId2"/>
  <legacy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1B1E-52D0-4D1B-B67E-64DF8F29DDFE}">
  <sheetPr>
    <tabColor rgb="FF00B0F0"/>
  </sheetPr>
  <dimension ref="A1:AL601"/>
  <sheetViews>
    <sheetView workbookViewId="0">
      <pane xSplit="8" ySplit="8" topLeftCell="N11" activePane="bottomRight" state="frozen"/>
      <selection activeCell="E31" sqref="E31:E32"/>
      <selection pane="topRight" activeCell="E31" sqref="E31:E32"/>
      <selection pane="bottomLeft" activeCell="E31" sqref="E31:E32"/>
      <selection pane="bottomRight" activeCell="O23" sqref="O23"/>
    </sheetView>
  </sheetViews>
  <sheetFormatPr defaultColWidth="8.68359375" defaultRowHeight="12.6"/>
  <cols>
    <col min="1" max="1" width="4" style="180" customWidth="1"/>
    <col min="2" max="2" width="10.1015625" style="183" customWidth="1"/>
    <col min="3" max="3" width="14.7890625" style="183" bestFit="1" customWidth="1"/>
    <col min="4" max="4" width="8.68359375" style="183"/>
    <col min="5" max="6" width="8.68359375" style="183" hidden="1" customWidth="1"/>
    <col min="7" max="7" width="25.20703125" style="183" hidden="1" customWidth="1"/>
    <col min="8" max="8" width="26.7890625" style="183" customWidth="1"/>
    <col min="9" max="9" width="9.3125" style="183" bestFit="1" customWidth="1"/>
    <col min="10" max="13" width="5" style="183" customWidth="1"/>
    <col min="14" max="14" width="27.3125" style="183" customWidth="1"/>
    <col min="15" max="15" width="26.41796875" style="183" customWidth="1"/>
    <col min="16" max="16" width="26.41796875" style="186" hidden="1" customWidth="1"/>
    <col min="17" max="17" width="8.3125" style="186" hidden="1" customWidth="1"/>
    <col min="18" max="19" width="8.68359375" style="183"/>
    <col min="20" max="20" width="7.89453125" style="185" bestFit="1" customWidth="1"/>
    <col min="21" max="21" width="7.89453125" style="184" customWidth="1"/>
    <col min="22" max="22" width="15.1015625" style="183" bestFit="1" customWidth="1"/>
    <col min="23" max="23" width="16.3125" style="183" customWidth="1"/>
    <col min="24" max="24" width="8.68359375" style="180"/>
    <col min="25" max="25" width="4.1015625" style="180" customWidth="1"/>
    <col min="26" max="28" width="4.3125" style="180" customWidth="1"/>
    <col min="29" max="29" width="7.20703125" style="182" customWidth="1"/>
    <col min="30" max="30" width="8.68359375" style="181"/>
    <col min="31" max="31" width="8.68359375" style="180"/>
    <col min="32" max="32" width="45" style="180" customWidth="1"/>
    <col min="33" max="37" width="8.68359375" style="180"/>
    <col min="38" max="38" width="12.3125" style="180" bestFit="1" customWidth="1"/>
    <col min="39" max="16384" width="8.68359375" style="180"/>
  </cols>
  <sheetData>
    <row r="1" spans="1:38" ht="13.2" customHeight="1" thickBot="1">
      <c r="C1" s="312"/>
      <c r="AF1" s="311"/>
    </row>
    <row r="2" spans="1:38" ht="13.2" customHeight="1">
      <c r="B2" s="477" t="str">
        <f>[4]표지!F19</f>
        <v>SDV SISW-OLED2300-4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  <c r="X2" s="478"/>
      <c r="Y2" s="478"/>
      <c r="Z2" s="478"/>
      <c r="AA2" s="478"/>
      <c r="AB2" s="479"/>
      <c r="AC2" s="310"/>
    </row>
    <row r="3" spans="1:38" ht="13.2" customHeight="1">
      <c r="B3" s="480"/>
      <c r="C3" s="481"/>
      <c r="D3" s="481"/>
      <c r="E3" s="481"/>
      <c r="F3" s="481"/>
      <c r="G3" s="481"/>
      <c r="H3" s="481"/>
      <c r="I3" s="481"/>
      <c r="J3" s="481"/>
      <c r="K3" s="481"/>
      <c r="L3" s="481"/>
      <c r="M3" s="481"/>
      <c r="N3" s="481"/>
      <c r="O3" s="481"/>
      <c r="P3" s="481"/>
      <c r="Q3" s="481"/>
      <c r="R3" s="481"/>
      <c r="S3" s="481"/>
      <c r="T3" s="481"/>
      <c r="U3" s="481"/>
      <c r="V3" s="481"/>
      <c r="W3" s="481"/>
      <c r="X3" s="481"/>
      <c r="Y3" s="481"/>
      <c r="Z3" s="481"/>
      <c r="AA3" s="481"/>
      <c r="AB3" s="482"/>
      <c r="AC3" s="310"/>
      <c r="AF3" s="189"/>
    </row>
    <row r="4" spans="1:38" ht="13.2" customHeight="1" thickBot="1">
      <c r="B4" s="483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  <c r="O4" s="484"/>
      <c r="P4" s="484"/>
      <c r="Q4" s="484"/>
      <c r="R4" s="484"/>
      <c r="S4" s="484"/>
      <c r="T4" s="484"/>
      <c r="U4" s="484"/>
      <c r="V4" s="484"/>
      <c r="W4" s="484"/>
      <c r="X4" s="484"/>
      <c r="Y4" s="484"/>
      <c r="Z4" s="484"/>
      <c r="AA4" s="484"/>
      <c r="AB4" s="485"/>
      <c r="AC4" s="310"/>
      <c r="AF4" s="189"/>
    </row>
    <row r="5" spans="1:38" ht="13.2" customHeight="1">
      <c r="B5" s="309"/>
      <c r="C5" s="308"/>
      <c r="AF5" s="189"/>
    </row>
    <row r="6" spans="1:38" ht="13.2" customHeight="1" thickBot="1">
      <c r="B6" s="307" t="s">
        <v>670</v>
      </c>
      <c r="Z6" s="306">
        <f>SUM(Z9:Z60)</f>
        <v>2.1999999999999997</v>
      </c>
      <c r="AA6" s="306">
        <f>SUM(AA9:AA60)</f>
        <v>2.1999999999999997</v>
      </c>
      <c r="AB6" s="306">
        <f>SUM(AB9:AB60)</f>
        <v>2.4</v>
      </c>
      <c r="AF6" s="189"/>
    </row>
    <row r="7" spans="1:38" ht="13.2" customHeight="1">
      <c r="B7" s="490" t="s">
        <v>658</v>
      </c>
      <c r="C7" s="491"/>
      <c r="D7" s="466" t="s">
        <v>657</v>
      </c>
      <c r="E7" s="494"/>
      <c r="F7" s="494"/>
      <c r="G7" s="494"/>
      <c r="H7" s="466" t="s">
        <v>656</v>
      </c>
      <c r="I7" s="466" t="s">
        <v>655</v>
      </c>
      <c r="J7" s="466" t="s">
        <v>654</v>
      </c>
      <c r="K7" s="500" t="s">
        <v>653</v>
      </c>
      <c r="L7" s="501"/>
      <c r="M7" s="502"/>
      <c r="N7" s="466" t="s">
        <v>652</v>
      </c>
      <c r="O7" s="466" t="s">
        <v>598</v>
      </c>
      <c r="P7" s="496" t="s">
        <v>651</v>
      </c>
      <c r="Q7" s="472" t="s">
        <v>650</v>
      </c>
      <c r="R7" s="472" t="s">
        <v>649</v>
      </c>
      <c r="S7" s="472" t="s">
        <v>648</v>
      </c>
      <c r="T7" s="504" t="s">
        <v>647</v>
      </c>
      <c r="U7" s="486" t="s">
        <v>646</v>
      </c>
      <c r="V7" s="466" t="s">
        <v>645</v>
      </c>
      <c r="W7" s="518"/>
      <c r="X7" s="503" t="s">
        <v>644</v>
      </c>
      <c r="Y7" s="516" t="s">
        <v>643</v>
      </c>
      <c r="Z7" s="506" t="s">
        <v>579</v>
      </c>
      <c r="AA7" s="506" t="s">
        <v>577</v>
      </c>
      <c r="AB7" s="514" t="s">
        <v>578</v>
      </c>
      <c r="AC7" s="470" t="s">
        <v>642</v>
      </c>
      <c r="AD7" s="512" t="s">
        <v>641</v>
      </c>
      <c r="AF7" s="189"/>
    </row>
    <row r="8" spans="1:38" ht="13.2" customHeight="1" thickBot="1">
      <c r="B8" s="533"/>
      <c r="C8" s="536"/>
      <c r="D8" s="537"/>
      <c r="E8" s="538"/>
      <c r="F8" s="538"/>
      <c r="G8" s="538"/>
      <c r="H8" s="537"/>
      <c r="I8" s="537"/>
      <c r="J8" s="537"/>
      <c r="K8" s="313" t="s">
        <v>640</v>
      </c>
      <c r="L8" s="313" t="s">
        <v>639</v>
      </c>
      <c r="M8" s="313" t="s">
        <v>638</v>
      </c>
      <c r="N8" s="537"/>
      <c r="O8" s="537"/>
      <c r="P8" s="539"/>
      <c r="Q8" s="535"/>
      <c r="R8" s="535"/>
      <c r="S8" s="535"/>
      <c r="T8" s="531"/>
      <c r="U8" s="532"/>
      <c r="V8" s="313" t="s">
        <v>637</v>
      </c>
      <c r="W8" s="314" t="s">
        <v>636</v>
      </c>
      <c r="X8" s="533"/>
      <c r="Y8" s="534"/>
      <c r="Z8" s="527"/>
      <c r="AA8" s="527"/>
      <c r="AB8" s="528"/>
      <c r="AC8" s="529"/>
      <c r="AD8" s="530"/>
      <c r="AF8" s="189"/>
    </row>
    <row r="9" spans="1:38" ht="13.2" customHeight="1">
      <c r="A9" s="180" t="s">
        <v>623</v>
      </c>
      <c r="B9" s="315"/>
      <c r="C9" s="316"/>
      <c r="D9" s="317" t="s">
        <v>159</v>
      </c>
      <c r="E9" s="318"/>
      <c r="F9" s="318"/>
      <c r="G9" s="319" t="s">
        <v>669</v>
      </c>
      <c r="H9" s="315" t="str">
        <f t="shared" ref="H9:H40" si="0">E9&amp;F9&amp;" "&amp;G9</f>
        <v xml:space="preserve"> RCCT Stick Transfer2 X</v>
      </c>
      <c r="I9" s="320" t="str">
        <f t="shared" ref="I9:I40" si="1">IF(OR(LEFT(O9,3)="SGL",LEFT(O9,5)="SGMCS"),"LINEAR","Rotary")</f>
        <v>Rotary</v>
      </c>
      <c r="J9" s="321" t="str">
        <f t="shared" ref="J9:J40" si="2">IF(OR(RIGHT($H9,1)="Z",LEFT(RIGHT($H9,2),1)="Z",LEFT(RIGHT($H9,3),1)="Z"),"Z",IF(OR(RIGHT($H9,1)="X",LEFT(RIGHT($H9,2),1)="X",LEFT(RIGHT($H9,3),1)="X"),"X",IF(OR(RIGHT($H9,1)="Y",LEFT(RIGHT($H9,2),1)="Y",LEFT(RIGHT($H9,3),1)="Y"),"Y","T")))</f>
        <v>X</v>
      </c>
      <c r="K9" s="322">
        <f>VLOOKUP($D9,[4]회선정보!B:F,3,FALSE)</f>
        <v>0</v>
      </c>
      <c r="L9" s="322">
        <f>VLOOKUP($D9,[4]회선정보!B:F,4,FALSE)</f>
        <v>3</v>
      </c>
      <c r="M9" s="322" t="str">
        <f>VLOOKUP($D9,[4]회선정보!B:F,5,FALSE)</f>
        <v>MP1-1</v>
      </c>
      <c r="N9" s="323" t="s">
        <v>627</v>
      </c>
      <c r="O9" s="323" t="s">
        <v>662</v>
      </c>
      <c r="P9" s="188" t="str">
        <f t="shared" ref="P9:P40" si="3">IFERROR(IF($I9="Rotary",LEFT($O9,9),$O9),"")</f>
        <v>SGM7G-09A</v>
      </c>
      <c r="Q9" s="188">
        <f>IF(MID($N8,5,1)&lt;&gt;"W",VLOOKUP(N9,[4]정격용량!$B$3:$K$633,4,FALSE),"X")</f>
        <v>1000</v>
      </c>
      <c r="R9" s="324">
        <f>IF(MID($N8,5,1)&lt;&gt;"W",VLOOKUP(N9,[4]정격용량!$B$3:$K$633,3,FALSE),"X")</f>
        <v>0.2</v>
      </c>
      <c r="S9" s="324">
        <f>IF(MID($N8,5,1)&lt;&gt;"W",VLOOKUP(N9,[4]정격용량!$B$3:$K$633,6,FALSE),"X")</f>
        <v>5.7</v>
      </c>
      <c r="T9" s="325">
        <f t="shared" ref="T9:T32" si="4">IF(MID($N8,5,1)&lt;&gt;"W",S9*$C$82,"X")</f>
        <v>2.1560869565217389</v>
      </c>
      <c r="U9" s="326">
        <f>IF(MID($N8,5,1)&lt;&gt;"W",VLOOKUP(N9,[4]정격용량!$B$3:$K$633,9,FALSE),"X")</f>
        <v>7</v>
      </c>
      <c r="V9" s="324" t="str">
        <f>IFERROR(IF(J9="Z",VLOOKUP(P9,'[4]SERVO CABLE'!G:AD,8,FALSE),VLOOKUP(P9,'[4]SERVO CABLE'!G:AD,4,FALSE)),"")</f>
        <v>JZSP-UVA122-□-E</v>
      </c>
      <c r="W9" s="324" t="str">
        <f>IFERROR(VLOOKUP(P9,'[4]SERVO CABLE'!G:AD,17,FALSE),"")</f>
        <v>JZSP-CVP27-□-E</v>
      </c>
      <c r="X9" s="327"/>
      <c r="Y9" s="327">
        <v>1</v>
      </c>
      <c r="Z9" s="328">
        <f t="shared" ref="Z9:Z40" si="5">IF($Y9=1,$R$9,"")</f>
        <v>0.2</v>
      </c>
      <c r="AA9" s="328" t="str">
        <f t="shared" ref="AA9:AA40" si="6">IF($Y9=2,$R$9,"")</f>
        <v/>
      </c>
      <c r="AB9" s="328" t="str">
        <f t="shared" ref="AB9:AB40" si="7">IF($Y9=3,$R$9,"")</f>
        <v/>
      </c>
      <c r="AC9" s="329">
        <f t="shared" ref="AC9:AC40" si="8">IF(MID($N8,5,1)&lt;&gt;"W",((700*700)/$Q9*1.509)/1000,"X")</f>
        <v>0.73941000000000001</v>
      </c>
      <c r="AD9" s="330" t="str">
        <f t="shared" ref="AD9:AD40" si="9">IF($AC9="X","X",IF($AC9&lt;0.1,"X",IF($AC9&lt;0.27,"IRV60",IF($AC9&lt;0.91,"IRV80",IF($AC9&lt;1.1,"IRV100",IF($AC9&lt;1.3,"IRV120",IF($AC9&lt;1.6,"IRV150",IF($AC9&lt;2.2,"IRV200",IF($AC9&lt;2.7,"IRV300",IF($AC9&lt;4.3,"IRV400",IF($AC9&lt;6.8,"IRV500","X")))))))))))</f>
        <v>IRV80</v>
      </c>
      <c r="AF9" s="189"/>
    </row>
    <row r="10" spans="1:38" ht="16.5">
      <c r="A10" s="180" t="s">
        <v>623</v>
      </c>
      <c r="B10" s="209"/>
      <c r="C10" s="280"/>
      <c r="D10" s="270" t="s">
        <v>160</v>
      </c>
      <c r="E10" s="331"/>
      <c r="F10" s="331"/>
      <c r="G10" s="332" t="s">
        <v>668</v>
      </c>
      <c r="H10" s="209" t="str">
        <f t="shared" si="0"/>
        <v xml:space="preserve"> RCCT Stick Transfer2 Z</v>
      </c>
      <c r="I10" s="202" t="str">
        <f t="shared" si="1"/>
        <v>Rotary</v>
      </c>
      <c r="J10" s="267" t="str">
        <f t="shared" si="2"/>
        <v>Z</v>
      </c>
      <c r="K10" s="266">
        <f>VLOOKUP($D10,[4]회선정보!B:F,3,FALSE)</f>
        <v>0</v>
      </c>
      <c r="L10" s="266">
        <f>VLOOKUP($D10,[4]회선정보!B:F,4,FALSE)</f>
        <v>5</v>
      </c>
      <c r="M10" s="266" t="str">
        <f>VLOOKUP($D10,[4]회선정보!B:F,5,FALSE)</f>
        <v>MP1-1</v>
      </c>
      <c r="N10" s="265" t="s">
        <v>663</v>
      </c>
      <c r="O10" s="265" t="s">
        <v>604</v>
      </c>
      <c r="P10" s="263" t="str">
        <f t="shared" si="3"/>
        <v>SGM7J-08A</v>
      </c>
      <c r="Q10" s="263">
        <f>IF(MID($N9,5,1)&lt;&gt;"W",VLOOKUP(N10,[4]정격용량!$B$3:$K$633,4,FALSE),"X")</f>
        <v>750</v>
      </c>
      <c r="R10" s="260">
        <f>IF(MID(N9,5,1)&lt;&gt;"W",VLOOKUP(N10,[4]정격용량!$B$3:$K$633,3,FALSE),"X")</f>
        <v>0.2</v>
      </c>
      <c r="S10" s="260">
        <f>IF(MID(N9,5,1)&lt;&gt;"W",VLOOKUP(N10,[4]정격용량!$B$3:$K$633,6,FALSE),"X")</f>
        <v>4.0999999999999996</v>
      </c>
      <c r="T10" s="262">
        <f t="shared" si="4"/>
        <v>1.5508695652173912</v>
      </c>
      <c r="U10" s="261">
        <f>IF(MID($N9,5,1)&lt;&gt;"W",VLOOKUP(N10,[4]정격용량!$B$3:$K$633,9,FALSE),"X")</f>
        <v>5</v>
      </c>
      <c r="V10" s="260" t="str">
        <f>IFERROR(IF(J10="Z",VLOOKUP(P10,'[4]SERVO CABLE'!G:AD,8,FALSE),VLOOKUP(P10,'[4]SERVO CABLE'!G:AD,4,FALSE)),"")</f>
        <v>JZSP-C7M34F-□-E</v>
      </c>
      <c r="W10" s="260" t="str">
        <f>IFERROR(VLOOKUP(P10,'[4]SERVO CABLE'!G:AD,17,FALSE),"")</f>
        <v>JZSP-C7PA2D-□-E</v>
      </c>
      <c r="X10" s="215"/>
      <c r="Y10" s="215">
        <v>2</v>
      </c>
      <c r="Z10" s="259" t="str">
        <f t="shared" si="5"/>
        <v/>
      </c>
      <c r="AA10" s="259">
        <f t="shared" si="6"/>
        <v>0.2</v>
      </c>
      <c r="AB10" s="259" t="str">
        <f t="shared" si="7"/>
        <v/>
      </c>
      <c r="AC10" s="258">
        <f t="shared" si="8"/>
        <v>0.98587999999999998</v>
      </c>
      <c r="AD10" s="333" t="str">
        <f t="shared" si="9"/>
        <v>IRV100</v>
      </c>
      <c r="AF10" s="189"/>
    </row>
    <row r="11" spans="1:38" ht="16.5">
      <c r="A11" s="180" t="s">
        <v>601</v>
      </c>
      <c r="B11" s="209"/>
      <c r="C11" s="280"/>
      <c r="D11" s="270" t="s">
        <v>161</v>
      </c>
      <c r="E11" s="331"/>
      <c r="F11" s="331"/>
      <c r="G11" s="332" t="s">
        <v>515</v>
      </c>
      <c r="H11" s="209" t="str">
        <f t="shared" si="0"/>
        <v xml:space="preserve"> RCCTL Cutter X</v>
      </c>
      <c r="I11" s="202" t="str">
        <f t="shared" si="1"/>
        <v>LINEAR</v>
      </c>
      <c r="J11" s="267" t="str">
        <f t="shared" si="2"/>
        <v>X</v>
      </c>
      <c r="K11" s="266">
        <f>VLOOKUP($D11,[4]회선정보!B:F,3,FALSE)</f>
        <v>0</v>
      </c>
      <c r="L11" s="266">
        <f>VLOOKUP($D11,[4]회선정보!B:F,4,FALSE)</f>
        <v>3</v>
      </c>
      <c r="M11" s="266" t="str">
        <f>VLOOKUP($D11,[4]회선정보!B:F,5,FALSE)</f>
        <v>MP5-1</v>
      </c>
      <c r="N11" s="265" t="s">
        <v>612</v>
      </c>
      <c r="O11" s="265" t="s">
        <v>622</v>
      </c>
      <c r="P11" s="263" t="str">
        <f t="shared" si="3"/>
        <v>SGLGW-60A140C</v>
      </c>
      <c r="Q11" s="263">
        <f>IF(MID($N10,5,1)&lt;&gt;"W",VLOOKUP(N11,[4]정격용량!$B$3:$K$633,4,FALSE),"X")</f>
        <v>400</v>
      </c>
      <c r="R11" s="260">
        <f>IF(MID(N10,5,1)&lt;&gt;"W",VLOOKUP(N11,[4]정격용량!$B$3:$K$633,3,FALSE),"X")</f>
        <v>0.3</v>
      </c>
      <c r="S11" s="260">
        <f>IF(MID(N10,5,1)&lt;&gt;"W",VLOOKUP(N11,[4]정격용량!$B$3:$K$633,6,FALSE),"X")</f>
        <v>2.5</v>
      </c>
      <c r="T11" s="262">
        <f t="shared" si="4"/>
        <v>0.94565217391304346</v>
      </c>
      <c r="U11" s="261">
        <f>IF(MID($N10,5,1)&lt;&gt;"W",VLOOKUP(N11,[4]정격용량!$B$3:$K$633,9,FALSE),"X")</f>
        <v>3</v>
      </c>
      <c r="V11" s="260" t="str">
        <f>IFERROR(IF(J11="Z",VLOOKUP(P11,'[4]SERVO CABLE'!G:AD,8,FALSE),VLOOKUP(P11,'[4]SERVO CABLE'!G:AD,4,FALSE)),"")</f>
        <v>JZSP-CLN11-□</v>
      </c>
      <c r="W11" s="260" t="str">
        <f>IFERROR(VLOOKUP(P11,'[4]SERVO CABLE'!G:AD,17,FALSE),"")</f>
        <v>JZSP-CLP70-□-ER</v>
      </c>
      <c r="X11" s="215"/>
      <c r="Y11" s="215">
        <v>3</v>
      </c>
      <c r="Z11" s="259" t="str">
        <f t="shared" si="5"/>
        <v/>
      </c>
      <c r="AA11" s="259" t="str">
        <f t="shared" si="6"/>
        <v/>
      </c>
      <c r="AB11" s="259">
        <f t="shared" si="7"/>
        <v>0.2</v>
      </c>
      <c r="AC11" s="258">
        <f t="shared" si="8"/>
        <v>1.848525</v>
      </c>
      <c r="AD11" s="333" t="str">
        <f t="shared" si="9"/>
        <v>IRV200</v>
      </c>
      <c r="AF11" s="189"/>
    </row>
    <row r="12" spans="1:38" ht="16.5">
      <c r="A12" s="180" t="s">
        <v>601</v>
      </c>
      <c r="B12" s="209"/>
      <c r="C12" s="280"/>
      <c r="D12" s="270" t="s">
        <v>162</v>
      </c>
      <c r="E12" s="331"/>
      <c r="F12" s="331"/>
      <c r="G12" s="332" t="s">
        <v>359</v>
      </c>
      <c r="H12" s="209" t="str">
        <f t="shared" si="0"/>
        <v xml:space="preserve"> RCCTL Camera X</v>
      </c>
      <c r="I12" s="202" t="str">
        <f t="shared" si="1"/>
        <v>Rotary</v>
      </c>
      <c r="J12" s="267" t="str">
        <f t="shared" si="2"/>
        <v>X</v>
      </c>
      <c r="K12" s="266">
        <f>VLOOKUP($D12,[4]회선정보!B:F,3,FALSE)</f>
        <v>0</v>
      </c>
      <c r="L12" s="266">
        <f>VLOOKUP($D12,[4]회선정보!B:F,4,FALSE)</f>
        <v>4</v>
      </c>
      <c r="M12" s="266" t="str">
        <f>VLOOKUP($D12,[4]회선정보!B:F,5,FALSE)</f>
        <v>MP5-1</v>
      </c>
      <c r="N12" s="265"/>
      <c r="O12" s="265"/>
      <c r="P12" s="263" t="str">
        <f t="shared" si="3"/>
        <v/>
      </c>
      <c r="Q12" s="263" t="str">
        <f>IF(MID($N11,5,1)&lt;&gt;"W",VLOOKUP(N12,[4]정격용량!$B$3:$K$633,4,FALSE),"X")</f>
        <v>X</v>
      </c>
      <c r="R12" s="260" t="str">
        <f>IF(MID(N11,5,1)&lt;&gt;"W",VLOOKUP(N12,[4]정격용량!$B$3:$K$633,3,FALSE),"X")</f>
        <v>X</v>
      </c>
      <c r="S12" s="260" t="str">
        <f>IF(MID(N11,5,1)&lt;&gt;"W",VLOOKUP(N12,[4]정격용량!$B$3:$K$633,6,FALSE),"X")</f>
        <v>X</v>
      </c>
      <c r="T12" s="262" t="str">
        <f t="shared" si="4"/>
        <v>X</v>
      </c>
      <c r="U12" s="261" t="str">
        <f>IF(MID($N11,5,1)&lt;&gt;"W",VLOOKUP(N12,[4]정격용량!$B$3:$K$633,9,FALSE),"X")</f>
        <v>X</v>
      </c>
      <c r="V12" s="260" t="str">
        <f>IFERROR(IF(J12="Z",VLOOKUP(P12,'[4]SERVO CABLE'!G:AD,8,FALSE),VLOOKUP(P12,'[4]SERVO CABLE'!G:AD,4,FALSE)),"")</f>
        <v/>
      </c>
      <c r="W12" s="260" t="str">
        <f>IFERROR(VLOOKUP(P12,'[4]SERVO CABLE'!G:AD,17,FALSE),"")</f>
        <v/>
      </c>
      <c r="X12" s="215"/>
      <c r="Y12" s="215"/>
      <c r="Z12" s="259" t="str">
        <f t="shared" si="5"/>
        <v/>
      </c>
      <c r="AA12" s="259" t="str">
        <f t="shared" si="6"/>
        <v/>
      </c>
      <c r="AB12" s="259" t="str">
        <f t="shared" si="7"/>
        <v/>
      </c>
      <c r="AC12" s="258" t="str">
        <f t="shared" si="8"/>
        <v>X</v>
      </c>
      <c r="AD12" s="333" t="str">
        <f t="shared" si="9"/>
        <v>X</v>
      </c>
      <c r="AF12" s="189"/>
      <c r="AL12" s="189"/>
    </row>
    <row r="13" spans="1:38" ht="16.5">
      <c r="A13" s="180" t="s">
        <v>601</v>
      </c>
      <c r="B13" s="209"/>
      <c r="C13" s="280"/>
      <c r="D13" s="270" t="s">
        <v>163</v>
      </c>
      <c r="E13" s="331"/>
      <c r="F13" s="331"/>
      <c r="G13" s="332" t="s">
        <v>433</v>
      </c>
      <c r="H13" s="209" t="str">
        <f t="shared" si="0"/>
        <v xml:space="preserve"> RCCTL Cutter Z</v>
      </c>
      <c r="I13" s="202" t="str">
        <f t="shared" si="1"/>
        <v>Rotary</v>
      </c>
      <c r="J13" s="267" t="str">
        <f t="shared" si="2"/>
        <v>Z</v>
      </c>
      <c r="K13" s="266">
        <f>VLOOKUP($D13,[4]회선정보!B:F,3,FALSE)</f>
        <v>0</v>
      </c>
      <c r="L13" s="266">
        <f>VLOOKUP($D13,[4]회선정보!B:F,4,FALSE)</f>
        <v>5</v>
      </c>
      <c r="M13" s="266" t="str">
        <f>VLOOKUP($D13,[4]회선정보!B:F,5,FALSE)</f>
        <v>MP5-1</v>
      </c>
      <c r="N13" s="265" t="s">
        <v>619</v>
      </c>
      <c r="O13" s="265" t="s">
        <v>618</v>
      </c>
      <c r="P13" s="263" t="str">
        <f t="shared" si="3"/>
        <v>SGM7A-A5A</v>
      </c>
      <c r="Q13" s="263">
        <f>IF(MID($N12,5,1)&lt;&gt;"W",VLOOKUP(N13,[4]정격용량!$B$3:$K$633,4,FALSE),"X")</f>
        <v>50</v>
      </c>
      <c r="R13" s="260">
        <f>IF(MID(N12,5,1)&lt;&gt;"W",VLOOKUP(N13,[4]정격용량!$B$3:$K$633,3,FALSE),"X")</f>
        <v>0.2</v>
      </c>
      <c r="S13" s="260">
        <f>IF(MID(N12,5,1)&lt;&gt;"W",VLOOKUP(N13,[4]정격용량!$B$3:$K$633,6,FALSE),"X")</f>
        <v>0.4</v>
      </c>
      <c r="T13" s="262">
        <f t="shared" si="4"/>
        <v>0.15130434782608695</v>
      </c>
      <c r="U13" s="261">
        <f>IF(MID($N12,5,1)&lt;&gt;"W",VLOOKUP(N13,[4]정격용량!$B$3:$K$633,9,FALSE),"X")</f>
        <v>1</v>
      </c>
      <c r="V13" s="260" t="str">
        <f>IFERROR(IF(J13="Z",VLOOKUP(P13,'[4]SERVO CABLE'!G:AD,8,FALSE),VLOOKUP(P13,'[4]SERVO CABLE'!G:AD,4,FALSE)),"")</f>
        <v>JZSP-C7M14F-□-E</v>
      </c>
      <c r="W13" s="260" t="str">
        <f>IFERROR(VLOOKUP(P13,'[4]SERVO CABLE'!G:AD,17,FALSE),"")</f>
        <v>JZSP-C7PA2D-□-E</v>
      </c>
      <c r="X13" s="215"/>
      <c r="Y13" s="215">
        <v>1</v>
      </c>
      <c r="Z13" s="259">
        <f t="shared" si="5"/>
        <v>0.2</v>
      </c>
      <c r="AA13" s="259" t="str">
        <f t="shared" si="6"/>
        <v/>
      </c>
      <c r="AB13" s="259" t="str">
        <f t="shared" si="7"/>
        <v/>
      </c>
      <c r="AC13" s="258">
        <f t="shared" si="8"/>
        <v>14.7882</v>
      </c>
      <c r="AD13" s="333" t="str">
        <f t="shared" si="9"/>
        <v>X</v>
      </c>
      <c r="AF13" s="189"/>
      <c r="AL13" s="189"/>
    </row>
    <row r="14" spans="1:38" ht="16.5">
      <c r="A14" s="180" t="s">
        <v>601</v>
      </c>
      <c r="B14" s="209"/>
      <c r="C14" s="280"/>
      <c r="D14" s="270" t="s">
        <v>164</v>
      </c>
      <c r="E14" s="331"/>
      <c r="F14" s="331"/>
      <c r="G14" s="332" t="s">
        <v>428</v>
      </c>
      <c r="H14" s="209" t="str">
        <f t="shared" si="0"/>
        <v xml:space="preserve"> RCCTL Cutter Shift</v>
      </c>
      <c r="I14" s="202" t="str">
        <f t="shared" si="1"/>
        <v>Rotary</v>
      </c>
      <c r="J14" s="267" t="str">
        <f t="shared" si="2"/>
        <v>T</v>
      </c>
      <c r="K14" s="266">
        <f>VLOOKUP($D14,[4]회선정보!B:F,3,FALSE)</f>
        <v>0</v>
      </c>
      <c r="L14" s="266">
        <f>VLOOKUP($D14,[4]회선정보!B:F,4,FALSE)</f>
        <v>6</v>
      </c>
      <c r="M14" s="266" t="str">
        <f>VLOOKUP($D14,[4]회선정보!B:F,5,FALSE)</f>
        <v>MP5-1</v>
      </c>
      <c r="N14" s="285" t="s">
        <v>619</v>
      </c>
      <c r="O14" s="285" t="s">
        <v>618</v>
      </c>
      <c r="P14" s="263" t="str">
        <f t="shared" si="3"/>
        <v>SGM7A-A5A</v>
      </c>
      <c r="Q14" s="263">
        <f>IF(MID($N13,5,1)&lt;&gt;"W",VLOOKUP(N14,[4]정격용량!$B$3:$K$633,4,FALSE),"X")</f>
        <v>50</v>
      </c>
      <c r="R14" s="260">
        <f>IF(MID(N13,5,1)&lt;&gt;"W",VLOOKUP(N14,[4]정격용량!$B$3:$K$633,3,FALSE),"X")</f>
        <v>0.2</v>
      </c>
      <c r="S14" s="260">
        <f>IF(MID(N13,5,1)&lt;&gt;"W",VLOOKUP(N14,[4]정격용량!$B$3:$K$633,6,FALSE),"X")</f>
        <v>0.4</v>
      </c>
      <c r="T14" s="262">
        <f t="shared" si="4"/>
        <v>0.15130434782608695</v>
      </c>
      <c r="U14" s="261">
        <f>IF(MID($N13,5,1)&lt;&gt;"W",VLOOKUP(N14,[4]정격용량!$B$3:$K$633,9,FALSE),"X")</f>
        <v>1</v>
      </c>
      <c r="V14" s="260" t="str">
        <f>IFERROR(IF(J14="Z",VLOOKUP(P14,'[4]SERVO CABLE'!G:AD,8,FALSE),VLOOKUP(P14,'[4]SERVO CABLE'!G:AD,4,FALSE)),"")</f>
        <v>JZSP-C7M12F-□-E</v>
      </c>
      <c r="W14" s="260" t="str">
        <f>IFERROR(VLOOKUP(P14,'[4]SERVO CABLE'!G:AD,17,FALSE),"")</f>
        <v>JZSP-C7PA2D-□-E</v>
      </c>
      <c r="X14" s="215"/>
      <c r="Y14" s="215">
        <v>2</v>
      </c>
      <c r="Z14" s="259" t="str">
        <f t="shared" si="5"/>
        <v/>
      </c>
      <c r="AA14" s="259">
        <f t="shared" si="6"/>
        <v>0.2</v>
      </c>
      <c r="AB14" s="259" t="str">
        <f t="shared" si="7"/>
        <v/>
      </c>
      <c r="AC14" s="258">
        <f t="shared" si="8"/>
        <v>14.7882</v>
      </c>
      <c r="AD14" s="333" t="str">
        <f t="shared" si="9"/>
        <v>X</v>
      </c>
      <c r="AF14" s="189"/>
      <c r="AL14" s="189"/>
    </row>
    <row r="15" spans="1:38" ht="16.5">
      <c r="A15" s="180" t="s">
        <v>601</v>
      </c>
      <c r="B15" s="209"/>
      <c r="C15" s="280"/>
      <c r="D15" s="270" t="s">
        <v>165</v>
      </c>
      <c r="E15" s="331"/>
      <c r="F15" s="331"/>
      <c r="G15" s="332" t="s">
        <v>367</v>
      </c>
      <c r="H15" s="209" t="str">
        <f t="shared" si="0"/>
        <v xml:space="preserve"> RCCTL Left Camera Y1</v>
      </c>
      <c r="I15" s="202" t="str">
        <f t="shared" si="1"/>
        <v>Rotary</v>
      </c>
      <c r="J15" s="267" t="str">
        <f t="shared" si="2"/>
        <v>Y</v>
      </c>
      <c r="K15" s="266">
        <f>VLOOKUP($D15,[4]회선정보!B:F,3,FALSE)</f>
        <v>0</v>
      </c>
      <c r="L15" s="266">
        <f>VLOOKUP($D15,[4]회선정보!B:F,4,FALSE)</f>
        <v>8</v>
      </c>
      <c r="M15" s="266" t="str">
        <f>VLOOKUP($D15,[4]회선정보!B:F,5,FALSE)</f>
        <v>MP5-1</v>
      </c>
      <c r="N15" s="284" t="s">
        <v>612</v>
      </c>
      <c r="O15" s="265" t="s">
        <v>616</v>
      </c>
      <c r="P15" s="263" t="str">
        <f t="shared" si="3"/>
        <v>SGM7M-A3A</v>
      </c>
      <c r="Q15" s="263">
        <f>IF(MID($N14,5,1)&lt;&gt;"W",VLOOKUP(N15,[4]정격용량!$B$3:$K$633,4,FALSE),"X")</f>
        <v>400</v>
      </c>
      <c r="R15" s="260">
        <f>IF(MID(N14,5,1)&lt;&gt;"W",VLOOKUP(N15,[4]정격용량!$B$3:$K$633,3,FALSE),"X")</f>
        <v>0.3</v>
      </c>
      <c r="S15" s="260">
        <f>IF(MID(N14,5,1)&lt;&gt;"W",VLOOKUP(N15,[4]정격용량!$B$3:$K$633,6,FALSE),"X")</f>
        <v>2.5</v>
      </c>
      <c r="T15" s="262">
        <f t="shared" si="4"/>
        <v>0.94565217391304346</v>
      </c>
      <c r="U15" s="261">
        <f>IF(MID($N14,5,1)&lt;&gt;"W",VLOOKUP(N15,[4]정격용량!$B$3:$K$633,9,FALSE),"X")</f>
        <v>3</v>
      </c>
      <c r="V15" s="260" t="str">
        <f>IFERROR(IF(J15="Z",VLOOKUP(P15,'[4]SERVO CABLE'!G:AD,8,FALSE),VLOOKUP(P15,'[4]SERVO CABLE'!G:AD,4,FALSE)),"")</f>
        <v>JZSP-CF2M20-□-E</v>
      </c>
      <c r="W15" s="260" t="str">
        <f>IFERROR(VLOOKUP(P15,'[4]SERVO CABLE'!G:AD,17,FALSE),"")</f>
        <v>JZSP-C7MP29-□-E</v>
      </c>
      <c r="X15" s="215"/>
      <c r="Y15" s="215">
        <v>3</v>
      </c>
      <c r="Z15" s="259" t="str">
        <f t="shared" si="5"/>
        <v/>
      </c>
      <c r="AA15" s="259" t="str">
        <f t="shared" si="6"/>
        <v/>
      </c>
      <c r="AB15" s="259">
        <f t="shared" si="7"/>
        <v>0.2</v>
      </c>
      <c r="AC15" s="258">
        <f t="shared" si="8"/>
        <v>1.848525</v>
      </c>
      <c r="AD15" s="333" t="str">
        <f t="shared" si="9"/>
        <v>IRV200</v>
      </c>
      <c r="AF15" s="189"/>
      <c r="AL15" s="189"/>
    </row>
    <row r="16" spans="1:38" ht="16.5">
      <c r="A16" s="180" t="s">
        <v>603</v>
      </c>
      <c r="B16" s="209"/>
      <c r="C16" s="280"/>
      <c r="D16" s="270" t="s">
        <v>166</v>
      </c>
      <c r="E16" s="331"/>
      <c r="F16" s="331"/>
      <c r="G16" s="332" t="s">
        <v>532</v>
      </c>
      <c r="H16" s="209" t="str">
        <f t="shared" si="0"/>
        <v xml:space="preserve"> RCCTL Right Camera Y1</v>
      </c>
      <c r="I16" s="202" t="str">
        <f t="shared" si="1"/>
        <v>Rotary</v>
      </c>
      <c r="J16" s="267" t="str">
        <f t="shared" si="2"/>
        <v>Y</v>
      </c>
      <c r="K16" s="266">
        <f>VLOOKUP($D16,[4]회선정보!B:F,3,FALSE)</f>
        <v>0</v>
      </c>
      <c r="L16" s="266">
        <f>VLOOKUP($D16,[4]회선정보!B:F,4,FALSE)</f>
        <v>9</v>
      </c>
      <c r="M16" s="266" t="str">
        <f>VLOOKUP($D16,[4]회선정보!B:F,5,FALSE)</f>
        <v>MP5-1</v>
      </c>
      <c r="N16" s="284"/>
      <c r="O16" s="265" t="s">
        <v>616</v>
      </c>
      <c r="P16" s="263" t="str">
        <f t="shared" si="3"/>
        <v>SGM7M-A3A</v>
      </c>
      <c r="Q16" s="263" t="str">
        <f>IF(MID($N15,5,1)&lt;&gt;"W",VLOOKUP(N16,[4]정격용량!$B$3:$K$633,4,FALSE),"X")</f>
        <v>X</v>
      </c>
      <c r="R16" s="260" t="str">
        <f>IF(MID(N15,5,1)&lt;&gt;"W",VLOOKUP(N16,[4]정격용량!$B$3:$K$633,3,FALSE),"X")</f>
        <v>X</v>
      </c>
      <c r="S16" s="260" t="str">
        <f>IF(MID(N15,5,1)&lt;&gt;"W",VLOOKUP(N16,[4]정격용량!$B$3:$K$633,6,FALSE),"X")</f>
        <v>X</v>
      </c>
      <c r="T16" s="262" t="str">
        <f t="shared" si="4"/>
        <v>X</v>
      </c>
      <c r="U16" s="261" t="str">
        <f>IF(MID($N15,5,1)&lt;&gt;"W",VLOOKUP(N16,[4]정격용량!$B$3:$K$633,9,FALSE),"X")</f>
        <v>X</v>
      </c>
      <c r="V16" s="260" t="str">
        <f>IFERROR(IF(J16="Z",VLOOKUP(P16,'[4]SERVO CABLE'!G:AD,8,FALSE),VLOOKUP(P16,'[4]SERVO CABLE'!G:AD,4,FALSE)),"")</f>
        <v>JZSP-CF2M20-□-E</v>
      </c>
      <c r="W16" s="260" t="str">
        <f>IFERROR(VLOOKUP(P16,'[4]SERVO CABLE'!G:AD,17,FALSE),"")</f>
        <v>JZSP-C7MP29-□-E</v>
      </c>
      <c r="X16" s="215"/>
      <c r="Y16" s="215"/>
      <c r="Z16" s="259" t="str">
        <f t="shared" si="5"/>
        <v/>
      </c>
      <c r="AA16" s="259" t="str">
        <f t="shared" si="6"/>
        <v/>
      </c>
      <c r="AB16" s="259" t="str">
        <f t="shared" si="7"/>
        <v/>
      </c>
      <c r="AC16" s="258" t="str">
        <f t="shared" si="8"/>
        <v>X</v>
      </c>
      <c r="AD16" s="333" t="str">
        <f t="shared" si="9"/>
        <v>X</v>
      </c>
      <c r="AF16" s="189"/>
      <c r="AL16" s="189"/>
    </row>
    <row r="17" spans="1:38" ht="16.5">
      <c r="A17" s="180" t="s">
        <v>603</v>
      </c>
      <c r="B17" s="280"/>
      <c r="C17" s="280"/>
      <c r="D17" s="270" t="s">
        <v>167</v>
      </c>
      <c r="E17" s="331"/>
      <c r="F17" s="331"/>
      <c r="G17" s="332" t="s">
        <v>368</v>
      </c>
      <c r="H17" s="209" t="str">
        <f t="shared" si="0"/>
        <v xml:space="preserve"> RCCTL Left Camera Z1</v>
      </c>
      <c r="I17" s="202" t="str">
        <f t="shared" si="1"/>
        <v>Rotary</v>
      </c>
      <c r="J17" s="267" t="str">
        <f t="shared" si="2"/>
        <v>Z</v>
      </c>
      <c r="K17" s="266">
        <f>VLOOKUP($D17,[4]회선정보!B:F,3,FALSE)</f>
        <v>0</v>
      </c>
      <c r="L17" s="266" t="str">
        <f>VLOOKUP($D17,[4]회선정보!B:F,4,FALSE)</f>
        <v>A</v>
      </c>
      <c r="M17" s="266" t="str">
        <f>VLOOKUP($D17,[4]회선정보!B:F,5,FALSE)</f>
        <v>MP5-1</v>
      </c>
      <c r="N17" s="334" t="s">
        <v>612</v>
      </c>
      <c r="O17" s="335" t="s">
        <v>616</v>
      </c>
      <c r="P17" s="263" t="str">
        <f t="shared" si="3"/>
        <v>SGM7M-A3A</v>
      </c>
      <c r="Q17" s="263">
        <f>IF(MID($N16,5,1)&lt;&gt;"W",VLOOKUP(N17,[4]정격용량!$B$3:$K$633,4,FALSE),"X")</f>
        <v>400</v>
      </c>
      <c r="R17" s="260">
        <f>IF(MID(N16,5,1)&lt;&gt;"W",VLOOKUP(N17,[4]정격용량!$B$3:$K$633,3,FALSE),"X")</f>
        <v>0.3</v>
      </c>
      <c r="S17" s="260">
        <f>IF(MID(N16,5,1)&lt;&gt;"W",VLOOKUP(N17,[4]정격용량!$B$3:$K$633,6,FALSE),"X")</f>
        <v>2.5</v>
      </c>
      <c r="T17" s="262">
        <f t="shared" si="4"/>
        <v>0.94565217391304346</v>
      </c>
      <c r="U17" s="261">
        <f>IF(MID($N16,5,1)&lt;&gt;"W",VLOOKUP(N17,[4]정격용량!$B$3:$K$633,9,FALSE),"X")</f>
        <v>3</v>
      </c>
      <c r="V17" s="260" t="str">
        <f>IFERROR(IF(J17="Z",VLOOKUP(P17,'[4]SERVO CABLE'!G:AD,4,FALSE),VLOOKUP(P17,'[4]SERVO CABLE'!G:AD,4,FALSE)),"")</f>
        <v>JZSP-CF2M20-□-E</v>
      </c>
      <c r="W17" s="260" t="str">
        <f>IFERROR(VLOOKUP(P17,'[4]SERVO CABLE'!G:AD,17,FALSE),"")</f>
        <v>JZSP-C7MP29-□-E</v>
      </c>
      <c r="X17" s="215"/>
      <c r="Y17" s="215">
        <v>1</v>
      </c>
      <c r="Z17" s="259">
        <f t="shared" si="5"/>
        <v>0.2</v>
      </c>
      <c r="AA17" s="259" t="str">
        <f t="shared" si="6"/>
        <v/>
      </c>
      <c r="AB17" s="259" t="str">
        <f t="shared" si="7"/>
        <v/>
      </c>
      <c r="AC17" s="258">
        <f t="shared" si="8"/>
        <v>1.848525</v>
      </c>
      <c r="AD17" s="333" t="str">
        <f t="shared" si="9"/>
        <v>IRV200</v>
      </c>
      <c r="AF17" s="189"/>
      <c r="AL17" s="189"/>
    </row>
    <row r="18" spans="1:38" ht="16.5">
      <c r="A18" s="180" t="s">
        <v>601</v>
      </c>
      <c r="B18" s="209"/>
      <c r="C18" s="280"/>
      <c r="D18" s="270" t="s">
        <v>208</v>
      </c>
      <c r="E18" s="331"/>
      <c r="F18" s="331"/>
      <c r="G18" s="332" t="s">
        <v>533</v>
      </c>
      <c r="H18" s="209" t="str">
        <f t="shared" si="0"/>
        <v xml:space="preserve"> RCCTL Right Camera Z1</v>
      </c>
      <c r="I18" s="202" t="str">
        <f t="shared" si="1"/>
        <v>Rotary</v>
      </c>
      <c r="J18" s="267" t="str">
        <f t="shared" si="2"/>
        <v>Z</v>
      </c>
      <c r="K18" s="266">
        <f>VLOOKUP($D18,[4]회선정보!B:F,3,FALSE)</f>
        <v>0</v>
      </c>
      <c r="L18" s="266" t="str">
        <f>VLOOKUP($D18,[4]회선정보!B:F,4,FALSE)</f>
        <v>B</v>
      </c>
      <c r="M18" s="266" t="str">
        <f>VLOOKUP($D18,[4]회선정보!B:F,5,FALSE)</f>
        <v>MP5-1</v>
      </c>
      <c r="N18" s="265"/>
      <c r="O18" s="335" t="s">
        <v>616</v>
      </c>
      <c r="P18" s="263" t="str">
        <f t="shared" si="3"/>
        <v>SGM7M-A3A</v>
      </c>
      <c r="Q18" s="263" t="str">
        <f>IF(MID($N17,5,1)&lt;&gt;"W",VLOOKUP(N18,[4]정격용량!$B$3:$K$633,4,FALSE),"X")</f>
        <v>X</v>
      </c>
      <c r="R18" s="260" t="str">
        <f>IF(MID(N17,5,1)&lt;&gt;"W",VLOOKUP(N18,[4]정격용량!$B$3:$K$633,3,FALSE),"X")</f>
        <v>X</v>
      </c>
      <c r="S18" s="260" t="str">
        <f>IF(MID(N17,5,1)&lt;&gt;"W",VLOOKUP(N18,[4]정격용량!$B$3:$K$633,6,FALSE),"X")</f>
        <v>X</v>
      </c>
      <c r="T18" s="262" t="str">
        <f t="shared" si="4"/>
        <v>X</v>
      </c>
      <c r="U18" s="261" t="str">
        <f>IF(MID($N17,5,1)&lt;&gt;"W",VLOOKUP(N18,[4]정격용량!$B$3:$K$633,9,FALSE),"X")</f>
        <v>X</v>
      </c>
      <c r="V18" s="260" t="str">
        <f>IFERROR(IF(J18="Z",VLOOKUP(P18,'[4]SERVO CABLE'!G:AD,4,FALSE),VLOOKUP(P18,'[4]SERVO CABLE'!G:AD,4,FALSE)),"")</f>
        <v>JZSP-CF2M20-□-E</v>
      </c>
      <c r="W18" s="260" t="str">
        <f>IFERROR(VLOOKUP(P18,'[4]SERVO CABLE'!G:AD,17,FALSE),"")</f>
        <v>JZSP-C7MP29-□-E</v>
      </c>
      <c r="X18" s="215"/>
      <c r="Y18" s="215"/>
      <c r="Z18" s="259" t="str">
        <f t="shared" si="5"/>
        <v/>
      </c>
      <c r="AA18" s="259" t="str">
        <f t="shared" si="6"/>
        <v/>
      </c>
      <c r="AB18" s="259" t="str">
        <f t="shared" si="7"/>
        <v/>
      </c>
      <c r="AC18" s="258" t="str">
        <f t="shared" si="8"/>
        <v>X</v>
      </c>
      <c r="AD18" s="333" t="str">
        <f t="shared" si="9"/>
        <v>X</v>
      </c>
      <c r="AF18" s="189"/>
      <c r="AL18" s="189"/>
    </row>
    <row r="19" spans="1:38" ht="16.5">
      <c r="A19" s="180" t="s">
        <v>601</v>
      </c>
      <c r="B19" s="209"/>
      <c r="C19" s="280"/>
      <c r="D19" s="336" t="s">
        <v>168</v>
      </c>
      <c r="E19" s="331"/>
      <c r="F19" s="331"/>
      <c r="G19" s="337" t="s">
        <v>542</v>
      </c>
      <c r="H19" s="209" t="str">
        <f t="shared" si="0"/>
        <v xml:space="preserve"> RCCTL Cutting Table Y1-1</v>
      </c>
      <c r="I19" s="202" t="str">
        <f t="shared" si="1"/>
        <v>LINEAR</v>
      </c>
      <c r="J19" s="267" t="str">
        <f t="shared" si="2"/>
        <v>T</v>
      </c>
      <c r="K19" s="266">
        <f>VLOOKUP($D19,[4]회선정보!B:F,3,FALSE)</f>
        <v>0</v>
      </c>
      <c r="L19" s="266" t="str">
        <f>VLOOKUP($D19,[4]회선정보!B:F,4,FALSE)</f>
        <v>D</v>
      </c>
      <c r="M19" s="266" t="str">
        <f>VLOOKUP($D19,[4]회선정보!B:F,5,FALSE)</f>
        <v>MP5-1</v>
      </c>
      <c r="N19" s="265" t="s">
        <v>610</v>
      </c>
      <c r="O19" s="265" t="s">
        <v>664</v>
      </c>
      <c r="P19" s="263" t="str">
        <f t="shared" si="3"/>
        <v>SGLFW-35A230AP</v>
      </c>
      <c r="Q19" s="263">
        <f>IF(MID($N18,5,1)&lt;&gt;"W",VLOOKUP(N19,[4]정격용량!$B$3:$K$633,4,FALSE),"X")</f>
        <v>1500</v>
      </c>
      <c r="R19" s="260">
        <f>IF(MID(N18,5,1)&lt;&gt;"W",VLOOKUP(N19,[4]정격용량!$B$3:$K$633,3,FALSE),"X")</f>
        <v>0.3</v>
      </c>
      <c r="S19" s="260">
        <f>IF(MID(N18,5,1)&lt;&gt;"W",VLOOKUP(N19,[4]정격용량!$B$3:$K$633,6,FALSE),"X")</f>
        <v>7.8</v>
      </c>
      <c r="T19" s="262">
        <f t="shared" si="4"/>
        <v>2.9504347826086956</v>
      </c>
      <c r="U19" s="261">
        <f>IF(MID($N18,5,1)&lt;&gt;"W",VLOOKUP(N19,[4]정격용량!$B$3:$K$633,9,FALSE),"X")</f>
        <v>10</v>
      </c>
      <c r="V19" s="260" t="str">
        <f>IFERROR(IF(J19="Z",VLOOKUP(P19,'[4]SERVO CABLE'!G:AD,8,FALSE),VLOOKUP(P19,'[4]SERVO CABLE'!G:AD,4,FALSE)),"")</f>
        <v>JZSP-CLN11-01-E</v>
      </c>
      <c r="W19" s="260" t="str">
        <f>IFERROR(VLOOKUP(P19,'[4]SERVO CABLE'!G:AD,17,FALSE),"")</f>
        <v>JZSP-CLP70-□-ER</v>
      </c>
      <c r="X19" s="215"/>
      <c r="Y19" s="215">
        <v>2</v>
      </c>
      <c r="Z19" s="259" t="str">
        <f t="shared" si="5"/>
        <v/>
      </c>
      <c r="AA19" s="259">
        <f t="shared" si="6"/>
        <v>0.2</v>
      </c>
      <c r="AB19" s="259" t="str">
        <f t="shared" si="7"/>
        <v/>
      </c>
      <c r="AC19" s="258">
        <f t="shared" si="8"/>
        <v>0.49293999999999999</v>
      </c>
      <c r="AD19" s="333" t="str">
        <f t="shared" si="9"/>
        <v>IRV80</v>
      </c>
      <c r="AF19" s="189"/>
      <c r="AL19" s="189"/>
    </row>
    <row r="20" spans="1:38" ht="16.5">
      <c r="A20" s="180" t="s">
        <v>601</v>
      </c>
      <c r="B20" s="209"/>
      <c r="C20" s="280"/>
      <c r="D20" s="336" t="s">
        <v>169</v>
      </c>
      <c r="E20" s="331"/>
      <c r="F20" s="331"/>
      <c r="G20" s="337" t="s">
        <v>543</v>
      </c>
      <c r="H20" s="209" t="str">
        <f t="shared" si="0"/>
        <v xml:space="preserve"> RCCTL Cutting Table Y1-2</v>
      </c>
      <c r="I20" s="202" t="str">
        <f t="shared" si="1"/>
        <v>LINEAR</v>
      </c>
      <c r="J20" s="267" t="str">
        <f t="shared" si="2"/>
        <v>T</v>
      </c>
      <c r="K20" s="266">
        <f>VLOOKUP($D20,[4]회선정보!B:F,3,FALSE)</f>
        <v>0</v>
      </c>
      <c r="L20" s="266" t="str">
        <f>VLOOKUP($D20,[4]회선정보!B:F,4,FALSE)</f>
        <v>E</v>
      </c>
      <c r="M20" s="266" t="str">
        <f>VLOOKUP($D20,[4]회선정보!B:F,5,FALSE)</f>
        <v>MP5-1</v>
      </c>
      <c r="N20" s="209"/>
      <c r="O20" s="209" t="s">
        <v>664</v>
      </c>
      <c r="P20" s="263" t="str">
        <f t="shared" si="3"/>
        <v>SGLFW-35A230AP</v>
      </c>
      <c r="Q20" s="263" t="str">
        <f>IF(MID($N19,5,1)&lt;&gt;"W",VLOOKUP(N20,[4]정격용량!$B$3:$K$633,4,FALSE),"X")</f>
        <v>X</v>
      </c>
      <c r="R20" s="260" t="str">
        <f>IF(MID(N19,5,1)&lt;&gt;"W",VLOOKUP(N20,[4]정격용량!$B$3:$K$633,3,FALSE),"X")</f>
        <v>X</v>
      </c>
      <c r="S20" s="260" t="str">
        <f>IF(MID(N19,5,1)&lt;&gt;"W",VLOOKUP(N20,[4]정격용량!$B$3:$K$633,6,FALSE),"X")</f>
        <v>X</v>
      </c>
      <c r="T20" s="262" t="str">
        <f t="shared" si="4"/>
        <v>X</v>
      </c>
      <c r="U20" s="261" t="str">
        <f>IF(MID($N19,5,1)&lt;&gt;"W",VLOOKUP(N20,[4]정격용량!$B$3:$K$633,9,FALSE),"X")</f>
        <v>X</v>
      </c>
      <c r="V20" s="260" t="str">
        <f>IFERROR(IF(J20="Z",VLOOKUP(P20,'[4]SERVO CABLE'!G:AD,8,FALSE),VLOOKUP(P20,'[4]SERVO CABLE'!G:AD,4,FALSE)),"")</f>
        <v>JZSP-CLN11-01-E</v>
      </c>
      <c r="W20" s="260" t="str">
        <f>IFERROR(VLOOKUP(P20,'[4]SERVO CABLE'!G:AD,17,FALSE),"")</f>
        <v>JZSP-CLP70-□-ER</v>
      </c>
      <c r="X20" s="215"/>
      <c r="Y20" s="215"/>
      <c r="Z20" s="259" t="str">
        <f t="shared" si="5"/>
        <v/>
      </c>
      <c r="AA20" s="259" t="str">
        <f t="shared" si="6"/>
        <v/>
      </c>
      <c r="AB20" s="259" t="str">
        <f t="shared" si="7"/>
        <v/>
      </c>
      <c r="AC20" s="258" t="str">
        <f t="shared" si="8"/>
        <v>X</v>
      </c>
      <c r="AD20" s="333" t="str">
        <f t="shared" si="9"/>
        <v>X</v>
      </c>
      <c r="AF20" s="189"/>
      <c r="AL20" s="189"/>
    </row>
    <row r="21" spans="1:38" ht="16.5">
      <c r="A21" s="180" t="s">
        <v>601</v>
      </c>
      <c r="B21" s="209"/>
      <c r="C21" s="280"/>
      <c r="D21" s="270" t="s">
        <v>170</v>
      </c>
      <c r="E21" s="331"/>
      <c r="F21" s="331"/>
      <c r="G21" s="337" t="s">
        <v>457</v>
      </c>
      <c r="H21" s="209" t="str">
        <f t="shared" si="0"/>
        <v xml:space="preserve"> RCCTL Scribe Chuck Left X</v>
      </c>
      <c r="I21" s="202" t="str">
        <f t="shared" si="1"/>
        <v>Rotary</v>
      </c>
      <c r="J21" s="267" t="str">
        <f t="shared" si="2"/>
        <v>X</v>
      </c>
      <c r="K21" s="266">
        <f>VLOOKUP($D21,[4]회선정보!B:F,3,FALSE)</f>
        <v>0</v>
      </c>
      <c r="L21" s="266">
        <f>VLOOKUP($D21,[4]회선정보!B:F,4,FALSE)</f>
        <v>3</v>
      </c>
      <c r="M21" s="266" t="str">
        <f>VLOOKUP($D21,[4]회선정보!B:F,5,FALSE)</f>
        <v>MP6-1</v>
      </c>
      <c r="N21" s="209" t="s">
        <v>612</v>
      </c>
      <c r="O21" s="209" t="s">
        <v>624</v>
      </c>
      <c r="P21" s="263" t="str">
        <f t="shared" si="3"/>
        <v>SGM7J-01A</v>
      </c>
      <c r="Q21" s="263">
        <f>IF(MID($N20,5,1)&lt;&gt;"W",VLOOKUP(N21,[4]정격용량!$B$3:$K$633,4,FALSE),"X")</f>
        <v>400</v>
      </c>
      <c r="R21" s="260">
        <f>IF(MID(N20,5,1)&lt;&gt;"W",VLOOKUP(N21,[4]정격용량!$B$3:$K$633,3,FALSE),"X")</f>
        <v>0.3</v>
      </c>
      <c r="S21" s="260">
        <f>IF(MID(N20,5,1)&lt;&gt;"W",VLOOKUP(N21,[4]정격용량!$B$3:$K$633,6,FALSE),"X")</f>
        <v>2.5</v>
      </c>
      <c r="T21" s="262">
        <f t="shared" si="4"/>
        <v>0.94565217391304346</v>
      </c>
      <c r="U21" s="261">
        <f>IF(MID($N20,5,1)&lt;&gt;"W",VLOOKUP(N21,[4]정격용량!$B$3:$K$633,9,FALSE),"X")</f>
        <v>3</v>
      </c>
      <c r="V21" s="260" t="str">
        <f>IFERROR(IF(J21="Z",VLOOKUP(P21,'[4]SERVO CABLE'!G:AD,8,FALSE),VLOOKUP(P21,'[4]SERVO CABLE'!G:AD,4,FALSE)),"")</f>
        <v>JZSP-C7M12F-□-E</v>
      </c>
      <c r="W21" s="260" t="str">
        <f>IFERROR(VLOOKUP(P21,'[4]SERVO CABLE'!G:AD,17,FALSE),"")</f>
        <v>JZSP-C7PA2D-□-E</v>
      </c>
      <c r="X21" s="215"/>
      <c r="Y21" s="215">
        <v>3</v>
      </c>
      <c r="Z21" s="259" t="str">
        <f t="shared" si="5"/>
        <v/>
      </c>
      <c r="AA21" s="259" t="str">
        <f t="shared" si="6"/>
        <v/>
      </c>
      <c r="AB21" s="259">
        <f t="shared" si="7"/>
        <v>0.2</v>
      </c>
      <c r="AC21" s="258">
        <f t="shared" si="8"/>
        <v>1.848525</v>
      </c>
      <c r="AD21" s="333" t="str">
        <f t="shared" si="9"/>
        <v>IRV200</v>
      </c>
      <c r="AF21" s="189"/>
      <c r="AL21" s="189"/>
    </row>
    <row r="22" spans="1:38" ht="16.5">
      <c r="A22" s="180" t="s">
        <v>601</v>
      </c>
      <c r="B22" s="209"/>
      <c r="C22" s="280"/>
      <c r="D22" s="270" t="s">
        <v>171</v>
      </c>
      <c r="E22" s="331"/>
      <c r="F22" s="331"/>
      <c r="G22" s="332" t="s">
        <v>534</v>
      </c>
      <c r="H22" s="209" t="str">
        <f t="shared" si="0"/>
        <v xml:space="preserve"> RCCTL Scribe Chuck Right X</v>
      </c>
      <c r="I22" s="202" t="str">
        <f t="shared" si="1"/>
        <v>Rotary</v>
      </c>
      <c r="J22" s="267" t="str">
        <f t="shared" si="2"/>
        <v>X</v>
      </c>
      <c r="K22" s="266">
        <f>VLOOKUP($D22,[4]회선정보!B:F,3,FALSE)</f>
        <v>0</v>
      </c>
      <c r="L22" s="266">
        <f>VLOOKUP($D22,[4]회선정보!B:F,4,FALSE)</f>
        <v>4</v>
      </c>
      <c r="M22" s="266" t="str">
        <f>VLOOKUP($D22,[4]회선정보!B:F,5,FALSE)</f>
        <v>MP6-1</v>
      </c>
      <c r="N22" s="209"/>
      <c r="O22" s="209" t="s">
        <v>624</v>
      </c>
      <c r="P22" s="263" t="str">
        <f t="shared" si="3"/>
        <v>SGM7J-01A</v>
      </c>
      <c r="Q22" s="263" t="str">
        <f>IF(MID($N21,5,1)&lt;&gt;"W",VLOOKUP(N22,[4]정격용량!$B$3:$K$633,4,FALSE),"X")</f>
        <v>X</v>
      </c>
      <c r="R22" s="260" t="str">
        <f>IF(MID(N21,5,1)&lt;&gt;"W",VLOOKUP(N22,[4]정격용량!$B$3:$K$633,3,FALSE),"X")</f>
        <v>X</v>
      </c>
      <c r="S22" s="260" t="str">
        <f>IF(MID(N21,5,1)&lt;&gt;"W",VLOOKUP(N22,[4]정격용량!$B$3:$K$633,6,FALSE),"X")</f>
        <v>X</v>
      </c>
      <c r="T22" s="262" t="str">
        <f t="shared" si="4"/>
        <v>X</v>
      </c>
      <c r="U22" s="261" t="str">
        <f>IF(MID($N21,5,1)&lt;&gt;"W",VLOOKUP(N22,[4]정격용량!$B$3:$K$633,9,FALSE),"X")</f>
        <v>X</v>
      </c>
      <c r="V22" s="260" t="str">
        <f>IFERROR(IF(J22="Z",VLOOKUP(P22,'[4]SERVO CABLE'!G:AD,8,FALSE),VLOOKUP(P22,'[4]SERVO CABLE'!G:AD,4,FALSE)),"")</f>
        <v>JZSP-C7M12F-□-E</v>
      </c>
      <c r="W22" s="260" t="str">
        <f>IFERROR(VLOOKUP(P22,'[4]SERVO CABLE'!G:AD,17,FALSE),"")</f>
        <v>JZSP-C7PA2D-□-E</v>
      </c>
      <c r="X22" s="215"/>
      <c r="Y22" s="215"/>
      <c r="Z22" s="259" t="str">
        <f t="shared" si="5"/>
        <v/>
      </c>
      <c r="AA22" s="259" t="str">
        <f t="shared" si="6"/>
        <v/>
      </c>
      <c r="AB22" s="259" t="str">
        <f t="shared" si="7"/>
        <v/>
      </c>
      <c r="AC22" s="258" t="str">
        <f t="shared" si="8"/>
        <v>X</v>
      </c>
      <c r="AD22" s="333" t="str">
        <f t="shared" si="9"/>
        <v>X</v>
      </c>
      <c r="AF22" s="189"/>
      <c r="AL22" s="189"/>
    </row>
    <row r="23" spans="1:38" ht="16.5">
      <c r="A23" s="180" t="s">
        <v>601</v>
      </c>
      <c r="B23" s="209"/>
      <c r="C23" s="280"/>
      <c r="D23" s="270" t="s">
        <v>172</v>
      </c>
      <c r="E23" s="331"/>
      <c r="F23" s="331"/>
      <c r="G23" s="337" t="s">
        <v>458</v>
      </c>
      <c r="H23" s="209" t="str">
        <f t="shared" si="0"/>
        <v xml:space="preserve"> RCCTL Scribe Chuck Y-1</v>
      </c>
      <c r="I23" s="202" t="str">
        <f t="shared" si="1"/>
        <v>LINEAR</v>
      </c>
      <c r="J23" s="267" t="str">
        <f t="shared" si="2"/>
        <v>Y</v>
      </c>
      <c r="K23" s="266">
        <f>VLOOKUP($D23,[4]회선정보!B:F,3,FALSE)</f>
        <v>0</v>
      </c>
      <c r="L23" s="266">
        <f>VLOOKUP($D23,[4]회선정보!B:F,4,FALSE)</f>
        <v>5</v>
      </c>
      <c r="M23" s="266" t="str">
        <f>VLOOKUP($D23,[4]회선정보!B:F,5,FALSE)</f>
        <v>MP6-1</v>
      </c>
      <c r="N23" s="280" t="s">
        <v>610</v>
      </c>
      <c r="O23" s="280" t="s">
        <v>664</v>
      </c>
      <c r="P23" s="263" t="str">
        <f t="shared" si="3"/>
        <v>SGLFW-35A230AP</v>
      </c>
      <c r="Q23" s="263">
        <f>IF(MID($N22,5,1)&lt;&gt;"W",VLOOKUP(N23,[4]정격용량!$B$3:$K$633,4,FALSE),"X")</f>
        <v>1500</v>
      </c>
      <c r="R23" s="260">
        <f>IF(MID(N22,5,1)&lt;&gt;"W",VLOOKUP(N23,[4]정격용량!$B$3:$K$633,3,FALSE),"X")</f>
        <v>0.3</v>
      </c>
      <c r="S23" s="260">
        <f>IF(MID(N22,5,1)&lt;&gt;"W",VLOOKUP(N23,[4]정격용량!$B$3:$K$633,6,FALSE),"X")</f>
        <v>7.8</v>
      </c>
      <c r="T23" s="262">
        <f t="shared" si="4"/>
        <v>2.9504347826086956</v>
      </c>
      <c r="U23" s="261">
        <f>IF(MID($N22,5,1)&lt;&gt;"W",VLOOKUP(N23,[4]정격용량!$B$3:$K$633,9,FALSE),"X")</f>
        <v>10</v>
      </c>
      <c r="V23" s="260" t="str">
        <f>IFERROR(IF(J23="Z",VLOOKUP(P23,'[4]SERVO CABLE'!G:AD,8,FALSE),VLOOKUP(P23,'[4]SERVO CABLE'!G:AD,4,FALSE)),"")</f>
        <v>JZSP-CLN11-01-E</v>
      </c>
      <c r="W23" s="260" t="str">
        <f>IFERROR(VLOOKUP(P23,'[4]SERVO CABLE'!G:AD,17,FALSE),"")</f>
        <v>JZSP-CLP70-□-ER</v>
      </c>
      <c r="X23" s="215"/>
      <c r="Y23" s="215">
        <v>1</v>
      </c>
      <c r="Z23" s="259">
        <f t="shared" si="5"/>
        <v>0.2</v>
      </c>
      <c r="AA23" s="259" t="str">
        <f t="shared" si="6"/>
        <v/>
      </c>
      <c r="AB23" s="259" t="str">
        <f t="shared" si="7"/>
        <v/>
      </c>
      <c r="AC23" s="258">
        <f t="shared" si="8"/>
        <v>0.49293999999999999</v>
      </c>
      <c r="AD23" s="333" t="str">
        <f t="shared" si="9"/>
        <v>IRV80</v>
      </c>
      <c r="AF23" s="189"/>
      <c r="AL23" s="189"/>
    </row>
    <row r="24" spans="1:38" ht="16.5">
      <c r="A24" s="180" t="s">
        <v>623</v>
      </c>
      <c r="B24" s="209"/>
      <c r="C24" s="209"/>
      <c r="D24" s="270" t="s">
        <v>207</v>
      </c>
      <c r="E24" s="331"/>
      <c r="F24" s="331"/>
      <c r="G24" s="337" t="s">
        <v>459</v>
      </c>
      <c r="H24" s="209" t="str">
        <f t="shared" si="0"/>
        <v xml:space="preserve"> RCCTL Scribe Chuck Y-2</v>
      </c>
      <c r="I24" s="202" t="str">
        <f t="shared" si="1"/>
        <v>LINEAR</v>
      </c>
      <c r="J24" s="267" t="str">
        <f t="shared" si="2"/>
        <v>Y</v>
      </c>
      <c r="K24" s="266">
        <f>VLOOKUP($D24,[4]회선정보!B:F,3,FALSE)</f>
        <v>0</v>
      </c>
      <c r="L24" s="266">
        <f>VLOOKUP($D24,[4]회선정보!B:F,4,FALSE)</f>
        <v>6</v>
      </c>
      <c r="M24" s="266" t="str">
        <f>VLOOKUP($D24,[4]회선정보!B:F,5,FALSE)</f>
        <v>MP6-1</v>
      </c>
      <c r="N24" s="265"/>
      <c r="O24" s="265" t="s">
        <v>664</v>
      </c>
      <c r="P24" s="263" t="str">
        <f t="shared" si="3"/>
        <v>SGLFW-35A230AP</v>
      </c>
      <c r="Q24" s="263" t="str">
        <f>IF(MID($N23,5,1)&lt;&gt;"W",VLOOKUP(N24,[4]정격용량!$B$3:$K$633,4,FALSE),"X")</f>
        <v>X</v>
      </c>
      <c r="R24" s="260" t="str">
        <f>IF(MID(N23,5,1)&lt;&gt;"W",VLOOKUP(N24,[4]정격용량!$B$3:$K$633,3,FALSE),"X")</f>
        <v>X</v>
      </c>
      <c r="S24" s="260" t="str">
        <f>IF(MID(N23,5,1)&lt;&gt;"W",VLOOKUP(N24,[4]정격용량!$B$3:$K$633,6,FALSE),"X")</f>
        <v>X</v>
      </c>
      <c r="T24" s="262" t="str">
        <f t="shared" si="4"/>
        <v>X</v>
      </c>
      <c r="U24" s="261" t="str">
        <f>IF(MID($N23,5,1)&lt;&gt;"W",VLOOKUP(N24,[4]정격용량!$B$3:$K$633,9,FALSE),"X")</f>
        <v>X</v>
      </c>
      <c r="V24" s="260" t="str">
        <f>IFERROR(IF(J24="Z",VLOOKUP(P24,'[4]SERVO CABLE'!G:AD,8,FALSE),VLOOKUP(P24,'[4]SERVO CABLE'!G:AD,4,FALSE)),"")</f>
        <v>JZSP-CLN11-01-E</v>
      </c>
      <c r="W24" s="260" t="str">
        <f>IFERROR(VLOOKUP(P24,'[4]SERVO CABLE'!G:AD,17,FALSE),"")</f>
        <v>JZSP-CLP70-□-ER</v>
      </c>
      <c r="X24" s="215"/>
      <c r="Y24" s="215"/>
      <c r="Z24" s="259" t="str">
        <f t="shared" si="5"/>
        <v/>
      </c>
      <c r="AA24" s="259" t="str">
        <f t="shared" si="6"/>
        <v/>
      </c>
      <c r="AB24" s="259" t="str">
        <f t="shared" si="7"/>
        <v/>
      </c>
      <c r="AC24" s="258" t="str">
        <f t="shared" si="8"/>
        <v>X</v>
      </c>
      <c r="AD24" s="333" t="str">
        <f t="shared" si="9"/>
        <v>X</v>
      </c>
      <c r="AF24" s="189"/>
      <c r="AL24" s="189"/>
    </row>
    <row r="25" spans="1:38" ht="16.5">
      <c r="A25" s="180" t="s">
        <v>623</v>
      </c>
      <c r="B25" s="209"/>
      <c r="C25" s="209"/>
      <c r="D25" s="270" t="s">
        <v>173</v>
      </c>
      <c r="E25" s="331"/>
      <c r="F25" s="331"/>
      <c r="G25" s="337" t="s">
        <v>460</v>
      </c>
      <c r="H25" s="209" t="str">
        <f t="shared" si="0"/>
        <v xml:space="preserve"> RCCTL Scribe Chuck Z1</v>
      </c>
      <c r="I25" s="202" t="str">
        <f t="shared" si="1"/>
        <v>Rotary</v>
      </c>
      <c r="J25" s="267" t="str">
        <f t="shared" si="2"/>
        <v>Z</v>
      </c>
      <c r="K25" s="266">
        <f>VLOOKUP($D25,[4]회선정보!B:F,3,FALSE)</f>
        <v>0</v>
      </c>
      <c r="L25" s="266">
        <f>VLOOKUP($D25,[4]회선정보!B:F,4,FALSE)</f>
        <v>7</v>
      </c>
      <c r="M25" s="266" t="str">
        <f>VLOOKUP($D25,[4]회선정보!B:F,5,FALSE)</f>
        <v>MP6-1</v>
      </c>
      <c r="N25" s="265" t="s">
        <v>665</v>
      </c>
      <c r="O25" s="265" t="s">
        <v>611</v>
      </c>
      <c r="P25" s="263" t="str">
        <f t="shared" si="3"/>
        <v>SGM7J-A5A</v>
      </c>
      <c r="Q25" s="263">
        <f>IF(MID($N24,5,1)&lt;&gt;"W",VLOOKUP(N25,[4]정격용량!$B$3:$K$633,4,FALSE),"X")</f>
        <v>200</v>
      </c>
      <c r="R25" s="260">
        <f>IF(MID(N24,5,1)&lt;&gt;"W",VLOOKUP(N25,[4]정격용량!$B$3:$K$633,3,FALSE),"X")</f>
        <v>0.2</v>
      </c>
      <c r="S25" s="260">
        <f>IF(MID(N24,5,1)&lt;&gt;"W",VLOOKUP(N25,[4]정격용량!$B$3:$K$633,6,FALSE),"X")</f>
        <v>1.3</v>
      </c>
      <c r="T25" s="262">
        <f t="shared" si="4"/>
        <v>0.49173913043478262</v>
      </c>
      <c r="U25" s="261">
        <f>IF(MID($N24,5,1)&lt;&gt;"W",VLOOKUP(N25,[4]정격용량!$B$3:$K$633,9,FALSE),"X")</f>
        <v>2</v>
      </c>
      <c r="V25" s="260" t="str">
        <f>IFERROR(IF(J25="Z",VLOOKUP(P25,'[4]SERVO CABLE'!G:AD,8,FALSE),VLOOKUP(P25,'[4]SERVO CABLE'!G:AD,4,FALSE)),"")</f>
        <v>JZSP-C7M14F-□-E</v>
      </c>
      <c r="W25" s="260" t="str">
        <f>IFERROR(VLOOKUP(P25,'[4]SERVO CABLE'!G:AD,17,FALSE),"")</f>
        <v>JZSP-C7PA2D-□-E</v>
      </c>
      <c r="X25" s="215"/>
      <c r="Y25" s="215">
        <v>2</v>
      </c>
      <c r="Z25" s="259" t="str">
        <f t="shared" si="5"/>
        <v/>
      </c>
      <c r="AA25" s="259">
        <f t="shared" si="6"/>
        <v>0.2</v>
      </c>
      <c r="AB25" s="259" t="str">
        <f t="shared" si="7"/>
        <v/>
      </c>
      <c r="AC25" s="258">
        <f t="shared" si="8"/>
        <v>3.6970499999999999</v>
      </c>
      <c r="AD25" s="333" t="str">
        <f t="shared" si="9"/>
        <v>IRV400</v>
      </c>
      <c r="AF25" s="189"/>
      <c r="AL25" s="189"/>
    </row>
    <row r="26" spans="1:38" ht="16.5">
      <c r="A26" s="180" t="s">
        <v>623</v>
      </c>
      <c r="B26" s="209"/>
      <c r="C26" s="280"/>
      <c r="D26" s="270" t="s">
        <v>174</v>
      </c>
      <c r="E26" s="331"/>
      <c r="F26" s="331"/>
      <c r="G26" s="337" t="s">
        <v>461</v>
      </c>
      <c r="H26" s="209" t="str">
        <f t="shared" si="0"/>
        <v xml:space="preserve"> RCCTL Scribe Chuck Z2</v>
      </c>
      <c r="I26" s="202" t="str">
        <f t="shared" si="1"/>
        <v>Rotary</v>
      </c>
      <c r="J26" s="267" t="str">
        <f t="shared" si="2"/>
        <v>Z</v>
      </c>
      <c r="K26" s="266">
        <f>VLOOKUP($D26,[4]회선정보!B:F,3,FALSE)</f>
        <v>0</v>
      </c>
      <c r="L26" s="266">
        <f>VLOOKUP($D26,[4]회선정보!B:F,4,FALSE)</f>
        <v>8</v>
      </c>
      <c r="M26" s="266" t="str">
        <f>VLOOKUP($D26,[4]회선정보!B:F,5,FALSE)</f>
        <v>MP6-1</v>
      </c>
      <c r="N26" s="265" t="s">
        <v>665</v>
      </c>
      <c r="O26" s="265" t="s">
        <v>611</v>
      </c>
      <c r="P26" s="263" t="str">
        <f t="shared" si="3"/>
        <v>SGM7J-A5A</v>
      </c>
      <c r="Q26" s="263">
        <f>IF(MID($N25,5,1)&lt;&gt;"W",VLOOKUP(N26,[4]정격용량!$B$3:$K$633,4,FALSE),"X")</f>
        <v>200</v>
      </c>
      <c r="R26" s="260">
        <f>IF(MID(N25,5,1)&lt;&gt;"W",VLOOKUP(N26,[4]정격용량!$B$3:$K$633,3,FALSE),"X")</f>
        <v>0.2</v>
      </c>
      <c r="S26" s="260">
        <f>IF(MID(N25,5,1)&lt;&gt;"W",VLOOKUP(N26,[4]정격용량!$B$3:$K$633,6,FALSE),"X")</f>
        <v>1.3</v>
      </c>
      <c r="T26" s="262">
        <f t="shared" si="4"/>
        <v>0.49173913043478262</v>
      </c>
      <c r="U26" s="261">
        <f>IF(MID($N25,5,1)&lt;&gt;"W",VLOOKUP(N26,[4]정격용량!$B$3:$K$633,9,FALSE),"X")</f>
        <v>2</v>
      </c>
      <c r="V26" s="260" t="str">
        <f>IFERROR(IF(J26="Z",VLOOKUP(P26,'[4]SERVO CABLE'!G:AD,8,FALSE),VLOOKUP(P26,'[4]SERVO CABLE'!G:AD,4,FALSE)),"")</f>
        <v>JZSP-C7M14F-□-E</v>
      </c>
      <c r="W26" s="260" t="str">
        <f>IFERROR(VLOOKUP(P26,'[4]SERVO CABLE'!G:AD,17,FALSE),"")</f>
        <v>JZSP-C7PA2D-□-E</v>
      </c>
      <c r="X26" s="215"/>
      <c r="Y26" s="215">
        <v>3</v>
      </c>
      <c r="Z26" s="259" t="str">
        <f t="shared" si="5"/>
        <v/>
      </c>
      <c r="AA26" s="259" t="str">
        <f t="shared" si="6"/>
        <v/>
      </c>
      <c r="AB26" s="259">
        <f t="shared" si="7"/>
        <v>0.2</v>
      </c>
      <c r="AC26" s="258">
        <f t="shared" si="8"/>
        <v>3.6970499999999999</v>
      </c>
      <c r="AD26" s="333" t="str">
        <f t="shared" si="9"/>
        <v>IRV400</v>
      </c>
      <c r="AF26" s="189"/>
      <c r="AL26" s="189"/>
    </row>
    <row r="27" spans="1:38" ht="16.5">
      <c r="A27" s="180" t="s">
        <v>603</v>
      </c>
      <c r="B27" s="209"/>
      <c r="C27" s="209"/>
      <c r="D27" s="270" t="s">
        <v>175</v>
      </c>
      <c r="E27" s="331"/>
      <c r="F27" s="331"/>
      <c r="G27" s="337" t="s">
        <v>462</v>
      </c>
      <c r="H27" s="209" t="str">
        <f t="shared" si="0"/>
        <v xml:space="preserve"> RCCTL Scribe Chuck Z3</v>
      </c>
      <c r="I27" s="202" t="str">
        <f t="shared" si="1"/>
        <v>Rotary</v>
      </c>
      <c r="J27" s="267" t="str">
        <f t="shared" si="2"/>
        <v>Z</v>
      </c>
      <c r="K27" s="266">
        <f>VLOOKUP($D27,[4]회선정보!B:F,3,FALSE)</f>
        <v>0</v>
      </c>
      <c r="L27" s="266">
        <f>VLOOKUP($D27,[4]회선정보!B:F,4,FALSE)</f>
        <v>9</v>
      </c>
      <c r="M27" s="266" t="str">
        <f>VLOOKUP($D27,[4]회선정보!B:F,5,FALSE)</f>
        <v>MP6-1</v>
      </c>
      <c r="N27" s="265" t="s">
        <v>665</v>
      </c>
      <c r="O27" s="209" t="s">
        <v>611</v>
      </c>
      <c r="P27" s="263" t="str">
        <f t="shared" si="3"/>
        <v>SGM7J-A5A</v>
      </c>
      <c r="Q27" s="263">
        <f>IF(MID($N26,5,1)&lt;&gt;"W",VLOOKUP(N27,[4]정격용량!$B$3:$K$633,4,FALSE),"X")</f>
        <v>200</v>
      </c>
      <c r="R27" s="260">
        <f>IF(MID(N26,5,1)&lt;&gt;"W",VLOOKUP(N27,[4]정격용량!$B$3:$K$633,3,FALSE),"X")</f>
        <v>0.2</v>
      </c>
      <c r="S27" s="260">
        <f>IF(MID(N26,5,1)&lt;&gt;"W",VLOOKUP(N27,[4]정격용량!$B$3:$K$633,6,FALSE),"X")</f>
        <v>1.3</v>
      </c>
      <c r="T27" s="262">
        <f t="shared" si="4"/>
        <v>0.49173913043478262</v>
      </c>
      <c r="U27" s="261">
        <f>IF(MID($N26,5,1)&lt;&gt;"W",VLOOKUP(N27,[4]정격용량!$B$3:$K$633,9,FALSE),"X")</f>
        <v>2</v>
      </c>
      <c r="V27" s="260" t="str">
        <f>IFERROR(IF(J27="Z",VLOOKUP(P27,'[4]SERVO CABLE'!G:AD,8,FALSE),VLOOKUP(P27,'[4]SERVO CABLE'!G:AD,4,FALSE)),"")</f>
        <v>JZSP-C7M14F-□-E</v>
      </c>
      <c r="W27" s="260" t="str">
        <f>IFERROR(VLOOKUP(P27,'[4]SERVO CABLE'!G:AD,17,FALSE),"")</f>
        <v>JZSP-C7PA2D-□-E</v>
      </c>
      <c r="X27" s="215"/>
      <c r="Y27" s="215">
        <v>1</v>
      </c>
      <c r="Z27" s="259">
        <f t="shared" si="5"/>
        <v>0.2</v>
      </c>
      <c r="AA27" s="259" t="str">
        <f t="shared" si="6"/>
        <v/>
      </c>
      <c r="AB27" s="259" t="str">
        <f t="shared" si="7"/>
        <v/>
      </c>
      <c r="AC27" s="258">
        <f t="shared" si="8"/>
        <v>3.6970499999999999</v>
      </c>
      <c r="AD27" s="333" t="str">
        <f t="shared" si="9"/>
        <v>IRV400</v>
      </c>
      <c r="AF27" s="189"/>
      <c r="AL27" s="189"/>
    </row>
    <row r="28" spans="1:38" ht="16.5">
      <c r="A28" s="180" t="s">
        <v>603</v>
      </c>
      <c r="B28" s="209"/>
      <c r="C28" s="209"/>
      <c r="D28" s="270" t="s">
        <v>176</v>
      </c>
      <c r="E28" s="331"/>
      <c r="F28" s="331"/>
      <c r="G28" s="332" t="s">
        <v>504</v>
      </c>
      <c r="H28" s="209" t="str">
        <f t="shared" si="0"/>
        <v xml:space="preserve"> RCCTL Push Bar Y-1</v>
      </c>
      <c r="I28" s="202" t="str">
        <f t="shared" si="1"/>
        <v>Rotary</v>
      </c>
      <c r="J28" s="267" t="str">
        <f t="shared" si="2"/>
        <v>Y</v>
      </c>
      <c r="K28" s="266">
        <f>VLOOKUP($D28,[4]회선정보!B:F,3,FALSE)</f>
        <v>0</v>
      </c>
      <c r="L28" s="266" t="str">
        <f>VLOOKUP($D28,[4]회선정보!B:F,4,FALSE)</f>
        <v>B</v>
      </c>
      <c r="M28" s="266" t="str">
        <f>VLOOKUP($D28,[4]회선정보!B:F,5,FALSE)</f>
        <v>MP6-1</v>
      </c>
      <c r="N28" s="209" t="s">
        <v>610</v>
      </c>
      <c r="O28" s="209" t="s">
        <v>609</v>
      </c>
      <c r="P28" s="263" t="str">
        <f t="shared" si="3"/>
        <v>SGM7J-08A</v>
      </c>
      <c r="Q28" s="263">
        <f>IF(MID($N27,5,1)&lt;&gt;"W",VLOOKUP(N28,[4]정격용량!$B$3:$K$633,4,FALSE),"X")</f>
        <v>1500</v>
      </c>
      <c r="R28" s="260">
        <f>IF(MID(N27,5,1)&lt;&gt;"W",VLOOKUP(N28,[4]정격용량!$B$3:$K$633,3,FALSE),"X")</f>
        <v>0.3</v>
      </c>
      <c r="S28" s="260">
        <f>IF(MID(N27,5,1)&lt;&gt;"W",VLOOKUP(N28,[4]정격용량!$B$3:$K$633,6,FALSE),"X")</f>
        <v>7.8</v>
      </c>
      <c r="T28" s="262">
        <f t="shared" si="4"/>
        <v>2.9504347826086956</v>
      </c>
      <c r="U28" s="261">
        <f>IF(MID($N27,5,1)&lt;&gt;"W",VLOOKUP(N28,[4]정격용량!$B$3:$K$633,9,FALSE),"X")</f>
        <v>10</v>
      </c>
      <c r="V28" s="260" t="str">
        <f>IFERROR(IF(J28="Z",VLOOKUP(P28,'[4]SERVO CABLE'!G:AD,8,FALSE),VLOOKUP(P28,'[4]SERVO CABLE'!G:AD,4,FALSE)),"")</f>
        <v>JZSP-C7M32F-□-E</v>
      </c>
      <c r="W28" s="260" t="str">
        <f>IFERROR(VLOOKUP(P28,'[4]SERVO CABLE'!G:AD,17,FALSE),"")</f>
        <v>JZSP-C7PA2D-□-E</v>
      </c>
      <c r="X28" s="215"/>
      <c r="Y28" s="215">
        <v>2</v>
      </c>
      <c r="Z28" s="259" t="str">
        <f t="shared" si="5"/>
        <v/>
      </c>
      <c r="AA28" s="259">
        <f t="shared" si="6"/>
        <v>0.2</v>
      </c>
      <c r="AB28" s="259" t="str">
        <f t="shared" si="7"/>
        <v/>
      </c>
      <c r="AC28" s="258">
        <f t="shared" si="8"/>
        <v>0.49293999999999999</v>
      </c>
      <c r="AD28" s="333" t="str">
        <f t="shared" si="9"/>
        <v>IRV80</v>
      </c>
      <c r="AF28" s="189"/>
      <c r="AL28" s="189"/>
    </row>
    <row r="29" spans="1:38" ht="16.5">
      <c r="A29" s="180" t="s">
        <v>603</v>
      </c>
      <c r="B29" s="209"/>
      <c r="C29" s="209"/>
      <c r="D29" s="270" t="s">
        <v>177</v>
      </c>
      <c r="E29" s="331"/>
      <c r="F29" s="331"/>
      <c r="G29" s="332" t="s">
        <v>505</v>
      </c>
      <c r="H29" s="209" t="str">
        <f t="shared" si="0"/>
        <v xml:space="preserve"> RCCTL Push Bar Y-2</v>
      </c>
      <c r="I29" s="202" t="str">
        <f t="shared" si="1"/>
        <v>Rotary</v>
      </c>
      <c r="J29" s="267" t="str">
        <f t="shared" si="2"/>
        <v>Y</v>
      </c>
      <c r="K29" s="266">
        <f>VLOOKUP($D29,[4]회선정보!B:F,3,FALSE)</f>
        <v>0</v>
      </c>
      <c r="L29" s="266" t="str">
        <f>VLOOKUP($D29,[4]회선정보!B:F,4,FALSE)</f>
        <v>C</v>
      </c>
      <c r="M29" s="266" t="str">
        <f>VLOOKUP($D29,[4]회선정보!B:F,5,FALSE)</f>
        <v>MP6-1</v>
      </c>
      <c r="N29" s="209"/>
      <c r="O29" s="209" t="s">
        <v>609</v>
      </c>
      <c r="P29" s="263" t="str">
        <f t="shared" si="3"/>
        <v>SGM7J-08A</v>
      </c>
      <c r="Q29" s="263" t="str">
        <f>IF(MID($N28,5,1)&lt;&gt;"W",VLOOKUP(N29,[4]정격용량!$B$3:$K$633,4,FALSE),"X")</f>
        <v>X</v>
      </c>
      <c r="R29" s="260" t="str">
        <f>IF(MID(N28,5,1)&lt;&gt;"W",VLOOKUP(N29,[4]정격용량!$B$3:$K$633,3,FALSE),"X")</f>
        <v>X</v>
      </c>
      <c r="S29" s="260" t="str">
        <f>IF(MID(N28,5,1)&lt;&gt;"W",VLOOKUP(N29,[4]정격용량!$B$3:$K$633,6,FALSE),"X")</f>
        <v>X</v>
      </c>
      <c r="T29" s="262" t="str">
        <f t="shared" si="4"/>
        <v>X</v>
      </c>
      <c r="U29" s="261" t="str">
        <f>IF(MID($N28,5,1)&lt;&gt;"W",VLOOKUP(N29,[4]정격용량!$B$3:$K$633,9,FALSE),"X")</f>
        <v>X</v>
      </c>
      <c r="V29" s="260" t="str">
        <f>IFERROR(IF(J29="Z",VLOOKUP(P29,'[4]SERVO CABLE'!G:AD,8,FALSE),VLOOKUP(P29,'[4]SERVO CABLE'!G:AD,4,FALSE)),"")</f>
        <v>JZSP-C7M32F-□-E</v>
      </c>
      <c r="W29" s="260" t="str">
        <f>IFERROR(VLOOKUP(P29,'[4]SERVO CABLE'!G:AD,17,FALSE),"")</f>
        <v>JZSP-C7PA2D-□-E</v>
      </c>
      <c r="X29" s="215"/>
      <c r="Y29" s="215"/>
      <c r="Z29" s="259" t="str">
        <f t="shared" si="5"/>
        <v/>
      </c>
      <c r="AA29" s="259" t="str">
        <f t="shared" si="6"/>
        <v/>
      </c>
      <c r="AB29" s="259" t="str">
        <f t="shared" si="7"/>
        <v/>
      </c>
      <c r="AC29" s="258" t="str">
        <f t="shared" si="8"/>
        <v>X</v>
      </c>
      <c r="AD29" s="333" t="str">
        <f t="shared" si="9"/>
        <v>X</v>
      </c>
      <c r="AF29" s="189"/>
      <c r="AL29" s="189"/>
    </row>
    <row r="30" spans="1:38" ht="16.5">
      <c r="A30" s="180" t="s">
        <v>603</v>
      </c>
      <c r="B30" s="209"/>
      <c r="C30" s="209"/>
      <c r="D30" s="270" t="s">
        <v>178</v>
      </c>
      <c r="E30" s="331"/>
      <c r="F30" s="331"/>
      <c r="G30" s="332" t="s">
        <v>506</v>
      </c>
      <c r="H30" s="209" t="str">
        <f t="shared" si="0"/>
        <v xml:space="preserve"> RCCTL Push Bar Z</v>
      </c>
      <c r="I30" s="202" t="str">
        <f t="shared" si="1"/>
        <v>Rotary</v>
      </c>
      <c r="J30" s="267" t="str">
        <f t="shared" si="2"/>
        <v>Z</v>
      </c>
      <c r="K30" s="266">
        <f>VLOOKUP($D30,[4]회선정보!B:F,3,FALSE)</f>
        <v>0</v>
      </c>
      <c r="L30" s="266" t="str">
        <f>VLOOKUP($D30,[4]회선정보!B:F,4,FALSE)</f>
        <v>D</v>
      </c>
      <c r="M30" s="266" t="str">
        <f>VLOOKUP($D30,[4]회선정보!B:F,5,FALSE)</f>
        <v>MP6-1</v>
      </c>
      <c r="N30" s="209" t="s">
        <v>666</v>
      </c>
      <c r="O30" s="209" t="s">
        <v>600</v>
      </c>
      <c r="P30" s="263" t="str">
        <f t="shared" si="3"/>
        <v>SGM7J-04A</v>
      </c>
      <c r="Q30" s="263">
        <f>IF(MID($N29,5,1)&lt;&gt;"W",VLOOKUP(N30,[4]정격용량!$B$3:$K$633,4,FALSE),"X")</f>
        <v>800</v>
      </c>
      <c r="R30" s="260">
        <f>IF(MID(N29,5,1)&lt;&gt;"W",VLOOKUP(N30,[4]정격용량!$B$3:$K$633,3,FALSE),"X")</f>
        <v>0.3</v>
      </c>
      <c r="S30" s="260">
        <f>IF(MID(N29,5,1)&lt;&gt;"W",VLOOKUP(N30,[4]정격용량!$B$3:$K$633,6,FALSE),"X")</f>
        <v>4.7</v>
      </c>
      <c r="T30" s="262">
        <f t="shared" si="4"/>
        <v>1.7778260869565217</v>
      </c>
      <c r="U30" s="261">
        <f>IF(MID($N29,5,1)&lt;&gt;"W",VLOOKUP(N30,[4]정격용량!$B$3:$K$633,9,FALSE),"X")</f>
        <v>7</v>
      </c>
      <c r="V30" s="260" t="str">
        <f>IFERROR(IF(J30="Z",VLOOKUP(P30,'[4]SERVO CABLE'!G:AD,8,FALSE),VLOOKUP(P30,'[4]SERVO CABLE'!G:AD,4,FALSE)),"")</f>
        <v>JZSP-C7M24F-□-E</v>
      </c>
      <c r="W30" s="260" t="str">
        <f>IFERROR(VLOOKUP(P30,'[4]SERVO CABLE'!G:AD,17,FALSE),"")</f>
        <v>JZSP-C7PA2D-□-E</v>
      </c>
      <c r="X30" s="215"/>
      <c r="Y30" s="215">
        <v>1</v>
      </c>
      <c r="Z30" s="259">
        <f t="shared" si="5"/>
        <v>0.2</v>
      </c>
      <c r="AA30" s="259" t="str">
        <f t="shared" si="6"/>
        <v/>
      </c>
      <c r="AB30" s="259" t="str">
        <f t="shared" si="7"/>
        <v/>
      </c>
      <c r="AC30" s="258">
        <f t="shared" si="8"/>
        <v>0.92426249999999999</v>
      </c>
      <c r="AD30" s="333" t="str">
        <f t="shared" si="9"/>
        <v>IRV100</v>
      </c>
      <c r="AF30" s="189"/>
      <c r="AL30" s="189"/>
    </row>
    <row r="31" spans="1:38" ht="16.5">
      <c r="A31" s="180" t="s">
        <v>603</v>
      </c>
      <c r="B31" s="209"/>
      <c r="C31" s="209"/>
      <c r="D31" s="336" t="s">
        <v>179</v>
      </c>
      <c r="E31" s="331"/>
      <c r="F31" s="331"/>
      <c r="G31" s="337" t="s">
        <v>484</v>
      </c>
      <c r="H31" s="209" t="str">
        <f t="shared" si="0"/>
        <v xml:space="preserve"> RCCTL Break Table Y-1</v>
      </c>
      <c r="I31" s="202" t="str">
        <f t="shared" si="1"/>
        <v>LINEAR</v>
      </c>
      <c r="J31" s="267" t="str">
        <f t="shared" si="2"/>
        <v>Y</v>
      </c>
      <c r="K31" s="266">
        <f>VLOOKUP($D31,[4]회선정보!B:F,3,FALSE)</f>
        <v>0</v>
      </c>
      <c r="L31" s="266" t="str">
        <f>VLOOKUP($D31,[4]회선정보!B:F,4,FALSE)</f>
        <v>E</v>
      </c>
      <c r="M31" s="266" t="str">
        <f>VLOOKUP($D31,[4]회선정보!B:F,5,FALSE)</f>
        <v>MP6-1</v>
      </c>
      <c r="N31" s="209" t="s">
        <v>610</v>
      </c>
      <c r="O31" s="209" t="s">
        <v>664</v>
      </c>
      <c r="P31" s="263" t="str">
        <f t="shared" si="3"/>
        <v>SGLFW-35A230AP</v>
      </c>
      <c r="Q31" s="263" t="str">
        <f>IF(MID($N30,5,1)&lt;&gt;"W",VLOOKUP(N31,[4]정격용량!$B$3:$K$633,4,FALSE),"X")</f>
        <v>X</v>
      </c>
      <c r="R31" s="260" t="str">
        <f>IF(MID(N30,5,1)&lt;&gt;"W",VLOOKUP(N31,[4]정격용량!$B$3:$K$633,3,FALSE),"X")</f>
        <v>X</v>
      </c>
      <c r="S31" s="260" t="str">
        <f>IF(MID(N30,5,1)&lt;&gt;"W",VLOOKUP(N31,[4]정격용량!$B$3:$K$633,6,FALSE),"X")</f>
        <v>X</v>
      </c>
      <c r="T31" s="262" t="str">
        <f t="shared" si="4"/>
        <v>X</v>
      </c>
      <c r="U31" s="261" t="str">
        <f>IF(MID($N30,5,1)&lt;&gt;"W",VLOOKUP(N31,[4]정격용량!$B$3:$K$633,9,FALSE),"X")</f>
        <v>X</v>
      </c>
      <c r="V31" s="260" t="str">
        <f>IFERROR(IF(J31="Z",VLOOKUP(P31,'[4]SERVO CABLE'!G:AD,8,FALSE),VLOOKUP(P31,'[4]SERVO CABLE'!G:AD,4,FALSE)),"")</f>
        <v>JZSP-CLN11-01-E</v>
      </c>
      <c r="W31" s="260" t="str">
        <f>IFERROR(VLOOKUP(P31,'[4]SERVO CABLE'!G:AD,17,FALSE),"")</f>
        <v>JZSP-CLP70-□-ER</v>
      </c>
      <c r="X31" s="215"/>
      <c r="Y31" s="215">
        <v>2</v>
      </c>
      <c r="Z31" s="259" t="str">
        <f t="shared" si="5"/>
        <v/>
      </c>
      <c r="AA31" s="259">
        <f t="shared" si="6"/>
        <v>0.2</v>
      </c>
      <c r="AB31" s="259" t="str">
        <f t="shared" si="7"/>
        <v/>
      </c>
      <c r="AC31" s="258" t="str">
        <f t="shared" si="8"/>
        <v>X</v>
      </c>
      <c r="AD31" s="333" t="str">
        <f t="shared" si="9"/>
        <v>X</v>
      </c>
      <c r="AF31" s="189"/>
      <c r="AL31" s="189"/>
    </row>
    <row r="32" spans="1:38" ht="16.5">
      <c r="A32" s="180" t="s">
        <v>603</v>
      </c>
      <c r="B32" s="209"/>
      <c r="C32" s="209"/>
      <c r="D32" s="336" t="s">
        <v>180</v>
      </c>
      <c r="E32" s="331"/>
      <c r="F32" s="331"/>
      <c r="G32" s="338" t="s">
        <v>485</v>
      </c>
      <c r="H32" s="209" t="str">
        <f t="shared" si="0"/>
        <v xml:space="preserve"> RCCTL Break Table Y-2</v>
      </c>
      <c r="I32" s="202" t="str">
        <f t="shared" si="1"/>
        <v>LINEAR</v>
      </c>
      <c r="J32" s="267" t="str">
        <f t="shared" si="2"/>
        <v>Y</v>
      </c>
      <c r="K32" s="266">
        <f>VLOOKUP($D32,[4]회선정보!B:F,3,FALSE)</f>
        <v>0</v>
      </c>
      <c r="L32" s="266" t="str">
        <f>VLOOKUP($D32,[4]회선정보!B:F,4,FALSE)</f>
        <v>F</v>
      </c>
      <c r="M32" s="266" t="str">
        <f>VLOOKUP($D32,[4]회선정보!B:F,5,FALSE)</f>
        <v>MP6-1</v>
      </c>
      <c r="N32" s="209"/>
      <c r="O32" s="209" t="s">
        <v>664</v>
      </c>
      <c r="P32" s="263" t="str">
        <f t="shared" si="3"/>
        <v>SGLFW-35A230AP</v>
      </c>
      <c r="Q32" s="263" t="str">
        <f>IF(MID($N31,5,1)&lt;&gt;"W",VLOOKUP(N32,[4]정격용량!$B$3:$K$633,4,FALSE),"X")</f>
        <v>X</v>
      </c>
      <c r="R32" s="260" t="str">
        <f>IF(MID(N31,5,1)&lt;&gt;"W",VLOOKUP(N32,[4]정격용량!$B$3:$K$633,3,FALSE),"X")</f>
        <v>X</v>
      </c>
      <c r="S32" s="260" t="str">
        <f>IF(MID(N31,5,1)&lt;&gt;"W",VLOOKUP(N32,[4]정격용량!$B$3:$K$633,6,FALSE),"X")</f>
        <v>X</v>
      </c>
      <c r="T32" s="262" t="str">
        <f t="shared" si="4"/>
        <v>X</v>
      </c>
      <c r="U32" s="261" t="str">
        <f>IF(MID($N31,5,1)&lt;&gt;"W",VLOOKUP(N32,[4]정격용량!$B$3:$K$633,9,FALSE),"X")</f>
        <v>X</v>
      </c>
      <c r="V32" s="260" t="str">
        <f>IFERROR(IF(J32="Z",VLOOKUP(P32,'[4]SERVO CABLE'!G:AD,8,FALSE),VLOOKUP(P32,'[4]SERVO CABLE'!G:AD,4,FALSE)),"")</f>
        <v>JZSP-CLN11-01-E</v>
      </c>
      <c r="W32" s="260" t="str">
        <f>IFERROR(VLOOKUP(P32,'[4]SERVO CABLE'!G:AD,17,FALSE),"")</f>
        <v>JZSP-CLP70-□-ER</v>
      </c>
      <c r="X32" s="215"/>
      <c r="Y32" s="215"/>
      <c r="Z32" s="259" t="str">
        <f t="shared" si="5"/>
        <v/>
      </c>
      <c r="AA32" s="259" t="str">
        <f t="shared" si="6"/>
        <v/>
      </c>
      <c r="AB32" s="259" t="str">
        <f t="shared" si="7"/>
        <v/>
      </c>
      <c r="AC32" s="258" t="str">
        <f t="shared" si="8"/>
        <v>X</v>
      </c>
      <c r="AD32" s="333" t="str">
        <f t="shared" si="9"/>
        <v>X</v>
      </c>
      <c r="AF32" s="189"/>
      <c r="AL32" s="189"/>
    </row>
    <row r="33" spans="1:38" ht="16.5">
      <c r="A33" s="180" t="s">
        <v>603</v>
      </c>
      <c r="B33" s="209"/>
      <c r="C33" s="209"/>
      <c r="D33" s="270" t="s">
        <v>273</v>
      </c>
      <c r="E33" s="331"/>
      <c r="F33" s="331"/>
      <c r="G33" s="332" t="s">
        <v>486</v>
      </c>
      <c r="H33" s="209" t="str">
        <f t="shared" si="0"/>
        <v xml:space="preserve"> RCCTL Break Table Z-1</v>
      </c>
      <c r="I33" s="202" t="str">
        <f t="shared" si="1"/>
        <v>Rotary</v>
      </c>
      <c r="J33" s="267" t="str">
        <f t="shared" si="2"/>
        <v>Z</v>
      </c>
      <c r="K33" s="266">
        <f>VLOOKUP($D33,[4]회선정보!B:F,3,FALSE)</f>
        <v>1</v>
      </c>
      <c r="L33" s="266">
        <f>VLOOKUP($D33,[4]회선정보!B:F,4,FALSE)</f>
        <v>0</v>
      </c>
      <c r="M33" s="266" t="str">
        <f>VLOOKUP($D33,[4]회선정보!B:F,5,FALSE)</f>
        <v>MP6-1</v>
      </c>
      <c r="N33" s="209" t="s">
        <v>610</v>
      </c>
      <c r="O33" s="209" t="s">
        <v>604</v>
      </c>
      <c r="P33" s="263" t="str">
        <f t="shared" si="3"/>
        <v>SGM7J-08A</v>
      </c>
      <c r="Q33" s="263">
        <f>IF(MID($N32,5,1)&lt;&gt;"W",VLOOKUP(N33,[4]정격용량!$B$3:$K$633,4,FALSE),"X")</f>
        <v>1500</v>
      </c>
      <c r="R33" s="260">
        <f>IF(MID(N32,5,1)&lt;&gt;"W",VLOOKUP(N33,[4]정격용량!$B$3:$K$633,3,FALSE),"X")</f>
        <v>0.3</v>
      </c>
      <c r="S33" s="260">
        <f>IF(MID(N32,5,1)&lt;&gt;"W",VLOOKUP(N33,[4]정격용량!$B$3:$K$633,6,FALSE),"X")</f>
        <v>7.8</v>
      </c>
      <c r="T33" s="262" t="s">
        <v>615</v>
      </c>
      <c r="U33" s="261">
        <f>IF(MID($N32,5,1)&lt;&gt;"W",VLOOKUP(N33,[4]정격용량!$B$3:$K$633,9,FALSE),"X")</f>
        <v>10</v>
      </c>
      <c r="V33" s="260" t="str">
        <f>IFERROR(IF(J33="Z",VLOOKUP(P33,'[4]SERVO CABLE'!G:AD,8,FALSE),VLOOKUP(P33,'[4]SERVO CABLE'!G:AD,4,FALSE)),"")</f>
        <v>JZSP-C7M34F-□-E</v>
      </c>
      <c r="W33" s="260" t="str">
        <f>IFERROR(VLOOKUP(P33,'[4]SERVO CABLE'!G:AD,17,FALSE),"")</f>
        <v>JZSP-C7PA2D-□-E</v>
      </c>
      <c r="X33" s="215"/>
      <c r="Y33" s="215">
        <v>3</v>
      </c>
      <c r="Z33" s="259" t="str">
        <f t="shared" si="5"/>
        <v/>
      </c>
      <c r="AA33" s="259" t="str">
        <f t="shared" si="6"/>
        <v/>
      </c>
      <c r="AB33" s="259">
        <f t="shared" si="7"/>
        <v>0.2</v>
      </c>
      <c r="AC33" s="258">
        <f t="shared" si="8"/>
        <v>0.49293999999999999</v>
      </c>
      <c r="AD33" s="333" t="str">
        <f t="shared" si="9"/>
        <v>IRV80</v>
      </c>
      <c r="AF33" s="189"/>
      <c r="AL33" s="189"/>
    </row>
    <row r="34" spans="1:38" ht="16.5">
      <c r="A34" s="180" t="s">
        <v>603</v>
      </c>
      <c r="B34" s="209"/>
      <c r="C34" s="209"/>
      <c r="D34" s="270" t="s">
        <v>181</v>
      </c>
      <c r="E34" s="331"/>
      <c r="F34" s="331"/>
      <c r="G34" s="332" t="s">
        <v>487</v>
      </c>
      <c r="H34" s="209" t="str">
        <f t="shared" si="0"/>
        <v xml:space="preserve"> RCCTL Break Table Z-2</v>
      </c>
      <c r="I34" s="202" t="str">
        <f t="shared" si="1"/>
        <v>Rotary</v>
      </c>
      <c r="J34" s="267" t="str">
        <f t="shared" si="2"/>
        <v>Z</v>
      </c>
      <c r="K34" s="266">
        <f>VLOOKUP($D34,[4]회선정보!B:F,3,FALSE)</f>
        <v>1</v>
      </c>
      <c r="L34" s="266">
        <f>VLOOKUP($D34,[4]회선정보!B:F,4,FALSE)</f>
        <v>1</v>
      </c>
      <c r="M34" s="266" t="str">
        <f>VLOOKUP($D34,[4]회선정보!B:F,5,FALSE)</f>
        <v>MP6-1</v>
      </c>
      <c r="N34" s="209"/>
      <c r="O34" s="209" t="s">
        <v>604</v>
      </c>
      <c r="P34" s="263" t="str">
        <f t="shared" si="3"/>
        <v>SGM7J-08A</v>
      </c>
      <c r="Q34" s="263" t="str">
        <f>IF(MID($N33,5,1)&lt;&gt;"W",VLOOKUP(N34,[4]정격용량!$B$3:$K$633,4,FALSE),"X")</f>
        <v>X</v>
      </c>
      <c r="R34" s="260" t="str">
        <f>IF(MID(N33,5,1)&lt;&gt;"W",VLOOKUP(N34,[4]정격용량!$B$3:$K$633,3,FALSE),"X")</f>
        <v>X</v>
      </c>
      <c r="S34" s="260" t="str">
        <f>IF(MID(N33,5,1)&lt;&gt;"W",VLOOKUP(N34,[4]정격용량!$B$3:$K$633,6,FALSE),"X")</f>
        <v>X</v>
      </c>
      <c r="T34" s="262" t="str">
        <f t="shared" ref="T34:T60" si="10">IF(MID($N33,5,1)&lt;&gt;"W",S34*$C$82,"X")</f>
        <v>X</v>
      </c>
      <c r="U34" s="261" t="str">
        <f>IF(MID($N33,5,1)&lt;&gt;"W",VLOOKUP(N34,[4]정격용량!$B$3:$K$633,9,FALSE),"X")</f>
        <v>X</v>
      </c>
      <c r="V34" s="260" t="str">
        <f>IFERROR(IF(J34="Z",VLOOKUP(P34,'[4]SERVO CABLE'!G:AD,8,FALSE),VLOOKUP(P34,'[4]SERVO CABLE'!G:AD,4,FALSE)),"")</f>
        <v>JZSP-C7M34F-□-E</v>
      </c>
      <c r="W34" s="260" t="str">
        <f>IFERROR(VLOOKUP(P34,'[4]SERVO CABLE'!G:AD,17,FALSE),"")</f>
        <v>JZSP-C7PA2D-□-E</v>
      </c>
      <c r="X34" s="215"/>
      <c r="Y34" s="215"/>
      <c r="Z34" s="259" t="str">
        <f t="shared" si="5"/>
        <v/>
      </c>
      <c r="AA34" s="259" t="str">
        <f t="shared" si="6"/>
        <v/>
      </c>
      <c r="AB34" s="259" t="str">
        <f t="shared" si="7"/>
        <v/>
      </c>
      <c r="AC34" s="258" t="str">
        <f t="shared" si="8"/>
        <v>X</v>
      </c>
      <c r="AD34" s="333" t="str">
        <f t="shared" si="9"/>
        <v>X</v>
      </c>
      <c r="AF34" s="189"/>
      <c r="AL34" s="189"/>
    </row>
    <row r="35" spans="1:38" ht="16.5">
      <c r="A35" s="180" t="s">
        <v>603</v>
      </c>
      <c r="B35" s="209"/>
      <c r="C35" s="209"/>
      <c r="D35" s="270" t="s">
        <v>182</v>
      </c>
      <c r="E35" s="331"/>
      <c r="F35" s="331"/>
      <c r="G35" s="332" t="s">
        <v>488</v>
      </c>
      <c r="H35" s="209" t="str">
        <f t="shared" si="0"/>
        <v xml:space="preserve"> RCCTL Break Table T</v>
      </c>
      <c r="I35" s="202" t="str">
        <f t="shared" si="1"/>
        <v>Rotary</v>
      </c>
      <c r="J35" s="267" t="str">
        <f t="shared" si="2"/>
        <v>T</v>
      </c>
      <c r="K35" s="266">
        <f>VLOOKUP($D35,[4]회선정보!B:F,3,FALSE)</f>
        <v>1</v>
      </c>
      <c r="L35" s="266">
        <f>VLOOKUP($D35,[4]회선정보!B:F,4,FALSE)</f>
        <v>2</v>
      </c>
      <c r="M35" s="266" t="str">
        <f>VLOOKUP($D35,[4]회선정보!B:F,5,FALSE)</f>
        <v>MP6-1</v>
      </c>
      <c r="N35" s="209" t="s">
        <v>667</v>
      </c>
      <c r="O35" s="209" t="s">
        <v>600</v>
      </c>
      <c r="P35" s="263" t="str">
        <f t="shared" si="3"/>
        <v>SGM7J-04A</v>
      </c>
      <c r="Q35" s="263">
        <f>IF(MID($N34,5,1)&lt;&gt;"W",VLOOKUP(N35,[4]정격용량!$B$3:$K$633,4,FALSE),"X")</f>
        <v>400</v>
      </c>
      <c r="R35" s="260">
        <f>IF(MID(N34,5,1)&lt;&gt;"W",VLOOKUP(N35,[4]정격용량!$B$3:$K$633,3,FALSE),"X")</f>
        <v>0.2</v>
      </c>
      <c r="S35" s="260">
        <f>IF(MID(N34,5,1)&lt;&gt;"W",VLOOKUP(N35,[4]정격용량!$B$3:$K$633,6,FALSE),"X")</f>
        <v>2.5</v>
      </c>
      <c r="T35" s="262">
        <f t="shared" si="10"/>
        <v>0.94565217391304346</v>
      </c>
      <c r="U35" s="261">
        <f>IF(MID($N34,5,1)&lt;&gt;"W",VLOOKUP(N35,[4]정격용량!$B$3:$K$633,9,FALSE),"X")</f>
        <v>3</v>
      </c>
      <c r="V35" s="260" t="str">
        <f>IFERROR(IF(J35="Z",VLOOKUP(P35,'[4]SERVO CABLE'!G:AD,8,FALSE),VLOOKUP(P35,'[4]SERVO CABLE'!G:AD,8,FALSE)),"")</f>
        <v>JZSP-C7M24F-□-E</v>
      </c>
      <c r="W35" s="260" t="str">
        <f>IFERROR(VLOOKUP(P35,'[4]SERVO CABLE'!G:AD,17,FALSE),"")</f>
        <v>JZSP-C7PA2D-□-E</v>
      </c>
      <c r="X35" s="215"/>
      <c r="Y35" s="215">
        <v>1</v>
      </c>
      <c r="Z35" s="259">
        <f t="shared" si="5"/>
        <v>0.2</v>
      </c>
      <c r="AA35" s="259" t="str">
        <f t="shared" si="6"/>
        <v/>
      </c>
      <c r="AB35" s="259" t="str">
        <f t="shared" si="7"/>
        <v/>
      </c>
      <c r="AC35" s="258">
        <f t="shared" si="8"/>
        <v>1.848525</v>
      </c>
      <c r="AD35" s="333" t="str">
        <f t="shared" si="9"/>
        <v>IRV200</v>
      </c>
      <c r="AF35" s="189"/>
      <c r="AL35" s="189"/>
    </row>
    <row r="36" spans="1:38" ht="16.5">
      <c r="A36" s="180" t="s">
        <v>603</v>
      </c>
      <c r="B36" s="209"/>
      <c r="C36" s="209"/>
      <c r="D36" s="270" t="s">
        <v>183</v>
      </c>
      <c r="E36" s="331"/>
      <c r="F36" s="331"/>
      <c r="G36" s="332" t="s">
        <v>516</v>
      </c>
      <c r="H36" s="209" t="str">
        <f t="shared" si="0"/>
        <v xml:space="preserve"> RCCTR Cutter X</v>
      </c>
      <c r="I36" s="202" t="str">
        <f t="shared" si="1"/>
        <v>LINEAR</v>
      </c>
      <c r="J36" s="267" t="str">
        <f t="shared" si="2"/>
        <v>X</v>
      </c>
      <c r="K36" s="266">
        <f>VLOOKUP($D36,[4]회선정보!B:F,3,FALSE)</f>
        <v>0</v>
      </c>
      <c r="L36" s="266">
        <f>VLOOKUP($D36,[4]회선정보!B:F,4,FALSE)</f>
        <v>3</v>
      </c>
      <c r="M36" s="266" t="str">
        <f>VLOOKUP($D36,[4]회선정보!B:F,5,FALSE)</f>
        <v>MP7-1</v>
      </c>
      <c r="N36" s="265" t="s">
        <v>612</v>
      </c>
      <c r="O36" s="265" t="s">
        <v>622</v>
      </c>
      <c r="P36" s="263" t="str">
        <f t="shared" si="3"/>
        <v>SGLGW-60A140C</v>
      </c>
      <c r="Q36" s="263">
        <f>IF(MID($N35,5,1)&lt;&gt;"W",VLOOKUP(N36,[4]정격용량!$B$3:$K$633,4,FALSE),"X")</f>
        <v>400</v>
      </c>
      <c r="R36" s="260">
        <f>IF(MID(N35,5,1)&lt;&gt;"W",VLOOKUP(N36,[4]정격용량!$B$3:$K$633,3,FALSE),"X")</f>
        <v>0.3</v>
      </c>
      <c r="S36" s="260">
        <f>IF(MID(N35,5,1)&lt;&gt;"W",VLOOKUP(N36,[4]정격용량!$B$3:$K$633,6,FALSE),"X")</f>
        <v>2.5</v>
      </c>
      <c r="T36" s="262">
        <f t="shared" si="10"/>
        <v>0.94565217391304346</v>
      </c>
      <c r="U36" s="261">
        <f>IF(MID($N35,5,1)&lt;&gt;"W",VLOOKUP(N36,[4]정격용량!$B$3:$K$633,9,FALSE),"X")</f>
        <v>3</v>
      </c>
      <c r="V36" s="260" t="str">
        <f>IFERROR(IF(J36="Z",VLOOKUP(P36,'[4]SERVO CABLE'!G:AD,8,FALSE),VLOOKUP(P36,'[4]SERVO CABLE'!G:AD,4,FALSE)),"")</f>
        <v>JZSP-CLN11-□</v>
      </c>
      <c r="W36" s="260" t="str">
        <f>IFERROR(VLOOKUP(P36,'[4]SERVO CABLE'!G:AD,17,FALSE),"")</f>
        <v>JZSP-CLP70-□-ER</v>
      </c>
      <c r="X36" s="215"/>
      <c r="Y36" s="215">
        <v>2</v>
      </c>
      <c r="Z36" s="259" t="str">
        <f t="shared" si="5"/>
        <v/>
      </c>
      <c r="AA36" s="259">
        <f t="shared" si="6"/>
        <v>0.2</v>
      </c>
      <c r="AB36" s="259" t="str">
        <f t="shared" si="7"/>
        <v/>
      </c>
      <c r="AC36" s="258">
        <f t="shared" si="8"/>
        <v>1.848525</v>
      </c>
      <c r="AD36" s="333" t="str">
        <f t="shared" si="9"/>
        <v>IRV200</v>
      </c>
      <c r="AF36" s="189"/>
      <c r="AL36" s="189"/>
    </row>
    <row r="37" spans="1:38" ht="16.5">
      <c r="A37" s="180" t="s">
        <v>603</v>
      </c>
      <c r="B37" s="209"/>
      <c r="C37" s="209"/>
      <c r="D37" s="270" t="s">
        <v>274</v>
      </c>
      <c r="E37" s="331"/>
      <c r="F37" s="331"/>
      <c r="G37" s="332" t="s">
        <v>360</v>
      </c>
      <c r="H37" s="209" t="str">
        <f t="shared" si="0"/>
        <v xml:space="preserve"> RCCTR Camera X</v>
      </c>
      <c r="I37" s="202" t="str">
        <f t="shared" si="1"/>
        <v>LINEAR</v>
      </c>
      <c r="J37" s="267" t="str">
        <f t="shared" si="2"/>
        <v>X</v>
      </c>
      <c r="K37" s="266">
        <f>VLOOKUP($D37,[4]회선정보!B:F,3,FALSE)</f>
        <v>0</v>
      </c>
      <c r="L37" s="266">
        <f>VLOOKUP($D37,[4]회선정보!B:F,4,FALSE)</f>
        <v>4</v>
      </c>
      <c r="M37" s="266" t="str">
        <f>VLOOKUP($D37,[4]회선정보!B:F,5,FALSE)</f>
        <v>MP7-1</v>
      </c>
      <c r="N37" s="265"/>
      <c r="O37" s="265" t="s">
        <v>622</v>
      </c>
      <c r="P37" s="263" t="str">
        <f t="shared" si="3"/>
        <v>SGLGW-60A140C</v>
      </c>
      <c r="Q37" s="263" t="str">
        <f>IF(MID($N36,5,1)&lt;&gt;"W",VLOOKUP(N37,[4]정격용량!$B$3:$K$633,4,FALSE),"X")</f>
        <v>X</v>
      </c>
      <c r="R37" s="260" t="str">
        <f>IF(MID(N36,5,1)&lt;&gt;"W",VLOOKUP(N37,[4]정격용량!$B$3:$K$633,3,FALSE),"X")</f>
        <v>X</v>
      </c>
      <c r="S37" s="260" t="str">
        <f>IF(MID(N36,5,1)&lt;&gt;"W",VLOOKUP(N37,[4]정격용량!$B$3:$K$633,6,FALSE),"X")</f>
        <v>X</v>
      </c>
      <c r="T37" s="262" t="str">
        <f t="shared" si="10"/>
        <v>X</v>
      </c>
      <c r="U37" s="261" t="str">
        <f>IF(MID($N36,5,1)&lt;&gt;"W",VLOOKUP(N37,[4]정격용량!$B$3:$K$633,9,FALSE),"X")</f>
        <v>X</v>
      </c>
      <c r="V37" s="260" t="str">
        <f>IFERROR(IF(J37="Z",VLOOKUP(P37,'[4]SERVO CABLE'!G:AD,8,FALSE),VLOOKUP(P37,'[4]SERVO CABLE'!G:AD,4,FALSE)),"")</f>
        <v>JZSP-CLN11-□</v>
      </c>
      <c r="W37" s="260" t="str">
        <f>IFERROR(VLOOKUP(P37,'[4]SERVO CABLE'!G:AD,17,FALSE),"")</f>
        <v>JZSP-CLP70-□-ER</v>
      </c>
      <c r="X37" s="215"/>
      <c r="Y37" s="215"/>
      <c r="Z37" s="259" t="str">
        <f t="shared" si="5"/>
        <v/>
      </c>
      <c r="AA37" s="259" t="str">
        <f t="shared" si="6"/>
        <v/>
      </c>
      <c r="AB37" s="259" t="str">
        <f t="shared" si="7"/>
        <v/>
      </c>
      <c r="AC37" s="258" t="str">
        <f t="shared" si="8"/>
        <v>X</v>
      </c>
      <c r="AD37" s="333" t="str">
        <f t="shared" si="9"/>
        <v>X</v>
      </c>
      <c r="AF37" s="189"/>
      <c r="AL37" s="189"/>
    </row>
    <row r="38" spans="1:38" ht="16.5">
      <c r="A38" s="180" t="s">
        <v>603</v>
      </c>
      <c r="B38" s="209"/>
      <c r="C38" s="209"/>
      <c r="D38" s="270" t="s">
        <v>184</v>
      </c>
      <c r="E38" s="331"/>
      <c r="F38" s="331"/>
      <c r="G38" s="332" t="s">
        <v>434</v>
      </c>
      <c r="H38" s="209" t="str">
        <f t="shared" si="0"/>
        <v xml:space="preserve"> RCCTR Cutter Z</v>
      </c>
      <c r="I38" s="202" t="str">
        <f t="shared" si="1"/>
        <v>Rotary</v>
      </c>
      <c r="J38" s="267" t="str">
        <f t="shared" si="2"/>
        <v>Z</v>
      </c>
      <c r="K38" s="266">
        <f>VLOOKUP($D38,[4]회선정보!B:F,3,FALSE)</f>
        <v>0</v>
      </c>
      <c r="L38" s="266">
        <f>VLOOKUP($D38,[4]회선정보!B:F,4,FALSE)</f>
        <v>5</v>
      </c>
      <c r="M38" s="266" t="str">
        <f>VLOOKUP($D38,[4]회선정보!B:F,5,FALSE)</f>
        <v>MP7-1</v>
      </c>
      <c r="N38" s="265" t="s">
        <v>619</v>
      </c>
      <c r="O38" s="265" t="s">
        <v>618</v>
      </c>
      <c r="P38" s="263" t="str">
        <f t="shared" si="3"/>
        <v>SGM7A-A5A</v>
      </c>
      <c r="Q38" s="263">
        <f>IF(MID($N37,5,1)&lt;&gt;"W",VLOOKUP(N38,[4]정격용량!$B$3:$K$633,4,FALSE),"X")</f>
        <v>50</v>
      </c>
      <c r="R38" s="260">
        <f>IF(MID(N37,5,1)&lt;&gt;"W",VLOOKUP(N38,[4]정격용량!$B$3:$K$633,3,FALSE),"X")</f>
        <v>0.2</v>
      </c>
      <c r="S38" s="260">
        <f>IF(MID(N37,5,1)&lt;&gt;"W",VLOOKUP(N38,[4]정격용량!$B$3:$K$633,6,FALSE),"X")</f>
        <v>0.4</v>
      </c>
      <c r="T38" s="262">
        <f t="shared" si="10"/>
        <v>0.15130434782608695</v>
      </c>
      <c r="U38" s="261">
        <f>IF(MID($N37,5,1)&lt;&gt;"W",VLOOKUP(N38,[4]정격용량!$B$3:$K$633,9,FALSE),"X")</f>
        <v>1</v>
      </c>
      <c r="V38" s="260" t="str">
        <f>IFERROR(IF(J38="Z",VLOOKUP(P38,'[4]SERVO CABLE'!G:AD,8,FALSE),VLOOKUP(P38,'[4]SERVO CABLE'!G:AD,4,FALSE)),"")</f>
        <v>JZSP-C7M14F-□-E</v>
      </c>
      <c r="W38" s="260" t="str">
        <f>IFERROR(VLOOKUP(P38,'[4]SERVO CABLE'!G:AD,17,FALSE),"")</f>
        <v>JZSP-C7PA2D-□-E</v>
      </c>
      <c r="X38" s="215"/>
      <c r="Y38" s="215">
        <v>3</v>
      </c>
      <c r="Z38" s="259" t="str">
        <f t="shared" si="5"/>
        <v/>
      </c>
      <c r="AA38" s="259" t="str">
        <f t="shared" si="6"/>
        <v/>
      </c>
      <c r="AB38" s="259">
        <f t="shared" si="7"/>
        <v>0.2</v>
      </c>
      <c r="AC38" s="258">
        <f t="shared" si="8"/>
        <v>14.7882</v>
      </c>
      <c r="AD38" s="333" t="str">
        <f t="shared" si="9"/>
        <v>X</v>
      </c>
      <c r="AF38" s="189"/>
      <c r="AL38" s="189"/>
    </row>
    <row r="39" spans="1:38" ht="16.5">
      <c r="A39" s="180" t="s">
        <v>603</v>
      </c>
      <c r="B39" s="209"/>
      <c r="C39" s="209"/>
      <c r="D39" s="270" t="s">
        <v>185</v>
      </c>
      <c r="E39" s="331"/>
      <c r="F39" s="331"/>
      <c r="G39" s="332" t="s">
        <v>429</v>
      </c>
      <c r="H39" s="209" t="str">
        <f t="shared" si="0"/>
        <v xml:space="preserve"> RCCTR Cutter Shift</v>
      </c>
      <c r="I39" s="202" t="str">
        <f t="shared" si="1"/>
        <v>Rotary</v>
      </c>
      <c r="J39" s="267" t="str">
        <f t="shared" si="2"/>
        <v>T</v>
      </c>
      <c r="K39" s="266">
        <f>VLOOKUP($D39,[4]회선정보!B:F,3,FALSE)</f>
        <v>0</v>
      </c>
      <c r="L39" s="266">
        <f>VLOOKUP($D39,[4]회선정보!B:F,4,FALSE)</f>
        <v>6</v>
      </c>
      <c r="M39" s="266" t="str">
        <f>VLOOKUP($D39,[4]회선정보!B:F,5,FALSE)</f>
        <v>MP7-1</v>
      </c>
      <c r="N39" s="285" t="s">
        <v>619</v>
      </c>
      <c r="O39" s="285" t="s">
        <v>618</v>
      </c>
      <c r="P39" s="263" t="str">
        <f t="shared" si="3"/>
        <v>SGM7A-A5A</v>
      </c>
      <c r="Q39" s="263">
        <f>IF(MID($N38,5,1)&lt;&gt;"W",VLOOKUP(N39,[4]정격용량!$B$3:$K$633,4,FALSE),"X")</f>
        <v>50</v>
      </c>
      <c r="R39" s="260">
        <f>IF(MID(N38,5,1)&lt;&gt;"W",VLOOKUP(N39,[4]정격용량!$B$3:$K$633,3,FALSE),"X")</f>
        <v>0.2</v>
      </c>
      <c r="S39" s="260">
        <f>IF(MID(N38,5,1)&lt;&gt;"W",VLOOKUP(N39,[4]정격용량!$B$3:$K$633,6,FALSE),"X")</f>
        <v>0.4</v>
      </c>
      <c r="T39" s="262">
        <f t="shared" si="10"/>
        <v>0.15130434782608695</v>
      </c>
      <c r="U39" s="261">
        <f>IF(MID($N38,5,1)&lt;&gt;"W",VLOOKUP(N39,[4]정격용량!$B$3:$K$633,9,FALSE),"X")</f>
        <v>1</v>
      </c>
      <c r="V39" s="260" t="str">
        <f>IFERROR(IF(J39="Z",VLOOKUP(P39,'[4]SERVO CABLE'!G:AD,8,FALSE),VLOOKUP(P39,'[4]SERVO CABLE'!G:AD,4,FALSE)),"")</f>
        <v>JZSP-C7M12F-□-E</v>
      </c>
      <c r="W39" s="260" t="str">
        <f>IFERROR(VLOOKUP(P39,'[4]SERVO CABLE'!G:AD,17,FALSE),"")</f>
        <v>JZSP-C7PA2D-□-E</v>
      </c>
      <c r="X39" s="215"/>
      <c r="Y39" s="215">
        <v>1</v>
      </c>
      <c r="Z39" s="259">
        <f t="shared" si="5"/>
        <v>0.2</v>
      </c>
      <c r="AA39" s="259" t="str">
        <f t="shared" si="6"/>
        <v/>
      </c>
      <c r="AB39" s="259" t="str">
        <f t="shared" si="7"/>
        <v/>
      </c>
      <c r="AC39" s="258">
        <f t="shared" si="8"/>
        <v>14.7882</v>
      </c>
      <c r="AD39" s="333" t="str">
        <f t="shared" si="9"/>
        <v>X</v>
      </c>
      <c r="AF39" s="189"/>
      <c r="AL39" s="189"/>
    </row>
    <row r="40" spans="1:38" ht="16.5">
      <c r="A40" s="180" t="s">
        <v>603</v>
      </c>
      <c r="B40" s="209"/>
      <c r="C40" s="209"/>
      <c r="D40" s="270" t="s">
        <v>186</v>
      </c>
      <c r="E40" s="331"/>
      <c r="F40" s="331"/>
      <c r="G40" s="332" t="s">
        <v>369</v>
      </c>
      <c r="H40" s="209" t="str">
        <f t="shared" si="0"/>
        <v xml:space="preserve"> RCCTR Left Camera Y1</v>
      </c>
      <c r="I40" s="202" t="str">
        <f t="shared" si="1"/>
        <v>Rotary</v>
      </c>
      <c r="J40" s="267" t="str">
        <f t="shared" si="2"/>
        <v>Y</v>
      </c>
      <c r="K40" s="266">
        <f>VLOOKUP($D40,[4]회선정보!B:F,3,FALSE)</f>
        <v>0</v>
      </c>
      <c r="L40" s="266">
        <f>VLOOKUP($D40,[4]회선정보!B:F,4,FALSE)</f>
        <v>8</v>
      </c>
      <c r="M40" s="266" t="str">
        <f>VLOOKUP($D40,[4]회선정보!B:F,5,FALSE)</f>
        <v>MP7-1</v>
      </c>
      <c r="N40" s="284" t="s">
        <v>612</v>
      </c>
      <c r="O40" s="265" t="s">
        <v>616</v>
      </c>
      <c r="P40" s="263" t="str">
        <f t="shared" si="3"/>
        <v>SGM7M-A3A</v>
      </c>
      <c r="Q40" s="263">
        <f>IF(MID($N39,5,1)&lt;&gt;"W",VLOOKUP(N40,[4]정격용량!$B$3:$K$633,4,FALSE),"X")</f>
        <v>400</v>
      </c>
      <c r="R40" s="260">
        <f>IF(MID(N39,5,1)&lt;&gt;"W",VLOOKUP(N40,[4]정격용량!$B$3:$K$633,3,FALSE),"X")</f>
        <v>0.3</v>
      </c>
      <c r="S40" s="260">
        <f>IF(MID(N39,5,1)&lt;&gt;"W",VLOOKUP(N40,[4]정격용량!$B$3:$K$633,6,FALSE),"X")</f>
        <v>2.5</v>
      </c>
      <c r="T40" s="262">
        <f t="shared" si="10"/>
        <v>0.94565217391304346</v>
      </c>
      <c r="U40" s="261">
        <f>IF(MID($N39,5,1)&lt;&gt;"W",VLOOKUP(N40,[4]정격용량!$B$3:$K$633,9,FALSE),"X")</f>
        <v>3</v>
      </c>
      <c r="V40" s="260" t="str">
        <f>IFERROR(IF(J40="Z",VLOOKUP(P40,'[4]SERVO CABLE'!G:AD,8,FALSE),VLOOKUP(P40,'[4]SERVO CABLE'!G:AD,4,FALSE)),"")</f>
        <v>JZSP-CF2M20-□-E</v>
      </c>
      <c r="W40" s="260" t="str">
        <f>IFERROR(VLOOKUP(P40,'[4]SERVO CABLE'!G:AD,17,FALSE),"")</f>
        <v>JZSP-C7MP29-□-E</v>
      </c>
      <c r="X40" s="215"/>
      <c r="Y40" s="215">
        <v>2</v>
      </c>
      <c r="Z40" s="259" t="str">
        <f t="shared" si="5"/>
        <v/>
      </c>
      <c r="AA40" s="259">
        <f t="shared" si="6"/>
        <v>0.2</v>
      </c>
      <c r="AB40" s="259" t="str">
        <f t="shared" si="7"/>
        <v/>
      </c>
      <c r="AC40" s="258">
        <f t="shared" si="8"/>
        <v>1.848525</v>
      </c>
      <c r="AD40" s="333" t="str">
        <f t="shared" si="9"/>
        <v>IRV200</v>
      </c>
      <c r="AF40" s="189"/>
      <c r="AL40" s="189"/>
    </row>
    <row r="41" spans="1:38" ht="16.5">
      <c r="A41" s="180" t="s">
        <v>603</v>
      </c>
      <c r="B41" s="209"/>
      <c r="C41" s="209"/>
      <c r="D41" s="270" t="s">
        <v>187</v>
      </c>
      <c r="E41" s="331"/>
      <c r="F41" s="331"/>
      <c r="G41" s="332" t="s">
        <v>535</v>
      </c>
      <c r="H41" s="209" t="str">
        <f t="shared" ref="H41:H60" si="11">E41&amp;F41&amp;" "&amp;G41</f>
        <v xml:space="preserve"> RCCTR Right Camera Y1</v>
      </c>
      <c r="I41" s="202" t="str">
        <f t="shared" ref="I41:I60" si="12">IF(OR(LEFT(O41,3)="SGL",LEFT(O41,5)="SGMCS"),"LINEAR","Rotary")</f>
        <v>Rotary</v>
      </c>
      <c r="J41" s="267" t="str">
        <f t="shared" ref="J41:J60" si="13">IF(OR(RIGHT($H41,1)="Z",LEFT(RIGHT($H41,2),1)="Z",LEFT(RIGHT($H41,3),1)="Z"),"Z",IF(OR(RIGHT($H41,1)="X",LEFT(RIGHT($H41,2),1)="X",LEFT(RIGHT($H41,3),1)="X"),"X",IF(OR(RIGHT($H41,1)="Y",LEFT(RIGHT($H41,2),1)="Y",LEFT(RIGHT($H41,3),1)="Y"),"Y","T")))</f>
        <v>Y</v>
      </c>
      <c r="K41" s="266">
        <f>VLOOKUP($D41,[4]회선정보!B:F,3,FALSE)</f>
        <v>0</v>
      </c>
      <c r="L41" s="266">
        <f>VLOOKUP($D41,[4]회선정보!B:F,4,FALSE)</f>
        <v>9</v>
      </c>
      <c r="M41" s="266" t="str">
        <f>VLOOKUP($D41,[4]회선정보!B:F,5,FALSE)</f>
        <v>MP7-1</v>
      </c>
      <c r="N41" s="284"/>
      <c r="O41" s="265" t="s">
        <v>616</v>
      </c>
      <c r="P41" s="263" t="str">
        <f t="shared" ref="P41:P60" si="14">IFERROR(IF($I41="Rotary",LEFT($O41,9),$O41),"")</f>
        <v>SGM7M-A3A</v>
      </c>
      <c r="Q41" s="263" t="str">
        <f>IF(MID($N40,5,1)&lt;&gt;"W",VLOOKUP(N41,[4]정격용량!$B$3:$K$633,4,FALSE),"X")</f>
        <v>X</v>
      </c>
      <c r="R41" s="260" t="str">
        <f>IF(MID(N40,5,1)&lt;&gt;"W",VLOOKUP(N41,[4]정격용량!$B$3:$K$633,3,FALSE),"X")</f>
        <v>X</v>
      </c>
      <c r="S41" s="260" t="str">
        <f>IF(MID(N40,5,1)&lt;&gt;"W",VLOOKUP(N41,[4]정격용량!$B$3:$K$633,6,FALSE),"X")</f>
        <v>X</v>
      </c>
      <c r="T41" s="262" t="str">
        <f t="shared" si="10"/>
        <v>X</v>
      </c>
      <c r="U41" s="261" t="str">
        <f>IF(MID($N40,5,1)&lt;&gt;"W",VLOOKUP(N41,[4]정격용량!$B$3:$K$633,9,FALSE),"X")</f>
        <v>X</v>
      </c>
      <c r="V41" s="260" t="str">
        <f>IFERROR(IF(J41="Z",VLOOKUP(P41,'[4]SERVO CABLE'!G:AD,8,FALSE),VLOOKUP(P41,'[4]SERVO CABLE'!G:AD,4,FALSE)),"")</f>
        <v>JZSP-CF2M20-□-E</v>
      </c>
      <c r="W41" s="260" t="str">
        <f>IFERROR(VLOOKUP(P41,'[4]SERVO CABLE'!G:AD,17,FALSE),"")</f>
        <v>JZSP-C7MP29-□-E</v>
      </c>
      <c r="X41" s="215"/>
      <c r="Y41" s="215"/>
      <c r="Z41" s="259" t="str">
        <f t="shared" ref="Z41:Z60" si="15">IF($Y41=1,$R$9,"")</f>
        <v/>
      </c>
      <c r="AA41" s="259" t="str">
        <f t="shared" ref="AA41:AA60" si="16">IF($Y41=2,$R$9,"")</f>
        <v/>
      </c>
      <c r="AB41" s="259" t="str">
        <f t="shared" ref="AB41:AB60" si="17">IF($Y41=3,$R$9,"")</f>
        <v/>
      </c>
      <c r="AC41" s="258" t="str">
        <f t="shared" ref="AC41:AC60" si="18">IF(MID($N40,5,1)&lt;&gt;"W",((700*700)/$Q41*1.509)/1000,"X")</f>
        <v>X</v>
      </c>
      <c r="AD41" s="333" t="str">
        <f t="shared" ref="AD41:AD60" si="19">IF($AC41="X","X",IF($AC41&lt;0.1,"X",IF($AC41&lt;0.27,"IRV60",IF($AC41&lt;0.91,"IRV80",IF($AC41&lt;1.1,"IRV100",IF($AC41&lt;1.3,"IRV120",IF($AC41&lt;1.6,"IRV150",IF($AC41&lt;2.2,"IRV200",IF($AC41&lt;2.7,"IRV300",IF($AC41&lt;4.3,"IRV400",IF($AC41&lt;6.8,"IRV500","X")))))))))))</f>
        <v>X</v>
      </c>
      <c r="AF41" s="189"/>
      <c r="AL41" s="189"/>
    </row>
    <row r="42" spans="1:38" ht="16.5">
      <c r="A42" s="180" t="s">
        <v>603</v>
      </c>
      <c r="B42" s="209"/>
      <c r="C42" s="209"/>
      <c r="D42" s="270" t="s">
        <v>275</v>
      </c>
      <c r="E42" s="331"/>
      <c r="F42" s="331"/>
      <c r="G42" s="332" t="s">
        <v>370</v>
      </c>
      <c r="H42" s="209" t="str">
        <f t="shared" si="11"/>
        <v xml:space="preserve"> RCCTR Left Camera Z1</v>
      </c>
      <c r="I42" s="202" t="str">
        <f t="shared" si="12"/>
        <v>Rotary</v>
      </c>
      <c r="J42" s="267" t="str">
        <f t="shared" si="13"/>
        <v>Z</v>
      </c>
      <c r="K42" s="266">
        <f>VLOOKUP($D42,[4]회선정보!B:F,3,FALSE)</f>
        <v>0</v>
      </c>
      <c r="L42" s="266" t="str">
        <f>VLOOKUP($D42,[4]회선정보!B:F,4,FALSE)</f>
        <v>A</v>
      </c>
      <c r="M42" s="266" t="str">
        <f>VLOOKUP($D42,[4]회선정보!B:F,5,FALSE)</f>
        <v>MP7-1</v>
      </c>
      <c r="N42" s="334" t="s">
        <v>612</v>
      </c>
      <c r="O42" s="335" t="s">
        <v>616</v>
      </c>
      <c r="P42" s="263" t="str">
        <f t="shared" si="14"/>
        <v>SGM7M-A3A</v>
      </c>
      <c r="Q42" s="263">
        <f>IF(MID($N41,5,1)&lt;&gt;"W",VLOOKUP(N42,[4]정격용량!$B$3:$K$633,4,FALSE),"X")</f>
        <v>400</v>
      </c>
      <c r="R42" s="260">
        <f>IF(MID(N41,5,1)&lt;&gt;"W",VLOOKUP(N42,[4]정격용량!$B$3:$K$633,3,FALSE),"X")</f>
        <v>0.3</v>
      </c>
      <c r="S42" s="260">
        <f>IF(MID(N41,5,1)&lt;&gt;"W",VLOOKUP(N42,[4]정격용량!$B$3:$K$633,6,FALSE),"X")</f>
        <v>2.5</v>
      </c>
      <c r="T42" s="262">
        <f t="shared" si="10"/>
        <v>0.94565217391304346</v>
      </c>
      <c r="U42" s="261">
        <f>IF(MID($N41,5,1)&lt;&gt;"W",VLOOKUP(N42,[4]정격용량!$B$3:$K$633,9,FALSE),"X")</f>
        <v>3</v>
      </c>
      <c r="V42" s="260" t="str">
        <f>IFERROR(IF(J42="Z",VLOOKUP(P42,'[4]SERVO CABLE'!G:AD,8,FALSE),VLOOKUP(P42,'[4]SERVO CABLE'!G:AD,4,FALSE)),"")</f>
        <v>JZSP-CF2M23-□-E</v>
      </c>
      <c r="W42" s="260" t="str">
        <f>IFERROR(VLOOKUP(P42,'[4]SERVO CABLE'!G:AD,17,FALSE),"")</f>
        <v>JZSP-C7MP29-□-E</v>
      </c>
      <c r="X42" s="215"/>
      <c r="Y42" s="215">
        <v>1</v>
      </c>
      <c r="Z42" s="259">
        <f t="shared" si="15"/>
        <v>0.2</v>
      </c>
      <c r="AA42" s="259" t="str">
        <f t="shared" si="16"/>
        <v/>
      </c>
      <c r="AB42" s="259" t="str">
        <f t="shared" si="17"/>
        <v/>
      </c>
      <c r="AC42" s="258">
        <f t="shared" si="18"/>
        <v>1.848525</v>
      </c>
      <c r="AD42" s="333" t="str">
        <f t="shared" si="19"/>
        <v>IRV200</v>
      </c>
      <c r="AF42" s="189"/>
      <c r="AL42" s="189"/>
    </row>
    <row r="43" spans="1:38" ht="16.5">
      <c r="A43" s="180" t="s">
        <v>603</v>
      </c>
      <c r="B43" s="209"/>
      <c r="C43" s="209"/>
      <c r="D43" s="270" t="s">
        <v>193</v>
      </c>
      <c r="E43" s="331"/>
      <c r="F43" s="331"/>
      <c r="G43" s="332" t="s">
        <v>536</v>
      </c>
      <c r="H43" s="209" t="str">
        <f t="shared" si="11"/>
        <v xml:space="preserve"> RCCTR Right Camera Z1</v>
      </c>
      <c r="I43" s="202" t="str">
        <f t="shared" si="12"/>
        <v>Rotary</v>
      </c>
      <c r="J43" s="267" t="str">
        <f t="shared" si="13"/>
        <v>Z</v>
      </c>
      <c r="K43" s="266">
        <f>VLOOKUP($D43,[4]회선정보!B:F,3,FALSE)</f>
        <v>0</v>
      </c>
      <c r="L43" s="266" t="str">
        <f>VLOOKUP($D43,[4]회선정보!B:F,4,FALSE)</f>
        <v>B</v>
      </c>
      <c r="M43" s="266" t="str">
        <f>VLOOKUP($D43,[4]회선정보!B:F,5,FALSE)</f>
        <v>MP7-1</v>
      </c>
      <c r="N43" s="265"/>
      <c r="O43" s="335" t="s">
        <v>616</v>
      </c>
      <c r="P43" s="263" t="str">
        <f t="shared" si="14"/>
        <v>SGM7M-A3A</v>
      </c>
      <c r="Q43" s="263" t="str">
        <f>IF(MID($N42,5,1)&lt;&gt;"W",VLOOKUP(N43,[4]정격용량!$B$3:$K$633,4,FALSE),"X")</f>
        <v>X</v>
      </c>
      <c r="R43" s="260" t="str">
        <f>IF(MID(N42,5,1)&lt;&gt;"W",VLOOKUP(N43,[4]정격용량!$B$3:$K$633,3,FALSE),"X")</f>
        <v>X</v>
      </c>
      <c r="S43" s="260" t="str">
        <f>IF(MID(N42,5,1)&lt;&gt;"W",VLOOKUP(N43,[4]정격용량!$B$3:$K$633,6,FALSE),"X")</f>
        <v>X</v>
      </c>
      <c r="T43" s="262" t="str">
        <f t="shared" si="10"/>
        <v>X</v>
      </c>
      <c r="U43" s="261" t="str">
        <f>IF(MID($N42,5,1)&lt;&gt;"W",VLOOKUP(N43,[4]정격용량!$B$3:$K$633,9,FALSE),"X")</f>
        <v>X</v>
      </c>
      <c r="V43" s="260" t="str">
        <f>IFERROR(IF(J43="Z",VLOOKUP(P43,'[4]SERVO CABLE'!G:AD,8,FALSE),VLOOKUP(P43,'[4]SERVO CABLE'!G:AD,4,FALSE)),"")</f>
        <v>JZSP-CF2M23-□-E</v>
      </c>
      <c r="W43" s="260" t="str">
        <f>IFERROR(VLOOKUP(P43,'[4]SERVO CABLE'!G:AD,17,FALSE),"")</f>
        <v>JZSP-C7MP29-□-E</v>
      </c>
      <c r="X43" s="215"/>
      <c r="Y43" s="215"/>
      <c r="Z43" s="259" t="str">
        <f t="shared" si="15"/>
        <v/>
      </c>
      <c r="AA43" s="259" t="str">
        <f t="shared" si="16"/>
        <v/>
      </c>
      <c r="AB43" s="259" t="str">
        <f t="shared" si="17"/>
        <v/>
      </c>
      <c r="AC43" s="258" t="str">
        <f t="shared" si="18"/>
        <v>X</v>
      </c>
      <c r="AD43" s="333" t="str">
        <f t="shared" si="19"/>
        <v>X</v>
      </c>
      <c r="AF43" s="189"/>
      <c r="AL43" s="189"/>
    </row>
    <row r="44" spans="1:38" ht="16.5">
      <c r="A44" s="180" t="s">
        <v>603</v>
      </c>
      <c r="B44" s="209"/>
      <c r="C44" s="209"/>
      <c r="D44" s="270" t="s">
        <v>194</v>
      </c>
      <c r="E44" s="331"/>
      <c r="F44" s="331"/>
      <c r="G44" s="337" t="s">
        <v>544</v>
      </c>
      <c r="H44" s="209" t="str">
        <f t="shared" si="11"/>
        <v xml:space="preserve"> RCCTR Cutting Table Y1-1</v>
      </c>
      <c r="I44" s="202" t="str">
        <f t="shared" si="12"/>
        <v>LINEAR</v>
      </c>
      <c r="J44" s="267" t="str">
        <f t="shared" si="13"/>
        <v>T</v>
      </c>
      <c r="K44" s="266">
        <f>VLOOKUP($D44,[4]회선정보!B:F,3,FALSE)</f>
        <v>0</v>
      </c>
      <c r="L44" s="266" t="str">
        <f>VLOOKUP($D44,[4]회선정보!B:F,4,FALSE)</f>
        <v>D</v>
      </c>
      <c r="M44" s="266" t="str">
        <f>VLOOKUP($D44,[4]회선정보!B:F,5,FALSE)</f>
        <v>MP7-1</v>
      </c>
      <c r="N44" s="265" t="s">
        <v>610</v>
      </c>
      <c r="O44" s="265" t="s">
        <v>664</v>
      </c>
      <c r="P44" s="263" t="str">
        <f t="shared" si="14"/>
        <v>SGLFW-35A230AP</v>
      </c>
      <c r="Q44" s="263">
        <f>IF(MID($N43,5,1)&lt;&gt;"W",VLOOKUP(N44,[4]정격용량!$B$3:$K$633,4,FALSE),"X")</f>
        <v>1500</v>
      </c>
      <c r="R44" s="260">
        <f>IF(MID(N43,5,1)&lt;&gt;"W",VLOOKUP(N44,[4]정격용량!$B$3:$K$633,3,FALSE),"X")</f>
        <v>0.3</v>
      </c>
      <c r="S44" s="260">
        <f>IF(MID(N43,5,1)&lt;&gt;"W",VLOOKUP(N44,[4]정격용량!$B$3:$K$633,6,FALSE),"X")</f>
        <v>7.8</v>
      </c>
      <c r="T44" s="262">
        <f t="shared" si="10"/>
        <v>2.9504347826086956</v>
      </c>
      <c r="U44" s="261">
        <f>IF(MID($N43,5,1)&lt;&gt;"W",VLOOKUP(N44,[4]정격용량!$B$3:$K$633,9,FALSE),"X")</f>
        <v>10</v>
      </c>
      <c r="V44" s="260" t="str">
        <f>IFERROR(IF(J44="Z",VLOOKUP(P44,'[4]SERVO CABLE'!G:AD,8,FALSE),VLOOKUP(P44,'[4]SERVO CABLE'!G:AD,4,FALSE)),"")</f>
        <v>JZSP-CLN11-01-E</v>
      </c>
      <c r="W44" s="260" t="str">
        <f>IFERROR(VLOOKUP(P44,'[4]SERVO CABLE'!G:AD,17,FALSE),"")</f>
        <v>JZSP-CLP70-□-ER</v>
      </c>
      <c r="X44" s="215"/>
      <c r="Y44" s="215">
        <v>2</v>
      </c>
      <c r="Z44" s="259" t="str">
        <f t="shared" si="15"/>
        <v/>
      </c>
      <c r="AA44" s="259">
        <f t="shared" si="16"/>
        <v>0.2</v>
      </c>
      <c r="AB44" s="259" t="str">
        <f t="shared" si="17"/>
        <v/>
      </c>
      <c r="AC44" s="258">
        <f t="shared" si="18"/>
        <v>0.49293999999999999</v>
      </c>
      <c r="AD44" s="333" t="str">
        <f t="shared" si="19"/>
        <v>IRV80</v>
      </c>
      <c r="AF44" s="189"/>
      <c r="AL44" s="189"/>
    </row>
    <row r="45" spans="1:38" ht="16.5">
      <c r="A45" s="180" t="s">
        <v>603</v>
      </c>
      <c r="B45" s="209"/>
      <c r="C45" s="209"/>
      <c r="D45" s="270" t="s">
        <v>276</v>
      </c>
      <c r="E45" s="331"/>
      <c r="F45" s="331"/>
      <c r="G45" s="337" t="s">
        <v>545</v>
      </c>
      <c r="H45" s="209" t="str">
        <f t="shared" si="11"/>
        <v xml:space="preserve"> RCCTR Cutting Table Y1-2</v>
      </c>
      <c r="I45" s="202" t="str">
        <f t="shared" si="12"/>
        <v>LINEAR</v>
      </c>
      <c r="J45" s="267" t="str">
        <f t="shared" si="13"/>
        <v>T</v>
      </c>
      <c r="K45" s="266">
        <f>VLOOKUP($D45,[4]회선정보!B:F,3,FALSE)</f>
        <v>0</v>
      </c>
      <c r="L45" s="266" t="str">
        <f>VLOOKUP($D45,[4]회선정보!B:F,4,FALSE)</f>
        <v>E</v>
      </c>
      <c r="M45" s="266" t="str">
        <f>VLOOKUP($D45,[4]회선정보!B:F,5,FALSE)</f>
        <v>MP7-1</v>
      </c>
      <c r="N45" s="209"/>
      <c r="O45" s="209" t="s">
        <v>664</v>
      </c>
      <c r="P45" s="263" t="str">
        <f t="shared" si="14"/>
        <v>SGLFW-35A230AP</v>
      </c>
      <c r="Q45" s="263" t="str">
        <f>IF(MID($N44,5,1)&lt;&gt;"W",VLOOKUP(N45,[4]정격용량!$B$3:$K$633,4,FALSE),"X")</f>
        <v>X</v>
      </c>
      <c r="R45" s="260" t="str">
        <f>IF(MID(N44,5,1)&lt;&gt;"W",VLOOKUP(N45,[4]정격용량!$B$3:$K$633,3,FALSE),"X")</f>
        <v>X</v>
      </c>
      <c r="S45" s="260" t="str">
        <f>IF(MID(N44,5,1)&lt;&gt;"W",VLOOKUP(N45,[4]정격용량!$B$3:$K$633,6,FALSE),"X")</f>
        <v>X</v>
      </c>
      <c r="T45" s="262" t="str">
        <f t="shared" si="10"/>
        <v>X</v>
      </c>
      <c r="U45" s="261" t="str">
        <f>IF(MID($N44,5,1)&lt;&gt;"W",VLOOKUP(N45,[4]정격용량!$B$3:$K$633,9,FALSE),"X")</f>
        <v>X</v>
      </c>
      <c r="V45" s="260" t="str">
        <f>IFERROR(IF(J45="Z",VLOOKUP(P45,'[4]SERVO CABLE'!G:AD,8,FALSE),VLOOKUP(P45,'[4]SERVO CABLE'!G:AD,4,FALSE)),"")</f>
        <v>JZSP-CLN11-01-E</v>
      </c>
      <c r="W45" s="260" t="str">
        <f>IFERROR(VLOOKUP(P45,'[4]SERVO CABLE'!G:AD,17,FALSE),"")</f>
        <v>JZSP-CLP70-□-ER</v>
      </c>
      <c r="X45" s="215"/>
      <c r="Y45" s="215"/>
      <c r="Z45" s="259" t="str">
        <f t="shared" si="15"/>
        <v/>
      </c>
      <c r="AA45" s="259" t="str">
        <f t="shared" si="16"/>
        <v/>
      </c>
      <c r="AB45" s="259" t="str">
        <f t="shared" si="17"/>
        <v/>
      </c>
      <c r="AC45" s="258" t="str">
        <f t="shared" si="18"/>
        <v>X</v>
      </c>
      <c r="AD45" s="333" t="str">
        <f t="shared" si="19"/>
        <v>X</v>
      </c>
      <c r="AF45" s="189"/>
      <c r="AL45" s="189"/>
    </row>
    <row r="46" spans="1:38" ht="16.5">
      <c r="A46" s="180" t="s">
        <v>603</v>
      </c>
      <c r="B46" s="209"/>
      <c r="C46" s="209"/>
      <c r="D46" s="270" t="s">
        <v>277</v>
      </c>
      <c r="E46" s="331"/>
      <c r="F46" s="331"/>
      <c r="G46" s="337" t="s">
        <v>463</v>
      </c>
      <c r="H46" s="209" t="str">
        <f t="shared" si="11"/>
        <v xml:space="preserve"> RCCTR Scribe Chuck Left X</v>
      </c>
      <c r="I46" s="202" t="str">
        <f t="shared" si="12"/>
        <v>Rotary</v>
      </c>
      <c r="J46" s="267" t="str">
        <f t="shared" si="13"/>
        <v>X</v>
      </c>
      <c r="K46" s="266">
        <f>VLOOKUP($D46,[4]회선정보!B:F,3,FALSE)</f>
        <v>0</v>
      </c>
      <c r="L46" s="266">
        <f>VLOOKUP($D46,[4]회선정보!B:F,4,FALSE)</f>
        <v>3</v>
      </c>
      <c r="M46" s="266" t="str">
        <f>VLOOKUP($D46,[4]회선정보!B:F,5,FALSE)</f>
        <v>MP8-1</v>
      </c>
      <c r="N46" s="209" t="s">
        <v>612</v>
      </c>
      <c r="O46" s="209" t="s">
        <v>624</v>
      </c>
      <c r="P46" s="263" t="str">
        <f t="shared" si="14"/>
        <v>SGM7J-01A</v>
      </c>
      <c r="Q46" s="263">
        <f>IF(MID($N45,5,1)&lt;&gt;"W",VLOOKUP(N46,[4]정격용량!$B$3:$K$633,4,FALSE),"X")</f>
        <v>400</v>
      </c>
      <c r="R46" s="260">
        <f>IF(MID(N45,5,1)&lt;&gt;"W",VLOOKUP(N46,[4]정격용량!$B$3:$K$633,3,FALSE),"X")</f>
        <v>0.3</v>
      </c>
      <c r="S46" s="260">
        <f>IF(MID(N45,5,1)&lt;&gt;"W",VLOOKUP(N46,[4]정격용량!$B$3:$K$633,6,FALSE),"X")</f>
        <v>2.5</v>
      </c>
      <c r="T46" s="262">
        <f t="shared" si="10"/>
        <v>0.94565217391304346</v>
      </c>
      <c r="U46" s="261">
        <f>IF(MID($N45,5,1)&lt;&gt;"W",VLOOKUP(N46,[4]정격용량!$B$3:$K$633,9,FALSE),"X")</f>
        <v>3</v>
      </c>
      <c r="V46" s="260" t="str">
        <f>IFERROR(IF(J46="Z",VLOOKUP(P46,'[4]SERVO CABLE'!G:AD,8,FALSE),VLOOKUP(P46,'[4]SERVO CABLE'!G:AD,4,FALSE)),"")</f>
        <v>JZSP-C7M12F-□-E</v>
      </c>
      <c r="W46" s="260" t="str">
        <f>IFERROR(VLOOKUP(P46,'[4]SERVO CABLE'!G:AD,17,FALSE),"")</f>
        <v>JZSP-C7PA2D-□-E</v>
      </c>
      <c r="X46" s="215"/>
      <c r="Y46" s="215">
        <v>3</v>
      </c>
      <c r="Z46" s="259" t="str">
        <f t="shared" si="15"/>
        <v/>
      </c>
      <c r="AA46" s="259" t="str">
        <f t="shared" si="16"/>
        <v/>
      </c>
      <c r="AB46" s="259">
        <f t="shared" si="17"/>
        <v>0.2</v>
      </c>
      <c r="AC46" s="258">
        <f t="shared" si="18"/>
        <v>1.848525</v>
      </c>
      <c r="AD46" s="333" t="str">
        <f t="shared" si="19"/>
        <v>IRV200</v>
      </c>
      <c r="AF46" s="189"/>
      <c r="AL46" s="189"/>
    </row>
    <row r="47" spans="1:38" ht="16.5">
      <c r="A47" s="180" t="s">
        <v>603</v>
      </c>
      <c r="B47" s="209"/>
      <c r="C47" s="209"/>
      <c r="D47" s="270" t="s">
        <v>278</v>
      </c>
      <c r="E47" s="331"/>
      <c r="F47" s="331"/>
      <c r="G47" s="332" t="s">
        <v>537</v>
      </c>
      <c r="H47" s="209" t="str">
        <f t="shared" si="11"/>
        <v xml:space="preserve"> RCCTR Scribe Chuck Right X</v>
      </c>
      <c r="I47" s="202" t="str">
        <f t="shared" si="12"/>
        <v>Rotary</v>
      </c>
      <c r="J47" s="267" t="str">
        <f t="shared" si="13"/>
        <v>X</v>
      </c>
      <c r="K47" s="266">
        <f>VLOOKUP($D47,[4]회선정보!B:F,3,FALSE)</f>
        <v>0</v>
      </c>
      <c r="L47" s="266">
        <f>VLOOKUP($D47,[4]회선정보!B:F,4,FALSE)</f>
        <v>4</v>
      </c>
      <c r="M47" s="266" t="str">
        <f>VLOOKUP($D47,[4]회선정보!B:F,5,FALSE)</f>
        <v>MP8-1</v>
      </c>
      <c r="N47" s="209"/>
      <c r="O47" s="209" t="s">
        <v>624</v>
      </c>
      <c r="P47" s="263" t="str">
        <f t="shared" si="14"/>
        <v>SGM7J-01A</v>
      </c>
      <c r="Q47" s="263" t="str">
        <f>IF(MID($N46,5,1)&lt;&gt;"W",VLOOKUP(N47,[4]정격용량!$B$3:$K$633,4,FALSE),"X")</f>
        <v>X</v>
      </c>
      <c r="R47" s="260" t="str">
        <f>IF(MID(N46,5,1)&lt;&gt;"W",VLOOKUP(N47,[4]정격용량!$B$3:$K$633,3,FALSE),"X")</f>
        <v>X</v>
      </c>
      <c r="S47" s="260" t="str">
        <f>IF(MID(N46,5,1)&lt;&gt;"W",VLOOKUP(N47,[4]정격용량!$B$3:$K$633,6,FALSE),"X")</f>
        <v>X</v>
      </c>
      <c r="T47" s="262" t="str">
        <f t="shared" si="10"/>
        <v>X</v>
      </c>
      <c r="U47" s="261" t="str">
        <f>IF(MID($N46,5,1)&lt;&gt;"W",VLOOKUP(N47,[4]정격용량!$B$3:$K$633,9,FALSE),"X")</f>
        <v>X</v>
      </c>
      <c r="V47" s="260" t="str">
        <f>IFERROR(IF(J47="Z",VLOOKUP(P47,'[4]SERVO CABLE'!G:AD,8,FALSE),VLOOKUP(P47,'[4]SERVO CABLE'!G:AD,4,FALSE)),"")</f>
        <v>JZSP-C7M12F-□-E</v>
      </c>
      <c r="W47" s="260" t="str">
        <f>IFERROR(VLOOKUP(P47,'[4]SERVO CABLE'!G:AD,17,FALSE),"")</f>
        <v>JZSP-C7PA2D-□-E</v>
      </c>
      <c r="X47" s="215"/>
      <c r="Y47" s="215"/>
      <c r="Z47" s="259" t="str">
        <f t="shared" si="15"/>
        <v/>
      </c>
      <c r="AA47" s="259" t="str">
        <f t="shared" si="16"/>
        <v/>
      </c>
      <c r="AB47" s="259" t="str">
        <f t="shared" si="17"/>
        <v/>
      </c>
      <c r="AC47" s="258" t="str">
        <f t="shared" si="18"/>
        <v>X</v>
      </c>
      <c r="AD47" s="333" t="str">
        <f t="shared" si="19"/>
        <v>X</v>
      </c>
      <c r="AF47" s="189"/>
      <c r="AL47" s="189"/>
    </row>
    <row r="48" spans="1:38" ht="16.5">
      <c r="A48" s="180" t="s">
        <v>603</v>
      </c>
      <c r="B48" s="209"/>
      <c r="C48" s="209"/>
      <c r="D48" s="270" t="s">
        <v>279</v>
      </c>
      <c r="E48" s="331"/>
      <c r="F48" s="331"/>
      <c r="G48" s="337" t="s">
        <v>464</v>
      </c>
      <c r="H48" s="209" t="str">
        <f t="shared" si="11"/>
        <v xml:space="preserve"> RCCTR Scribe Chuck Y-1</v>
      </c>
      <c r="I48" s="202" t="str">
        <f t="shared" si="12"/>
        <v>LINEAR</v>
      </c>
      <c r="J48" s="267" t="str">
        <f t="shared" si="13"/>
        <v>Y</v>
      </c>
      <c r="K48" s="266">
        <f>VLOOKUP($D48,[4]회선정보!B:F,3,FALSE)</f>
        <v>0</v>
      </c>
      <c r="L48" s="266">
        <f>VLOOKUP($D48,[4]회선정보!B:F,4,FALSE)</f>
        <v>5</v>
      </c>
      <c r="M48" s="266" t="str">
        <f>VLOOKUP($D48,[4]회선정보!B:F,5,FALSE)</f>
        <v>MP8-1</v>
      </c>
      <c r="N48" s="280" t="s">
        <v>610</v>
      </c>
      <c r="O48" s="280" t="s">
        <v>664</v>
      </c>
      <c r="P48" s="263" t="str">
        <f t="shared" si="14"/>
        <v>SGLFW-35A230AP</v>
      </c>
      <c r="Q48" s="263">
        <f>IF(MID($N47,5,1)&lt;&gt;"W",VLOOKUP(N48,[4]정격용량!$B$3:$K$633,4,FALSE),"X")</f>
        <v>1500</v>
      </c>
      <c r="R48" s="260">
        <f>IF(MID(N47,5,1)&lt;&gt;"W",VLOOKUP(N48,[4]정격용량!$B$3:$K$633,3,FALSE),"X")</f>
        <v>0.3</v>
      </c>
      <c r="S48" s="260">
        <f>IF(MID(N47,5,1)&lt;&gt;"W",VLOOKUP(N48,[4]정격용량!$B$3:$K$633,6,FALSE),"X")</f>
        <v>7.8</v>
      </c>
      <c r="T48" s="262">
        <f t="shared" si="10"/>
        <v>2.9504347826086956</v>
      </c>
      <c r="U48" s="261">
        <f>IF(MID($N47,5,1)&lt;&gt;"W",VLOOKUP(N48,[4]정격용량!$B$3:$K$633,9,FALSE),"X")</f>
        <v>10</v>
      </c>
      <c r="V48" s="260" t="str">
        <f>IFERROR(IF(J48="Z",VLOOKUP(P48,'[4]SERVO CABLE'!G:AD,8,FALSE),VLOOKUP(P48,'[4]SERVO CABLE'!G:AD,4,FALSE)),"")</f>
        <v>JZSP-CLN11-01-E</v>
      </c>
      <c r="W48" s="260" t="str">
        <f>IFERROR(VLOOKUP(P48,'[4]SERVO CABLE'!G:AD,17,FALSE),"")</f>
        <v>JZSP-CLP70-□-ER</v>
      </c>
      <c r="X48" s="215"/>
      <c r="Y48" s="215">
        <v>1</v>
      </c>
      <c r="Z48" s="259">
        <f t="shared" si="15"/>
        <v>0.2</v>
      </c>
      <c r="AA48" s="259" t="str">
        <f t="shared" si="16"/>
        <v/>
      </c>
      <c r="AB48" s="259" t="str">
        <f t="shared" si="17"/>
        <v/>
      </c>
      <c r="AC48" s="258">
        <f t="shared" si="18"/>
        <v>0.49293999999999999</v>
      </c>
      <c r="AD48" s="333" t="str">
        <f t="shared" si="19"/>
        <v>IRV80</v>
      </c>
      <c r="AF48" s="189"/>
      <c r="AL48" s="189"/>
    </row>
    <row r="49" spans="1:38" ht="16.5">
      <c r="A49" s="180" t="s">
        <v>603</v>
      </c>
      <c r="B49" s="209"/>
      <c r="C49" s="209"/>
      <c r="D49" s="270" t="s">
        <v>280</v>
      </c>
      <c r="E49" s="331"/>
      <c r="F49" s="331"/>
      <c r="G49" s="337" t="s">
        <v>465</v>
      </c>
      <c r="H49" s="209" t="str">
        <f t="shared" si="11"/>
        <v xml:space="preserve"> RCCTR Scribe Chuck Y-2</v>
      </c>
      <c r="I49" s="202" t="str">
        <f t="shared" si="12"/>
        <v>LINEAR</v>
      </c>
      <c r="J49" s="267" t="str">
        <f t="shared" si="13"/>
        <v>Y</v>
      </c>
      <c r="K49" s="266">
        <f>VLOOKUP($D49,[4]회선정보!B:F,3,FALSE)</f>
        <v>0</v>
      </c>
      <c r="L49" s="266">
        <f>VLOOKUP($D49,[4]회선정보!B:F,4,FALSE)</f>
        <v>6</v>
      </c>
      <c r="M49" s="266" t="str">
        <f>VLOOKUP($D49,[4]회선정보!B:F,5,FALSE)</f>
        <v>MP8-1</v>
      </c>
      <c r="N49" s="265"/>
      <c r="O49" s="265" t="s">
        <v>664</v>
      </c>
      <c r="P49" s="263" t="str">
        <f t="shared" si="14"/>
        <v>SGLFW-35A230AP</v>
      </c>
      <c r="Q49" s="263" t="str">
        <f>IF(MID($N48,5,1)&lt;&gt;"W",VLOOKUP(N49,[4]정격용량!$B$3:$K$633,4,FALSE),"X")</f>
        <v>X</v>
      </c>
      <c r="R49" s="260" t="str">
        <f>IF(MID(N48,5,1)&lt;&gt;"W",VLOOKUP(N49,[4]정격용량!$B$3:$K$633,3,FALSE),"X")</f>
        <v>X</v>
      </c>
      <c r="S49" s="260" t="str">
        <f>IF(MID(N48,5,1)&lt;&gt;"W",VLOOKUP(N49,[4]정격용량!$B$3:$K$633,6,FALSE),"X")</f>
        <v>X</v>
      </c>
      <c r="T49" s="262" t="str">
        <f t="shared" si="10"/>
        <v>X</v>
      </c>
      <c r="U49" s="261" t="str">
        <f>IF(MID($N48,5,1)&lt;&gt;"W",VLOOKUP(N49,[4]정격용량!$B$3:$K$633,9,FALSE),"X")</f>
        <v>X</v>
      </c>
      <c r="V49" s="260" t="str">
        <f>IFERROR(IF(J49="Z",VLOOKUP(P49,'[4]SERVO CABLE'!G:AD,8,FALSE),VLOOKUP(P49,'[4]SERVO CABLE'!G:AD,4,FALSE)),"")</f>
        <v>JZSP-CLN11-01-E</v>
      </c>
      <c r="W49" s="260" t="str">
        <f>IFERROR(VLOOKUP(P49,'[4]SERVO CABLE'!G:AD,17,FALSE),"")</f>
        <v>JZSP-CLP70-□-ER</v>
      </c>
      <c r="X49" s="215"/>
      <c r="Y49" s="215"/>
      <c r="Z49" s="259" t="str">
        <f t="shared" si="15"/>
        <v/>
      </c>
      <c r="AA49" s="259" t="str">
        <f t="shared" si="16"/>
        <v/>
      </c>
      <c r="AB49" s="259" t="str">
        <f t="shared" si="17"/>
        <v/>
      </c>
      <c r="AC49" s="258" t="str">
        <f t="shared" si="18"/>
        <v>X</v>
      </c>
      <c r="AD49" s="333" t="str">
        <f t="shared" si="19"/>
        <v>X</v>
      </c>
      <c r="AF49" s="189"/>
      <c r="AL49" s="189"/>
    </row>
    <row r="50" spans="1:38" ht="16.5">
      <c r="A50" s="180" t="s">
        <v>603</v>
      </c>
      <c r="B50" s="209"/>
      <c r="C50" s="209"/>
      <c r="D50" s="270" t="s">
        <v>302</v>
      </c>
      <c r="E50" s="331"/>
      <c r="F50" s="331"/>
      <c r="G50" s="337" t="s">
        <v>466</v>
      </c>
      <c r="H50" s="209" t="str">
        <f t="shared" si="11"/>
        <v xml:space="preserve"> RCCTR Scribe Chuck Z1</v>
      </c>
      <c r="I50" s="202" t="str">
        <f t="shared" si="12"/>
        <v>Rotary</v>
      </c>
      <c r="J50" s="267" t="str">
        <f t="shared" si="13"/>
        <v>Z</v>
      </c>
      <c r="K50" s="266">
        <f>VLOOKUP($D50,[4]회선정보!B:F,3,FALSE)</f>
        <v>0</v>
      </c>
      <c r="L50" s="266">
        <f>VLOOKUP($D50,[4]회선정보!B:F,4,FALSE)</f>
        <v>7</v>
      </c>
      <c r="M50" s="266" t="str">
        <f>VLOOKUP($D50,[4]회선정보!B:F,5,FALSE)</f>
        <v>MP8-1</v>
      </c>
      <c r="N50" s="265" t="s">
        <v>665</v>
      </c>
      <c r="O50" s="265" t="s">
        <v>611</v>
      </c>
      <c r="P50" s="263" t="str">
        <f t="shared" si="14"/>
        <v>SGM7J-A5A</v>
      </c>
      <c r="Q50" s="263">
        <f>IF(MID($N49,5,1)&lt;&gt;"W",VLOOKUP(N50,[4]정격용량!$B$3:$K$633,4,FALSE),"X")</f>
        <v>200</v>
      </c>
      <c r="R50" s="260">
        <f>IF(MID(N49,5,1)&lt;&gt;"W",VLOOKUP(N50,[4]정격용량!$B$3:$K$633,3,FALSE),"X")</f>
        <v>0.2</v>
      </c>
      <c r="S50" s="260">
        <f>IF(MID(N49,5,1)&lt;&gt;"W",VLOOKUP(N50,[4]정격용량!$B$3:$K$633,6,FALSE),"X")</f>
        <v>1.3</v>
      </c>
      <c r="T50" s="262">
        <f t="shared" si="10"/>
        <v>0.49173913043478262</v>
      </c>
      <c r="U50" s="261">
        <f>IF(MID($N49,5,1)&lt;&gt;"W",VLOOKUP(N50,[4]정격용량!$B$3:$K$633,9,FALSE),"X")</f>
        <v>2</v>
      </c>
      <c r="V50" s="260" t="str">
        <f>IFERROR(IF(J50="Z",VLOOKUP(P50,'[4]SERVO CABLE'!G:AD,8,FALSE),VLOOKUP(P50,'[4]SERVO CABLE'!G:AD,4,FALSE)),"")</f>
        <v>JZSP-C7M14F-□-E</v>
      </c>
      <c r="W50" s="260" t="str">
        <f>IFERROR(VLOOKUP(P50,'[4]SERVO CABLE'!G:AD,17,FALSE),"")</f>
        <v>JZSP-C7PA2D-□-E</v>
      </c>
      <c r="X50" s="215"/>
      <c r="Y50" s="215">
        <v>2</v>
      </c>
      <c r="Z50" s="259" t="str">
        <f t="shared" si="15"/>
        <v/>
      </c>
      <c r="AA50" s="259">
        <f t="shared" si="16"/>
        <v>0.2</v>
      </c>
      <c r="AB50" s="259" t="str">
        <f t="shared" si="17"/>
        <v/>
      </c>
      <c r="AC50" s="258">
        <f t="shared" si="18"/>
        <v>3.6970499999999999</v>
      </c>
      <c r="AD50" s="333" t="str">
        <f t="shared" si="19"/>
        <v>IRV400</v>
      </c>
      <c r="AF50" s="189"/>
      <c r="AL50" s="189"/>
    </row>
    <row r="51" spans="1:38" ht="16.5">
      <c r="A51" s="180" t="s">
        <v>603</v>
      </c>
      <c r="B51" s="209"/>
      <c r="C51" s="209"/>
      <c r="D51" s="270" t="s">
        <v>303</v>
      </c>
      <c r="E51" s="331"/>
      <c r="F51" s="331"/>
      <c r="G51" s="337" t="s">
        <v>467</v>
      </c>
      <c r="H51" s="209" t="str">
        <f t="shared" si="11"/>
        <v xml:space="preserve"> RCCTR Scribe Chuck Z2</v>
      </c>
      <c r="I51" s="202" t="str">
        <f t="shared" si="12"/>
        <v>Rotary</v>
      </c>
      <c r="J51" s="267" t="str">
        <f t="shared" si="13"/>
        <v>Z</v>
      </c>
      <c r="K51" s="266">
        <f>VLOOKUP($D51,[4]회선정보!B:F,3,FALSE)</f>
        <v>0</v>
      </c>
      <c r="L51" s="266">
        <f>VLOOKUP($D51,[4]회선정보!B:F,4,FALSE)</f>
        <v>8</v>
      </c>
      <c r="M51" s="266" t="str">
        <f>VLOOKUP($D51,[4]회선정보!B:F,5,FALSE)</f>
        <v>MP8-1</v>
      </c>
      <c r="N51" s="265" t="s">
        <v>665</v>
      </c>
      <c r="O51" s="265" t="s">
        <v>611</v>
      </c>
      <c r="P51" s="263" t="str">
        <f t="shared" si="14"/>
        <v>SGM7J-A5A</v>
      </c>
      <c r="Q51" s="263">
        <f>IF(MID($N50,5,1)&lt;&gt;"W",VLOOKUP(N51,[4]정격용량!$B$3:$K$633,4,FALSE),"X")</f>
        <v>200</v>
      </c>
      <c r="R51" s="260">
        <f>IF(MID(N50,5,1)&lt;&gt;"W",VLOOKUP(N51,[4]정격용량!$B$3:$K$633,3,FALSE),"X")</f>
        <v>0.2</v>
      </c>
      <c r="S51" s="260">
        <f>IF(MID(N50,5,1)&lt;&gt;"W",VLOOKUP(N51,[4]정격용량!$B$3:$K$633,6,FALSE),"X")</f>
        <v>1.3</v>
      </c>
      <c r="T51" s="262">
        <f t="shared" si="10"/>
        <v>0.49173913043478262</v>
      </c>
      <c r="U51" s="261">
        <f>IF(MID($N50,5,1)&lt;&gt;"W",VLOOKUP(N51,[4]정격용량!$B$3:$K$633,9,FALSE),"X")</f>
        <v>2</v>
      </c>
      <c r="V51" s="260" t="str">
        <f>IFERROR(IF(J51="Z",VLOOKUP(P51,'[4]SERVO CABLE'!G:AD,8,FALSE),VLOOKUP(P51,'[4]SERVO CABLE'!G:AD,4,FALSE)),"")</f>
        <v>JZSP-C7M14F-□-E</v>
      </c>
      <c r="W51" s="260" t="str">
        <f>IFERROR(VLOOKUP(P51,'[4]SERVO CABLE'!G:AD,17,FALSE),"")</f>
        <v>JZSP-C7PA2D-□-E</v>
      </c>
      <c r="X51" s="215"/>
      <c r="Y51" s="215">
        <v>3</v>
      </c>
      <c r="Z51" s="259" t="str">
        <f t="shared" si="15"/>
        <v/>
      </c>
      <c r="AA51" s="259" t="str">
        <f t="shared" si="16"/>
        <v/>
      </c>
      <c r="AB51" s="259">
        <f t="shared" si="17"/>
        <v>0.2</v>
      </c>
      <c r="AC51" s="258">
        <f t="shared" si="18"/>
        <v>3.6970499999999999</v>
      </c>
      <c r="AD51" s="333" t="str">
        <f t="shared" si="19"/>
        <v>IRV400</v>
      </c>
      <c r="AF51" s="189"/>
      <c r="AL51" s="189"/>
    </row>
    <row r="52" spans="1:38" ht="16.5">
      <c r="A52" s="180" t="s">
        <v>603</v>
      </c>
      <c r="B52" s="209"/>
      <c r="C52" s="209"/>
      <c r="D52" s="270" t="s">
        <v>281</v>
      </c>
      <c r="E52" s="331"/>
      <c r="F52" s="331"/>
      <c r="G52" s="337" t="s">
        <v>468</v>
      </c>
      <c r="H52" s="209" t="str">
        <f t="shared" si="11"/>
        <v xml:space="preserve"> RCCTR Scribe Chuck Z3</v>
      </c>
      <c r="I52" s="202" t="str">
        <f t="shared" si="12"/>
        <v>Rotary</v>
      </c>
      <c r="J52" s="267" t="str">
        <f t="shared" si="13"/>
        <v>Z</v>
      </c>
      <c r="K52" s="266">
        <f>VLOOKUP($D52,[4]회선정보!B:F,3,FALSE)</f>
        <v>0</v>
      </c>
      <c r="L52" s="266">
        <f>VLOOKUP($D52,[4]회선정보!B:F,4,FALSE)</f>
        <v>9</v>
      </c>
      <c r="M52" s="266" t="str">
        <f>VLOOKUP($D52,[4]회선정보!B:F,5,FALSE)</f>
        <v>MP8-1</v>
      </c>
      <c r="N52" s="265" t="s">
        <v>665</v>
      </c>
      <c r="O52" s="209" t="s">
        <v>611</v>
      </c>
      <c r="P52" s="263" t="str">
        <f t="shared" si="14"/>
        <v>SGM7J-A5A</v>
      </c>
      <c r="Q52" s="263">
        <f>IF(MID($N51,5,1)&lt;&gt;"W",VLOOKUP(N52,[4]정격용량!$B$3:$K$633,4,FALSE),"X")</f>
        <v>200</v>
      </c>
      <c r="R52" s="260">
        <f>IF(MID(N51,5,1)&lt;&gt;"W",VLOOKUP(N52,[4]정격용량!$B$3:$K$633,3,FALSE),"X")</f>
        <v>0.2</v>
      </c>
      <c r="S52" s="260">
        <f>IF(MID(N51,5,1)&lt;&gt;"W",VLOOKUP(N52,[4]정격용량!$B$3:$K$633,6,FALSE),"X")</f>
        <v>1.3</v>
      </c>
      <c r="T52" s="262">
        <f t="shared" si="10"/>
        <v>0.49173913043478262</v>
      </c>
      <c r="U52" s="261">
        <f>IF(MID($N51,5,1)&lt;&gt;"W",VLOOKUP(N52,[4]정격용량!$B$3:$K$633,9,FALSE),"X")</f>
        <v>2</v>
      </c>
      <c r="V52" s="260" t="str">
        <f>IFERROR(IF(J52="Z",VLOOKUP(P52,'[4]SERVO CABLE'!G:AD,8,FALSE),VLOOKUP(P52,'[4]SERVO CABLE'!G:AD,4,FALSE)),"")</f>
        <v>JZSP-C7M14F-□-E</v>
      </c>
      <c r="W52" s="260" t="str">
        <f>IFERROR(VLOOKUP(P52,'[4]SERVO CABLE'!G:AD,17,FALSE),"")</f>
        <v>JZSP-C7PA2D-□-E</v>
      </c>
      <c r="X52" s="215"/>
      <c r="Y52" s="215">
        <v>1</v>
      </c>
      <c r="Z52" s="259">
        <f t="shared" si="15"/>
        <v>0.2</v>
      </c>
      <c r="AA52" s="259" t="str">
        <f t="shared" si="16"/>
        <v/>
      </c>
      <c r="AB52" s="259" t="str">
        <f t="shared" si="17"/>
        <v/>
      </c>
      <c r="AC52" s="258">
        <f t="shared" si="18"/>
        <v>3.6970499999999999</v>
      </c>
      <c r="AD52" s="333" t="str">
        <f t="shared" si="19"/>
        <v>IRV400</v>
      </c>
      <c r="AF52" s="189"/>
      <c r="AL52" s="189"/>
    </row>
    <row r="53" spans="1:38" ht="16.05" customHeight="1">
      <c r="A53" s="180" t="s">
        <v>603</v>
      </c>
      <c r="B53" s="209"/>
      <c r="C53" s="209"/>
      <c r="D53" s="270" t="s">
        <v>282</v>
      </c>
      <c r="E53" s="331"/>
      <c r="F53" s="331"/>
      <c r="G53" s="332" t="s">
        <v>507</v>
      </c>
      <c r="H53" s="209" t="str">
        <f t="shared" si="11"/>
        <v xml:space="preserve"> RCCTR Push Bar Y-1</v>
      </c>
      <c r="I53" s="202" t="str">
        <f t="shared" si="12"/>
        <v>Rotary</v>
      </c>
      <c r="J53" s="267" t="str">
        <f t="shared" si="13"/>
        <v>Y</v>
      </c>
      <c r="K53" s="266">
        <f>VLOOKUP($D53,[4]회선정보!B:F,3,FALSE)</f>
        <v>0</v>
      </c>
      <c r="L53" s="266" t="str">
        <f>VLOOKUP($D53,[4]회선정보!B:F,4,FALSE)</f>
        <v>B</v>
      </c>
      <c r="M53" s="266" t="str">
        <f>VLOOKUP($D53,[4]회선정보!B:F,5,FALSE)</f>
        <v>MP8-1</v>
      </c>
      <c r="N53" s="209" t="s">
        <v>610</v>
      </c>
      <c r="O53" s="209" t="s">
        <v>609</v>
      </c>
      <c r="P53" s="263" t="str">
        <f t="shared" si="14"/>
        <v>SGM7J-08A</v>
      </c>
      <c r="Q53" s="263">
        <f>IF(MID($N52,5,1)&lt;&gt;"W",VLOOKUP(N53,[4]정격용량!$B$3:$K$633,4,FALSE),"X")</f>
        <v>1500</v>
      </c>
      <c r="R53" s="260">
        <f>IF(MID(N52,5,1)&lt;&gt;"W",VLOOKUP(N53,[4]정격용량!$B$3:$K$633,3,FALSE),"X")</f>
        <v>0.3</v>
      </c>
      <c r="S53" s="260">
        <f>IF(MID(N52,5,1)&lt;&gt;"W",VLOOKUP(N53,[4]정격용량!$B$3:$K$633,6,FALSE),"X")</f>
        <v>7.8</v>
      </c>
      <c r="T53" s="262">
        <f t="shared" si="10"/>
        <v>2.9504347826086956</v>
      </c>
      <c r="U53" s="261">
        <f>IF(MID($N52,5,1)&lt;&gt;"W",VLOOKUP(N53,[4]정격용량!$B$3:$K$633,9,FALSE),"X")</f>
        <v>10</v>
      </c>
      <c r="V53" s="260" t="str">
        <f>IFERROR(IF(J53="Z",VLOOKUP(P53,'[4]SERVO CABLE'!G:AD,8,FALSE),VLOOKUP(P53,'[4]SERVO CABLE'!G:AD,4,FALSE)),"")</f>
        <v>JZSP-C7M32F-□-E</v>
      </c>
      <c r="W53" s="260" t="str">
        <f>IFERROR(VLOOKUP(P53,'[4]SERVO CABLE'!G:AD,17,FALSE),"")</f>
        <v>JZSP-C7PA2D-□-E</v>
      </c>
      <c r="X53" s="215"/>
      <c r="Y53" s="215">
        <v>2</v>
      </c>
      <c r="Z53" s="259" t="str">
        <f t="shared" si="15"/>
        <v/>
      </c>
      <c r="AA53" s="259">
        <f t="shared" si="16"/>
        <v>0.2</v>
      </c>
      <c r="AB53" s="259" t="str">
        <f t="shared" si="17"/>
        <v/>
      </c>
      <c r="AC53" s="258">
        <f t="shared" si="18"/>
        <v>0.49293999999999999</v>
      </c>
      <c r="AD53" s="333" t="str">
        <f t="shared" si="19"/>
        <v>IRV80</v>
      </c>
      <c r="AF53" s="189"/>
      <c r="AL53" s="189"/>
    </row>
    <row r="54" spans="1:38" ht="16.5">
      <c r="A54" s="180" t="s">
        <v>601</v>
      </c>
      <c r="B54" s="209"/>
      <c r="C54" s="280"/>
      <c r="D54" s="270" t="s">
        <v>283</v>
      </c>
      <c r="E54" s="331"/>
      <c r="F54" s="331"/>
      <c r="G54" s="332" t="s">
        <v>508</v>
      </c>
      <c r="H54" s="209" t="str">
        <f t="shared" si="11"/>
        <v xml:space="preserve"> RCCTR Push Bar Y-2</v>
      </c>
      <c r="I54" s="202" t="str">
        <f t="shared" si="12"/>
        <v>Rotary</v>
      </c>
      <c r="J54" s="267" t="str">
        <f t="shared" si="13"/>
        <v>Y</v>
      </c>
      <c r="K54" s="266">
        <f>VLOOKUP($D54,[4]회선정보!B:F,3,FALSE)</f>
        <v>0</v>
      </c>
      <c r="L54" s="266" t="str">
        <f>VLOOKUP($D54,[4]회선정보!B:F,4,FALSE)</f>
        <v>C</v>
      </c>
      <c r="M54" s="266" t="str">
        <f>VLOOKUP($D54,[4]회선정보!B:F,5,FALSE)</f>
        <v>MP8-1</v>
      </c>
      <c r="N54" s="209"/>
      <c r="O54" s="209" t="s">
        <v>609</v>
      </c>
      <c r="P54" s="263" t="str">
        <f t="shared" si="14"/>
        <v>SGM7J-08A</v>
      </c>
      <c r="Q54" s="263" t="str">
        <f>IF(MID($N53,5,1)&lt;&gt;"W",VLOOKUP(N54,[4]정격용량!$B$3:$K$633,4,FALSE),"X")</f>
        <v>X</v>
      </c>
      <c r="R54" s="260" t="str">
        <f>IF(MID(N53,5,1)&lt;&gt;"W",VLOOKUP(N54,[4]정격용량!$B$3:$K$633,3,FALSE),"X")</f>
        <v>X</v>
      </c>
      <c r="S54" s="260" t="str">
        <f>IF(MID(N53,5,1)&lt;&gt;"W",VLOOKUP(N54,[4]정격용량!$B$3:$K$633,6,FALSE),"X")</f>
        <v>X</v>
      </c>
      <c r="T54" s="262" t="str">
        <f t="shared" si="10"/>
        <v>X</v>
      </c>
      <c r="U54" s="261" t="str">
        <f>IF(MID($N53,5,1)&lt;&gt;"W",VLOOKUP(N54,[4]정격용량!$B$3:$K$633,9,FALSE),"X")</f>
        <v>X</v>
      </c>
      <c r="V54" s="260" t="str">
        <f>IFERROR(IF(J54="Z",VLOOKUP(P54,'[4]SERVO CABLE'!G:AD,8,FALSE),VLOOKUP(P54,'[4]SERVO CABLE'!G:AD,4,FALSE)),"")</f>
        <v>JZSP-C7M32F-□-E</v>
      </c>
      <c r="W54" s="260" t="str">
        <f>IFERROR(VLOOKUP(P54,'[4]SERVO CABLE'!G:AD,17,FALSE),"")</f>
        <v>JZSP-C7PA2D-□-E</v>
      </c>
      <c r="X54" s="215"/>
      <c r="Y54" s="215"/>
      <c r="Z54" s="259" t="str">
        <f t="shared" si="15"/>
        <v/>
      </c>
      <c r="AA54" s="259" t="str">
        <f t="shared" si="16"/>
        <v/>
      </c>
      <c r="AB54" s="259" t="str">
        <f t="shared" si="17"/>
        <v/>
      </c>
      <c r="AC54" s="258" t="str">
        <f t="shared" si="18"/>
        <v>X</v>
      </c>
      <c r="AD54" s="333" t="str">
        <f t="shared" si="19"/>
        <v>X</v>
      </c>
      <c r="AF54" s="189"/>
      <c r="AL54" s="189"/>
    </row>
    <row r="55" spans="1:38" ht="16.5" customHeight="1">
      <c r="B55" s="209"/>
      <c r="C55" s="280"/>
      <c r="D55" s="270" t="s">
        <v>284</v>
      </c>
      <c r="E55" s="331"/>
      <c r="F55" s="331"/>
      <c r="G55" s="332" t="s">
        <v>509</v>
      </c>
      <c r="H55" s="209" t="str">
        <f t="shared" si="11"/>
        <v xml:space="preserve"> RCCTR Push Bar Z</v>
      </c>
      <c r="I55" s="202" t="str">
        <f t="shared" si="12"/>
        <v>Rotary</v>
      </c>
      <c r="J55" s="267" t="str">
        <f t="shared" si="13"/>
        <v>Z</v>
      </c>
      <c r="K55" s="266">
        <f>VLOOKUP($D55,[4]회선정보!B:F,3,FALSE)</f>
        <v>0</v>
      </c>
      <c r="L55" s="266" t="str">
        <f>VLOOKUP($D55,[4]회선정보!B:F,4,FALSE)</f>
        <v>D</v>
      </c>
      <c r="M55" s="266" t="str">
        <f>VLOOKUP($D55,[4]회선정보!B:F,5,FALSE)</f>
        <v>MP8-1</v>
      </c>
      <c r="N55" s="209" t="s">
        <v>666</v>
      </c>
      <c r="O55" s="209" t="s">
        <v>600</v>
      </c>
      <c r="P55" s="263" t="str">
        <f t="shared" si="14"/>
        <v>SGM7J-04A</v>
      </c>
      <c r="Q55" s="263">
        <f>IF(MID($N54,5,1)&lt;&gt;"W",VLOOKUP(N55,[4]정격용량!$B$3:$K$633,4,FALSE),"X")</f>
        <v>800</v>
      </c>
      <c r="R55" s="260">
        <f>IF(MID(N54,5,1)&lt;&gt;"W",VLOOKUP(N55,[4]정격용량!$B$3:$K$633,3,FALSE),"X")</f>
        <v>0.3</v>
      </c>
      <c r="S55" s="260">
        <f>IF(MID(N54,5,1)&lt;&gt;"W",VLOOKUP(N55,[4]정격용량!$B$3:$K$633,6,FALSE),"X")</f>
        <v>4.7</v>
      </c>
      <c r="T55" s="262">
        <f t="shared" si="10"/>
        <v>1.7778260869565217</v>
      </c>
      <c r="U55" s="261">
        <f>IF(MID($N54,5,1)&lt;&gt;"W",VLOOKUP(N55,[4]정격용량!$B$3:$K$633,9,FALSE),"X")</f>
        <v>7</v>
      </c>
      <c r="V55" s="260" t="str">
        <f>IFERROR(IF(J55="Z",VLOOKUP(P55,'[4]SERVO CABLE'!G:AD,8,FALSE),VLOOKUP(P55,'[4]SERVO CABLE'!G:AD,4,FALSE)),"")</f>
        <v>JZSP-C7M24F-□-E</v>
      </c>
      <c r="W55" s="260" t="str">
        <f>IFERROR(VLOOKUP(P55,'[4]SERVO CABLE'!G:AD,17,FALSE),"")</f>
        <v>JZSP-C7PA2D-□-E</v>
      </c>
      <c r="X55" s="215"/>
      <c r="Y55" s="215">
        <v>3</v>
      </c>
      <c r="Z55" s="259" t="str">
        <f t="shared" si="15"/>
        <v/>
      </c>
      <c r="AA55" s="259" t="str">
        <f t="shared" si="16"/>
        <v/>
      </c>
      <c r="AB55" s="259">
        <f t="shared" si="17"/>
        <v>0.2</v>
      </c>
      <c r="AC55" s="258">
        <f t="shared" si="18"/>
        <v>0.92426249999999999</v>
      </c>
      <c r="AD55" s="333" t="str">
        <f t="shared" si="19"/>
        <v>IRV100</v>
      </c>
    </row>
    <row r="56" spans="1:38" ht="16.5" customHeight="1">
      <c r="B56" s="209"/>
      <c r="C56" s="280"/>
      <c r="D56" s="336" t="s">
        <v>304</v>
      </c>
      <c r="E56" s="331"/>
      <c r="F56" s="331"/>
      <c r="G56" s="332" t="s">
        <v>489</v>
      </c>
      <c r="H56" s="209" t="str">
        <f t="shared" si="11"/>
        <v xml:space="preserve"> RCCTR Break Table Y-1</v>
      </c>
      <c r="I56" s="202" t="str">
        <f t="shared" si="12"/>
        <v>LINEAR</v>
      </c>
      <c r="J56" s="267" t="str">
        <f t="shared" si="13"/>
        <v>Y</v>
      </c>
      <c r="K56" s="266">
        <f>VLOOKUP($D56,[4]회선정보!B:F,3,FALSE)</f>
        <v>0</v>
      </c>
      <c r="L56" s="266" t="str">
        <f>VLOOKUP($D56,[4]회선정보!B:F,4,FALSE)</f>
        <v>E</v>
      </c>
      <c r="M56" s="266" t="str">
        <f>VLOOKUP($D56,[4]회선정보!B:F,5,FALSE)</f>
        <v>MP8-1</v>
      </c>
      <c r="N56" s="209" t="s">
        <v>610</v>
      </c>
      <c r="O56" s="209" t="s">
        <v>664</v>
      </c>
      <c r="P56" s="263" t="str">
        <f t="shared" si="14"/>
        <v>SGLFW-35A230AP</v>
      </c>
      <c r="Q56" s="263" t="str">
        <f>IF(MID($N55,5,1)&lt;&gt;"W",VLOOKUP(N56,[4]정격용량!$B$3:$K$633,4,FALSE),"X")</f>
        <v>X</v>
      </c>
      <c r="R56" s="260" t="str">
        <f>IF(MID(N55,5,1)&lt;&gt;"W",VLOOKUP(N56,[4]정격용량!$B$3:$K$633,3,FALSE),"X")</f>
        <v>X</v>
      </c>
      <c r="S56" s="260" t="str">
        <f>IF(MID(N55,5,1)&lt;&gt;"W",VLOOKUP(N56,[4]정격용량!$B$3:$K$633,6,FALSE),"X")</f>
        <v>X</v>
      </c>
      <c r="T56" s="262" t="str">
        <f t="shared" si="10"/>
        <v>X</v>
      </c>
      <c r="U56" s="261" t="str">
        <f>IF(MID($N55,5,1)&lt;&gt;"W",VLOOKUP(N56,[4]정격용량!$B$3:$K$633,9,FALSE),"X")</f>
        <v>X</v>
      </c>
      <c r="V56" s="260" t="str">
        <f>IFERROR(IF(J56="Z",VLOOKUP(P56,'[4]SERVO CABLE'!G:AD,8,FALSE),VLOOKUP(P56,'[4]SERVO CABLE'!G:AD,4,FALSE)),"")</f>
        <v>JZSP-CLN11-01-E</v>
      </c>
      <c r="W56" s="260" t="str">
        <f>IFERROR(VLOOKUP(P56,'[4]SERVO CABLE'!G:AD,17,FALSE),"")</f>
        <v>JZSP-CLP70-□-ER</v>
      </c>
      <c r="X56" s="215"/>
      <c r="Y56" s="215">
        <v>3</v>
      </c>
      <c r="Z56" s="259" t="str">
        <f t="shared" si="15"/>
        <v/>
      </c>
      <c r="AA56" s="259" t="str">
        <f t="shared" si="16"/>
        <v/>
      </c>
      <c r="AB56" s="259">
        <f t="shared" si="17"/>
        <v>0.2</v>
      </c>
      <c r="AC56" s="258" t="str">
        <f t="shared" si="18"/>
        <v>X</v>
      </c>
      <c r="AD56" s="333" t="str">
        <f t="shared" si="19"/>
        <v>X</v>
      </c>
      <c r="AF56" s="183"/>
    </row>
    <row r="57" spans="1:38" ht="16.5" customHeight="1">
      <c r="B57" s="209"/>
      <c r="C57" s="280"/>
      <c r="D57" s="270" t="s">
        <v>305</v>
      </c>
      <c r="E57" s="331"/>
      <c r="F57" s="331"/>
      <c r="G57" s="332" t="s">
        <v>490</v>
      </c>
      <c r="H57" s="209" t="str">
        <f t="shared" si="11"/>
        <v xml:space="preserve"> RCCTR Break Table Y-2</v>
      </c>
      <c r="I57" s="202" t="str">
        <f t="shared" si="12"/>
        <v>LINEAR</v>
      </c>
      <c r="J57" s="267" t="str">
        <f t="shared" si="13"/>
        <v>Y</v>
      </c>
      <c r="K57" s="266">
        <f>VLOOKUP($D57,[4]회선정보!B:F,3,FALSE)</f>
        <v>0</v>
      </c>
      <c r="L57" s="266" t="str">
        <f>VLOOKUP($D57,[4]회선정보!B:F,4,FALSE)</f>
        <v>F</v>
      </c>
      <c r="M57" s="266" t="str">
        <f>VLOOKUP($D57,[4]회선정보!B:F,5,FALSE)</f>
        <v>MP8-1</v>
      </c>
      <c r="N57" s="209"/>
      <c r="O57" s="209" t="s">
        <v>664</v>
      </c>
      <c r="P57" s="263" t="str">
        <f t="shared" si="14"/>
        <v>SGLFW-35A230AP</v>
      </c>
      <c r="Q57" s="263" t="str">
        <f>IF(MID($N56,5,1)&lt;&gt;"W",VLOOKUP(N57,[4]정격용량!$B$3:$K$633,4,FALSE),"X")</f>
        <v>X</v>
      </c>
      <c r="R57" s="260" t="str">
        <f>IF(MID(N56,5,1)&lt;&gt;"W",VLOOKUP(N57,[4]정격용량!$B$3:$K$633,3,FALSE),"X")</f>
        <v>X</v>
      </c>
      <c r="S57" s="260" t="str">
        <f>IF(MID(N56,5,1)&lt;&gt;"W",VLOOKUP(N57,[4]정격용량!$B$3:$K$633,6,FALSE),"X")</f>
        <v>X</v>
      </c>
      <c r="T57" s="262" t="str">
        <f t="shared" si="10"/>
        <v>X</v>
      </c>
      <c r="U57" s="261" t="str">
        <f>IF(MID($N56,5,1)&lt;&gt;"W",VLOOKUP(N57,[4]정격용량!$B$3:$K$633,9,FALSE),"X")</f>
        <v>X</v>
      </c>
      <c r="V57" s="260" t="str">
        <f>IFERROR(IF(J57="Z",VLOOKUP(P57,'[4]SERVO CABLE'!G:AD,8,FALSE),VLOOKUP(P57,'[4]SERVO CABLE'!G:AD,4,FALSE)),"")</f>
        <v>JZSP-CLN11-01-E</v>
      </c>
      <c r="W57" s="260" t="str">
        <f>IFERROR(VLOOKUP(P57,'[4]SERVO CABLE'!G:AD,17,FALSE),"")</f>
        <v>JZSP-CLP70-□-ER</v>
      </c>
      <c r="X57" s="215"/>
      <c r="Y57" s="215"/>
      <c r="Z57" s="259" t="str">
        <f t="shared" si="15"/>
        <v/>
      </c>
      <c r="AA57" s="259" t="str">
        <f t="shared" si="16"/>
        <v/>
      </c>
      <c r="AB57" s="259" t="str">
        <f t="shared" si="17"/>
        <v/>
      </c>
      <c r="AC57" s="258" t="str">
        <f t="shared" si="18"/>
        <v>X</v>
      </c>
      <c r="AD57" s="333" t="str">
        <f t="shared" si="19"/>
        <v>X</v>
      </c>
      <c r="AF57" s="183"/>
    </row>
    <row r="58" spans="1:38" ht="16.5" customHeight="1">
      <c r="B58" s="209"/>
      <c r="C58" s="280"/>
      <c r="D58" s="270" t="s">
        <v>285</v>
      </c>
      <c r="E58" s="331"/>
      <c r="F58" s="331"/>
      <c r="G58" s="332" t="s">
        <v>491</v>
      </c>
      <c r="H58" s="209" t="str">
        <f t="shared" si="11"/>
        <v xml:space="preserve"> RCCTR Break Table Z-1</v>
      </c>
      <c r="I58" s="202" t="str">
        <f t="shared" si="12"/>
        <v>Rotary</v>
      </c>
      <c r="J58" s="267" t="str">
        <f t="shared" si="13"/>
        <v>Z</v>
      </c>
      <c r="K58" s="266">
        <f>VLOOKUP($D58,[4]회선정보!B:F,3,FALSE)</f>
        <v>1</v>
      </c>
      <c r="L58" s="266">
        <f>VLOOKUP($D58,[4]회선정보!B:F,4,FALSE)</f>
        <v>0</v>
      </c>
      <c r="M58" s="266" t="str">
        <f>VLOOKUP($D58,[4]회선정보!B:F,5,FALSE)</f>
        <v>MP8-1</v>
      </c>
      <c r="N58" s="209" t="s">
        <v>610</v>
      </c>
      <c r="O58" s="209" t="s">
        <v>604</v>
      </c>
      <c r="P58" s="263" t="str">
        <f t="shared" si="14"/>
        <v>SGM7J-08A</v>
      </c>
      <c r="Q58" s="263">
        <f>IF(MID($N57,5,1)&lt;&gt;"W",VLOOKUP(N58,[4]정격용량!$B$3:$K$633,4,FALSE),"X")</f>
        <v>1500</v>
      </c>
      <c r="R58" s="260">
        <f>IF(MID(N57,5,1)&lt;&gt;"W",VLOOKUP(N58,[4]정격용량!$B$3:$K$633,3,FALSE),"X")</f>
        <v>0.3</v>
      </c>
      <c r="S58" s="260">
        <f>IF(MID(N57,5,1)&lt;&gt;"W",VLOOKUP(N58,[4]정격용량!$B$3:$K$633,6,FALSE),"X")</f>
        <v>7.8</v>
      </c>
      <c r="T58" s="262">
        <f t="shared" si="10"/>
        <v>2.9504347826086956</v>
      </c>
      <c r="U58" s="261">
        <f>IF(MID($N57,5,1)&lt;&gt;"W",VLOOKUP(N58,[4]정격용량!$B$3:$K$633,9,FALSE),"X")</f>
        <v>10</v>
      </c>
      <c r="V58" s="260" t="str">
        <f>IFERROR(IF(J58="Z",VLOOKUP(P58,'[4]SERVO CABLE'!G:AD,8,FALSE),VLOOKUP(P58,'[4]SERVO CABLE'!G:AD,4,FALSE)),"")</f>
        <v>JZSP-C7M34F-□-E</v>
      </c>
      <c r="W58" s="260" t="str">
        <f>IFERROR(VLOOKUP(P58,'[4]SERVO CABLE'!G:AD,17,FALSE),"")</f>
        <v>JZSP-C7PA2D-□-E</v>
      </c>
      <c r="X58" s="215"/>
      <c r="Y58" s="215">
        <v>3</v>
      </c>
      <c r="Z58" s="259" t="str">
        <f t="shared" si="15"/>
        <v/>
      </c>
      <c r="AA58" s="259" t="str">
        <f t="shared" si="16"/>
        <v/>
      </c>
      <c r="AB58" s="259">
        <f t="shared" si="17"/>
        <v>0.2</v>
      </c>
      <c r="AC58" s="258">
        <f t="shared" si="18"/>
        <v>0.49293999999999999</v>
      </c>
      <c r="AD58" s="333" t="str">
        <f t="shared" si="19"/>
        <v>IRV80</v>
      </c>
      <c r="AF58" s="183"/>
    </row>
    <row r="59" spans="1:38" ht="16.5" customHeight="1">
      <c r="B59" s="209"/>
      <c r="C59" s="280"/>
      <c r="D59" s="270" t="s">
        <v>286</v>
      </c>
      <c r="E59" s="331"/>
      <c r="F59" s="331"/>
      <c r="G59" s="332" t="s">
        <v>492</v>
      </c>
      <c r="H59" s="209" t="str">
        <f t="shared" si="11"/>
        <v xml:space="preserve"> RCCTR Break Table Z-2</v>
      </c>
      <c r="I59" s="202" t="str">
        <f t="shared" si="12"/>
        <v>Rotary</v>
      </c>
      <c r="J59" s="267" t="str">
        <f t="shared" si="13"/>
        <v>Z</v>
      </c>
      <c r="K59" s="266">
        <f>VLOOKUP($D59,[4]회선정보!B:F,3,FALSE)</f>
        <v>1</v>
      </c>
      <c r="L59" s="266">
        <f>VLOOKUP($D59,[4]회선정보!B:F,4,FALSE)</f>
        <v>1</v>
      </c>
      <c r="M59" s="266" t="str">
        <f>VLOOKUP($D59,[4]회선정보!B:F,5,FALSE)</f>
        <v>MP8-1</v>
      </c>
      <c r="N59" s="209"/>
      <c r="O59" s="209" t="s">
        <v>604</v>
      </c>
      <c r="P59" s="263" t="str">
        <f t="shared" si="14"/>
        <v>SGM7J-08A</v>
      </c>
      <c r="Q59" s="263" t="str">
        <f>IF(MID($N58,5,1)&lt;&gt;"W",VLOOKUP(N59,[4]정격용량!$B$3:$K$633,4,FALSE),"X")</f>
        <v>X</v>
      </c>
      <c r="R59" s="260" t="str">
        <f>IF(MID(N58,5,1)&lt;&gt;"W",VLOOKUP(N59,[4]정격용량!$B$3:$K$633,3,FALSE),"X")</f>
        <v>X</v>
      </c>
      <c r="S59" s="260" t="str">
        <f>IF(MID(N58,5,1)&lt;&gt;"W",VLOOKUP(N59,[4]정격용량!$B$3:$K$633,6,FALSE),"X")</f>
        <v>X</v>
      </c>
      <c r="T59" s="262" t="str">
        <f t="shared" si="10"/>
        <v>X</v>
      </c>
      <c r="U59" s="261" t="str">
        <f>IF(MID($N58,5,1)&lt;&gt;"W",VLOOKUP(N59,[4]정격용량!$B$3:$K$633,9,FALSE),"X")</f>
        <v>X</v>
      </c>
      <c r="V59" s="260" t="str">
        <f>IFERROR(IF(J59="Z",VLOOKUP(P59,'[4]SERVO CABLE'!G:AD,8,FALSE),VLOOKUP(P59,'[4]SERVO CABLE'!G:AD,4,FALSE)),"")</f>
        <v>JZSP-C7M34F-□-E</v>
      </c>
      <c r="W59" s="260" t="str">
        <f>IFERROR(VLOOKUP(P59,'[4]SERVO CABLE'!G:AD,17,FALSE),"")</f>
        <v>JZSP-C7PA2D-□-E</v>
      </c>
      <c r="X59" s="215"/>
      <c r="Y59" s="215"/>
      <c r="Z59" s="259" t="str">
        <f t="shared" si="15"/>
        <v/>
      </c>
      <c r="AA59" s="259" t="str">
        <f t="shared" si="16"/>
        <v/>
      </c>
      <c r="AB59" s="259" t="str">
        <f t="shared" si="17"/>
        <v/>
      </c>
      <c r="AC59" s="258" t="str">
        <f t="shared" si="18"/>
        <v>X</v>
      </c>
      <c r="AD59" s="333" t="str">
        <f t="shared" si="19"/>
        <v>X</v>
      </c>
      <c r="AF59" s="183"/>
    </row>
    <row r="60" spans="1:38" ht="16.5" customHeight="1">
      <c r="B60" s="209"/>
      <c r="C60" s="280"/>
      <c r="D60" s="270" t="s">
        <v>287</v>
      </c>
      <c r="E60" s="331"/>
      <c r="F60" s="331"/>
      <c r="G60" s="332" t="s">
        <v>493</v>
      </c>
      <c r="H60" s="209" t="str">
        <f t="shared" si="11"/>
        <v xml:space="preserve"> RCCTR Break Table T</v>
      </c>
      <c r="I60" s="202" t="str">
        <f t="shared" si="12"/>
        <v>Rotary</v>
      </c>
      <c r="J60" s="267" t="str">
        <f t="shared" si="13"/>
        <v>T</v>
      </c>
      <c r="K60" s="266">
        <f>VLOOKUP($D60,[4]회선정보!B:F,3,FALSE)</f>
        <v>1</v>
      </c>
      <c r="L60" s="266">
        <f>VLOOKUP($D60,[4]회선정보!B:F,4,FALSE)</f>
        <v>2</v>
      </c>
      <c r="M60" s="266" t="str">
        <f>VLOOKUP($D60,[4]회선정보!B:F,5,FALSE)</f>
        <v>MP8-1</v>
      </c>
      <c r="N60" s="209" t="s">
        <v>667</v>
      </c>
      <c r="O60" s="209" t="s">
        <v>600</v>
      </c>
      <c r="P60" s="263" t="str">
        <f t="shared" si="14"/>
        <v>SGM7J-04A</v>
      </c>
      <c r="Q60" s="263">
        <f>IF(MID($N59,5,1)&lt;&gt;"W",VLOOKUP(N60,[4]정격용량!$B$3:$K$633,4,FALSE),"X")</f>
        <v>400</v>
      </c>
      <c r="R60" s="260">
        <f>IF(MID(N59,5,1)&lt;&gt;"W",VLOOKUP(N60,[4]정격용량!$B$3:$K$633,3,FALSE),"X")</f>
        <v>0.2</v>
      </c>
      <c r="S60" s="260">
        <f>IF(MID(N59,5,1)&lt;&gt;"W",VLOOKUP(N60,[4]정격용량!$B$3:$K$633,6,FALSE),"X")</f>
        <v>2.5</v>
      </c>
      <c r="T60" s="262">
        <f t="shared" si="10"/>
        <v>0.94565217391304346</v>
      </c>
      <c r="U60" s="261">
        <f>IF(MID($N59,5,1)&lt;&gt;"W",VLOOKUP(N60,[4]정격용량!$B$3:$K$633,9,FALSE),"X")</f>
        <v>3</v>
      </c>
      <c r="V60" s="260" t="str">
        <f>IFERROR(IF(J60="Z",VLOOKUP(P60,'[4]SERVO CABLE'!G:AD,8,FALSE),VLOOKUP(P60,'[4]SERVO CABLE'!G:AD,8,FALSE)),"")</f>
        <v>JZSP-C7M24F-□-E</v>
      </c>
      <c r="W60" s="260" t="str">
        <f>IFERROR(VLOOKUP(P60,'[4]SERVO CABLE'!G:AD,17,FALSE),"")</f>
        <v>JZSP-C7PA2D-□-E</v>
      </c>
      <c r="X60" s="215"/>
      <c r="Y60" s="215">
        <v>3</v>
      </c>
      <c r="Z60" s="259" t="str">
        <f t="shared" si="15"/>
        <v/>
      </c>
      <c r="AA60" s="259" t="str">
        <f t="shared" si="16"/>
        <v/>
      </c>
      <c r="AB60" s="259">
        <f t="shared" si="17"/>
        <v>0.2</v>
      </c>
      <c r="AC60" s="258">
        <f t="shared" si="18"/>
        <v>1.848525</v>
      </c>
      <c r="AD60" s="333" t="str">
        <f t="shared" si="19"/>
        <v>IRV200</v>
      </c>
      <c r="AF60" s="183"/>
    </row>
    <row r="61" spans="1:38">
      <c r="D61" s="339"/>
      <c r="E61" s="340"/>
      <c r="F61" s="340"/>
      <c r="G61" s="341"/>
      <c r="R61" s="241">
        <f>SUM(R19:R60)</f>
        <v>6.4999999999999991</v>
      </c>
      <c r="S61" s="241">
        <f>SUM(S19:S60)</f>
        <v>97.899999999999991</v>
      </c>
      <c r="T61" s="241">
        <f>SUM(T19:T60)</f>
        <v>34.081304347826091</v>
      </c>
      <c r="Z61" s="241">
        <f>SUM(Z9:Z60)</f>
        <v>2.1999999999999997</v>
      </c>
      <c r="AA61" s="241">
        <f>SUM(AA9:AA60)</f>
        <v>2.1999999999999997</v>
      </c>
      <c r="AB61" s="241">
        <f>SUM(AB9:AB60)</f>
        <v>2.4</v>
      </c>
      <c r="AC61" s="240"/>
    </row>
    <row r="62" spans="1:38" ht="12" customHeight="1">
      <c r="B62" s="180"/>
      <c r="C62" s="180"/>
      <c r="D62" s="180"/>
      <c r="E62" s="180"/>
      <c r="F62" s="180"/>
      <c r="G62" s="180"/>
      <c r="H62" s="180"/>
      <c r="I62" s="180"/>
      <c r="X62" s="239"/>
      <c r="Y62" s="239"/>
      <c r="AF62" s="183"/>
    </row>
    <row r="63" spans="1:38" ht="12" customHeight="1">
      <c r="B63" s="180"/>
      <c r="C63" s="180"/>
      <c r="D63" s="180"/>
      <c r="E63" s="180"/>
      <c r="F63" s="180"/>
      <c r="G63" s="180"/>
      <c r="H63" s="180"/>
      <c r="I63" s="180"/>
      <c r="X63" s="239"/>
      <c r="Y63" s="239"/>
      <c r="AF63" s="183"/>
    </row>
    <row r="64" spans="1:38" ht="12" customHeight="1">
      <c r="B64" s="180"/>
      <c r="C64" s="180"/>
      <c r="D64" s="180"/>
      <c r="E64" s="180"/>
      <c r="F64" s="180"/>
      <c r="G64" s="180"/>
      <c r="H64" s="180"/>
      <c r="I64" s="180"/>
      <c r="X64" s="239"/>
      <c r="Y64" s="239"/>
      <c r="AF64" s="183"/>
    </row>
    <row r="65" spans="2:32" ht="12" customHeight="1">
      <c r="B65" s="180"/>
      <c r="C65" s="180"/>
      <c r="D65" s="180"/>
      <c r="E65" s="180"/>
      <c r="F65" s="180"/>
      <c r="G65" s="180"/>
      <c r="H65" s="180"/>
      <c r="I65" s="180"/>
      <c r="X65" s="239"/>
      <c r="Y65" s="239"/>
      <c r="AF65" s="183"/>
    </row>
    <row r="66" spans="2:32" ht="12" customHeight="1">
      <c r="B66" s="180"/>
      <c r="C66" s="180"/>
      <c r="D66" s="180"/>
      <c r="E66" s="180"/>
      <c r="F66" s="180"/>
      <c r="G66" s="180"/>
      <c r="H66" s="180"/>
      <c r="I66" s="180"/>
      <c r="X66" s="239"/>
      <c r="Y66" s="239"/>
      <c r="AF66" s="183"/>
    </row>
    <row r="67" spans="2:32" ht="12" customHeight="1">
      <c r="B67" s="180"/>
      <c r="C67" s="180"/>
      <c r="D67" s="180"/>
      <c r="E67" s="180"/>
      <c r="F67" s="180"/>
      <c r="G67" s="180"/>
      <c r="H67" s="180"/>
      <c r="I67" s="180"/>
      <c r="X67" s="239"/>
      <c r="Y67" s="239"/>
      <c r="AF67" s="183"/>
    </row>
    <row r="68" spans="2:32" ht="12" customHeight="1">
      <c r="B68" s="180"/>
      <c r="C68" s="180"/>
      <c r="D68" s="180"/>
      <c r="E68" s="180"/>
      <c r="F68" s="180"/>
      <c r="G68" s="180"/>
      <c r="H68" s="180"/>
      <c r="I68" s="180"/>
      <c r="X68" s="239"/>
      <c r="Y68" s="239"/>
      <c r="AF68" s="183"/>
    </row>
    <row r="69" spans="2:32" ht="12" customHeight="1">
      <c r="B69" s="180"/>
      <c r="C69" s="180"/>
      <c r="D69" s="180"/>
      <c r="E69" s="180"/>
      <c r="F69" s="180"/>
      <c r="G69" s="180"/>
      <c r="H69" s="180"/>
      <c r="I69" s="180"/>
      <c r="X69" s="239"/>
      <c r="Y69" s="239"/>
      <c r="AF69" s="183"/>
    </row>
    <row r="70" spans="2:32" ht="11.1" customHeight="1">
      <c r="B70" s="180"/>
      <c r="C70" s="180"/>
      <c r="D70" s="180"/>
      <c r="E70" s="180"/>
      <c r="F70" s="180"/>
      <c r="G70" s="180"/>
      <c r="H70" s="180"/>
      <c r="I70" s="180"/>
      <c r="X70" s="239"/>
      <c r="Y70" s="239"/>
      <c r="AF70" s="183"/>
    </row>
    <row r="71" spans="2:32">
      <c r="B71" s="180"/>
      <c r="C71" s="180"/>
      <c r="D71" s="180"/>
      <c r="E71" s="180"/>
      <c r="F71" s="180"/>
      <c r="G71" s="180"/>
      <c r="H71" s="180"/>
      <c r="I71" s="180"/>
      <c r="X71" s="239"/>
      <c r="Y71" s="239"/>
      <c r="AF71" s="183"/>
    </row>
    <row r="72" spans="2:32" ht="12.9" thickBot="1">
      <c r="B72" s="180"/>
      <c r="C72" s="180"/>
      <c r="D72" s="180"/>
      <c r="E72" s="180"/>
      <c r="F72" s="180"/>
      <c r="G72" s="180"/>
      <c r="H72" s="180"/>
      <c r="I72" s="180"/>
      <c r="N72" s="229"/>
      <c r="AF72" s="183"/>
    </row>
    <row r="73" spans="2:32" ht="16.5" customHeight="1">
      <c r="B73" s="238" t="s">
        <v>573</v>
      </c>
      <c r="C73" s="237">
        <f>SUM(R9:R54)</f>
        <v>7.3999999999999995</v>
      </c>
      <c r="D73" s="236" t="s">
        <v>599</v>
      </c>
      <c r="E73" s="236"/>
      <c r="F73" s="236"/>
      <c r="G73" s="236"/>
      <c r="H73" s="235" t="s">
        <v>598</v>
      </c>
      <c r="I73" s="234">
        <f>SUM(T9:T54)</f>
        <v>35.253913043478256</v>
      </c>
      <c r="N73" s="233"/>
      <c r="O73" s="231"/>
      <c r="P73" s="232"/>
      <c r="Q73" s="232"/>
      <c r="R73" s="231"/>
      <c r="S73" s="231"/>
      <c r="T73" s="230"/>
      <c r="V73" s="185"/>
      <c r="W73" s="474"/>
      <c r="X73" s="475"/>
      <c r="Y73" s="475"/>
      <c r="Z73" s="475"/>
      <c r="AA73" s="475"/>
      <c r="AB73" s="476"/>
      <c r="AC73" s="208"/>
      <c r="AF73" s="229"/>
    </row>
    <row r="74" spans="2:32">
      <c r="B74" s="207" t="s">
        <v>597</v>
      </c>
      <c r="C74" s="224">
        <f>SUM(S9:S54)</f>
        <v>100.99999999999999</v>
      </c>
      <c r="D74" s="205"/>
      <c r="E74" s="205"/>
      <c r="F74" s="205"/>
      <c r="G74" s="205"/>
      <c r="H74" s="204" t="s">
        <v>596</v>
      </c>
      <c r="I74" s="203"/>
      <c r="N74" s="228" t="s">
        <v>595</v>
      </c>
      <c r="O74" s="209" t="s">
        <v>594</v>
      </c>
      <c r="T74" s="218"/>
      <c r="W74" s="227" t="s">
        <v>593</v>
      </c>
      <c r="X74" s="202" t="s">
        <v>592</v>
      </c>
      <c r="Y74" s="498" t="s">
        <v>591</v>
      </c>
      <c r="Z74" s="498"/>
      <c r="AA74" s="498"/>
      <c r="AB74" s="499"/>
      <c r="AC74" s="226"/>
      <c r="AF74" s="225"/>
    </row>
    <row r="75" spans="2:32">
      <c r="B75" s="221"/>
      <c r="C75" s="224"/>
      <c r="D75" s="205"/>
      <c r="E75" s="205"/>
      <c r="F75" s="205"/>
      <c r="G75" s="205"/>
      <c r="H75" s="204" t="s">
        <v>590</v>
      </c>
      <c r="I75" s="203"/>
      <c r="N75" s="223">
        <f>C82</f>
        <v>0.37826086956521737</v>
      </c>
      <c r="O75" s="209">
        <f>T61</f>
        <v>34.081304347826091</v>
      </c>
      <c r="T75" s="218"/>
      <c r="W75" s="211" t="s">
        <v>589</v>
      </c>
      <c r="X75" s="209">
        <f>R55</f>
        <v>0.3</v>
      </c>
      <c r="Y75" s="468"/>
      <c r="Z75" s="468"/>
      <c r="AA75" s="468"/>
      <c r="AB75" s="469"/>
    </row>
    <row r="76" spans="2:32">
      <c r="B76" s="207" t="s">
        <v>588</v>
      </c>
      <c r="C76" s="209">
        <f>C77+C78+C79</f>
        <v>46</v>
      </c>
      <c r="D76" s="205"/>
      <c r="E76" s="205"/>
      <c r="F76" s="205"/>
      <c r="G76" s="205"/>
      <c r="H76" s="204" t="s">
        <v>587</v>
      </c>
      <c r="I76" s="222"/>
      <c r="N76" s="221" t="s">
        <v>586</v>
      </c>
      <c r="O76" s="209">
        <f>S61</f>
        <v>97.899999999999991</v>
      </c>
      <c r="T76" s="218"/>
      <c r="W76" s="211" t="s">
        <v>585</v>
      </c>
      <c r="X76" s="220">
        <f>'[4]1-2. UPS1 기타전원 용량'!H53</f>
        <v>36.188552307692305</v>
      </c>
      <c r="Y76" s="468"/>
      <c r="Z76" s="468"/>
      <c r="AA76" s="468"/>
      <c r="AB76" s="469"/>
    </row>
    <row r="77" spans="2:32">
      <c r="B77" s="207" t="s">
        <v>584</v>
      </c>
      <c r="C77" s="209">
        <f>COUNTIF(A:A,"SC")</f>
        <v>29</v>
      </c>
      <c r="D77" s="205"/>
      <c r="E77" s="205"/>
      <c r="F77" s="205"/>
      <c r="G77" s="205"/>
      <c r="H77" s="204" t="s">
        <v>583</v>
      </c>
      <c r="I77" s="203"/>
      <c r="N77" s="219"/>
      <c r="T77" s="218"/>
      <c r="W77" s="217">
        <f>C82</f>
        <v>0.37826086956521737</v>
      </c>
      <c r="X77" s="216">
        <f>O75</f>
        <v>34.081304347826091</v>
      </c>
      <c r="Y77" s="468"/>
      <c r="Z77" s="468"/>
      <c r="AA77" s="468"/>
      <c r="AB77" s="469"/>
    </row>
    <row r="78" spans="2:32">
      <c r="B78" s="207" t="s">
        <v>582</v>
      </c>
      <c r="C78" s="209">
        <f>COUNTIF(A:A,"TR")</f>
        <v>12</v>
      </c>
      <c r="D78" s="205"/>
      <c r="E78" s="205"/>
      <c r="F78" s="205"/>
      <c r="G78" s="205"/>
      <c r="H78" s="204" t="s">
        <v>581</v>
      </c>
      <c r="I78" s="203"/>
      <c r="N78" s="488" t="s">
        <v>580</v>
      </c>
      <c r="O78" s="489"/>
      <c r="P78" s="202"/>
      <c r="Q78" s="202"/>
      <c r="R78" s="209" t="s">
        <v>579</v>
      </c>
      <c r="S78" s="209" t="s">
        <v>578</v>
      </c>
      <c r="T78" s="212" t="s">
        <v>577</v>
      </c>
      <c r="W78" s="211" t="s">
        <v>576</v>
      </c>
      <c r="X78" s="216">
        <f>(X75+X76+X77)*1.25</f>
        <v>88.212320819397988</v>
      </c>
      <c r="Y78" s="468"/>
      <c r="Z78" s="468"/>
      <c r="AA78" s="468"/>
      <c r="AB78" s="469"/>
    </row>
    <row r="79" spans="2:32">
      <c r="B79" s="207" t="s">
        <v>575</v>
      </c>
      <c r="C79" s="209">
        <f>COUNTIF(A:A,"RE")</f>
        <v>5</v>
      </c>
      <c r="D79" s="205"/>
      <c r="E79" s="205"/>
      <c r="F79" s="205"/>
      <c r="G79" s="205"/>
      <c r="H79" s="204" t="s">
        <v>574</v>
      </c>
      <c r="I79" s="203"/>
      <c r="N79" s="488" t="s">
        <v>573</v>
      </c>
      <c r="O79" s="489"/>
      <c r="P79" s="202"/>
      <c r="Q79" s="202"/>
      <c r="R79" s="214">
        <f>Z61</f>
        <v>2.1999999999999997</v>
      </c>
      <c r="S79" s="214">
        <f>AA61</f>
        <v>2.1999999999999997</v>
      </c>
      <c r="T79" s="213">
        <f>AB61</f>
        <v>2.4</v>
      </c>
      <c r="W79" s="211" t="s">
        <v>572</v>
      </c>
      <c r="X79" s="198" t="s">
        <v>571</v>
      </c>
      <c r="Y79" s="519" t="s">
        <v>570</v>
      </c>
      <c r="Z79" s="519"/>
      <c r="AA79" s="519"/>
      <c r="AB79" s="520"/>
      <c r="AC79" s="208"/>
    </row>
    <row r="80" spans="2:32">
      <c r="B80" s="207" t="s">
        <v>569</v>
      </c>
      <c r="C80" s="206">
        <v>0.6</v>
      </c>
      <c r="D80" s="205"/>
      <c r="E80" s="205"/>
      <c r="F80" s="205"/>
      <c r="G80" s="205"/>
      <c r="H80" s="204" t="s">
        <v>568</v>
      </c>
      <c r="I80" s="203"/>
      <c r="N80" s="488" t="s">
        <v>567</v>
      </c>
      <c r="O80" s="489"/>
      <c r="P80" s="202"/>
      <c r="Q80" s="202"/>
      <c r="R80" s="209"/>
      <c r="S80" s="209"/>
      <c r="T80" s="212"/>
      <c r="W80" s="211" t="s">
        <v>566</v>
      </c>
      <c r="X80" s="210" t="s">
        <v>560</v>
      </c>
      <c r="Y80" s="519" t="s">
        <v>565</v>
      </c>
      <c r="Z80" s="519"/>
      <c r="AA80" s="519"/>
      <c r="AB80" s="520"/>
      <c r="AC80" s="208"/>
    </row>
    <row r="81" spans="2:38" ht="12.9" thickBot="1">
      <c r="B81" s="207" t="s">
        <v>564</v>
      </c>
      <c r="C81" s="206">
        <f>MAX(C77:C79)/C76</f>
        <v>0.63043478260869568</v>
      </c>
      <c r="D81" s="205"/>
      <c r="E81" s="205"/>
      <c r="F81" s="205"/>
      <c r="G81" s="205"/>
      <c r="H81" s="204" t="s">
        <v>563</v>
      </c>
      <c r="I81" s="203"/>
      <c r="N81" s="488" t="s">
        <v>562</v>
      </c>
      <c r="O81" s="489"/>
      <c r="P81" s="202"/>
      <c r="Q81" s="202"/>
      <c r="R81" s="201">
        <f>SUM(R79:R80)</f>
        <v>2.1999999999999997</v>
      </c>
      <c r="S81" s="201">
        <f>SUM(S79:S80)</f>
        <v>2.1999999999999997</v>
      </c>
      <c r="T81" s="200">
        <f>SUM(T79:T80)</f>
        <v>2.4</v>
      </c>
      <c r="W81" s="199" t="s">
        <v>561</v>
      </c>
      <c r="X81" s="198" t="s">
        <v>560</v>
      </c>
      <c r="Y81" s="521"/>
      <c r="Z81" s="521"/>
      <c r="AA81" s="521"/>
      <c r="AB81" s="522"/>
    </row>
    <row r="82" spans="2:38" ht="12.9" thickBot="1">
      <c r="B82" s="196" t="s">
        <v>559</v>
      </c>
      <c r="C82" s="195">
        <f>1*C81*C80</f>
        <v>0.37826086956521737</v>
      </c>
      <c r="D82" s="194"/>
      <c r="E82" s="194"/>
      <c r="F82" s="194"/>
      <c r="G82" s="194"/>
      <c r="H82" s="193" t="s">
        <v>558</v>
      </c>
      <c r="I82" s="192">
        <f>SUM(I73:I81)</f>
        <v>35.253913043478256</v>
      </c>
      <c r="N82" s="508" t="s">
        <v>557</v>
      </c>
      <c r="O82" s="509"/>
      <c r="P82" s="191"/>
      <c r="Q82" s="191"/>
      <c r="R82" s="510">
        <f>1-(MIN(R81:T81)/MAX(R81:S81))</f>
        <v>0</v>
      </c>
      <c r="S82" s="510"/>
      <c r="T82" s="511"/>
    </row>
    <row r="83" spans="2:38">
      <c r="B83" s="180"/>
      <c r="C83" s="180"/>
      <c r="D83" s="180"/>
      <c r="E83" s="180"/>
      <c r="F83" s="180"/>
      <c r="G83" s="180"/>
      <c r="H83" s="180"/>
      <c r="I83" s="180"/>
    </row>
    <row r="84" spans="2:38">
      <c r="B84" s="180"/>
      <c r="C84" s="180"/>
      <c r="D84" s="180"/>
      <c r="E84" s="180"/>
      <c r="F84" s="180"/>
      <c r="G84" s="180"/>
      <c r="H84" s="180"/>
      <c r="I84" s="180"/>
    </row>
    <row r="85" spans="2:38" ht="16.5">
      <c r="B85" s="180"/>
      <c r="C85" s="180"/>
      <c r="D85" s="180"/>
      <c r="E85" s="180"/>
      <c r="F85" s="180"/>
      <c r="G85" s="180"/>
      <c r="H85" s="180"/>
      <c r="I85" s="180"/>
      <c r="P85" s="188" t="str">
        <f>IFERROR(IF(#REF!="Rotary",LEFT($O85,9),$O85),"")</f>
        <v/>
      </c>
      <c r="Q85" s="187"/>
      <c r="AL85" s="189"/>
    </row>
    <row r="86" spans="2:38" ht="16.5">
      <c r="B86" s="180"/>
      <c r="C86" s="180"/>
      <c r="D86" s="180"/>
      <c r="E86" s="180"/>
      <c r="F86" s="180"/>
      <c r="G86" s="180"/>
      <c r="H86" s="180"/>
      <c r="I86" s="180"/>
      <c r="P86" s="188" t="str">
        <f>IFERROR(IF(#REF!="Rotary",LEFT($O86,9),$O86),"")</f>
        <v/>
      </c>
      <c r="Q86" s="187"/>
      <c r="R86" s="180"/>
      <c r="T86" s="183"/>
      <c r="AL86" s="189"/>
    </row>
    <row r="87" spans="2:38" ht="16.5">
      <c r="B87" s="180"/>
      <c r="C87" s="180"/>
      <c r="D87" s="180"/>
      <c r="E87" s="180"/>
      <c r="F87" s="180"/>
      <c r="G87" s="180"/>
      <c r="H87" s="180"/>
      <c r="I87" s="180"/>
      <c r="P87" s="188" t="str">
        <f>IFERROR(IF(#REF!="Rotary",LEFT($O87,9),$O87),"")</f>
        <v/>
      </c>
      <c r="Q87" s="187"/>
      <c r="AL87" s="189"/>
    </row>
    <row r="88" spans="2:38" ht="16.5">
      <c r="B88" s="180"/>
      <c r="C88" s="180"/>
      <c r="D88" s="180"/>
      <c r="E88" s="180"/>
      <c r="F88" s="180"/>
      <c r="G88" s="180"/>
      <c r="H88" s="180"/>
      <c r="I88" s="180"/>
      <c r="P88" s="188" t="str">
        <f>IFERROR(IF(#REF!="Rotary",LEFT($O88,9),$O88),"")</f>
        <v/>
      </c>
      <c r="Q88" s="187"/>
      <c r="AL88" s="189"/>
    </row>
    <row r="89" spans="2:38" ht="16.5">
      <c r="B89" s="180"/>
      <c r="C89" s="180"/>
      <c r="D89" s="180"/>
      <c r="E89" s="180"/>
      <c r="F89" s="180"/>
      <c r="G89" s="180"/>
      <c r="H89" s="180"/>
      <c r="I89" s="180"/>
      <c r="P89" s="188" t="str">
        <f>IFERROR(IF(#REF!="Rotary",LEFT($O89,9),$O89),"")</f>
        <v/>
      </c>
      <c r="Q89" s="187"/>
      <c r="AL89" s="189"/>
    </row>
    <row r="90" spans="2:38" ht="16.5">
      <c r="B90" s="180"/>
      <c r="C90" s="180"/>
      <c r="D90" s="180"/>
      <c r="E90" s="180"/>
      <c r="F90" s="180"/>
      <c r="G90" s="180"/>
      <c r="H90" s="180"/>
      <c r="I90" s="180"/>
      <c r="P90" s="188" t="str">
        <f>IFERROR(IF(#REF!="Rotary",LEFT($O90,9),$O90),"")</f>
        <v/>
      </c>
      <c r="Q90" s="187"/>
      <c r="AL90" s="189"/>
    </row>
    <row r="91" spans="2:38" ht="16.5">
      <c r="B91" s="180"/>
      <c r="C91" s="180"/>
      <c r="D91" s="180"/>
      <c r="E91" s="180"/>
      <c r="F91" s="180"/>
      <c r="G91" s="180"/>
      <c r="H91" s="180"/>
      <c r="I91" s="180"/>
      <c r="P91" s="188" t="str">
        <f>IFERROR(IF(#REF!="Rotary",LEFT($O91,9),$O91),"")</f>
        <v/>
      </c>
      <c r="Q91" s="187"/>
      <c r="AL91" s="189"/>
    </row>
    <row r="92" spans="2:38" ht="16.5">
      <c r="P92" s="188">
        <f t="shared" ref="P92:P155" si="20">IFERROR(IF($I92="Rotary",LEFT($O92,9),$O92),"")</f>
        <v>0</v>
      </c>
      <c r="Q92" s="187"/>
      <c r="AL92" s="189"/>
    </row>
    <row r="93" spans="2:38" ht="16.5">
      <c r="P93" s="188">
        <f t="shared" si="20"/>
        <v>0</v>
      </c>
      <c r="Q93" s="187"/>
      <c r="AL93" s="189"/>
    </row>
    <row r="94" spans="2:38" ht="16.5">
      <c r="P94" s="188">
        <f t="shared" si="20"/>
        <v>0</v>
      </c>
      <c r="Q94" s="187"/>
      <c r="AL94" s="189"/>
    </row>
    <row r="95" spans="2:38" ht="16.5">
      <c r="P95" s="188">
        <f t="shared" si="20"/>
        <v>0</v>
      </c>
      <c r="Q95" s="187"/>
      <c r="AL95" s="189"/>
    </row>
    <row r="96" spans="2:38" ht="16.5">
      <c r="P96" s="188">
        <f t="shared" si="20"/>
        <v>0</v>
      </c>
      <c r="Q96" s="187"/>
      <c r="AL96" s="189"/>
    </row>
    <row r="97" spans="16:38" ht="16.5">
      <c r="P97" s="188">
        <f t="shared" si="20"/>
        <v>0</v>
      </c>
      <c r="Q97" s="187"/>
      <c r="AL97" s="189"/>
    </row>
    <row r="98" spans="16:38" ht="16.5">
      <c r="P98" s="188">
        <f t="shared" si="20"/>
        <v>0</v>
      </c>
      <c r="Q98" s="187"/>
      <c r="AL98" s="189"/>
    </row>
    <row r="99" spans="16:38" ht="16.5">
      <c r="P99" s="188">
        <f t="shared" si="20"/>
        <v>0</v>
      </c>
      <c r="Q99" s="187"/>
      <c r="AL99" s="189"/>
    </row>
    <row r="100" spans="16:38" ht="16.5">
      <c r="P100" s="188">
        <f t="shared" si="20"/>
        <v>0</v>
      </c>
      <c r="Q100" s="187"/>
      <c r="AL100" s="189"/>
    </row>
    <row r="101" spans="16:38" ht="16.5">
      <c r="P101" s="188">
        <f t="shared" si="20"/>
        <v>0</v>
      </c>
      <c r="Q101" s="187"/>
      <c r="AL101" s="189"/>
    </row>
    <row r="102" spans="16:38" ht="16.5">
      <c r="P102" s="188">
        <f t="shared" si="20"/>
        <v>0</v>
      </c>
      <c r="Q102" s="187"/>
      <c r="AL102" s="189"/>
    </row>
    <row r="103" spans="16:38" ht="16.5">
      <c r="P103" s="188">
        <f t="shared" si="20"/>
        <v>0</v>
      </c>
      <c r="Q103" s="187"/>
      <c r="AL103" s="189"/>
    </row>
    <row r="104" spans="16:38" ht="16.5">
      <c r="P104" s="188">
        <f t="shared" si="20"/>
        <v>0</v>
      </c>
      <c r="Q104" s="187"/>
      <c r="AL104" s="189"/>
    </row>
    <row r="105" spans="16:38" ht="16.5">
      <c r="P105" s="188">
        <f t="shared" si="20"/>
        <v>0</v>
      </c>
      <c r="Q105" s="187"/>
      <c r="AL105" s="189"/>
    </row>
    <row r="106" spans="16:38" ht="16.5">
      <c r="P106" s="188">
        <f t="shared" si="20"/>
        <v>0</v>
      </c>
      <c r="Q106" s="187"/>
      <c r="AL106" s="189"/>
    </row>
    <row r="107" spans="16:38" ht="16.5">
      <c r="P107" s="188">
        <f t="shared" si="20"/>
        <v>0</v>
      </c>
      <c r="Q107" s="187"/>
      <c r="AL107" s="189"/>
    </row>
    <row r="108" spans="16:38" ht="16.5">
      <c r="P108" s="188">
        <f t="shared" si="20"/>
        <v>0</v>
      </c>
      <c r="Q108" s="187"/>
      <c r="AL108" s="189"/>
    </row>
    <row r="109" spans="16:38" ht="16.5">
      <c r="P109" s="188">
        <f t="shared" si="20"/>
        <v>0</v>
      </c>
      <c r="Q109" s="187"/>
      <c r="AL109" s="189"/>
    </row>
    <row r="110" spans="16:38" ht="16.5">
      <c r="P110" s="188">
        <f t="shared" si="20"/>
        <v>0</v>
      </c>
      <c r="Q110" s="187"/>
      <c r="AL110" s="189"/>
    </row>
    <row r="111" spans="16:38" ht="16.5">
      <c r="P111" s="188">
        <f t="shared" si="20"/>
        <v>0</v>
      </c>
      <c r="Q111" s="187"/>
      <c r="AL111" s="189"/>
    </row>
    <row r="112" spans="16:38" ht="16.5">
      <c r="P112" s="188">
        <f t="shared" si="20"/>
        <v>0</v>
      </c>
      <c r="Q112" s="187"/>
      <c r="AL112" s="189"/>
    </row>
    <row r="113" spans="16:38" ht="16.5">
      <c r="P113" s="188">
        <f t="shared" si="20"/>
        <v>0</v>
      </c>
      <c r="Q113" s="187"/>
      <c r="AL113" s="189"/>
    </row>
    <row r="114" spans="16:38" ht="16.5">
      <c r="P114" s="188">
        <f t="shared" si="20"/>
        <v>0</v>
      </c>
      <c r="Q114" s="187"/>
      <c r="AL114" s="189"/>
    </row>
    <row r="115" spans="16:38" ht="16.5">
      <c r="P115" s="188">
        <f t="shared" si="20"/>
        <v>0</v>
      </c>
      <c r="Q115" s="187"/>
      <c r="AL115" s="189"/>
    </row>
    <row r="116" spans="16:38" ht="16.5">
      <c r="P116" s="188">
        <f t="shared" si="20"/>
        <v>0</v>
      </c>
      <c r="Q116" s="187"/>
      <c r="AL116" s="189"/>
    </row>
    <row r="117" spans="16:38" ht="16.5">
      <c r="P117" s="188">
        <f t="shared" si="20"/>
        <v>0</v>
      </c>
      <c r="Q117" s="187"/>
      <c r="AL117" s="189"/>
    </row>
    <row r="118" spans="16:38" ht="16.5">
      <c r="P118" s="188">
        <f t="shared" si="20"/>
        <v>0</v>
      </c>
      <c r="Q118" s="187"/>
      <c r="AL118" s="189"/>
    </row>
    <row r="119" spans="16:38" ht="16.5">
      <c r="P119" s="188">
        <f t="shared" si="20"/>
        <v>0</v>
      </c>
      <c r="Q119" s="187"/>
      <c r="AL119" s="189"/>
    </row>
    <row r="120" spans="16:38" ht="16.5">
      <c r="P120" s="188">
        <f t="shared" si="20"/>
        <v>0</v>
      </c>
      <c r="Q120" s="187"/>
      <c r="AL120" s="189"/>
    </row>
    <row r="121" spans="16:38" ht="16.5">
      <c r="P121" s="188">
        <f t="shared" si="20"/>
        <v>0</v>
      </c>
      <c r="Q121" s="187"/>
      <c r="AL121" s="189"/>
    </row>
    <row r="122" spans="16:38" ht="16.5">
      <c r="P122" s="188">
        <f t="shared" si="20"/>
        <v>0</v>
      </c>
      <c r="Q122" s="187"/>
      <c r="AL122" s="189"/>
    </row>
    <row r="123" spans="16:38" ht="16.5">
      <c r="P123" s="188">
        <f t="shared" si="20"/>
        <v>0</v>
      </c>
      <c r="Q123" s="187"/>
      <c r="AL123" s="189"/>
    </row>
    <row r="124" spans="16:38" ht="16.5">
      <c r="P124" s="188">
        <f t="shared" si="20"/>
        <v>0</v>
      </c>
      <c r="Q124" s="187"/>
      <c r="AL124" s="189"/>
    </row>
    <row r="125" spans="16:38" ht="16.5">
      <c r="P125" s="188">
        <f t="shared" si="20"/>
        <v>0</v>
      </c>
      <c r="Q125" s="187"/>
      <c r="AL125" s="189"/>
    </row>
    <row r="126" spans="16:38" ht="16.5">
      <c r="P126" s="188">
        <f t="shared" si="20"/>
        <v>0</v>
      </c>
      <c r="Q126" s="187"/>
      <c r="AL126" s="189"/>
    </row>
    <row r="127" spans="16:38" ht="16.5">
      <c r="P127" s="188">
        <f t="shared" si="20"/>
        <v>0</v>
      </c>
      <c r="Q127" s="187"/>
      <c r="AL127" s="189"/>
    </row>
    <row r="128" spans="16:38" ht="16.5">
      <c r="P128" s="188">
        <f t="shared" si="20"/>
        <v>0</v>
      </c>
      <c r="Q128" s="187"/>
      <c r="AL128" s="189"/>
    </row>
    <row r="129" spans="16:38" ht="16.5">
      <c r="P129" s="188">
        <f t="shared" si="20"/>
        <v>0</v>
      </c>
      <c r="Q129" s="187"/>
      <c r="AL129" s="189"/>
    </row>
    <row r="130" spans="16:38" ht="16.5">
      <c r="P130" s="188">
        <f t="shared" si="20"/>
        <v>0</v>
      </c>
      <c r="Q130" s="187"/>
      <c r="AL130" s="189"/>
    </row>
    <row r="131" spans="16:38" ht="16.5">
      <c r="P131" s="188">
        <f t="shared" si="20"/>
        <v>0</v>
      </c>
      <c r="Q131" s="187"/>
      <c r="AL131" s="189"/>
    </row>
    <row r="132" spans="16:38" ht="16.5">
      <c r="P132" s="188">
        <f t="shared" si="20"/>
        <v>0</v>
      </c>
      <c r="Q132" s="187"/>
      <c r="AL132" s="189"/>
    </row>
    <row r="133" spans="16:38" ht="16.5">
      <c r="P133" s="188">
        <f t="shared" si="20"/>
        <v>0</v>
      </c>
      <c r="Q133" s="187"/>
      <c r="AL133" s="189"/>
    </row>
    <row r="134" spans="16:38" ht="16.5">
      <c r="P134" s="188">
        <f t="shared" si="20"/>
        <v>0</v>
      </c>
      <c r="Q134" s="187"/>
      <c r="AL134" s="189"/>
    </row>
    <row r="135" spans="16:38" ht="16.5">
      <c r="P135" s="188">
        <f t="shared" si="20"/>
        <v>0</v>
      </c>
      <c r="Q135" s="187"/>
      <c r="AL135" s="189"/>
    </row>
    <row r="136" spans="16:38" ht="16.5">
      <c r="P136" s="188">
        <f t="shared" si="20"/>
        <v>0</v>
      </c>
      <c r="Q136" s="187"/>
      <c r="AL136" s="189"/>
    </row>
    <row r="137" spans="16:38" ht="16.5">
      <c r="P137" s="188">
        <f t="shared" si="20"/>
        <v>0</v>
      </c>
      <c r="Q137" s="187"/>
      <c r="AL137" s="189"/>
    </row>
    <row r="138" spans="16:38" ht="16.5">
      <c r="P138" s="188">
        <f t="shared" si="20"/>
        <v>0</v>
      </c>
      <c r="Q138" s="187"/>
      <c r="AL138" s="189"/>
    </row>
    <row r="139" spans="16:38" ht="16.5">
      <c r="P139" s="188">
        <f t="shared" si="20"/>
        <v>0</v>
      </c>
      <c r="Q139" s="187"/>
      <c r="AL139" s="189"/>
    </row>
    <row r="140" spans="16:38" ht="16.5">
      <c r="P140" s="188">
        <f t="shared" si="20"/>
        <v>0</v>
      </c>
      <c r="Q140" s="187"/>
      <c r="AL140" s="189"/>
    </row>
    <row r="141" spans="16:38" ht="16.5">
      <c r="P141" s="188">
        <f t="shared" si="20"/>
        <v>0</v>
      </c>
      <c r="Q141" s="187"/>
      <c r="AL141" s="189"/>
    </row>
    <row r="142" spans="16:38" ht="16.5">
      <c r="P142" s="188">
        <f t="shared" si="20"/>
        <v>0</v>
      </c>
      <c r="Q142" s="187"/>
      <c r="AL142" s="189"/>
    </row>
    <row r="143" spans="16:38" ht="16.5">
      <c r="P143" s="188">
        <f t="shared" si="20"/>
        <v>0</v>
      </c>
      <c r="Q143" s="187"/>
      <c r="AL143" s="189"/>
    </row>
    <row r="144" spans="16:38" ht="16.5">
      <c r="P144" s="188">
        <f t="shared" si="20"/>
        <v>0</v>
      </c>
      <c r="Q144" s="187"/>
      <c r="AL144" s="189"/>
    </row>
    <row r="145" spans="16:38" ht="16.5">
      <c r="P145" s="188">
        <f t="shared" si="20"/>
        <v>0</v>
      </c>
      <c r="Q145" s="187"/>
      <c r="AL145" s="189"/>
    </row>
    <row r="146" spans="16:38" ht="16.5">
      <c r="P146" s="188">
        <f t="shared" si="20"/>
        <v>0</v>
      </c>
      <c r="Q146" s="187"/>
      <c r="AL146" s="189"/>
    </row>
    <row r="147" spans="16:38" ht="16.5">
      <c r="P147" s="188">
        <f t="shared" si="20"/>
        <v>0</v>
      </c>
      <c r="Q147" s="187"/>
      <c r="AL147" s="189"/>
    </row>
    <row r="148" spans="16:38" ht="16.5">
      <c r="P148" s="188">
        <f t="shared" si="20"/>
        <v>0</v>
      </c>
      <c r="Q148" s="187"/>
      <c r="AL148" s="189"/>
    </row>
    <row r="149" spans="16:38" ht="16.5">
      <c r="P149" s="188">
        <f t="shared" si="20"/>
        <v>0</v>
      </c>
      <c r="Q149" s="187"/>
      <c r="AL149" s="189"/>
    </row>
    <row r="150" spans="16:38" ht="16.5">
      <c r="P150" s="188">
        <f t="shared" si="20"/>
        <v>0</v>
      </c>
      <c r="Q150" s="187"/>
      <c r="AL150" s="189"/>
    </row>
    <row r="151" spans="16:38" ht="16.5">
      <c r="P151" s="188">
        <f t="shared" si="20"/>
        <v>0</v>
      </c>
      <c r="Q151" s="187"/>
      <c r="AL151" s="189"/>
    </row>
    <row r="152" spans="16:38" ht="16.5">
      <c r="P152" s="188">
        <f t="shared" si="20"/>
        <v>0</v>
      </c>
      <c r="Q152" s="187"/>
      <c r="AL152" s="189"/>
    </row>
    <row r="153" spans="16:38" ht="16.5">
      <c r="P153" s="188">
        <f t="shared" si="20"/>
        <v>0</v>
      </c>
      <c r="Q153" s="187"/>
      <c r="AL153" s="189"/>
    </row>
    <row r="154" spans="16:38" ht="16.5">
      <c r="P154" s="188">
        <f t="shared" si="20"/>
        <v>0</v>
      </c>
      <c r="Q154" s="187"/>
      <c r="AL154" s="189"/>
    </row>
    <row r="155" spans="16:38" ht="16.5">
      <c r="P155" s="188">
        <f t="shared" si="20"/>
        <v>0</v>
      </c>
      <c r="Q155" s="187"/>
      <c r="AL155" s="189"/>
    </row>
    <row r="156" spans="16:38" ht="16.5">
      <c r="P156" s="188">
        <f t="shared" ref="P156:P219" si="21">IFERROR(IF($I156="Rotary",LEFT($O156,9),$O156),"")</f>
        <v>0</v>
      </c>
      <c r="Q156" s="187"/>
      <c r="AL156" s="189"/>
    </row>
    <row r="157" spans="16:38" ht="16.5">
      <c r="P157" s="188">
        <f t="shared" si="21"/>
        <v>0</v>
      </c>
      <c r="Q157" s="187"/>
      <c r="AL157" s="189"/>
    </row>
    <row r="158" spans="16:38" ht="16.5">
      <c r="P158" s="188">
        <f t="shared" si="21"/>
        <v>0</v>
      </c>
      <c r="Q158" s="187"/>
      <c r="AL158" s="189"/>
    </row>
    <row r="159" spans="16:38" ht="16.5">
      <c r="P159" s="188">
        <f t="shared" si="21"/>
        <v>0</v>
      </c>
      <c r="Q159" s="187"/>
      <c r="AL159" s="189"/>
    </row>
    <row r="160" spans="16:38" ht="16.5">
      <c r="P160" s="188">
        <f t="shared" si="21"/>
        <v>0</v>
      </c>
      <c r="Q160" s="187"/>
      <c r="AL160" s="189"/>
    </row>
    <row r="161" spans="16:38" ht="16.5">
      <c r="P161" s="188">
        <f t="shared" si="21"/>
        <v>0</v>
      </c>
      <c r="Q161" s="187"/>
      <c r="AL161" s="189"/>
    </row>
    <row r="162" spans="16:38" ht="16.5">
      <c r="P162" s="188">
        <f t="shared" si="21"/>
        <v>0</v>
      </c>
      <c r="Q162" s="187"/>
      <c r="AL162" s="189"/>
    </row>
    <row r="163" spans="16:38" ht="16.5">
      <c r="P163" s="188">
        <f t="shared" si="21"/>
        <v>0</v>
      </c>
      <c r="Q163" s="187"/>
      <c r="AL163" s="189"/>
    </row>
    <row r="164" spans="16:38" ht="16.5">
      <c r="P164" s="188">
        <f t="shared" si="21"/>
        <v>0</v>
      </c>
      <c r="Q164" s="187"/>
      <c r="AL164" s="189"/>
    </row>
    <row r="165" spans="16:38" ht="16.5">
      <c r="P165" s="188">
        <f t="shared" si="21"/>
        <v>0</v>
      </c>
      <c r="Q165" s="187"/>
      <c r="AL165" s="189"/>
    </row>
    <row r="166" spans="16:38" ht="16.5">
      <c r="P166" s="188">
        <f t="shared" si="21"/>
        <v>0</v>
      </c>
      <c r="Q166" s="187"/>
      <c r="AL166" s="189"/>
    </row>
    <row r="167" spans="16:38" ht="16.5">
      <c r="P167" s="188">
        <f t="shared" si="21"/>
        <v>0</v>
      </c>
      <c r="Q167" s="187"/>
      <c r="AL167" s="189"/>
    </row>
    <row r="168" spans="16:38" ht="16.5">
      <c r="P168" s="188">
        <f t="shared" si="21"/>
        <v>0</v>
      </c>
      <c r="Q168" s="187"/>
      <c r="AL168" s="189"/>
    </row>
    <row r="169" spans="16:38" ht="16.5">
      <c r="P169" s="188">
        <f t="shared" si="21"/>
        <v>0</v>
      </c>
      <c r="Q169" s="187"/>
      <c r="AL169" s="189"/>
    </row>
    <row r="170" spans="16:38" ht="16.5">
      <c r="P170" s="188">
        <f t="shared" si="21"/>
        <v>0</v>
      </c>
      <c r="Q170" s="187"/>
      <c r="AL170" s="189"/>
    </row>
    <row r="171" spans="16:38" ht="16.5">
      <c r="P171" s="188">
        <f t="shared" si="21"/>
        <v>0</v>
      </c>
      <c r="Q171" s="187"/>
      <c r="AL171" s="189"/>
    </row>
    <row r="172" spans="16:38" ht="16.5">
      <c r="P172" s="188">
        <f t="shared" si="21"/>
        <v>0</v>
      </c>
      <c r="Q172" s="187"/>
      <c r="AL172" s="189"/>
    </row>
    <row r="173" spans="16:38" ht="16.5">
      <c r="P173" s="188">
        <f t="shared" si="21"/>
        <v>0</v>
      </c>
      <c r="Q173" s="187"/>
      <c r="AL173" s="189"/>
    </row>
    <row r="174" spans="16:38" ht="16.5">
      <c r="P174" s="188">
        <f t="shared" si="21"/>
        <v>0</v>
      </c>
      <c r="Q174" s="187"/>
      <c r="AL174" s="189"/>
    </row>
    <row r="175" spans="16:38" ht="16.5">
      <c r="P175" s="188">
        <f t="shared" si="21"/>
        <v>0</v>
      </c>
      <c r="Q175" s="187"/>
      <c r="AL175" s="189"/>
    </row>
    <row r="176" spans="16:38" ht="16.5">
      <c r="P176" s="188">
        <f t="shared" si="21"/>
        <v>0</v>
      </c>
      <c r="Q176" s="187"/>
      <c r="AL176" s="189"/>
    </row>
    <row r="177" spans="16:38" ht="16.5">
      <c r="P177" s="188">
        <f t="shared" si="21"/>
        <v>0</v>
      </c>
      <c r="Q177" s="187"/>
      <c r="AL177" s="189"/>
    </row>
    <row r="178" spans="16:38" ht="16.5">
      <c r="P178" s="188">
        <f t="shared" si="21"/>
        <v>0</v>
      </c>
      <c r="Q178" s="187"/>
      <c r="AL178" s="189"/>
    </row>
    <row r="179" spans="16:38" ht="16.5">
      <c r="P179" s="188">
        <f t="shared" si="21"/>
        <v>0</v>
      </c>
      <c r="Q179" s="187"/>
      <c r="AL179" s="189"/>
    </row>
    <row r="180" spans="16:38" ht="16.5">
      <c r="P180" s="188">
        <f t="shared" si="21"/>
        <v>0</v>
      </c>
      <c r="Q180" s="187"/>
      <c r="AL180" s="189"/>
    </row>
    <row r="181" spans="16:38" ht="16.5">
      <c r="P181" s="188">
        <f t="shared" si="21"/>
        <v>0</v>
      </c>
      <c r="Q181" s="187"/>
      <c r="AL181" s="189"/>
    </row>
    <row r="182" spans="16:38" ht="16.5">
      <c r="P182" s="188">
        <f t="shared" si="21"/>
        <v>0</v>
      </c>
      <c r="Q182" s="187"/>
      <c r="AL182" s="189"/>
    </row>
    <row r="183" spans="16:38" ht="16.5">
      <c r="P183" s="188">
        <f t="shared" si="21"/>
        <v>0</v>
      </c>
      <c r="Q183" s="187"/>
      <c r="AL183" s="189"/>
    </row>
    <row r="184" spans="16:38" ht="16.5">
      <c r="P184" s="188">
        <f t="shared" si="21"/>
        <v>0</v>
      </c>
      <c r="Q184" s="187"/>
      <c r="AL184" s="189"/>
    </row>
    <row r="185" spans="16:38" ht="16.5">
      <c r="P185" s="188">
        <f t="shared" si="21"/>
        <v>0</v>
      </c>
      <c r="Q185" s="187"/>
      <c r="AL185" s="189"/>
    </row>
    <row r="186" spans="16:38" ht="16.5">
      <c r="P186" s="188">
        <f t="shared" si="21"/>
        <v>0</v>
      </c>
      <c r="Q186" s="187"/>
      <c r="AL186" s="189"/>
    </row>
    <row r="187" spans="16:38" ht="16.5">
      <c r="P187" s="188">
        <f t="shared" si="21"/>
        <v>0</v>
      </c>
      <c r="Q187" s="187"/>
      <c r="AL187" s="189"/>
    </row>
    <row r="188" spans="16:38" ht="16.5">
      <c r="P188" s="188">
        <f t="shared" si="21"/>
        <v>0</v>
      </c>
      <c r="Q188" s="187"/>
      <c r="AL188" s="189"/>
    </row>
    <row r="189" spans="16:38" ht="16.5">
      <c r="P189" s="188">
        <f t="shared" si="21"/>
        <v>0</v>
      </c>
      <c r="Q189" s="187"/>
      <c r="AL189" s="189"/>
    </row>
    <row r="190" spans="16:38" ht="16.5">
      <c r="P190" s="188">
        <f t="shared" si="21"/>
        <v>0</v>
      </c>
      <c r="Q190" s="187"/>
      <c r="AL190" s="189"/>
    </row>
    <row r="191" spans="16:38" ht="16.5">
      <c r="P191" s="188">
        <f t="shared" si="21"/>
        <v>0</v>
      </c>
      <c r="Q191" s="187"/>
      <c r="AL191" s="189"/>
    </row>
    <row r="192" spans="16:38" ht="16.5">
      <c r="P192" s="188">
        <f t="shared" si="21"/>
        <v>0</v>
      </c>
      <c r="Q192" s="187"/>
      <c r="AL192" s="189"/>
    </row>
    <row r="193" spans="16:38" ht="16.5">
      <c r="P193" s="188">
        <f t="shared" si="21"/>
        <v>0</v>
      </c>
      <c r="Q193" s="187"/>
      <c r="AL193" s="189"/>
    </row>
    <row r="194" spans="16:38" ht="16.5">
      <c r="P194" s="188">
        <f t="shared" si="21"/>
        <v>0</v>
      </c>
      <c r="Q194" s="187"/>
      <c r="AL194" s="189"/>
    </row>
    <row r="195" spans="16:38" ht="16.5">
      <c r="P195" s="188">
        <f t="shared" si="21"/>
        <v>0</v>
      </c>
      <c r="Q195" s="187"/>
      <c r="AL195" s="189"/>
    </row>
    <row r="196" spans="16:38" ht="16.5">
      <c r="P196" s="188">
        <f t="shared" si="21"/>
        <v>0</v>
      </c>
      <c r="Q196" s="187"/>
      <c r="AL196" s="189"/>
    </row>
    <row r="197" spans="16:38" ht="16.5">
      <c r="P197" s="188">
        <f t="shared" si="21"/>
        <v>0</v>
      </c>
      <c r="Q197" s="187"/>
      <c r="AL197" s="189"/>
    </row>
    <row r="198" spans="16:38" ht="16.5">
      <c r="P198" s="188">
        <f t="shared" si="21"/>
        <v>0</v>
      </c>
      <c r="Q198" s="187"/>
      <c r="AL198" s="189"/>
    </row>
    <row r="199" spans="16:38" ht="16.5">
      <c r="P199" s="188">
        <f t="shared" si="21"/>
        <v>0</v>
      </c>
      <c r="Q199" s="187"/>
      <c r="AL199" s="189"/>
    </row>
    <row r="200" spans="16:38" ht="16.5">
      <c r="P200" s="188">
        <f t="shared" si="21"/>
        <v>0</v>
      </c>
      <c r="Q200" s="187"/>
      <c r="AL200" s="189"/>
    </row>
    <row r="201" spans="16:38" ht="16.5">
      <c r="P201" s="188">
        <f t="shared" si="21"/>
        <v>0</v>
      </c>
      <c r="Q201" s="187"/>
      <c r="AL201" s="189"/>
    </row>
    <row r="202" spans="16:38" ht="16.5">
      <c r="P202" s="188">
        <f t="shared" si="21"/>
        <v>0</v>
      </c>
      <c r="Q202" s="187"/>
      <c r="AL202" s="189"/>
    </row>
    <row r="203" spans="16:38" ht="16.5">
      <c r="P203" s="188">
        <f t="shared" si="21"/>
        <v>0</v>
      </c>
      <c r="Q203" s="187"/>
      <c r="AL203" s="189"/>
    </row>
    <row r="204" spans="16:38" ht="16.5">
      <c r="P204" s="188">
        <f t="shared" si="21"/>
        <v>0</v>
      </c>
      <c r="Q204" s="187"/>
      <c r="AL204" s="189"/>
    </row>
    <row r="205" spans="16:38" ht="16.5">
      <c r="P205" s="188">
        <f t="shared" si="21"/>
        <v>0</v>
      </c>
      <c r="Q205" s="187"/>
      <c r="AL205" s="189"/>
    </row>
    <row r="206" spans="16:38" ht="16.5">
      <c r="P206" s="188">
        <f t="shared" si="21"/>
        <v>0</v>
      </c>
      <c r="Q206" s="187"/>
      <c r="AL206" s="189"/>
    </row>
    <row r="207" spans="16:38" ht="16.5">
      <c r="P207" s="188">
        <f t="shared" si="21"/>
        <v>0</v>
      </c>
      <c r="Q207" s="187"/>
      <c r="AL207" s="189"/>
    </row>
    <row r="208" spans="16:38" ht="16.5">
      <c r="P208" s="188">
        <f t="shared" si="21"/>
        <v>0</v>
      </c>
      <c r="Q208" s="187"/>
      <c r="AL208" s="189"/>
    </row>
    <row r="209" spans="16:38" ht="16.5">
      <c r="P209" s="188">
        <f t="shared" si="21"/>
        <v>0</v>
      </c>
      <c r="Q209" s="187"/>
      <c r="AL209" s="189"/>
    </row>
    <row r="210" spans="16:38" ht="16.5">
      <c r="P210" s="188">
        <f t="shared" si="21"/>
        <v>0</v>
      </c>
      <c r="Q210" s="187"/>
      <c r="AL210" s="189"/>
    </row>
    <row r="211" spans="16:38" ht="16.5">
      <c r="P211" s="188">
        <f t="shared" si="21"/>
        <v>0</v>
      </c>
      <c r="Q211" s="187"/>
      <c r="AL211" s="189"/>
    </row>
    <row r="212" spans="16:38" ht="16.5">
      <c r="P212" s="188">
        <f t="shared" si="21"/>
        <v>0</v>
      </c>
      <c r="Q212" s="187"/>
      <c r="AL212" s="189"/>
    </row>
    <row r="213" spans="16:38" ht="16.5">
      <c r="P213" s="188">
        <f t="shared" si="21"/>
        <v>0</v>
      </c>
      <c r="Q213" s="187"/>
      <c r="AL213" s="189"/>
    </row>
    <row r="214" spans="16:38" ht="16.5">
      <c r="P214" s="188">
        <f t="shared" si="21"/>
        <v>0</v>
      </c>
      <c r="Q214" s="187"/>
      <c r="AL214" s="189"/>
    </row>
    <row r="215" spans="16:38" ht="16.5">
      <c r="P215" s="188">
        <f t="shared" si="21"/>
        <v>0</v>
      </c>
      <c r="Q215" s="187"/>
      <c r="AL215" s="189"/>
    </row>
    <row r="216" spans="16:38">
      <c r="P216" s="188">
        <f t="shared" si="21"/>
        <v>0</v>
      </c>
      <c r="Q216" s="187"/>
    </row>
    <row r="217" spans="16:38">
      <c r="P217" s="188">
        <f t="shared" si="21"/>
        <v>0</v>
      </c>
      <c r="Q217" s="187"/>
    </row>
    <row r="218" spans="16:38">
      <c r="P218" s="188">
        <f t="shared" si="21"/>
        <v>0</v>
      </c>
      <c r="Q218" s="187"/>
    </row>
    <row r="219" spans="16:38">
      <c r="P219" s="188">
        <f t="shared" si="21"/>
        <v>0</v>
      </c>
      <c r="Q219" s="187"/>
    </row>
    <row r="220" spans="16:38">
      <c r="P220" s="188">
        <f t="shared" ref="P220:P283" si="22">IFERROR(IF($I220="Rotary",LEFT($O220,9),$O220),"")</f>
        <v>0</v>
      </c>
      <c r="Q220" s="187"/>
    </row>
    <row r="221" spans="16:38">
      <c r="P221" s="188">
        <f t="shared" si="22"/>
        <v>0</v>
      </c>
      <c r="Q221" s="187"/>
    </row>
    <row r="222" spans="16:38">
      <c r="P222" s="188">
        <f t="shared" si="22"/>
        <v>0</v>
      </c>
      <c r="Q222" s="187"/>
    </row>
    <row r="223" spans="16:38">
      <c r="P223" s="188">
        <f t="shared" si="22"/>
        <v>0</v>
      </c>
      <c r="Q223" s="187"/>
    </row>
    <row r="224" spans="16:38">
      <c r="P224" s="188">
        <f t="shared" si="22"/>
        <v>0</v>
      </c>
      <c r="Q224" s="187"/>
    </row>
    <row r="225" spans="16:17">
      <c r="P225" s="188">
        <f t="shared" si="22"/>
        <v>0</v>
      </c>
      <c r="Q225" s="187"/>
    </row>
    <row r="226" spans="16:17">
      <c r="P226" s="188">
        <f t="shared" si="22"/>
        <v>0</v>
      </c>
      <c r="Q226" s="187"/>
    </row>
    <row r="227" spans="16:17">
      <c r="P227" s="188">
        <f t="shared" si="22"/>
        <v>0</v>
      </c>
      <c r="Q227" s="187"/>
    </row>
    <row r="228" spans="16:17">
      <c r="P228" s="188">
        <f t="shared" si="22"/>
        <v>0</v>
      </c>
      <c r="Q228" s="187"/>
    </row>
    <row r="229" spans="16:17">
      <c r="P229" s="188">
        <f t="shared" si="22"/>
        <v>0</v>
      </c>
      <c r="Q229" s="187"/>
    </row>
    <row r="230" spans="16:17">
      <c r="P230" s="188">
        <f t="shared" si="22"/>
        <v>0</v>
      </c>
      <c r="Q230" s="187"/>
    </row>
    <row r="231" spans="16:17">
      <c r="P231" s="188">
        <f t="shared" si="22"/>
        <v>0</v>
      </c>
      <c r="Q231" s="187"/>
    </row>
    <row r="232" spans="16:17">
      <c r="P232" s="188">
        <f t="shared" si="22"/>
        <v>0</v>
      </c>
      <c r="Q232" s="187"/>
    </row>
    <row r="233" spans="16:17">
      <c r="P233" s="188">
        <f t="shared" si="22"/>
        <v>0</v>
      </c>
      <c r="Q233" s="187"/>
    </row>
    <row r="234" spans="16:17">
      <c r="P234" s="188">
        <f t="shared" si="22"/>
        <v>0</v>
      </c>
      <c r="Q234" s="187"/>
    </row>
    <row r="235" spans="16:17">
      <c r="P235" s="188">
        <f t="shared" si="22"/>
        <v>0</v>
      </c>
      <c r="Q235" s="187"/>
    </row>
    <row r="236" spans="16:17">
      <c r="P236" s="188">
        <f t="shared" si="22"/>
        <v>0</v>
      </c>
      <c r="Q236" s="187"/>
    </row>
    <row r="237" spans="16:17">
      <c r="P237" s="188">
        <f t="shared" si="22"/>
        <v>0</v>
      </c>
      <c r="Q237" s="187"/>
    </row>
    <row r="238" spans="16:17">
      <c r="P238" s="188">
        <f t="shared" si="22"/>
        <v>0</v>
      </c>
      <c r="Q238" s="187"/>
    </row>
    <row r="239" spans="16:17">
      <c r="P239" s="188">
        <f t="shared" si="22"/>
        <v>0</v>
      </c>
      <c r="Q239" s="187"/>
    </row>
    <row r="240" spans="16:17">
      <c r="P240" s="188">
        <f t="shared" si="22"/>
        <v>0</v>
      </c>
      <c r="Q240" s="187"/>
    </row>
    <row r="241" spans="16:17">
      <c r="P241" s="188">
        <f t="shared" si="22"/>
        <v>0</v>
      </c>
      <c r="Q241" s="187"/>
    </row>
    <row r="242" spans="16:17">
      <c r="P242" s="188">
        <f t="shared" si="22"/>
        <v>0</v>
      </c>
      <c r="Q242" s="187"/>
    </row>
    <row r="243" spans="16:17">
      <c r="P243" s="188">
        <f t="shared" si="22"/>
        <v>0</v>
      </c>
      <c r="Q243" s="187"/>
    </row>
    <row r="244" spans="16:17">
      <c r="P244" s="188">
        <f t="shared" si="22"/>
        <v>0</v>
      </c>
      <c r="Q244" s="187"/>
    </row>
    <row r="245" spans="16:17">
      <c r="P245" s="188">
        <f t="shared" si="22"/>
        <v>0</v>
      </c>
      <c r="Q245" s="187"/>
    </row>
    <row r="246" spans="16:17">
      <c r="P246" s="188">
        <f t="shared" si="22"/>
        <v>0</v>
      </c>
      <c r="Q246" s="187"/>
    </row>
    <row r="247" spans="16:17">
      <c r="P247" s="188">
        <f t="shared" si="22"/>
        <v>0</v>
      </c>
      <c r="Q247" s="187"/>
    </row>
    <row r="248" spans="16:17">
      <c r="P248" s="188">
        <f t="shared" si="22"/>
        <v>0</v>
      </c>
      <c r="Q248" s="187"/>
    </row>
    <row r="249" spans="16:17">
      <c r="P249" s="188">
        <f t="shared" si="22"/>
        <v>0</v>
      </c>
      <c r="Q249" s="187"/>
    </row>
    <row r="250" spans="16:17">
      <c r="P250" s="188">
        <f t="shared" si="22"/>
        <v>0</v>
      </c>
      <c r="Q250" s="187"/>
    </row>
    <row r="251" spans="16:17">
      <c r="P251" s="188">
        <f t="shared" si="22"/>
        <v>0</v>
      </c>
      <c r="Q251" s="187"/>
    </row>
    <row r="252" spans="16:17">
      <c r="P252" s="188">
        <f t="shared" si="22"/>
        <v>0</v>
      </c>
      <c r="Q252" s="187"/>
    </row>
    <row r="253" spans="16:17">
      <c r="P253" s="188">
        <f t="shared" si="22"/>
        <v>0</v>
      </c>
      <c r="Q253" s="187"/>
    </row>
    <row r="254" spans="16:17">
      <c r="P254" s="188">
        <f t="shared" si="22"/>
        <v>0</v>
      </c>
      <c r="Q254" s="187"/>
    </row>
    <row r="255" spans="16:17">
      <c r="P255" s="188">
        <f t="shared" si="22"/>
        <v>0</v>
      </c>
      <c r="Q255" s="187"/>
    </row>
    <row r="256" spans="16:17">
      <c r="P256" s="188">
        <f t="shared" si="22"/>
        <v>0</v>
      </c>
      <c r="Q256" s="187"/>
    </row>
    <row r="257" spans="16:17">
      <c r="P257" s="188">
        <f t="shared" si="22"/>
        <v>0</v>
      </c>
      <c r="Q257" s="187"/>
    </row>
    <row r="258" spans="16:17">
      <c r="P258" s="188">
        <f t="shared" si="22"/>
        <v>0</v>
      </c>
      <c r="Q258" s="187"/>
    </row>
    <row r="259" spans="16:17">
      <c r="P259" s="188">
        <f t="shared" si="22"/>
        <v>0</v>
      </c>
      <c r="Q259" s="187"/>
    </row>
    <row r="260" spans="16:17">
      <c r="P260" s="188">
        <f t="shared" si="22"/>
        <v>0</v>
      </c>
      <c r="Q260" s="187"/>
    </row>
    <row r="261" spans="16:17">
      <c r="P261" s="188">
        <f t="shared" si="22"/>
        <v>0</v>
      </c>
      <c r="Q261" s="187"/>
    </row>
    <row r="262" spans="16:17">
      <c r="P262" s="188">
        <f t="shared" si="22"/>
        <v>0</v>
      </c>
      <c r="Q262" s="187"/>
    </row>
    <row r="263" spans="16:17">
      <c r="P263" s="188">
        <f t="shared" si="22"/>
        <v>0</v>
      </c>
      <c r="Q263" s="187"/>
    </row>
    <row r="264" spans="16:17">
      <c r="P264" s="188">
        <f t="shared" si="22"/>
        <v>0</v>
      </c>
      <c r="Q264" s="187"/>
    </row>
    <row r="265" spans="16:17">
      <c r="P265" s="188">
        <f t="shared" si="22"/>
        <v>0</v>
      </c>
      <c r="Q265" s="187"/>
    </row>
    <row r="266" spans="16:17">
      <c r="P266" s="188">
        <f t="shared" si="22"/>
        <v>0</v>
      </c>
      <c r="Q266" s="187"/>
    </row>
    <row r="267" spans="16:17">
      <c r="P267" s="188">
        <f t="shared" si="22"/>
        <v>0</v>
      </c>
      <c r="Q267" s="187"/>
    </row>
    <row r="268" spans="16:17">
      <c r="P268" s="188">
        <f t="shared" si="22"/>
        <v>0</v>
      </c>
      <c r="Q268" s="187"/>
    </row>
    <row r="269" spans="16:17">
      <c r="P269" s="188">
        <f t="shared" si="22"/>
        <v>0</v>
      </c>
      <c r="Q269" s="187"/>
    </row>
    <row r="270" spans="16:17">
      <c r="P270" s="188">
        <f t="shared" si="22"/>
        <v>0</v>
      </c>
      <c r="Q270" s="187"/>
    </row>
    <row r="271" spans="16:17">
      <c r="P271" s="188">
        <f t="shared" si="22"/>
        <v>0</v>
      </c>
      <c r="Q271" s="187"/>
    </row>
    <row r="272" spans="16:17">
      <c r="P272" s="188">
        <f t="shared" si="22"/>
        <v>0</v>
      </c>
      <c r="Q272" s="187"/>
    </row>
    <row r="273" spans="16:17">
      <c r="P273" s="188">
        <f t="shared" si="22"/>
        <v>0</v>
      </c>
      <c r="Q273" s="187"/>
    </row>
    <row r="274" spans="16:17">
      <c r="P274" s="188">
        <f t="shared" si="22"/>
        <v>0</v>
      </c>
      <c r="Q274" s="187"/>
    </row>
    <row r="275" spans="16:17">
      <c r="P275" s="188">
        <f t="shared" si="22"/>
        <v>0</v>
      </c>
      <c r="Q275" s="187"/>
    </row>
    <row r="276" spans="16:17">
      <c r="P276" s="188">
        <f t="shared" si="22"/>
        <v>0</v>
      </c>
      <c r="Q276" s="187"/>
    </row>
    <row r="277" spans="16:17">
      <c r="P277" s="188">
        <f t="shared" si="22"/>
        <v>0</v>
      </c>
      <c r="Q277" s="187"/>
    </row>
    <row r="278" spans="16:17">
      <c r="P278" s="188">
        <f t="shared" si="22"/>
        <v>0</v>
      </c>
      <c r="Q278" s="187"/>
    </row>
    <row r="279" spans="16:17">
      <c r="P279" s="188">
        <f t="shared" si="22"/>
        <v>0</v>
      </c>
      <c r="Q279" s="187"/>
    </row>
    <row r="280" spans="16:17">
      <c r="P280" s="188">
        <f t="shared" si="22"/>
        <v>0</v>
      </c>
      <c r="Q280" s="187"/>
    </row>
    <row r="281" spans="16:17">
      <c r="P281" s="188">
        <f t="shared" si="22"/>
        <v>0</v>
      </c>
      <c r="Q281" s="187"/>
    </row>
    <row r="282" spans="16:17">
      <c r="P282" s="188">
        <f t="shared" si="22"/>
        <v>0</v>
      </c>
      <c r="Q282" s="187"/>
    </row>
    <row r="283" spans="16:17">
      <c r="P283" s="188">
        <f t="shared" si="22"/>
        <v>0</v>
      </c>
      <c r="Q283" s="187"/>
    </row>
    <row r="284" spans="16:17">
      <c r="P284" s="188">
        <f t="shared" ref="P284:P347" si="23">IFERROR(IF($I284="Rotary",LEFT($O284,9),$O284),"")</f>
        <v>0</v>
      </c>
      <c r="Q284" s="187"/>
    </row>
    <row r="285" spans="16:17">
      <c r="P285" s="188">
        <f t="shared" si="23"/>
        <v>0</v>
      </c>
      <c r="Q285" s="187"/>
    </row>
    <row r="286" spans="16:17">
      <c r="P286" s="188">
        <f t="shared" si="23"/>
        <v>0</v>
      </c>
      <c r="Q286" s="187"/>
    </row>
    <row r="287" spans="16:17">
      <c r="P287" s="188">
        <f t="shared" si="23"/>
        <v>0</v>
      </c>
      <c r="Q287" s="187"/>
    </row>
    <row r="288" spans="16:17">
      <c r="P288" s="188">
        <f t="shared" si="23"/>
        <v>0</v>
      </c>
      <c r="Q288" s="187"/>
    </row>
    <row r="289" spans="16:17">
      <c r="P289" s="188">
        <f t="shared" si="23"/>
        <v>0</v>
      </c>
      <c r="Q289" s="187"/>
    </row>
    <row r="290" spans="16:17">
      <c r="P290" s="188">
        <f t="shared" si="23"/>
        <v>0</v>
      </c>
      <c r="Q290" s="187"/>
    </row>
    <row r="291" spans="16:17">
      <c r="P291" s="188">
        <f t="shared" si="23"/>
        <v>0</v>
      </c>
      <c r="Q291" s="187"/>
    </row>
    <row r="292" spans="16:17">
      <c r="P292" s="188">
        <f t="shared" si="23"/>
        <v>0</v>
      </c>
      <c r="Q292" s="187"/>
    </row>
    <row r="293" spans="16:17">
      <c r="P293" s="188">
        <f t="shared" si="23"/>
        <v>0</v>
      </c>
      <c r="Q293" s="187"/>
    </row>
    <row r="294" spans="16:17">
      <c r="P294" s="188">
        <f t="shared" si="23"/>
        <v>0</v>
      </c>
      <c r="Q294" s="187"/>
    </row>
    <row r="295" spans="16:17">
      <c r="P295" s="188">
        <f t="shared" si="23"/>
        <v>0</v>
      </c>
      <c r="Q295" s="187"/>
    </row>
    <row r="296" spans="16:17">
      <c r="P296" s="188">
        <f t="shared" si="23"/>
        <v>0</v>
      </c>
      <c r="Q296" s="187"/>
    </row>
    <row r="297" spans="16:17">
      <c r="P297" s="188">
        <f t="shared" si="23"/>
        <v>0</v>
      </c>
      <c r="Q297" s="187"/>
    </row>
    <row r="298" spans="16:17">
      <c r="P298" s="188">
        <f t="shared" si="23"/>
        <v>0</v>
      </c>
      <c r="Q298" s="187"/>
    </row>
    <row r="299" spans="16:17">
      <c r="P299" s="188">
        <f t="shared" si="23"/>
        <v>0</v>
      </c>
      <c r="Q299" s="187"/>
    </row>
    <row r="300" spans="16:17">
      <c r="P300" s="188">
        <f t="shared" si="23"/>
        <v>0</v>
      </c>
      <c r="Q300" s="187"/>
    </row>
    <row r="301" spans="16:17">
      <c r="P301" s="188">
        <f t="shared" si="23"/>
        <v>0</v>
      </c>
      <c r="Q301" s="187"/>
    </row>
    <row r="302" spans="16:17">
      <c r="P302" s="188">
        <f t="shared" si="23"/>
        <v>0</v>
      </c>
      <c r="Q302" s="187"/>
    </row>
    <row r="303" spans="16:17">
      <c r="P303" s="188">
        <f t="shared" si="23"/>
        <v>0</v>
      </c>
      <c r="Q303" s="187"/>
    </row>
    <row r="304" spans="16:17">
      <c r="P304" s="188">
        <f t="shared" si="23"/>
        <v>0</v>
      </c>
      <c r="Q304" s="187"/>
    </row>
    <row r="305" spans="16:17">
      <c r="P305" s="188">
        <f t="shared" si="23"/>
        <v>0</v>
      </c>
      <c r="Q305" s="187"/>
    </row>
    <row r="306" spans="16:17">
      <c r="P306" s="188">
        <f t="shared" si="23"/>
        <v>0</v>
      </c>
      <c r="Q306" s="187"/>
    </row>
    <row r="307" spans="16:17">
      <c r="P307" s="188">
        <f t="shared" si="23"/>
        <v>0</v>
      </c>
      <c r="Q307" s="187"/>
    </row>
    <row r="308" spans="16:17">
      <c r="P308" s="188">
        <f t="shared" si="23"/>
        <v>0</v>
      </c>
      <c r="Q308" s="187"/>
    </row>
    <row r="309" spans="16:17">
      <c r="P309" s="188">
        <f t="shared" si="23"/>
        <v>0</v>
      </c>
      <c r="Q309" s="187"/>
    </row>
    <row r="310" spans="16:17">
      <c r="P310" s="188">
        <f t="shared" si="23"/>
        <v>0</v>
      </c>
      <c r="Q310" s="187"/>
    </row>
    <row r="311" spans="16:17">
      <c r="P311" s="188">
        <f t="shared" si="23"/>
        <v>0</v>
      </c>
      <c r="Q311" s="187"/>
    </row>
    <row r="312" spans="16:17">
      <c r="P312" s="188">
        <f t="shared" si="23"/>
        <v>0</v>
      </c>
      <c r="Q312" s="187"/>
    </row>
    <row r="313" spans="16:17">
      <c r="P313" s="188">
        <f t="shared" si="23"/>
        <v>0</v>
      </c>
      <c r="Q313" s="187"/>
    </row>
    <row r="314" spans="16:17">
      <c r="P314" s="188">
        <f t="shared" si="23"/>
        <v>0</v>
      </c>
      <c r="Q314" s="187"/>
    </row>
    <row r="315" spans="16:17">
      <c r="P315" s="188">
        <f t="shared" si="23"/>
        <v>0</v>
      </c>
      <c r="Q315" s="187"/>
    </row>
    <row r="316" spans="16:17">
      <c r="P316" s="188">
        <f t="shared" si="23"/>
        <v>0</v>
      </c>
      <c r="Q316" s="187"/>
    </row>
    <row r="317" spans="16:17">
      <c r="P317" s="188">
        <f t="shared" si="23"/>
        <v>0</v>
      </c>
      <c r="Q317" s="187"/>
    </row>
    <row r="318" spans="16:17">
      <c r="P318" s="188">
        <f t="shared" si="23"/>
        <v>0</v>
      </c>
      <c r="Q318" s="187"/>
    </row>
    <row r="319" spans="16:17">
      <c r="P319" s="188">
        <f t="shared" si="23"/>
        <v>0</v>
      </c>
      <c r="Q319" s="187"/>
    </row>
    <row r="320" spans="16:17">
      <c r="P320" s="188">
        <f t="shared" si="23"/>
        <v>0</v>
      </c>
      <c r="Q320" s="187"/>
    </row>
    <row r="321" spans="16:17">
      <c r="P321" s="188">
        <f t="shared" si="23"/>
        <v>0</v>
      </c>
      <c r="Q321" s="187"/>
    </row>
    <row r="322" spans="16:17">
      <c r="P322" s="188">
        <f t="shared" si="23"/>
        <v>0</v>
      </c>
      <c r="Q322" s="187"/>
    </row>
    <row r="323" spans="16:17">
      <c r="P323" s="188">
        <f t="shared" si="23"/>
        <v>0</v>
      </c>
      <c r="Q323" s="187"/>
    </row>
    <row r="324" spans="16:17">
      <c r="P324" s="188">
        <f t="shared" si="23"/>
        <v>0</v>
      </c>
      <c r="Q324" s="187"/>
    </row>
    <row r="325" spans="16:17">
      <c r="P325" s="188">
        <f t="shared" si="23"/>
        <v>0</v>
      </c>
      <c r="Q325" s="187"/>
    </row>
    <row r="326" spans="16:17">
      <c r="P326" s="188">
        <f t="shared" si="23"/>
        <v>0</v>
      </c>
      <c r="Q326" s="187"/>
    </row>
    <row r="327" spans="16:17">
      <c r="P327" s="188">
        <f t="shared" si="23"/>
        <v>0</v>
      </c>
      <c r="Q327" s="187"/>
    </row>
    <row r="328" spans="16:17">
      <c r="P328" s="188">
        <f t="shared" si="23"/>
        <v>0</v>
      </c>
      <c r="Q328" s="187"/>
    </row>
    <row r="329" spans="16:17">
      <c r="P329" s="188">
        <f t="shared" si="23"/>
        <v>0</v>
      </c>
      <c r="Q329" s="187"/>
    </row>
    <row r="330" spans="16:17">
      <c r="P330" s="188">
        <f t="shared" si="23"/>
        <v>0</v>
      </c>
      <c r="Q330" s="187"/>
    </row>
    <row r="331" spans="16:17">
      <c r="P331" s="188">
        <f t="shared" si="23"/>
        <v>0</v>
      </c>
      <c r="Q331" s="187"/>
    </row>
    <row r="332" spans="16:17">
      <c r="P332" s="188">
        <f t="shared" si="23"/>
        <v>0</v>
      </c>
      <c r="Q332" s="187"/>
    </row>
    <row r="333" spans="16:17">
      <c r="P333" s="188">
        <f t="shared" si="23"/>
        <v>0</v>
      </c>
      <c r="Q333" s="187"/>
    </row>
    <row r="334" spans="16:17">
      <c r="P334" s="188">
        <f t="shared" si="23"/>
        <v>0</v>
      </c>
      <c r="Q334" s="187"/>
    </row>
    <row r="335" spans="16:17">
      <c r="P335" s="188">
        <f t="shared" si="23"/>
        <v>0</v>
      </c>
      <c r="Q335" s="187"/>
    </row>
    <row r="336" spans="16:17">
      <c r="P336" s="188">
        <f t="shared" si="23"/>
        <v>0</v>
      </c>
      <c r="Q336" s="187"/>
    </row>
    <row r="337" spans="16:17">
      <c r="P337" s="188">
        <f t="shared" si="23"/>
        <v>0</v>
      </c>
      <c r="Q337" s="187"/>
    </row>
    <row r="338" spans="16:17">
      <c r="P338" s="188">
        <f t="shared" si="23"/>
        <v>0</v>
      </c>
      <c r="Q338" s="187"/>
    </row>
    <row r="339" spans="16:17">
      <c r="P339" s="188">
        <f t="shared" si="23"/>
        <v>0</v>
      </c>
      <c r="Q339" s="187"/>
    </row>
    <row r="340" spans="16:17">
      <c r="P340" s="188">
        <f t="shared" si="23"/>
        <v>0</v>
      </c>
      <c r="Q340" s="187"/>
    </row>
    <row r="341" spans="16:17">
      <c r="P341" s="188">
        <f t="shared" si="23"/>
        <v>0</v>
      </c>
      <c r="Q341" s="187"/>
    </row>
    <row r="342" spans="16:17">
      <c r="P342" s="188">
        <f t="shared" si="23"/>
        <v>0</v>
      </c>
      <c r="Q342" s="187"/>
    </row>
    <row r="343" spans="16:17">
      <c r="P343" s="188">
        <f t="shared" si="23"/>
        <v>0</v>
      </c>
      <c r="Q343" s="187"/>
    </row>
    <row r="344" spans="16:17">
      <c r="P344" s="188">
        <f t="shared" si="23"/>
        <v>0</v>
      </c>
      <c r="Q344" s="187"/>
    </row>
    <row r="345" spans="16:17">
      <c r="P345" s="188">
        <f t="shared" si="23"/>
        <v>0</v>
      </c>
      <c r="Q345" s="187"/>
    </row>
    <row r="346" spans="16:17">
      <c r="P346" s="188">
        <f t="shared" si="23"/>
        <v>0</v>
      </c>
      <c r="Q346" s="187"/>
    </row>
    <row r="347" spans="16:17">
      <c r="P347" s="188">
        <f t="shared" si="23"/>
        <v>0</v>
      </c>
      <c r="Q347" s="187"/>
    </row>
    <row r="348" spans="16:17">
      <c r="P348" s="188">
        <f t="shared" ref="P348:P411" si="24">IFERROR(IF($I348="Rotary",LEFT($O348,9),$O348),"")</f>
        <v>0</v>
      </c>
      <c r="Q348" s="187"/>
    </row>
    <row r="349" spans="16:17">
      <c r="P349" s="188">
        <f t="shared" si="24"/>
        <v>0</v>
      </c>
      <c r="Q349" s="187"/>
    </row>
    <row r="350" spans="16:17">
      <c r="P350" s="188">
        <f t="shared" si="24"/>
        <v>0</v>
      </c>
      <c r="Q350" s="187"/>
    </row>
    <row r="351" spans="16:17">
      <c r="P351" s="188">
        <f t="shared" si="24"/>
        <v>0</v>
      </c>
      <c r="Q351" s="187"/>
    </row>
    <row r="352" spans="16:17">
      <c r="P352" s="188">
        <f t="shared" si="24"/>
        <v>0</v>
      </c>
      <c r="Q352" s="187"/>
    </row>
    <row r="353" spans="16:17">
      <c r="P353" s="188">
        <f t="shared" si="24"/>
        <v>0</v>
      </c>
      <c r="Q353" s="187"/>
    </row>
    <row r="354" spans="16:17">
      <c r="P354" s="188">
        <f t="shared" si="24"/>
        <v>0</v>
      </c>
      <c r="Q354" s="187"/>
    </row>
    <row r="355" spans="16:17">
      <c r="P355" s="188">
        <f t="shared" si="24"/>
        <v>0</v>
      </c>
      <c r="Q355" s="187"/>
    </row>
    <row r="356" spans="16:17">
      <c r="P356" s="188">
        <f t="shared" si="24"/>
        <v>0</v>
      </c>
      <c r="Q356" s="187"/>
    </row>
    <row r="357" spans="16:17">
      <c r="P357" s="188">
        <f t="shared" si="24"/>
        <v>0</v>
      </c>
      <c r="Q357" s="187"/>
    </row>
    <row r="358" spans="16:17">
      <c r="P358" s="188">
        <f t="shared" si="24"/>
        <v>0</v>
      </c>
      <c r="Q358" s="187"/>
    </row>
    <row r="359" spans="16:17">
      <c r="P359" s="188">
        <f t="shared" si="24"/>
        <v>0</v>
      </c>
      <c r="Q359" s="187"/>
    </row>
    <row r="360" spans="16:17">
      <c r="P360" s="188">
        <f t="shared" si="24"/>
        <v>0</v>
      </c>
      <c r="Q360" s="187"/>
    </row>
    <row r="361" spans="16:17">
      <c r="P361" s="188">
        <f t="shared" si="24"/>
        <v>0</v>
      </c>
      <c r="Q361" s="187"/>
    </row>
    <row r="362" spans="16:17">
      <c r="P362" s="188">
        <f t="shared" si="24"/>
        <v>0</v>
      </c>
      <c r="Q362" s="187"/>
    </row>
    <row r="363" spans="16:17">
      <c r="P363" s="188">
        <f t="shared" si="24"/>
        <v>0</v>
      </c>
      <c r="Q363" s="187"/>
    </row>
    <row r="364" spans="16:17">
      <c r="P364" s="188">
        <f t="shared" si="24"/>
        <v>0</v>
      </c>
      <c r="Q364" s="187"/>
    </row>
    <row r="365" spans="16:17">
      <c r="P365" s="188">
        <f t="shared" si="24"/>
        <v>0</v>
      </c>
      <c r="Q365" s="187"/>
    </row>
    <row r="366" spans="16:17">
      <c r="P366" s="188">
        <f t="shared" si="24"/>
        <v>0</v>
      </c>
      <c r="Q366" s="187"/>
    </row>
    <row r="367" spans="16:17">
      <c r="P367" s="188">
        <f t="shared" si="24"/>
        <v>0</v>
      </c>
      <c r="Q367" s="187"/>
    </row>
    <row r="368" spans="16:17">
      <c r="P368" s="188">
        <f t="shared" si="24"/>
        <v>0</v>
      </c>
      <c r="Q368" s="187"/>
    </row>
    <row r="369" spans="16:17">
      <c r="P369" s="188">
        <f t="shared" si="24"/>
        <v>0</v>
      </c>
      <c r="Q369" s="187"/>
    </row>
    <row r="370" spans="16:17">
      <c r="P370" s="188">
        <f t="shared" si="24"/>
        <v>0</v>
      </c>
      <c r="Q370" s="187"/>
    </row>
    <row r="371" spans="16:17">
      <c r="P371" s="188">
        <f t="shared" si="24"/>
        <v>0</v>
      </c>
      <c r="Q371" s="187"/>
    </row>
    <row r="372" spans="16:17">
      <c r="P372" s="188">
        <f t="shared" si="24"/>
        <v>0</v>
      </c>
      <c r="Q372" s="187"/>
    </row>
    <row r="373" spans="16:17">
      <c r="P373" s="188">
        <f t="shared" si="24"/>
        <v>0</v>
      </c>
      <c r="Q373" s="187"/>
    </row>
    <row r="374" spans="16:17">
      <c r="P374" s="188">
        <f t="shared" si="24"/>
        <v>0</v>
      </c>
      <c r="Q374" s="187"/>
    </row>
    <row r="375" spans="16:17">
      <c r="P375" s="188">
        <f t="shared" si="24"/>
        <v>0</v>
      </c>
      <c r="Q375" s="187"/>
    </row>
    <row r="376" spans="16:17">
      <c r="P376" s="188">
        <f t="shared" si="24"/>
        <v>0</v>
      </c>
      <c r="Q376" s="187"/>
    </row>
    <row r="377" spans="16:17">
      <c r="P377" s="188">
        <f t="shared" si="24"/>
        <v>0</v>
      </c>
      <c r="Q377" s="187"/>
    </row>
    <row r="378" spans="16:17">
      <c r="P378" s="188">
        <f t="shared" si="24"/>
        <v>0</v>
      </c>
      <c r="Q378" s="187"/>
    </row>
    <row r="379" spans="16:17">
      <c r="P379" s="188">
        <f t="shared" si="24"/>
        <v>0</v>
      </c>
      <c r="Q379" s="187"/>
    </row>
    <row r="380" spans="16:17">
      <c r="P380" s="188">
        <f t="shared" si="24"/>
        <v>0</v>
      </c>
      <c r="Q380" s="187"/>
    </row>
    <row r="381" spans="16:17">
      <c r="P381" s="188">
        <f t="shared" si="24"/>
        <v>0</v>
      </c>
      <c r="Q381" s="187"/>
    </row>
    <row r="382" spans="16:17">
      <c r="P382" s="188">
        <f t="shared" si="24"/>
        <v>0</v>
      </c>
      <c r="Q382" s="187"/>
    </row>
    <row r="383" spans="16:17">
      <c r="P383" s="188">
        <f t="shared" si="24"/>
        <v>0</v>
      </c>
      <c r="Q383" s="187"/>
    </row>
    <row r="384" spans="16:17">
      <c r="P384" s="188">
        <f t="shared" si="24"/>
        <v>0</v>
      </c>
      <c r="Q384" s="187"/>
    </row>
    <row r="385" spans="16:17">
      <c r="P385" s="188">
        <f t="shared" si="24"/>
        <v>0</v>
      </c>
      <c r="Q385" s="187"/>
    </row>
    <row r="386" spans="16:17">
      <c r="P386" s="188">
        <f t="shared" si="24"/>
        <v>0</v>
      </c>
      <c r="Q386" s="187"/>
    </row>
    <row r="387" spans="16:17">
      <c r="P387" s="188">
        <f t="shared" si="24"/>
        <v>0</v>
      </c>
      <c r="Q387" s="187"/>
    </row>
    <row r="388" spans="16:17">
      <c r="P388" s="188">
        <f t="shared" si="24"/>
        <v>0</v>
      </c>
      <c r="Q388" s="187"/>
    </row>
    <row r="389" spans="16:17">
      <c r="P389" s="188">
        <f t="shared" si="24"/>
        <v>0</v>
      </c>
      <c r="Q389" s="187"/>
    </row>
    <row r="390" spans="16:17">
      <c r="P390" s="188">
        <f t="shared" si="24"/>
        <v>0</v>
      </c>
      <c r="Q390" s="187"/>
    </row>
    <row r="391" spans="16:17">
      <c r="P391" s="188">
        <f t="shared" si="24"/>
        <v>0</v>
      </c>
      <c r="Q391" s="187"/>
    </row>
    <row r="392" spans="16:17">
      <c r="P392" s="188">
        <f t="shared" si="24"/>
        <v>0</v>
      </c>
      <c r="Q392" s="187"/>
    </row>
    <row r="393" spans="16:17">
      <c r="P393" s="188">
        <f t="shared" si="24"/>
        <v>0</v>
      </c>
      <c r="Q393" s="187"/>
    </row>
    <row r="394" spans="16:17">
      <c r="P394" s="188">
        <f t="shared" si="24"/>
        <v>0</v>
      </c>
      <c r="Q394" s="187"/>
    </row>
    <row r="395" spans="16:17">
      <c r="P395" s="188">
        <f t="shared" si="24"/>
        <v>0</v>
      </c>
      <c r="Q395" s="187"/>
    </row>
    <row r="396" spans="16:17">
      <c r="P396" s="188">
        <f t="shared" si="24"/>
        <v>0</v>
      </c>
      <c r="Q396" s="187"/>
    </row>
    <row r="397" spans="16:17">
      <c r="P397" s="188">
        <f t="shared" si="24"/>
        <v>0</v>
      </c>
      <c r="Q397" s="187"/>
    </row>
    <row r="398" spans="16:17">
      <c r="P398" s="188">
        <f t="shared" si="24"/>
        <v>0</v>
      </c>
      <c r="Q398" s="187"/>
    </row>
    <row r="399" spans="16:17">
      <c r="P399" s="188">
        <f t="shared" si="24"/>
        <v>0</v>
      </c>
      <c r="Q399" s="187"/>
    </row>
    <row r="400" spans="16:17">
      <c r="P400" s="188">
        <f t="shared" si="24"/>
        <v>0</v>
      </c>
      <c r="Q400" s="187"/>
    </row>
    <row r="401" spans="16:17">
      <c r="P401" s="188">
        <f t="shared" si="24"/>
        <v>0</v>
      </c>
      <c r="Q401" s="187"/>
    </row>
    <row r="402" spans="16:17">
      <c r="P402" s="188">
        <f t="shared" si="24"/>
        <v>0</v>
      </c>
      <c r="Q402" s="187"/>
    </row>
    <row r="403" spans="16:17">
      <c r="P403" s="188">
        <f t="shared" si="24"/>
        <v>0</v>
      </c>
      <c r="Q403" s="187"/>
    </row>
    <row r="404" spans="16:17">
      <c r="P404" s="188">
        <f t="shared" si="24"/>
        <v>0</v>
      </c>
      <c r="Q404" s="187"/>
    </row>
    <row r="405" spans="16:17">
      <c r="P405" s="188">
        <f t="shared" si="24"/>
        <v>0</v>
      </c>
      <c r="Q405" s="187"/>
    </row>
    <row r="406" spans="16:17">
      <c r="P406" s="188">
        <f t="shared" si="24"/>
        <v>0</v>
      </c>
      <c r="Q406" s="187"/>
    </row>
    <row r="407" spans="16:17">
      <c r="P407" s="188">
        <f t="shared" si="24"/>
        <v>0</v>
      </c>
      <c r="Q407" s="187"/>
    </row>
    <row r="408" spans="16:17">
      <c r="P408" s="188">
        <f t="shared" si="24"/>
        <v>0</v>
      </c>
      <c r="Q408" s="187"/>
    </row>
    <row r="409" spans="16:17">
      <c r="P409" s="188">
        <f t="shared" si="24"/>
        <v>0</v>
      </c>
      <c r="Q409" s="187"/>
    </row>
    <row r="410" spans="16:17">
      <c r="P410" s="188">
        <f t="shared" si="24"/>
        <v>0</v>
      </c>
      <c r="Q410" s="187"/>
    </row>
    <row r="411" spans="16:17">
      <c r="P411" s="188">
        <f t="shared" si="24"/>
        <v>0</v>
      </c>
      <c r="Q411" s="187"/>
    </row>
    <row r="412" spans="16:17">
      <c r="P412" s="188">
        <f t="shared" ref="P412:P475" si="25">IFERROR(IF($I412="Rotary",LEFT($O412,9),$O412),"")</f>
        <v>0</v>
      </c>
      <c r="Q412" s="187"/>
    </row>
    <row r="413" spans="16:17">
      <c r="P413" s="188">
        <f t="shared" si="25"/>
        <v>0</v>
      </c>
      <c r="Q413" s="187"/>
    </row>
    <row r="414" spans="16:17">
      <c r="P414" s="188">
        <f t="shared" si="25"/>
        <v>0</v>
      </c>
      <c r="Q414" s="187"/>
    </row>
    <row r="415" spans="16:17">
      <c r="P415" s="188">
        <f t="shared" si="25"/>
        <v>0</v>
      </c>
      <c r="Q415" s="187"/>
    </row>
    <row r="416" spans="16:17">
      <c r="P416" s="188">
        <f t="shared" si="25"/>
        <v>0</v>
      </c>
      <c r="Q416" s="187"/>
    </row>
    <row r="417" spans="16:17">
      <c r="P417" s="188">
        <f t="shared" si="25"/>
        <v>0</v>
      </c>
      <c r="Q417" s="187"/>
    </row>
    <row r="418" spans="16:17">
      <c r="P418" s="188">
        <f t="shared" si="25"/>
        <v>0</v>
      </c>
      <c r="Q418" s="187"/>
    </row>
    <row r="419" spans="16:17">
      <c r="P419" s="188">
        <f t="shared" si="25"/>
        <v>0</v>
      </c>
      <c r="Q419" s="187"/>
    </row>
    <row r="420" spans="16:17">
      <c r="P420" s="188">
        <f t="shared" si="25"/>
        <v>0</v>
      </c>
      <c r="Q420" s="187"/>
    </row>
    <row r="421" spans="16:17">
      <c r="P421" s="188">
        <f t="shared" si="25"/>
        <v>0</v>
      </c>
      <c r="Q421" s="187"/>
    </row>
    <row r="422" spans="16:17">
      <c r="P422" s="188">
        <f t="shared" si="25"/>
        <v>0</v>
      </c>
      <c r="Q422" s="187"/>
    </row>
    <row r="423" spans="16:17">
      <c r="P423" s="188">
        <f t="shared" si="25"/>
        <v>0</v>
      </c>
      <c r="Q423" s="187"/>
    </row>
    <row r="424" spans="16:17">
      <c r="P424" s="188">
        <f t="shared" si="25"/>
        <v>0</v>
      </c>
      <c r="Q424" s="187"/>
    </row>
    <row r="425" spans="16:17">
      <c r="P425" s="188">
        <f t="shared" si="25"/>
        <v>0</v>
      </c>
      <c r="Q425" s="187"/>
    </row>
    <row r="426" spans="16:17">
      <c r="P426" s="188">
        <f t="shared" si="25"/>
        <v>0</v>
      </c>
      <c r="Q426" s="187"/>
    </row>
    <row r="427" spans="16:17">
      <c r="P427" s="188">
        <f t="shared" si="25"/>
        <v>0</v>
      </c>
      <c r="Q427" s="187"/>
    </row>
    <row r="428" spans="16:17">
      <c r="P428" s="188">
        <f t="shared" si="25"/>
        <v>0</v>
      </c>
      <c r="Q428" s="187"/>
    </row>
    <row r="429" spans="16:17">
      <c r="P429" s="188">
        <f t="shared" si="25"/>
        <v>0</v>
      </c>
      <c r="Q429" s="187"/>
    </row>
    <row r="430" spans="16:17">
      <c r="P430" s="188">
        <f t="shared" si="25"/>
        <v>0</v>
      </c>
      <c r="Q430" s="187"/>
    </row>
    <row r="431" spans="16:17">
      <c r="P431" s="188">
        <f t="shared" si="25"/>
        <v>0</v>
      </c>
      <c r="Q431" s="187"/>
    </row>
    <row r="432" spans="16:17">
      <c r="P432" s="188">
        <f t="shared" si="25"/>
        <v>0</v>
      </c>
      <c r="Q432" s="187"/>
    </row>
    <row r="433" spans="16:17">
      <c r="P433" s="188">
        <f t="shared" si="25"/>
        <v>0</v>
      </c>
      <c r="Q433" s="187"/>
    </row>
    <row r="434" spans="16:17">
      <c r="P434" s="188">
        <f t="shared" si="25"/>
        <v>0</v>
      </c>
      <c r="Q434" s="187"/>
    </row>
    <row r="435" spans="16:17">
      <c r="P435" s="188">
        <f t="shared" si="25"/>
        <v>0</v>
      </c>
      <c r="Q435" s="187"/>
    </row>
    <row r="436" spans="16:17">
      <c r="P436" s="188">
        <f t="shared" si="25"/>
        <v>0</v>
      </c>
      <c r="Q436" s="187"/>
    </row>
    <row r="437" spans="16:17">
      <c r="P437" s="188">
        <f t="shared" si="25"/>
        <v>0</v>
      </c>
      <c r="Q437" s="187"/>
    </row>
    <row r="438" spans="16:17">
      <c r="P438" s="188">
        <f t="shared" si="25"/>
        <v>0</v>
      </c>
      <c r="Q438" s="187"/>
    </row>
    <row r="439" spans="16:17">
      <c r="P439" s="188">
        <f t="shared" si="25"/>
        <v>0</v>
      </c>
      <c r="Q439" s="187"/>
    </row>
    <row r="440" spans="16:17">
      <c r="P440" s="188">
        <f t="shared" si="25"/>
        <v>0</v>
      </c>
      <c r="Q440" s="187"/>
    </row>
    <row r="441" spans="16:17">
      <c r="P441" s="188">
        <f t="shared" si="25"/>
        <v>0</v>
      </c>
      <c r="Q441" s="187"/>
    </row>
    <row r="442" spans="16:17">
      <c r="P442" s="188">
        <f t="shared" si="25"/>
        <v>0</v>
      </c>
      <c r="Q442" s="187"/>
    </row>
    <row r="443" spans="16:17">
      <c r="P443" s="188">
        <f t="shared" si="25"/>
        <v>0</v>
      </c>
      <c r="Q443" s="187"/>
    </row>
    <row r="444" spans="16:17">
      <c r="P444" s="188">
        <f t="shared" si="25"/>
        <v>0</v>
      </c>
      <c r="Q444" s="187"/>
    </row>
    <row r="445" spans="16:17">
      <c r="P445" s="188">
        <f t="shared" si="25"/>
        <v>0</v>
      </c>
      <c r="Q445" s="187"/>
    </row>
    <row r="446" spans="16:17">
      <c r="P446" s="188">
        <f t="shared" si="25"/>
        <v>0</v>
      </c>
      <c r="Q446" s="187"/>
    </row>
    <row r="447" spans="16:17">
      <c r="P447" s="188">
        <f t="shared" si="25"/>
        <v>0</v>
      </c>
      <c r="Q447" s="187"/>
    </row>
    <row r="448" spans="16:17">
      <c r="P448" s="188">
        <f t="shared" si="25"/>
        <v>0</v>
      </c>
      <c r="Q448" s="187"/>
    </row>
    <row r="449" spans="16:17">
      <c r="P449" s="188">
        <f t="shared" si="25"/>
        <v>0</v>
      </c>
      <c r="Q449" s="187"/>
    </row>
    <row r="450" spans="16:17">
      <c r="P450" s="188">
        <f t="shared" si="25"/>
        <v>0</v>
      </c>
      <c r="Q450" s="187"/>
    </row>
    <row r="451" spans="16:17">
      <c r="P451" s="188">
        <f t="shared" si="25"/>
        <v>0</v>
      </c>
      <c r="Q451" s="187"/>
    </row>
    <row r="452" spans="16:17">
      <c r="P452" s="188">
        <f t="shared" si="25"/>
        <v>0</v>
      </c>
      <c r="Q452" s="187"/>
    </row>
    <row r="453" spans="16:17">
      <c r="P453" s="188">
        <f t="shared" si="25"/>
        <v>0</v>
      </c>
      <c r="Q453" s="187"/>
    </row>
    <row r="454" spans="16:17">
      <c r="P454" s="188">
        <f t="shared" si="25"/>
        <v>0</v>
      </c>
      <c r="Q454" s="187"/>
    </row>
    <row r="455" spans="16:17">
      <c r="P455" s="188">
        <f t="shared" si="25"/>
        <v>0</v>
      </c>
      <c r="Q455" s="187"/>
    </row>
    <row r="456" spans="16:17">
      <c r="P456" s="188">
        <f t="shared" si="25"/>
        <v>0</v>
      </c>
      <c r="Q456" s="187"/>
    </row>
    <row r="457" spans="16:17">
      <c r="P457" s="188">
        <f t="shared" si="25"/>
        <v>0</v>
      </c>
      <c r="Q457" s="187"/>
    </row>
    <row r="458" spans="16:17">
      <c r="P458" s="188">
        <f t="shared" si="25"/>
        <v>0</v>
      </c>
      <c r="Q458" s="187"/>
    </row>
    <row r="459" spans="16:17">
      <c r="P459" s="188">
        <f t="shared" si="25"/>
        <v>0</v>
      </c>
      <c r="Q459" s="187"/>
    </row>
    <row r="460" spans="16:17">
      <c r="P460" s="188">
        <f t="shared" si="25"/>
        <v>0</v>
      </c>
      <c r="Q460" s="187"/>
    </row>
    <row r="461" spans="16:17">
      <c r="P461" s="188">
        <f t="shared" si="25"/>
        <v>0</v>
      </c>
      <c r="Q461" s="187"/>
    </row>
    <row r="462" spans="16:17">
      <c r="P462" s="188">
        <f t="shared" si="25"/>
        <v>0</v>
      </c>
      <c r="Q462" s="187"/>
    </row>
    <row r="463" spans="16:17">
      <c r="P463" s="188">
        <f t="shared" si="25"/>
        <v>0</v>
      </c>
      <c r="Q463" s="187"/>
    </row>
    <row r="464" spans="16:17">
      <c r="P464" s="188">
        <f t="shared" si="25"/>
        <v>0</v>
      </c>
      <c r="Q464" s="187"/>
    </row>
    <row r="465" spans="16:17">
      <c r="P465" s="188">
        <f t="shared" si="25"/>
        <v>0</v>
      </c>
      <c r="Q465" s="187"/>
    </row>
    <row r="466" spans="16:17">
      <c r="P466" s="188">
        <f t="shared" si="25"/>
        <v>0</v>
      </c>
      <c r="Q466" s="187"/>
    </row>
    <row r="467" spans="16:17">
      <c r="P467" s="188">
        <f t="shared" si="25"/>
        <v>0</v>
      </c>
      <c r="Q467" s="187"/>
    </row>
    <row r="468" spans="16:17">
      <c r="P468" s="188">
        <f t="shared" si="25"/>
        <v>0</v>
      </c>
      <c r="Q468" s="187"/>
    </row>
    <row r="469" spans="16:17">
      <c r="P469" s="188">
        <f t="shared" si="25"/>
        <v>0</v>
      </c>
      <c r="Q469" s="187"/>
    </row>
    <row r="470" spans="16:17">
      <c r="P470" s="188">
        <f t="shared" si="25"/>
        <v>0</v>
      </c>
      <c r="Q470" s="187"/>
    </row>
    <row r="471" spans="16:17">
      <c r="P471" s="188">
        <f t="shared" si="25"/>
        <v>0</v>
      </c>
      <c r="Q471" s="187"/>
    </row>
    <row r="472" spans="16:17">
      <c r="P472" s="188">
        <f t="shared" si="25"/>
        <v>0</v>
      </c>
      <c r="Q472" s="187"/>
    </row>
    <row r="473" spans="16:17">
      <c r="P473" s="188">
        <f t="shared" si="25"/>
        <v>0</v>
      </c>
      <c r="Q473" s="187"/>
    </row>
    <row r="474" spans="16:17">
      <c r="P474" s="188">
        <f t="shared" si="25"/>
        <v>0</v>
      </c>
      <c r="Q474" s="187"/>
    </row>
    <row r="475" spans="16:17">
      <c r="P475" s="188">
        <f t="shared" si="25"/>
        <v>0</v>
      </c>
      <c r="Q475" s="187"/>
    </row>
    <row r="476" spans="16:17">
      <c r="P476" s="188">
        <f t="shared" ref="P476:P539" si="26">IFERROR(IF($I476="Rotary",LEFT($O476,9),$O476),"")</f>
        <v>0</v>
      </c>
      <c r="Q476" s="187"/>
    </row>
    <row r="477" spans="16:17">
      <c r="P477" s="188">
        <f t="shared" si="26"/>
        <v>0</v>
      </c>
      <c r="Q477" s="187"/>
    </row>
    <row r="478" spans="16:17">
      <c r="P478" s="188">
        <f t="shared" si="26"/>
        <v>0</v>
      </c>
      <c r="Q478" s="187"/>
    </row>
    <row r="479" spans="16:17">
      <c r="P479" s="188">
        <f t="shared" si="26"/>
        <v>0</v>
      </c>
      <c r="Q479" s="187"/>
    </row>
    <row r="480" spans="16:17">
      <c r="P480" s="188">
        <f t="shared" si="26"/>
        <v>0</v>
      </c>
      <c r="Q480" s="187"/>
    </row>
    <row r="481" spans="16:17">
      <c r="P481" s="188">
        <f t="shared" si="26"/>
        <v>0</v>
      </c>
      <c r="Q481" s="187"/>
    </row>
    <row r="482" spans="16:17">
      <c r="P482" s="188">
        <f t="shared" si="26"/>
        <v>0</v>
      </c>
      <c r="Q482" s="187"/>
    </row>
    <row r="483" spans="16:17">
      <c r="P483" s="188">
        <f t="shared" si="26"/>
        <v>0</v>
      </c>
      <c r="Q483" s="187"/>
    </row>
    <row r="484" spans="16:17">
      <c r="P484" s="188">
        <f t="shared" si="26"/>
        <v>0</v>
      </c>
      <c r="Q484" s="187"/>
    </row>
    <row r="485" spans="16:17">
      <c r="P485" s="188">
        <f t="shared" si="26"/>
        <v>0</v>
      </c>
      <c r="Q485" s="187"/>
    </row>
    <row r="486" spans="16:17">
      <c r="P486" s="188">
        <f t="shared" si="26"/>
        <v>0</v>
      </c>
      <c r="Q486" s="187"/>
    </row>
    <row r="487" spans="16:17">
      <c r="P487" s="188">
        <f t="shared" si="26"/>
        <v>0</v>
      </c>
      <c r="Q487" s="187"/>
    </row>
    <row r="488" spans="16:17">
      <c r="P488" s="188">
        <f t="shared" si="26"/>
        <v>0</v>
      </c>
      <c r="Q488" s="187"/>
    </row>
    <row r="489" spans="16:17">
      <c r="P489" s="188">
        <f t="shared" si="26"/>
        <v>0</v>
      </c>
      <c r="Q489" s="187"/>
    </row>
    <row r="490" spans="16:17">
      <c r="P490" s="188">
        <f t="shared" si="26"/>
        <v>0</v>
      </c>
      <c r="Q490" s="187"/>
    </row>
    <row r="491" spans="16:17">
      <c r="P491" s="188">
        <f t="shared" si="26"/>
        <v>0</v>
      </c>
      <c r="Q491" s="187"/>
    </row>
    <row r="492" spans="16:17">
      <c r="P492" s="188">
        <f t="shared" si="26"/>
        <v>0</v>
      </c>
      <c r="Q492" s="187"/>
    </row>
    <row r="493" spans="16:17">
      <c r="P493" s="188">
        <f t="shared" si="26"/>
        <v>0</v>
      </c>
      <c r="Q493" s="187"/>
    </row>
    <row r="494" spans="16:17">
      <c r="P494" s="188">
        <f t="shared" si="26"/>
        <v>0</v>
      </c>
      <c r="Q494" s="187"/>
    </row>
    <row r="495" spans="16:17">
      <c r="P495" s="188">
        <f t="shared" si="26"/>
        <v>0</v>
      </c>
      <c r="Q495" s="187"/>
    </row>
    <row r="496" spans="16:17">
      <c r="P496" s="188">
        <f t="shared" si="26"/>
        <v>0</v>
      </c>
      <c r="Q496" s="187"/>
    </row>
    <row r="497" spans="16:17">
      <c r="P497" s="188">
        <f t="shared" si="26"/>
        <v>0</v>
      </c>
      <c r="Q497" s="187"/>
    </row>
    <row r="498" spans="16:17">
      <c r="P498" s="188">
        <f t="shared" si="26"/>
        <v>0</v>
      </c>
      <c r="Q498" s="187"/>
    </row>
    <row r="499" spans="16:17">
      <c r="P499" s="188">
        <f t="shared" si="26"/>
        <v>0</v>
      </c>
      <c r="Q499" s="187"/>
    </row>
    <row r="500" spans="16:17">
      <c r="P500" s="188">
        <f t="shared" si="26"/>
        <v>0</v>
      </c>
      <c r="Q500" s="187"/>
    </row>
    <row r="501" spans="16:17">
      <c r="P501" s="188">
        <f t="shared" si="26"/>
        <v>0</v>
      </c>
      <c r="Q501" s="187"/>
    </row>
    <row r="502" spans="16:17">
      <c r="P502" s="188">
        <f t="shared" si="26"/>
        <v>0</v>
      </c>
      <c r="Q502" s="187"/>
    </row>
    <row r="503" spans="16:17">
      <c r="P503" s="188">
        <f t="shared" si="26"/>
        <v>0</v>
      </c>
      <c r="Q503" s="187"/>
    </row>
    <row r="504" spans="16:17">
      <c r="P504" s="188">
        <f t="shared" si="26"/>
        <v>0</v>
      </c>
      <c r="Q504" s="187"/>
    </row>
    <row r="505" spans="16:17">
      <c r="P505" s="188">
        <f t="shared" si="26"/>
        <v>0</v>
      </c>
      <c r="Q505" s="187"/>
    </row>
    <row r="506" spans="16:17">
      <c r="P506" s="188">
        <f t="shared" si="26"/>
        <v>0</v>
      </c>
      <c r="Q506" s="187"/>
    </row>
    <row r="507" spans="16:17">
      <c r="P507" s="188">
        <f t="shared" si="26"/>
        <v>0</v>
      </c>
      <c r="Q507" s="187"/>
    </row>
    <row r="508" spans="16:17">
      <c r="P508" s="188">
        <f t="shared" si="26"/>
        <v>0</v>
      </c>
      <c r="Q508" s="187"/>
    </row>
    <row r="509" spans="16:17">
      <c r="P509" s="188">
        <f t="shared" si="26"/>
        <v>0</v>
      </c>
      <c r="Q509" s="187"/>
    </row>
    <row r="510" spans="16:17">
      <c r="P510" s="188">
        <f t="shared" si="26"/>
        <v>0</v>
      </c>
      <c r="Q510" s="187"/>
    </row>
    <row r="511" spans="16:17">
      <c r="P511" s="188">
        <f t="shared" si="26"/>
        <v>0</v>
      </c>
      <c r="Q511" s="187"/>
    </row>
    <row r="512" spans="16:17">
      <c r="P512" s="188">
        <f t="shared" si="26"/>
        <v>0</v>
      </c>
      <c r="Q512" s="187"/>
    </row>
    <row r="513" spans="16:17">
      <c r="P513" s="188">
        <f t="shared" si="26"/>
        <v>0</v>
      </c>
      <c r="Q513" s="187"/>
    </row>
    <row r="514" spans="16:17">
      <c r="P514" s="188">
        <f t="shared" si="26"/>
        <v>0</v>
      </c>
      <c r="Q514" s="187"/>
    </row>
    <row r="515" spans="16:17">
      <c r="P515" s="188">
        <f t="shared" si="26"/>
        <v>0</v>
      </c>
      <c r="Q515" s="187"/>
    </row>
    <row r="516" spans="16:17">
      <c r="P516" s="188">
        <f t="shared" si="26"/>
        <v>0</v>
      </c>
      <c r="Q516" s="187"/>
    </row>
    <row r="517" spans="16:17">
      <c r="P517" s="188">
        <f t="shared" si="26"/>
        <v>0</v>
      </c>
      <c r="Q517" s="187"/>
    </row>
    <row r="518" spans="16:17">
      <c r="P518" s="188">
        <f t="shared" si="26"/>
        <v>0</v>
      </c>
      <c r="Q518" s="187"/>
    </row>
    <row r="519" spans="16:17">
      <c r="P519" s="188">
        <f t="shared" si="26"/>
        <v>0</v>
      </c>
      <c r="Q519" s="187"/>
    </row>
    <row r="520" spans="16:17">
      <c r="P520" s="188">
        <f t="shared" si="26"/>
        <v>0</v>
      </c>
      <c r="Q520" s="187"/>
    </row>
    <row r="521" spans="16:17">
      <c r="P521" s="188">
        <f t="shared" si="26"/>
        <v>0</v>
      </c>
      <c r="Q521" s="187"/>
    </row>
    <row r="522" spans="16:17">
      <c r="P522" s="188">
        <f t="shared" si="26"/>
        <v>0</v>
      </c>
      <c r="Q522" s="187"/>
    </row>
    <row r="523" spans="16:17">
      <c r="P523" s="188">
        <f t="shared" si="26"/>
        <v>0</v>
      </c>
      <c r="Q523" s="187"/>
    </row>
    <row r="524" spans="16:17">
      <c r="P524" s="188">
        <f t="shared" si="26"/>
        <v>0</v>
      </c>
      <c r="Q524" s="187"/>
    </row>
    <row r="525" spans="16:17">
      <c r="P525" s="188">
        <f t="shared" si="26"/>
        <v>0</v>
      </c>
      <c r="Q525" s="187"/>
    </row>
    <row r="526" spans="16:17">
      <c r="P526" s="188">
        <f t="shared" si="26"/>
        <v>0</v>
      </c>
      <c r="Q526" s="187"/>
    </row>
    <row r="527" spans="16:17">
      <c r="P527" s="188">
        <f t="shared" si="26"/>
        <v>0</v>
      </c>
      <c r="Q527" s="187"/>
    </row>
    <row r="528" spans="16:17">
      <c r="P528" s="188">
        <f t="shared" si="26"/>
        <v>0</v>
      </c>
      <c r="Q528" s="187"/>
    </row>
    <row r="529" spans="16:17">
      <c r="P529" s="188">
        <f t="shared" si="26"/>
        <v>0</v>
      </c>
      <c r="Q529" s="187"/>
    </row>
    <row r="530" spans="16:17">
      <c r="P530" s="188">
        <f t="shared" si="26"/>
        <v>0</v>
      </c>
      <c r="Q530" s="187"/>
    </row>
    <row r="531" spans="16:17">
      <c r="P531" s="188">
        <f t="shared" si="26"/>
        <v>0</v>
      </c>
      <c r="Q531" s="187"/>
    </row>
    <row r="532" spans="16:17">
      <c r="P532" s="188">
        <f t="shared" si="26"/>
        <v>0</v>
      </c>
      <c r="Q532" s="187"/>
    </row>
    <row r="533" spans="16:17">
      <c r="P533" s="188">
        <f t="shared" si="26"/>
        <v>0</v>
      </c>
      <c r="Q533" s="187"/>
    </row>
    <row r="534" spans="16:17">
      <c r="P534" s="188">
        <f t="shared" si="26"/>
        <v>0</v>
      </c>
      <c r="Q534" s="187"/>
    </row>
    <row r="535" spans="16:17">
      <c r="P535" s="188">
        <f t="shared" si="26"/>
        <v>0</v>
      </c>
      <c r="Q535" s="187"/>
    </row>
    <row r="536" spans="16:17">
      <c r="P536" s="188">
        <f t="shared" si="26"/>
        <v>0</v>
      </c>
      <c r="Q536" s="187"/>
    </row>
    <row r="537" spans="16:17">
      <c r="P537" s="188">
        <f t="shared" si="26"/>
        <v>0</v>
      </c>
      <c r="Q537" s="187"/>
    </row>
    <row r="538" spans="16:17">
      <c r="P538" s="188">
        <f t="shared" si="26"/>
        <v>0</v>
      </c>
      <c r="Q538" s="187"/>
    </row>
    <row r="539" spans="16:17">
      <c r="P539" s="188">
        <f t="shared" si="26"/>
        <v>0</v>
      </c>
      <c r="Q539" s="187"/>
    </row>
    <row r="540" spans="16:17">
      <c r="P540" s="188">
        <f t="shared" ref="P540:P601" si="27">IFERROR(IF($I540="Rotary",LEFT($O540,9),$O540),"")</f>
        <v>0</v>
      </c>
      <c r="Q540" s="187"/>
    </row>
    <row r="541" spans="16:17">
      <c r="P541" s="188">
        <f t="shared" si="27"/>
        <v>0</v>
      </c>
      <c r="Q541" s="187"/>
    </row>
    <row r="542" spans="16:17">
      <c r="P542" s="188">
        <f t="shared" si="27"/>
        <v>0</v>
      </c>
      <c r="Q542" s="187"/>
    </row>
    <row r="543" spans="16:17">
      <c r="P543" s="188">
        <f t="shared" si="27"/>
        <v>0</v>
      </c>
      <c r="Q543" s="187"/>
    </row>
    <row r="544" spans="16:17">
      <c r="P544" s="188">
        <f t="shared" si="27"/>
        <v>0</v>
      </c>
      <c r="Q544" s="187"/>
    </row>
    <row r="545" spans="16:17">
      <c r="P545" s="188">
        <f t="shared" si="27"/>
        <v>0</v>
      </c>
      <c r="Q545" s="187"/>
    </row>
    <row r="546" spans="16:17">
      <c r="P546" s="188">
        <f t="shared" si="27"/>
        <v>0</v>
      </c>
      <c r="Q546" s="187"/>
    </row>
    <row r="547" spans="16:17">
      <c r="P547" s="188">
        <f t="shared" si="27"/>
        <v>0</v>
      </c>
      <c r="Q547" s="187"/>
    </row>
    <row r="548" spans="16:17">
      <c r="P548" s="188">
        <f t="shared" si="27"/>
        <v>0</v>
      </c>
      <c r="Q548" s="187"/>
    </row>
    <row r="549" spans="16:17">
      <c r="P549" s="188">
        <f t="shared" si="27"/>
        <v>0</v>
      </c>
      <c r="Q549" s="187"/>
    </row>
    <row r="550" spans="16:17">
      <c r="P550" s="188">
        <f t="shared" si="27"/>
        <v>0</v>
      </c>
      <c r="Q550" s="187"/>
    </row>
    <row r="551" spans="16:17">
      <c r="P551" s="188">
        <f t="shared" si="27"/>
        <v>0</v>
      </c>
      <c r="Q551" s="187"/>
    </row>
    <row r="552" spans="16:17">
      <c r="P552" s="188">
        <f t="shared" si="27"/>
        <v>0</v>
      </c>
      <c r="Q552" s="187"/>
    </row>
    <row r="553" spans="16:17">
      <c r="P553" s="188">
        <f t="shared" si="27"/>
        <v>0</v>
      </c>
      <c r="Q553" s="187"/>
    </row>
    <row r="554" spans="16:17">
      <c r="P554" s="188">
        <f t="shared" si="27"/>
        <v>0</v>
      </c>
      <c r="Q554" s="187"/>
    </row>
    <row r="555" spans="16:17">
      <c r="P555" s="188">
        <f t="shared" si="27"/>
        <v>0</v>
      </c>
      <c r="Q555" s="187"/>
    </row>
    <row r="556" spans="16:17">
      <c r="P556" s="188">
        <f t="shared" si="27"/>
        <v>0</v>
      </c>
      <c r="Q556" s="187"/>
    </row>
    <row r="557" spans="16:17">
      <c r="P557" s="188">
        <f t="shared" si="27"/>
        <v>0</v>
      </c>
      <c r="Q557" s="187"/>
    </row>
    <row r="558" spans="16:17">
      <c r="P558" s="188">
        <f t="shared" si="27"/>
        <v>0</v>
      </c>
      <c r="Q558" s="187"/>
    </row>
    <row r="559" spans="16:17">
      <c r="P559" s="188">
        <f t="shared" si="27"/>
        <v>0</v>
      </c>
      <c r="Q559" s="187"/>
    </row>
    <row r="560" spans="16:17">
      <c r="P560" s="188">
        <f t="shared" si="27"/>
        <v>0</v>
      </c>
      <c r="Q560" s="187"/>
    </row>
    <row r="561" spans="16:17">
      <c r="P561" s="188">
        <f t="shared" si="27"/>
        <v>0</v>
      </c>
      <c r="Q561" s="187"/>
    </row>
    <row r="562" spans="16:17">
      <c r="P562" s="188">
        <f t="shared" si="27"/>
        <v>0</v>
      </c>
      <c r="Q562" s="187"/>
    </row>
    <row r="563" spans="16:17">
      <c r="P563" s="188">
        <f t="shared" si="27"/>
        <v>0</v>
      </c>
      <c r="Q563" s="187"/>
    </row>
    <row r="564" spans="16:17">
      <c r="P564" s="188">
        <f t="shared" si="27"/>
        <v>0</v>
      </c>
      <c r="Q564" s="187"/>
    </row>
    <row r="565" spans="16:17">
      <c r="P565" s="188">
        <f t="shared" si="27"/>
        <v>0</v>
      </c>
      <c r="Q565" s="187"/>
    </row>
    <row r="566" spans="16:17">
      <c r="P566" s="188">
        <f t="shared" si="27"/>
        <v>0</v>
      </c>
      <c r="Q566" s="187"/>
    </row>
    <row r="567" spans="16:17">
      <c r="P567" s="188">
        <f t="shared" si="27"/>
        <v>0</v>
      </c>
      <c r="Q567" s="187"/>
    </row>
    <row r="568" spans="16:17">
      <c r="P568" s="188">
        <f t="shared" si="27"/>
        <v>0</v>
      </c>
      <c r="Q568" s="187"/>
    </row>
    <row r="569" spans="16:17">
      <c r="P569" s="188">
        <f t="shared" si="27"/>
        <v>0</v>
      </c>
      <c r="Q569" s="187"/>
    </row>
    <row r="570" spans="16:17">
      <c r="P570" s="188">
        <f t="shared" si="27"/>
        <v>0</v>
      </c>
      <c r="Q570" s="187"/>
    </row>
    <row r="571" spans="16:17">
      <c r="P571" s="188">
        <f t="shared" si="27"/>
        <v>0</v>
      </c>
      <c r="Q571" s="187"/>
    </row>
    <row r="572" spans="16:17">
      <c r="P572" s="188">
        <f t="shared" si="27"/>
        <v>0</v>
      </c>
      <c r="Q572" s="187"/>
    </row>
    <row r="573" spans="16:17">
      <c r="P573" s="188">
        <f t="shared" si="27"/>
        <v>0</v>
      </c>
      <c r="Q573" s="187"/>
    </row>
    <row r="574" spans="16:17">
      <c r="P574" s="188">
        <f t="shared" si="27"/>
        <v>0</v>
      </c>
      <c r="Q574" s="187"/>
    </row>
    <row r="575" spans="16:17">
      <c r="P575" s="188">
        <f t="shared" si="27"/>
        <v>0</v>
      </c>
      <c r="Q575" s="187"/>
    </row>
    <row r="576" spans="16:17">
      <c r="P576" s="188">
        <f t="shared" si="27"/>
        <v>0</v>
      </c>
      <c r="Q576" s="187"/>
    </row>
    <row r="577" spans="16:17">
      <c r="P577" s="188">
        <f t="shared" si="27"/>
        <v>0</v>
      </c>
      <c r="Q577" s="187"/>
    </row>
    <row r="578" spans="16:17">
      <c r="P578" s="188">
        <f t="shared" si="27"/>
        <v>0</v>
      </c>
      <c r="Q578" s="187"/>
    </row>
    <row r="579" spans="16:17">
      <c r="P579" s="188">
        <f t="shared" si="27"/>
        <v>0</v>
      </c>
      <c r="Q579" s="187"/>
    </row>
    <row r="580" spans="16:17">
      <c r="P580" s="188">
        <f t="shared" si="27"/>
        <v>0</v>
      </c>
      <c r="Q580" s="187"/>
    </row>
    <row r="581" spans="16:17">
      <c r="P581" s="188">
        <f t="shared" si="27"/>
        <v>0</v>
      </c>
      <c r="Q581" s="187"/>
    </row>
    <row r="582" spans="16:17">
      <c r="P582" s="188">
        <f t="shared" si="27"/>
        <v>0</v>
      </c>
      <c r="Q582" s="187"/>
    </row>
    <row r="583" spans="16:17">
      <c r="P583" s="188">
        <f t="shared" si="27"/>
        <v>0</v>
      </c>
      <c r="Q583" s="187"/>
    </row>
    <row r="584" spans="16:17">
      <c r="P584" s="188">
        <f t="shared" si="27"/>
        <v>0</v>
      </c>
      <c r="Q584" s="187"/>
    </row>
    <row r="585" spans="16:17">
      <c r="P585" s="188">
        <f t="shared" si="27"/>
        <v>0</v>
      </c>
      <c r="Q585" s="187"/>
    </row>
    <row r="586" spans="16:17">
      <c r="P586" s="188">
        <f t="shared" si="27"/>
        <v>0</v>
      </c>
      <c r="Q586" s="187"/>
    </row>
    <row r="587" spans="16:17">
      <c r="P587" s="188">
        <f t="shared" si="27"/>
        <v>0</v>
      </c>
      <c r="Q587" s="187"/>
    </row>
    <row r="588" spans="16:17">
      <c r="P588" s="188">
        <f t="shared" si="27"/>
        <v>0</v>
      </c>
      <c r="Q588" s="187"/>
    </row>
    <row r="589" spans="16:17">
      <c r="P589" s="188">
        <f t="shared" si="27"/>
        <v>0</v>
      </c>
      <c r="Q589" s="187"/>
    </row>
    <row r="590" spans="16:17">
      <c r="P590" s="188">
        <f t="shared" si="27"/>
        <v>0</v>
      </c>
      <c r="Q590" s="187"/>
    </row>
    <row r="591" spans="16:17">
      <c r="P591" s="188">
        <f t="shared" si="27"/>
        <v>0</v>
      </c>
      <c r="Q591" s="187"/>
    </row>
    <row r="592" spans="16:17">
      <c r="P592" s="188">
        <f t="shared" si="27"/>
        <v>0</v>
      </c>
      <c r="Q592" s="187"/>
    </row>
    <row r="593" spans="16:17">
      <c r="P593" s="188">
        <f t="shared" si="27"/>
        <v>0</v>
      </c>
      <c r="Q593" s="187"/>
    </row>
    <row r="594" spans="16:17">
      <c r="P594" s="188">
        <f t="shared" si="27"/>
        <v>0</v>
      </c>
      <c r="Q594" s="187"/>
    </row>
    <row r="595" spans="16:17">
      <c r="P595" s="188">
        <f t="shared" si="27"/>
        <v>0</v>
      </c>
      <c r="Q595" s="187"/>
    </row>
    <row r="596" spans="16:17">
      <c r="P596" s="188">
        <f t="shared" si="27"/>
        <v>0</v>
      </c>
      <c r="Q596" s="187"/>
    </row>
    <row r="597" spans="16:17">
      <c r="P597" s="188">
        <f t="shared" si="27"/>
        <v>0</v>
      </c>
      <c r="Q597" s="187"/>
    </row>
    <row r="598" spans="16:17">
      <c r="P598" s="188">
        <f t="shared" si="27"/>
        <v>0</v>
      </c>
      <c r="Q598" s="187"/>
    </row>
    <row r="599" spans="16:17">
      <c r="P599" s="188">
        <f t="shared" si="27"/>
        <v>0</v>
      </c>
      <c r="Q599" s="187"/>
    </row>
    <row r="600" spans="16:17">
      <c r="P600" s="188">
        <f t="shared" si="27"/>
        <v>0</v>
      </c>
      <c r="Q600" s="187"/>
    </row>
    <row r="601" spans="16:17">
      <c r="P601" s="188">
        <f t="shared" si="27"/>
        <v>0</v>
      </c>
      <c r="Q601" s="187"/>
    </row>
  </sheetData>
  <sheetProtection algorithmName="SHA-512" hashValue="hPL7RxlG/TBjEa2WdS8T82xCeKzrsrbIphePEHjKBahoNqO7VuEE5kU8lsGJKKpLhRuuvisLu0mnyCjeqsiR9w==" saltValue="wOubSH2h7q6uhvlF8yUn6w==" spinCount="100000" sheet="1" objects="1" scenarios="1"/>
  <mergeCells count="41">
    <mergeCell ref="N81:O81"/>
    <mergeCell ref="Y81:AB81"/>
    <mergeCell ref="N82:O82"/>
    <mergeCell ref="R82:T82"/>
    <mergeCell ref="N78:O78"/>
    <mergeCell ref="Y78:AB78"/>
    <mergeCell ref="N79:O79"/>
    <mergeCell ref="Y79:AB79"/>
    <mergeCell ref="N80:O80"/>
    <mergeCell ref="Y80:AB80"/>
    <mergeCell ref="W73:AB73"/>
    <mergeCell ref="Y74:AB74"/>
    <mergeCell ref="Y75:AB75"/>
    <mergeCell ref="Y76:AB76"/>
    <mergeCell ref="Y77:AB77"/>
    <mergeCell ref="Z7:Z8"/>
    <mergeCell ref="AA7:AA8"/>
    <mergeCell ref="AB7:AB8"/>
    <mergeCell ref="AC7:AC8"/>
    <mergeCell ref="AD7:AD8"/>
    <mergeCell ref="T7:T8"/>
    <mergeCell ref="U7:U8"/>
    <mergeCell ref="V7:W7"/>
    <mergeCell ref="X7:X8"/>
    <mergeCell ref="Y7:Y8"/>
    <mergeCell ref="B2:AB4"/>
    <mergeCell ref="B7:C8"/>
    <mergeCell ref="D7:D8"/>
    <mergeCell ref="E7:E8"/>
    <mergeCell ref="F7:F8"/>
    <mergeCell ref="G7:G8"/>
    <mergeCell ref="H7:H8"/>
    <mergeCell ref="I7:I8"/>
    <mergeCell ref="J7:J8"/>
    <mergeCell ref="K7:M7"/>
    <mergeCell ref="N7:N8"/>
    <mergeCell ref="O7:O8"/>
    <mergeCell ref="P7:P8"/>
    <mergeCell ref="Q7:Q8"/>
    <mergeCell ref="R7:R8"/>
    <mergeCell ref="S7:S8"/>
  </mergeCells>
  <phoneticPr fontId="2" type="noConversion"/>
  <conditionalFormatting sqref="N3">
    <cfRule type="cellIs" dxfId="3" priority="5" operator="equal">
      <formula>0</formula>
    </cfRule>
  </conditionalFormatting>
  <conditionalFormatting sqref="N9:N60">
    <cfRule type="cellIs" dxfId="2" priority="3" operator="equal">
      <formula>0</formula>
    </cfRule>
  </conditionalFormatting>
  <conditionalFormatting sqref="Y9:Y60">
    <cfRule type="expression" dxfId="1" priority="1">
      <formula>$N9=0</formula>
    </cfRule>
    <cfRule type="expression" dxfId="0" priority="2">
      <formula>$N9=0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8E80-82DA-49F9-85CE-A35BC245DC0B}">
  <dimension ref="A1:BL28"/>
  <sheetViews>
    <sheetView view="pageBreakPreview" zoomScaleNormal="100" zoomScaleSheetLayoutView="100" workbookViewId="0">
      <selection activeCell="AV13" sqref="AV13:BG13"/>
    </sheetView>
  </sheetViews>
  <sheetFormatPr defaultColWidth="1.68359375" defaultRowHeight="16.5"/>
  <cols>
    <col min="1" max="8" width="1.68359375" style="110"/>
    <col min="9" max="38" width="2.89453125" style="110" customWidth="1"/>
    <col min="39" max="16384" width="1.68359375" style="110"/>
  </cols>
  <sheetData>
    <row r="1" spans="1:64" ht="26.7" thickBot="1">
      <c r="A1" s="107" t="s">
        <v>52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9"/>
      <c r="BK1" s="109"/>
      <c r="BL1" s="109"/>
    </row>
    <row r="2" spans="1:64" ht="6" customHeight="1" thickTop="1" thickBo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2"/>
      <c r="BK2" s="112"/>
      <c r="BL2" s="112"/>
    </row>
    <row r="3" spans="1:64" ht="16.8" thickTop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09"/>
      <c r="BK3" s="109"/>
      <c r="BL3" s="109"/>
    </row>
    <row r="4" spans="1:64">
      <c r="A4" s="110" t="s">
        <v>321</v>
      </c>
    </row>
    <row r="5" spans="1:64">
      <c r="A5" s="559" t="s">
        <v>0</v>
      </c>
      <c r="B5" s="560"/>
      <c r="C5" s="560"/>
      <c r="D5" s="560"/>
      <c r="E5" s="560"/>
      <c r="F5" s="560"/>
      <c r="G5" s="560"/>
      <c r="H5" s="561"/>
      <c r="I5" s="559" t="s">
        <v>1</v>
      </c>
      <c r="J5" s="560"/>
      <c r="K5" s="560"/>
      <c r="L5" s="560"/>
      <c r="M5" s="560"/>
      <c r="N5" s="560"/>
      <c r="O5" s="560"/>
      <c r="P5" s="560"/>
      <c r="Q5" s="560"/>
      <c r="R5" s="560"/>
      <c r="S5" s="560"/>
      <c r="T5" s="560"/>
      <c r="U5" s="560"/>
      <c r="V5" s="560"/>
      <c r="W5" s="560"/>
      <c r="X5" s="560"/>
      <c r="Y5" s="560"/>
      <c r="Z5" s="560"/>
      <c r="AA5" s="560"/>
      <c r="AB5" s="560"/>
      <c r="AC5" s="560"/>
      <c r="AD5" s="560"/>
      <c r="AE5" s="560"/>
      <c r="AF5" s="560"/>
      <c r="AG5" s="560"/>
      <c r="AH5" s="560"/>
      <c r="AI5" s="560"/>
      <c r="AJ5" s="560"/>
      <c r="AK5" s="560"/>
      <c r="AL5" s="561"/>
      <c r="AM5" s="583" t="s">
        <v>2</v>
      </c>
      <c r="AN5" s="584"/>
      <c r="AO5" s="585"/>
      <c r="AP5" s="586" t="s">
        <v>3</v>
      </c>
      <c r="AQ5" s="584"/>
      <c r="AR5" s="585"/>
      <c r="AS5" s="586" t="s">
        <v>4</v>
      </c>
      <c r="AT5" s="584"/>
      <c r="AU5" s="587"/>
      <c r="AV5" s="559" t="s">
        <v>5</v>
      </c>
      <c r="AW5" s="560"/>
      <c r="AX5" s="560"/>
      <c r="AY5" s="560"/>
      <c r="AZ5" s="560"/>
      <c r="BA5" s="560"/>
      <c r="BB5" s="560"/>
      <c r="BC5" s="560"/>
      <c r="BD5" s="560"/>
      <c r="BE5" s="560"/>
      <c r="BF5" s="560"/>
      <c r="BG5" s="561"/>
      <c r="BH5" s="559" t="s">
        <v>6</v>
      </c>
      <c r="BI5" s="560"/>
      <c r="BJ5" s="560"/>
      <c r="BK5" s="560"/>
      <c r="BL5" s="561"/>
    </row>
    <row r="6" spans="1:64">
      <c r="A6" s="562"/>
      <c r="B6" s="563"/>
      <c r="C6" s="563"/>
      <c r="D6" s="563"/>
      <c r="E6" s="563"/>
      <c r="F6" s="563"/>
      <c r="G6" s="563"/>
      <c r="H6" s="564"/>
      <c r="I6" s="562"/>
      <c r="J6" s="563"/>
      <c r="K6" s="563"/>
      <c r="L6" s="563"/>
      <c r="M6" s="563"/>
      <c r="N6" s="563"/>
      <c r="O6" s="563"/>
      <c r="P6" s="563"/>
      <c r="Q6" s="563"/>
      <c r="R6" s="563"/>
      <c r="S6" s="563"/>
      <c r="T6" s="563"/>
      <c r="U6" s="563"/>
      <c r="V6" s="563"/>
      <c r="W6" s="563"/>
      <c r="X6" s="563"/>
      <c r="Y6" s="563"/>
      <c r="Z6" s="563"/>
      <c r="AA6" s="563"/>
      <c r="AB6" s="563"/>
      <c r="AC6" s="563"/>
      <c r="AD6" s="563"/>
      <c r="AE6" s="563"/>
      <c r="AF6" s="563"/>
      <c r="AG6" s="563"/>
      <c r="AH6" s="563"/>
      <c r="AI6" s="563"/>
      <c r="AJ6" s="563"/>
      <c r="AK6" s="563"/>
      <c r="AL6" s="564"/>
      <c r="AM6" s="568" t="s">
        <v>7</v>
      </c>
      <c r="AN6" s="569"/>
      <c r="AO6" s="570"/>
      <c r="AP6" s="568" t="s">
        <v>8</v>
      </c>
      <c r="AQ6" s="569"/>
      <c r="AR6" s="577"/>
      <c r="AS6" s="580" t="s">
        <v>9</v>
      </c>
      <c r="AT6" s="569"/>
      <c r="AU6" s="570"/>
      <c r="AV6" s="562"/>
      <c r="AW6" s="563"/>
      <c r="AX6" s="563"/>
      <c r="AY6" s="563"/>
      <c r="AZ6" s="563"/>
      <c r="BA6" s="563"/>
      <c r="BB6" s="563"/>
      <c r="BC6" s="563"/>
      <c r="BD6" s="563"/>
      <c r="BE6" s="563"/>
      <c r="BF6" s="563"/>
      <c r="BG6" s="564"/>
      <c r="BH6" s="562"/>
      <c r="BI6" s="563"/>
      <c r="BJ6" s="563"/>
      <c r="BK6" s="563"/>
      <c r="BL6" s="564"/>
    </row>
    <row r="7" spans="1:64">
      <c r="A7" s="562"/>
      <c r="B7" s="563"/>
      <c r="C7" s="563"/>
      <c r="D7" s="563"/>
      <c r="E7" s="563"/>
      <c r="F7" s="563"/>
      <c r="G7" s="563"/>
      <c r="H7" s="564"/>
      <c r="I7" s="562"/>
      <c r="J7" s="563"/>
      <c r="K7" s="563"/>
      <c r="L7" s="563"/>
      <c r="M7" s="563"/>
      <c r="N7" s="563"/>
      <c r="O7" s="563"/>
      <c r="P7" s="563"/>
      <c r="Q7" s="563"/>
      <c r="R7" s="563"/>
      <c r="S7" s="563"/>
      <c r="T7" s="563"/>
      <c r="U7" s="563"/>
      <c r="V7" s="563"/>
      <c r="W7" s="563"/>
      <c r="X7" s="563"/>
      <c r="Y7" s="563"/>
      <c r="Z7" s="563"/>
      <c r="AA7" s="563"/>
      <c r="AB7" s="563"/>
      <c r="AC7" s="563"/>
      <c r="AD7" s="563"/>
      <c r="AE7" s="563"/>
      <c r="AF7" s="563"/>
      <c r="AG7" s="563"/>
      <c r="AH7" s="563"/>
      <c r="AI7" s="563"/>
      <c r="AJ7" s="563"/>
      <c r="AK7" s="563"/>
      <c r="AL7" s="564"/>
      <c r="AM7" s="571"/>
      <c r="AN7" s="572"/>
      <c r="AO7" s="573"/>
      <c r="AP7" s="571"/>
      <c r="AQ7" s="572"/>
      <c r="AR7" s="578"/>
      <c r="AS7" s="581"/>
      <c r="AT7" s="572"/>
      <c r="AU7" s="573"/>
      <c r="AV7" s="562"/>
      <c r="AW7" s="563"/>
      <c r="AX7" s="563"/>
      <c r="AY7" s="563"/>
      <c r="AZ7" s="563"/>
      <c r="BA7" s="563"/>
      <c r="BB7" s="563"/>
      <c r="BC7" s="563"/>
      <c r="BD7" s="563"/>
      <c r="BE7" s="563"/>
      <c r="BF7" s="563"/>
      <c r="BG7" s="564"/>
      <c r="BH7" s="562"/>
      <c r="BI7" s="563"/>
      <c r="BJ7" s="563"/>
      <c r="BK7" s="563"/>
      <c r="BL7" s="564"/>
    </row>
    <row r="8" spans="1:64">
      <c r="A8" s="565"/>
      <c r="B8" s="566"/>
      <c r="C8" s="566"/>
      <c r="D8" s="566"/>
      <c r="E8" s="566"/>
      <c r="F8" s="566"/>
      <c r="G8" s="566"/>
      <c r="H8" s="567"/>
      <c r="I8" s="565"/>
      <c r="J8" s="566"/>
      <c r="K8" s="566"/>
      <c r="L8" s="566"/>
      <c r="M8" s="566"/>
      <c r="N8" s="566"/>
      <c r="O8" s="566"/>
      <c r="P8" s="566"/>
      <c r="Q8" s="566"/>
      <c r="R8" s="566"/>
      <c r="S8" s="566"/>
      <c r="T8" s="566"/>
      <c r="U8" s="566"/>
      <c r="V8" s="566"/>
      <c r="W8" s="566"/>
      <c r="X8" s="566"/>
      <c r="Y8" s="566"/>
      <c r="Z8" s="566"/>
      <c r="AA8" s="566"/>
      <c r="AB8" s="566"/>
      <c r="AC8" s="566"/>
      <c r="AD8" s="566"/>
      <c r="AE8" s="566"/>
      <c r="AF8" s="566"/>
      <c r="AG8" s="566"/>
      <c r="AH8" s="566"/>
      <c r="AI8" s="566"/>
      <c r="AJ8" s="566"/>
      <c r="AK8" s="566"/>
      <c r="AL8" s="567"/>
      <c r="AM8" s="574"/>
      <c r="AN8" s="575"/>
      <c r="AO8" s="576"/>
      <c r="AP8" s="574"/>
      <c r="AQ8" s="575"/>
      <c r="AR8" s="579"/>
      <c r="AS8" s="582"/>
      <c r="AT8" s="575"/>
      <c r="AU8" s="576"/>
      <c r="AV8" s="565"/>
      <c r="AW8" s="566"/>
      <c r="AX8" s="566"/>
      <c r="AY8" s="566"/>
      <c r="AZ8" s="566"/>
      <c r="BA8" s="566"/>
      <c r="BB8" s="566"/>
      <c r="BC8" s="566"/>
      <c r="BD8" s="566"/>
      <c r="BE8" s="566"/>
      <c r="BF8" s="566"/>
      <c r="BG8" s="567"/>
      <c r="BH8" s="565"/>
      <c r="BI8" s="566"/>
      <c r="BJ8" s="566"/>
      <c r="BK8" s="566"/>
      <c r="BL8" s="567"/>
    </row>
    <row r="9" spans="1:64" ht="19.05" customHeight="1">
      <c r="A9" s="544">
        <v>41072</v>
      </c>
      <c r="B9" s="545"/>
      <c r="C9" s="545"/>
      <c r="D9" s="545"/>
      <c r="E9" s="545"/>
      <c r="F9" s="545"/>
      <c r="G9" s="545"/>
      <c r="H9" s="546"/>
      <c r="I9" s="547" t="s">
        <v>10</v>
      </c>
      <c r="J9" s="548"/>
      <c r="K9" s="548"/>
      <c r="L9" s="548"/>
      <c r="M9" s="548"/>
      <c r="N9" s="548"/>
      <c r="O9" s="548"/>
      <c r="P9" s="548"/>
      <c r="Q9" s="548"/>
      <c r="R9" s="548"/>
      <c r="S9" s="548"/>
      <c r="T9" s="548"/>
      <c r="U9" s="548"/>
      <c r="V9" s="548"/>
      <c r="W9" s="548"/>
      <c r="X9" s="548"/>
      <c r="Y9" s="548"/>
      <c r="Z9" s="548"/>
      <c r="AA9" s="548"/>
      <c r="AB9" s="548"/>
      <c r="AC9" s="548"/>
      <c r="AD9" s="548"/>
      <c r="AE9" s="548"/>
      <c r="AF9" s="548"/>
      <c r="AG9" s="548"/>
      <c r="AH9" s="548"/>
      <c r="AI9" s="548"/>
      <c r="AJ9" s="548"/>
      <c r="AK9" s="548"/>
      <c r="AL9" s="549"/>
      <c r="AM9" s="114"/>
      <c r="AN9" s="114"/>
      <c r="AO9" s="114"/>
      <c r="AP9" s="115"/>
      <c r="AQ9" s="114"/>
      <c r="AR9" s="116"/>
      <c r="AS9" s="114"/>
      <c r="AT9" s="114"/>
      <c r="AU9" s="114"/>
      <c r="AV9" s="556" t="s">
        <v>99</v>
      </c>
      <c r="AW9" s="557"/>
      <c r="AX9" s="557"/>
      <c r="AY9" s="557"/>
      <c r="AZ9" s="557"/>
      <c r="BA9" s="557"/>
      <c r="BB9" s="557"/>
      <c r="BC9" s="557"/>
      <c r="BD9" s="557"/>
      <c r="BE9" s="557"/>
      <c r="BF9" s="557"/>
      <c r="BG9" s="558"/>
      <c r="BH9" s="541"/>
      <c r="BI9" s="542"/>
      <c r="BJ9" s="542"/>
      <c r="BK9" s="542"/>
      <c r="BL9" s="543"/>
    </row>
    <row r="10" spans="1:64" ht="19.05" customHeight="1">
      <c r="A10" s="544">
        <v>44421</v>
      </c>
      <c r="B10" s="545"/>
      <c r="C10" s="545"/>
      <c r="D10" s="545"/>
      <c r="E10" s="545"/>
      <c r="F10" s="545"/>
      <c r="G10" s="545"/>
      <c r="H10" s="546"/>
      <c r="I10" s="547" t="s">
        <v>100</v>
      </c>
      <c r="J10" s="548"/>
      <c r="K10" s="548"/>
      <c r="L10" s="548"/>
      <c r="M10" s="548"/>
      <c r="N10" s="548"/>
      <c r="O10" s="548"/>
      <c r="P10" s="548"/>
      <c r="Q10" s="548"/>
      <c r="R10" s="548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8"/>
      <c r="AH10" s="548"/>
      <c r="AI10" s="548"/>
      <c r="AJ10" s="548"/>
      <c r="AK10" s="548"/>
      <c r="AL10" s="549"/>
      <c r="AM10" s="550" t="s">
        <v>101</v>
      </c>
      <c r="AN10" s="551"/>
      <c r="AO10" s="552"/>
      <c r="AP10" s="541"/>
      <c r="AQ10" s="542"/>
      <c r="AR10" s="543"/>
      <c r="AS10" s="553" t="s">
        <v>102</v>
      </c>
      <c r="AT10" s="554"/>
      <c r="AU10" s="555"/>
      <c r="AV10" s="556" t="s">
        <v>103</v>
      </c>
      <c r="AW10" s="557"/>
      <c r="AX10" s="557"/>
      <c r="AY10" s="557"/>
      <c r="AZ10" s="557"/>
      <c r="BA10" s="557"/>
      <c r="BB10" s="557"/>
      <c r="BC10" s="557"/>
      <c r="BD10" s="557"/>
      <c r="BE10" s="557"/>
      <c r="BF10" s="557"/>
      <c r="BG10" s="558"/>
      <c r="BH10" s="541"/>
      <c r="BI10" s="542"/>
      <c r="BJ10" s="542"/>
      <c r="BK10" s="542"/>
      <c r="BL10" s="543"/>
    </row>
    <row r="11" spans="1:64" ht="19.05" customHeight="1">
      <c r="A11" s="544">
        <v>44449</v>
      </c>
      <c r="B11" s="545"/>
      <c r="C11" s="545"/>
      <c r="D11" s="545"/>
      <c r="E11" s="545"/>
      <c r="F11" s="545"/>
      <c r="G11" s="545"/>
      <c r="H11" s="546"/>
      <c r="I11" s="547" t="s">
        <v>322</v>
      </c>
      <c r="J11" s="548"/>
      <c r="K11" s="548"/>
      <c r="L11" s="548"/>
      <c r="M11" s="548"/>
      <c r="N11" s="548"/>
      <c r="O11" s="548"/>
      <c r="P11" s="548"/>
      <c r="Q11" s="548"/>
      <c r="R11" s="548"/>
      <c r="S11" s="548"/>
      <c r="T11" s="548"/>
      <c r="U11" s="548"/>
      <c r="V11" s="548"/>
      <c r="W11" s="548"/>
      <c r="X11" s="548"/>
      <c r="Y11" s="548"/>
      <c r="Z11" s="548"/>
      <c r="AA11" s="548"/>
      <c r="AB11" s="548"/>
      <c r="AC11" s="548"/>
      <c r="AD11" s="548"/>
      <c r="AE11" s="548"/>
      <c r="AF11" s="548"/>
      <c r="AG11" s="548"/>
      <c r="AH11" s="548"/>
      <c r="AI11" s="548"/>
      <c r="AJ11" s="548"/>
      <c r="AK11" s="548"/>
      <c r="AL11" s="549"/>
      <c r="AM11" s="550" t="s">
        <v>101</v>
      </c>
      <c r="AN11" s="551"/>
      <c r="AO11" s="552"/>
      <c r="AP11" s="541"/>
      <c r="AQ11" s="542"/>
      <c r="AR11" s="543"/>
      <c r="AS11" s="553" t="s">
        <v>102</v>
      </c>
      <c r="AT11" s="554"/>
      <c r="AU11" s="555"/>
      <c r="AV11" s="556" t="s">
        <v>104</v>
      </c>
      <c r="AW11" s="557"/>
      <c r="AX11" s="557"/>
      <c r="AY11" s="557"/>
      <c r="AZ11" s="557"/>
      <c r="BA11" s="557"/>
      <c r="BB11" s="557"/>
      <c r="BC11" s="557"/>
      <c r="BD11" s="557"/>
      <c r="BE11" s="557"/>
      <c r="BF11" s="557"/>
      <c r="BG11" s="558"/>
      <c r="BH11" s="541"/>
      <c r="BI11" s="542"/>
      <c r="BJ11" s="542"/>
      <c r="BK11" s="542"/>
      <c r="BL11" s="543"/>
    </row>
    <row r="12" spans="1:64" ht="19.05" customHeight="1">
      <c r="A12" s="544">
        <v>44462</v>
      </c>
      <c r="B12" s="545"/>
      <c r="C12" s="545"/>
      <c r="D12" s="545"/>
      <c r="E12" s="545"/>
      <c r="F12" s="545"/>
      <c r="G12" s="545"/>
      <c r="H12" s="546"/>
      <c r="I12" s="547" t="s">
        <v>105</v>
      </c>
      <c r="J12" s="548"/>
      <c r="K12" s="548"/>
      <c r="L12" s="548"/>
      <c r="M12" s="548"/>
      <c r="N12" s="548"/>
      <c r="O12" s="548"/>
      <c r="P12" s="548"/>
      <c r="Q12" s="548"/>
      <c r="R12" s="548"/>
      <c r="S12" s="548"/>
      <c r="T12" s="548"/>
      <c r="U12" s="548"/>
      <c r="V12" s="548"/>
      <c r="W12" s="548"/>
      <c r="X12" s="548"/>
      <c r="Y12" s="548"/>
      <c r="Z12" s="548"/>
      <c r="AA12" s="548"/>
      <c r="AB12" s="548"/>
      <c r="AC12" s="548"/>
      <c r="AD12" s="548"/>
      <c r="AE12" s="548"/>
      <c r="AF12" s="548"/>
      <c r="AG12" s="548"/>
      <c r="AH12" s="548"/>
      <c r="AI12" s="548"/>
      <c r="AJ12" s="548"/>
      <c r="AK12" s="548"/>
      <c r="AL12" s="549"/>
      <c r="AM12" s="550" t="s">
        <v>101</v>
      </c>
      <c r="AN12" s="551"/>
      <c r="AO12" s="552"/>
      <c r="AP12" s="541"/>
      <c r="AQ12" s="542"/>
      <c r="AR12" s="543"/>
      <c r="AS12" s="553" t="s">
        <v>102</v>
      </c>
      <c r="AT12" s="554"/>
      <c r="AU12" s="555"/>
      <c r="AV12" s="556" t="s">
        <v>104</v>
      </c>
      <c r="AW12" s="557"/>
      <c r="AX12" s="557"/>
      <c r="AY12" s="557"/>
      <c r="AZ12" s="557"/>
      <c r="BA12" s="557"/>
      <c r="BB12" s="557"/>
      <c r="BC12" s="557"/>
      <c r="BD12" s="557"/>
      <c r="BE12" s="557"/>
      <c r="BF12" s="557"/>
      <c r="BG12" s="558"/>
      <c r="BH12" s="541"/>
      <c r="BI12" s="542"/>
      <c r="BJ12" s="542"/>
      <c r="BK12" s="542"/>
      <c r="BL12" s="543"/>
    </row>
    <row r="13" spans="1:64" ht="19.05" customHeight="1">
      <c r="A13" s="544"/>
      <c r="B13" s="545"/>
      <c r="C13" s="545"/>
      <c r="D13" s="545"/>
      <c r="E13" s="545"/>
      <c r="F13" s="545"/>
      <c r="G13" s="545"/>
      <c r="H13" s="546"/>
      <c r="I13" s="547"/>
      <c r="J13" s="548"/>
      <c r="K13" s="548"/>
      <c r="L13" s="548"/>
      <c r="M13" s="548"/>
      <c r="N13" s="548"/>
      <c r="O13" s="548"/>
      <c r="P13" s="548"/>
      <c r="Q13" s="548"/>
      <c r="R13" s="548"/>
      <c r="S13" s="548"/>
      <c r="T13" s="548"/>
      <c r="U13" s="548"/>
      <c r="V13" s="548"/>
      <c r="W13" s="548"/>
      <c r="X13" s="548"/>
      <c r="Y13" s="548"/>
      <c r="Z13" s="548"/>
      <c r="AA13" s="548"/>
      <c r="AB13" s="548"/>
      <c r="AC13" s="548"/>
      <c r="AD13" s="548"/>
      <c r="AE13" s="548"/>
      <c r="AF13" s="548"/>
      <c r="AG13" s="548"/>
      <c r="AH13" s="548"/>
      <c r="AI13" s="548"/>
      <c r="AJ13" s="548"/>
      <c r="AK13" s="548"/>
      <c r="AL13" s="549"/>
      <c r="AM13" s="550"/>
      <c r="AN13" s="551"/>
      <c r="AO13" s="552"/>
      <c r="AP13" s="541"/>
      <c r="AQ13" s="542"/>
      <c r="AR13" s="543"/>
      <c r="AS13" s="553"/>
      <c r="AT13" s="554"/>
      <c r="AU13" s="555"/>
      <c r="AV13" s="556"/>
      <c r="AW13" s="557"/>
      <c r="AX13" s="557"/>
      <c r="AY13" s="557"/>
      <c r="AZ13" s="557"/>
      <c r="BA13" s="557"/>
      <c r="BB13" s="557"/>
      <c r="BC13" s="557"/>
      <c r="BD13" s="557"/>
      <c r="BE13" s="557"/>
      <c r="BF13" s="557"/>
      <c r="BG13" s="558"/>
      <c r="BH13" s="541"/>
      <c r="BI13" s="542"/>
      <c r="BJ13" s="542"/>
      <c r="BK13" s="542"/>
      <c r="BL13" s="543"/>
    </row>
    <row r="14" spans="1:64" ht="19.05" customHeight="1">
      <c r="A14" s="544"/>
      <c r="B14" s="545"/>
      <c r="C14" s="545"/>
      <c r="D14" s="545"/>
      <c r="E14" s="545"/>
      <c r="F14" s="545"/>
      <c r="G14" s="545"/>
      <c r="H14" s="546"/>
      <c r="I14" s="547"/>
      <c r="J14" s="548"/>
      <c r="K14" s="548"/>
      <c r="L14" s="548"/>
      <c r="M14" s="548"/>
      <c r="N14" s="548"/>
      <c r="O14" s="548"/>
      <c r="P14" s="548"/>
      <c r="Q14" s="548"/>
      <c r="R14" s="548"/>
      <c r="S14" s="548"/>
      <c r="T14" s="548"/>
      <c r="U14" s="548"/>
      <c r="V14" s="548"/>
      <c r="W14" s="548"/>
      <c r="X14" s="548"/>
      <c r="Y14" s="548"/>
      <c r="Z14" s="548"/>
      <c r="AA14" s="548"/>
      <c r="AB14" s="548"/>
      <c r="AC14" s="548"/>
      <c r="AD14" s="548"/>
      <c r="AE14" s="548"/>
      <c r="AF14" s="548"/>
      <c r="AG14" s="548"/>
      <c r="AH14" s="548"/>
      <c r="AI14" s="548"/>
      <c r="AJ14" s="548"/>
      <c r="AK14" s="548"/>
      <c r="AL14" s="549"/>
      <c r="AM14" s="550"/>
      <c r="AN14" s="551"/>
      <c r="AO14" s="552"/>
      <c r="AP14" s="541"/>
      <c r="AQ14" s="542"/>
      <c r="AR14" s="543"/>
      <c r="AS14" s="553"/>
      <c r="AT14" s="554"/>
      <c r="AU14" s="555"/>
      <c r="AV14" s="556"/>
      <c r="AW14" s="557"/>
      <c r="AX14" s="557"/>
      <c r="AY14" s="557"/>
      <c r="AZ14" s="557"/>
      <c r="BA14" s="557"/>
      <c r="BB14" s="557"/>
      <c r="BC14" s="557"/>
      <c r="BD14" s="557"/>
      <c r="BE14" s="557"/>
      <c r="BF14" s="557"/>
      <c r="BG14" s="558"/>
      <c r="BH14" s="541"/>
      <c r="BI14" s="542"/>
      <c r="BJ14" s="542"/>
      <c r="BK14" s="542"/>
      <c r="BL14" s="543"/>
    </row>
    <row r="15" spans="1:64" ht="19.05" customHeight="1">
      <c r="A15" s="544"/>
      <c r="B15" s="545"/>
      <c r="C15" s="545"/>
      <c r="D15" s="545"/>
      <c r="E15" s="545"/>
      <c r="F15" s="545"/>
      <c r="G15" s="545"/>
      <c r="H15" s="546"/>
      <c r="I15" s="547"/>
      <c r="J15" s="548"/>
      <c r="K15" s="548"/>
      <c r="L15" s="548"/>
      <c r="M15" s="548"/>
      <c r="N15" s="548"/>
      <c r="O15" s="548"/>
      <c r="P15" s="548"/>
      <c r="Q15" s="548"/>
      <c r="R15" s="548"/>
      <c r="S15" s="548"/>
      <c r="T15" s="548"/>
      <c r="U15" s="548"/>
      <c r="V15" s="548"/>
      <c r="W15" s="548"/>
      <c r="X15" s="548"/>
      <c r="Y15" s="548"/>
      <c r="Z15" s="548"/>
      <c r="AA15" s="548"/>
      <c r="AB15" s="548"/>
      <c r="AC15" s="548"/>
      <c r="AD15" s="548"/>
      <c r="AE15" s="548"/>
      <c r="AF15" s="548"/>
      <c r="AG15" s="548"/>
      <c r="AH15" s="548"/>
      <c r="AI15" s="548"/>
      <c r="AJ15" s="548"/>
      <c r="AK15" s="548"/>
      <c r="AL15" s="549"/>
      <c r="AM15" s="550"/>
      <c r="AN15" s="551"/>
      <c r="AO15" s="552"/>
      <c r="AP15" s="541"/>
      <c r="AQ15" s="542"/>
      <c r="AR15" s="543"/>
      <c r="AS15" s="553"/>
      <c r="AT15" s="554"/>
      <c r="AU15" s="555"/>
      <c r="AV15" s="556"/>
      <c r="AW15" s="557"/>
      <c r="AX15" s="557"/>
      <c r="AY15" s="557"/>
      <c r="AZ15" s="557"/>
      <c r="BA15" s="557"/>
      <c r="BB15" s="557"/>
      <c r="BC15" s="557"/>
      <c r="BD15" s="557"/>
      <c r="BE15" s="557"/>
      <c r="BF15" s="557"/>
      <c r="BG15" s="558"/>
      <c r="BH15" s="541"/>
      <c r="BI15" s="542"/>
      <c r="BJ15" s="542"/>
      <c r="BK15" s="542"/>
      <c r="BL15" s="543"/>
    </row>
    <row r="16" spans="1:64" ht="19.05" customHeight="1">
      <c r="A16" s="544"/>
      <c r="B16" s="545"/>
      <c r="C16" s="545"/>
      <c r="D16" s="545"/>
      <c r="E16" s="545"/>
      <c r="F16" s="545"/>
      <c r="G16" s="545"/>
      <c r="H16" s="546"/>
      <c r="I16" s="547"/>
      <c r="J16" s="548"/>
      <c r="K16" s="548"/>
      <c r="L16" s="548"/>
      <c r="M16" s="548"/>
      <c r="N16" s="548"/>
      <c r="O16" s="548"/>
      <c r="P16" s="548"/>
      <c r="Q16" s="548"/>
      <c r="R16" s="548"/>
      <c r="S16" s="548"/>
      <c r="T16" s="548"/>
      <c r="U16" s="548"/>
      <c r="V16" s="548"/>
      <c r="W16" s="548"/>
      <c r="X16" s="548"/>
      <c r="Y16" s="548"/>
      <c r="Z16" s="548"/>
      <c r="AA16" s="548"/>
      <c r="AB16" s="548"/>
      <c r="AC16" s="548"/>
      <c r="AD16" s="548"/>
      <c r="AE16" s="548"/>
      <c r="AF16" s="548"/>
      <c r="AG16" s="548"/>
      <c r="AH16" s="548"/>
      <c r="AI16" s="548"/>
      <c r="AJ16" s="548"/>
      <c r="AK16" s="548"/>
      <c r="AL16" s="549"/>
      <c r="AM16" s="550"/>
      <c r="AN16" s="551"/>
      <c r="AO16" s="552"/>
      <c r="AP16" s="541"/>
      <c r="AQ16" s="542"/>
      <c r="AR16" s="543"/>
      <c r="AS16" s="553"/>
      <c r="AT16" s="554"/>
      <c r="AU16" s="555"/>
      <c r="AV16" s="556"/>
      <c r="AW16" s="557"/>
      <c r="AX16" s="557"/>
      <c r="AY16" s="557"/>
      <c r="AZ16" s="557"/>
      <c r="BA16" s="557"/>
      <c r="BB16" s="557"/>
      <c r="BC16" s="557"/>
      <c r="BD16" s="557"/>
      <c r="BE16" s="557"/>
      <c r="BF16" s="557"/>
      <c r="BG16" s="558"/>
      <c r="BH16" s="541"/>
      <c r="BI16" s="542"/>
      <c r="BJ16" s="542"/>
      <c r="BK16" s="542"/>
      <c r="BL16" s="543"/>
    </row>
    <row r="17" spans="1:64" ht="19.05" customHeight="1">
      <c r="A17" s="544"/>
      <c r="B17" s="545"/>
      <c r="C17" s="545"/>
      <c r="D17" s="545"/>
      <c r="E17" s="545"/>
      <c r="F17" s="545"/>
      <c r="G17" s="545"/>
      <c r="H17" s="546"/>
      <c r="I17" s="547"/>
      <c r="J17" s="548"/>
      <c r="K17" s="548"/>
      <c r="L17" s="548"/>
      <c r="M17" s="548"/>
      <c r="N17" s="548"/>
      <c r="O17" s="548"/>
      <c r="P17" s="548"/>
      <c r="Q17" s="548"/>
      <c r="R17" s="548"/>
      <c r="S17" s="548"/>
      <c r="T17" s="548"/>
      <c r="U17" s="548"/>
      <c r="V17" s="548"/>
      <c r="W17" s="548"/>
      <c r="X17" s="548"/>
      <c r="Y17" s="548"/>
      <c r="Z17" s="548"/>
      <c r="AA17" s="548"/>
      <c r="AB17" s="548"/>
      <c r="AC17" s="548"/>
      <c r="AD17" s="548"/>
      <c r="AE17" s="548"/>
      <c r="AF17" s="548"/>
      <c r="AG17" s="548"/>
      <c r="AH17" s="548"/>
      <c r="AI17" s="548"/>
      <c r="AJ17" s="548"/>
      <c r="AK17" s="548"/>
      <c r="AL17" s="549"/>
      <c r="AM17" s="550"/>
      <c r="AN17" s="551"/>
      <c r="AO17" s="552"/>
      <c r="AP17" s="541"/>
      <c r="AQ17" s="542"/>
      <c r="AR17" s="543"/>
      <c r="AS17" s="553"/>
      <c r="AT17" s="554"/>
      <c r="AU17" s="555"/>
      <c r="AV17" s="556"/>
      <c r="AW17" s="557"/>
      <c r="AX17" s="557"/>
      <c r="AY17" s="557"/>
      <c r="AZ17" s="557"/>
      <c r="BA17" s="557"/>
      <c r="BB17" s="557"/>
      <c r="BC17" s="557"/>
      <c r="BD17" s="557"/>
      <c r="BE17" s="557"/>
      <c r="BF17" s="557"/>
      <c r="BG17" s="558"/>
      <c r="BH17" s="541"/>
      <c r="BI17" s="542"/>
      <c r="BJ17" s="542"/>
      <c r="BK17" s="542"/>
      <c r="BL17" s="543"/>
    </row>
    <row r="18" spans="1:64" ht="19.05" customHeight="1">
      <c r="A18" s="544"/>
      <c r="B18" s="545"/>
      <c r="C18" s="545"/>
      <c r="D18" s="545"/>
      <c r="E18" s="545"/>
      <c r="F18" s="545"/>
      <c r="G18" s="545"/>
      <c r="H18" s="546"/>
      <c r="I18" s="547"/>
      <c r="J18" s="548"/>
      <c r="K18" s="548"/>
      <c r="L18" s="548"/>
      <c r="M18" s="548"/>
      <c r="N18" s="548"/>
      <c r="O18" s="548"/>
      <c r="P18" s="548"/>
      <c r="Q18" s="548"/>
      <c r="R18" s="548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8"/>
      <c r="AH18" s="548"/>
      <c r="AI18" s="548"/>
      <c r="AJ18" s="548"/>
      <c r="AK18" s="548"/>
      <c r="AL18" s="549"/>
      <c r="AM18" s="550"/>
      <c r="AN18" s="551"/>
      <c r="AO18" s="552"/>
      <c r="AP18" s="541"/>
      <c r="AQ18" s="542"/>
      <c r="AR18" s="543"/>
      <c r="AS18" s="553"/>
      <c r="AT18" s="554"/>
      <c r="AU18" s="555"/>
      <c r="AV18" s="556"/>
      <c r="AW18" s="557"/>
      <c r="AX18" s="557"/>
      <c r="AY18" s="557"/>
      <c r="AZ18" s="557"/>
      <c r="BA18" s="557"/>
      <c r="BB18" s="557"/>
      <c r="BC18" s="557"/>
      <c r="BD18" s="557"/>
      <c r="BE18" s="557"/>
      <c r="BF18" s="557"/>
      <c r="BG18" s="558"/>
      <c r="BH18" s="541"/>
      <c r="BI18" s="542"/>
      <c r="BJ18" s="542"/>
      <c r="BK18" s="542"/>
      <c r="BL18" s="543"/>
    </row>
    <row r="19" spans="1:64" ht="19.05" customHeight="1">
      <c r="A19" s="544"/>
      <c r="B19" s="545"/>
      <c r="C19" s="545"/>
      <c r="D19" s="545"/>
      <c r="E19" s="545"/>
      <c r="F19" s="545"/>
      <c r="G19" s="545"/>
      <c r="H19" s="546"/>
      <c r="I19" s="547"/>
      <c r="J19" s="548"/>
      <c r="K19" s="548"/>
      <c r="L19" s="548"/>
      <c r="M19" s="548"/>
      <c r="N19" s="548"/>
      <c r="O19" s="548"/>
      <c r="P19" s="548"/>
      <c r="Q19" s="548"/>
      <c r="R19" s="548"/>
      <c r="S19" s="548"/>
      <c r="T19" s="548"/>
      <c r="U19" s="548"/>
      <c r="V19" s="548"/>
      <c r="W19" s="548"/>
      <c r="X19" s="548"/>
      <c r="Y19" s="548"/>
      <c r="Z19" s="548"/>
      <c r="AA19" s="548"/>
      <c r="AB19" s="548"/>
      <c r="AC19" s="548"/>
      <c r="AD19" s="548"/>
      <c r="AE19" s="548"/>
      <c r="AF19" s="548"/>
      <c r="AG19" s="548"/>
      <c r="AH19" s="548"/>
      <c r="AI19" s="548"/>
      <c r="AJ19" s="548"/>
      <c r="AK19" s="548"/>
      <c r="AL19" s="549"/>
      <c r="AM19" s="550"/>
      <c r="AN19" s="551"/>
      <c r="AO19" s="552"/>
      <c r="AP19" s="541"/>
      <c r="AQ19" s="542"/>
      <c r="AR19" s="543"/>
      <c r="AS19" s="553"/>
      <c r="AT19" s="554"/>
      <c r="AU19" s="555"/>
      <c r="AV19" s="556"/>
      <c r="AW19" s="557"/>
      <c r="AX19" s="557"/>
      <c r="AY19" s="557"/>
      <c r="AZ19" s="557"/>
      <c r="BA19" s="557"/>
      <c r="BB19" s="557"/>
      <c r="BC19" s="557"/>
      <c r="BD19" s="557"/>
      <c r="BE19" s="557"/>
      <c r="BF19" s="557"/>
      <c r="BG19" s="558"/>
      <c r="BH19" s="541"/>
      <c r="BI19" s="542"/>
      <c r="BJ19" s="542"/>
      <c r="BK19" s="542"/>
      <c r="BL19" s="543"/>
    </row>
    <row r="20" spans="1:64" ht="19.05" customHeight="1">
      <c r="A20" s="544"/>
      <c r="B20" s="545"/>
      <c r="C20" s="545"/>
      <c r="D20" s="545"/>
      <c r="E20" s="545"/>
      <c r="F20" s="545"/>
      <c r="G20" s="545"/>
      <c r="H20" s="546"/>
      <c r="I20" s="547"/>
      <c r="J20" s="548"/>
      <c r="K20" s="548"/>
      <c r="L20" s="548"/>
      <c r="M20" s="548"/>
      <c r="N20" s="548"/>
      <c r="O20" s="548"/>
      <c r="P20" s="548"/>
      <c r="Q20" s="548"/>
      <c r="R20" s="548"/>
      <c r="S20" s="548"/>
      <c r="T20" s="548"/>
      <c r="U20" s="548"/>
      <c r="V20" s="548"/>
      <c r="W20" s="548"/>
      <c r="X20" s="548"/>
      <c r="Y20" s="548"/>
      <c r="Z20" s="548"/>
      <c r="AA20" s="548"/>
      <c r="AB20" s="548"/>
      <c r="AC20" s="548"/>
      <c r="AD20" s="548"/>
      <c r="AE20" s="548"/>
      <c r="AF20" s="548"/>
      <c r="AG20" s="548"/>
      <c r="AH20" s="548"/>
      <c r="AI20" s="548"/>
      <c r="AJ20" s="548"/>
      <c r="AK20" s="548"/>
      <c r="AL20" s="549"/>
      <c r="AM20" s="550"/>
      <c r="AN20" s="551"/>
      <c r="AO20" s="552"/>
      <c r="AP20" s="541"/>
      <c r="AQ20" s="542"/>
      <c r="AR20" s="543"/>
      <c r="AS20" s="553"/>
      <c r="AT20" s="554"/>
      <c r="AU20" s="555"/>
      <c r="AV20" s="556"/>
      <c r="AW20" s="557"/>
      <c r="AX20" s="557"/>
      <c r="AY20" s="557"/>
      <c r="AZ20" s="557"/>
      <c r="BA20" s="557"/>
      <c r="BB20" s="557"/>
      <c r="BC20" s="557"/>
      <c r="BD20" s="557"/>
      <c r="BE20" s="557"/>
      <c r="BF20" s="557"/>
      <c r="BG20" s="558"/>
      <c r="BH20" s="541"/>
      <c r="BI20" s="542"/>
      <c r="BJ20" s="542"/>
      <c r="BK20" s="542"/>
      <c r="BL20" s="543"/>
    </row>
    <row r="21" spans="1:64" ht="19.05" customHeight="1">
      <c r="A21" s="544"/>
      <c r="B21" s="545"/>
      <c r="C21" s="545"/>
      <c r="D21" s="545"/>
      <c r="E21" s="545"/>
      <c r="F21" s="545"/>
      <c r="G21" s="545"/>
      <c r="H21" s="546"/>
      <c r="I21" s="547"/>
      <c r="J21" s="548"/>
      <c r="K21" s="548"/>
      <c r="L21" s="548"/>
      <c r="M21" s="548"/>
      <c r="N21" s="548"/>
      <c r="O21" s="548"/>
      <c r="P21" s="548"/>
      <c r="Q21" s="548"/>
      <c r="R21" s="548"/>
      <c r="S21" s="548"/>
      <c r="T21" s="548"/>
      <c r="U21" s="548"/>
      <c r="V21" s="548"/>
      <c r="W21" s="548"/>
      <c r="X21" s="548"/>
      <c r="Y21" s="548"/>
      <c r="Z21" s="548"/>
      <c r="AA21" s="548"/>
      <c r="AB21" s="548"/>
      <c r="AC21" s="548"/>
      <c r="AD21" s="548"/>
      <c r="AE21" s="548"/>
      <c r="AF21" s="548"/>
      <c r="AG21" s="548"/>
      <c r="AH21" s="548"/>
      <c r="AI21" s="548"/>
      <c r="AJ21" s="548"/>
      <c r="AK21" s="548"/>
      <c r="AL21" s="549"/>
      <c r="AM21" s="550"/>
      <c r="AN21" s="551"/>
      <c r="AO21" s="552"/>
      <c r="AP21" s="541"/>
      <c r="AQ21" s="542"/>
      <c r="AR21" s="543"/>
      <c r="AS21" s="553"/>
      <c r="AT21" s="554"/>
      <c r="AU21" s="555"/>
      <c r="AV21" s="556"/>
      <c r="AW21" s="557"/>
      <c r="AX21" s="557"/>
      <c r="AY21" s="557"/>
      <c r="AZ21" s="557"/>
      <c r="BA21" s="557"/>
      <c r="BB21" s="557"/>
      <c r="BC21" s="557"/>
      <c r="BD21" s="557"/>
      <c r="BE21" s="557"/>
      <c r="BF21" s="557"/>
      <c r="BG21" s="558"/>
      <c r="BH21" s="541"/>
      <c r="BI21" s="542"/>
      <c r="BJ21" s="542"/>
      <c r="BK21" s="542"/>
      <c r="BL21" s="543"/>
    </row>
    <row r="22" spans="1:64" ht="19.05" customHeight="1">
      <c r="A22" s="544"/>
      <c r="B22" s="545"/>
      <c r="C22" s="545"/>
      <c r="D22" s="545"/>
      <c r="E22" s="545"/>
      <c r="F22" s="545"/>
      <c r="G22" s="545"/>
      <c r="H22" s="546"/>
      <c r="I22" s="547"/>
      <c r="J22" s="548"/>
      <c r="K22" s="548"/>
      <c r="L22" s="548"/>
      <c r="M22" s="548"/>
      <c r="N22" s="548"/>
      <c r="O22" s="548"/>
      <c r="P22" s="548"/>
      <c r="Q22" s="548"/>
      <c r="R22" s="548"/>
      <c r="S22" s="548"/>
      <c r="T22" s="548"/>
      <c r="U22" s="548"/>
      <c r="V22" s="548"/>
      <c r="W22" s="548"/>
      <c r="X22" s="548"/>
      <c r="Y22" s="548"/>
      <c r="Z22" s="548"/>
      <c r="AA22" s="548"/>
      <c r="AB22" s="548"/>
      <c r="AC22" s="548"/>
      <c r="AD22" s="548"/>
      <c r="AE22" s="548"/>
      <c r="AF22" s="548"/>
      <c r="AG22" s="548"/>
      <c r="AH22" s="548"/>
      <c r="AI22" s="548"/>
      <c r="AJ22" s="548"/>
      <c r="AK22" s="548"/>
      <c r="AL22" s="549"/>
      <c r="AM22" s="550"/>
      <c r="AN22" s="551"/>
      <c r="AO22" s="552"/>
      <c r="AP22" s="541"/>
      <c r="AQ22" s="542"/>
      <c r="AR22" s="543"/>
      <c r="AS22" s="553"/>
      <c r="AT22" s="554"/>
      <c r="AU22" s="555"/>
      <c r="AV22" s="556"/>
      <c r="AW22" s="557"/>
      <c r="AX22" s="557"/>
      <c r="AY22" s="557"/>
      <c r="AZ22" s="557"/>
      <c r="BA22" s="557"/>
      <c r="BB22" s="557"/>
      <c r="BC22" s="557"/>
      <c r="BD22" s="557"/>
      <c r="BE22" s="557"/>
      <c r="BF22" s="557"/>
      <c r="BG22" s="558"/>
      <c r="BH22" s="541"/>
      <c r="BI22" s="542"/>
      <c r="BJ22" s="542"/>
      <c r="BK22" s="542"/>
      <c r="BL22" s="543"/>
    </row>
    <row r="23" spans="1:64" ht="19.05" customHeight="1">
      <c r="A23" s="544"/>
      <c r="B23" s="545"/>
      <c r="C23" s="545"/>
      <c r="D23" s="545"/>
      <c r="E23" s="545"/>
      <c r="F23" s="545"/>
      <c r="G23" s="545"/>
      <c r="H23" s="546"/>
      <c r="I23" s="547"/>
      <c r="J23" s="548"/>
      <c r="K23" s="548"/>
      <c r="L23" s="548"/>
      <c r="M23" s="548"/>
      <c r="N23" s="548"/>
      <c r="O23" s="548"/>
      <c r="P23" s="548"/>
      <c r="Q23" s="548"/>
      <c r="R23" s="548"/>
      <c r="S23" s="548"/>
      <c r="T23" s="548"/>
      <c r="U23" s="548"/>
      <c r="V23" s="548"/>
      <c r="W23" s="548"/>
      <c r="X23" s="548"/>
      <c r="Y23" s="548"/>
      <c r="Z23" s="548"/>
      <c r="AA23" s="548"/>
      <c r="AB23" s="548"/>
      <c r="AC23" s="548"/>
      <c r="AD23" s="548"/>
      <c r="AE23" s="548"/>
      <c r="AF23" s="548"/>
      <c r="AG23" s="548"/>
      <c r="AH23" s="548"/>
      <c r="AI23" s="548"/>
      <c r="AJ23" s="548"/>
      <c r="AK23" s="548"/>
      <c r="AL23" s="549"/>
      <c r="AM23" s="550"/>
      <c r="AN23" s="551"/>
      <c r="AO23" s="552"/>
      <c r="AP23" s="541"/>
      <c r="AQ23" s="542"/>
      <c r="AR23" s="543"/>
      <c r="AS23" s="553"/>
      <c r="AT23" s="554"/>
      <c r="AU23" s="555"/>
      <c r="AV23" s="556"/>
      <c r="AW23" s="557"/>
      <c r="AX23" s="557"/>
      <c r="AY23" s="557"/>
      <c r="AZ23" s="557"/>
      <c r="BA23" s="557"/>
      <c r="BB23" s="557"/>
      <c r="BC23" s="557"/>
      <c r="BD23" s="557"/>
      <c r="BE23" s="557"/>
      <c r="BF23" s="557"/>
      <c r="BG23" s="558"/>
      <c r="BH23" s="541"/>
      <c r="BI23" s="542"/>
      <c r="BJ23" s="542"/>
      <c r="BK23" s="542"/>
      <c r="BL23" s="543"/>
    </row>
    <row r="24" spans="1:64" ht="19.05" customHeight="1">
      <c r="A24" s="544"/>
      <c r="B24" s="545"/>
      <c r="C24" s="545"/>
      <c r="D24" s="545"/>
      <c r="E24" s="545"/>
      <c r="F24" s="545"/>
      <c r="G24" s="545"/>
      <c r="H24" s="546"/>
      <c r="I24" s="547"/>
      <c r="J24" s="548"/>
      <c r="K24" s="548"/>
      <c r="L24" s="548"/>
      <c r="M24" s="548"/>
      <c r="N24" s="548"/>
      <c r="O24" s="548"/>
      <c r="P24" s="548"/>
      <c r="Q24" s="548"/>
      <c r="R24" s="548"/>
      <c r="S24" s="548"/>
      <c r="T24" s="548"/>
      <c r="U24" s="548"/>
      <c r="V24" s="548"/>
      <c r="W24" s="548"/>
      <c r="X24" s="548"/>
      <c r="Y24" s="548"/>
      <c r="Z24" s="548"/>
      <c r="AA24" s="548"/>
      <c r="AB24" s="548"/>
      <c r="AC24" s="548"/>
      <c r="AD24" s="548"/>
      <c r="AE24" s="548"/>
      <c r="AF24" s="548"/>
      <c r="AG24" s="548"/>
      <c r="AH24" s="548"/>
      <c r="AI24" s="548"/>
      <c r="AJ24" s="548"/>
      <c r="AK24" s="548"/>
      <c r="AL24" s="549"/>
      <c r="AM24" s="550"/>
      <c r="AN24" s="551"/>
      <c r="AO24" s="552"/>
      <c r="AP24" s="541"/>
      <c r="AQ24" s="542"/>
      <c r="AR24" s="543"/>
      <c r="AS24" s="553"/>
      <c r="AT24" s="554"/>
      <c r="AU24" s="555"/>
      <c r="AV24" s="556"/>
      <c r="AW24" s="557"/>
      <c r="AX24" s="557"/>
      <c r="AY24" s="557"/>
      <c r="AZ24" s="557"/>
      <c r="BA24" s="557"/>
      <c r="BB24" s="557"/>
      <c r="BC24" s="557"/>
      <c r="BD24" s="557"/>
      <c r="BE24" s="557"/>
      <c r="BF24" s="557"/>
      <c r="BG24" s="558"/>
      <c r="BH24" s="541"/>
      <c r="BI24" s="542"/>
      <c r="BJ24" s="542"/>
      <c r="BK24" s="542"/>
      <c r="BL24" s="543"/>
    </row>
    <row r="25" spans="1:64" ht="19.05" customHeight="1">
      <c r="A25" s="544"/>
      <c r="B25" s="545"/>
      <c r="C25" s="545"/>
      <c r="D25" s="545"/>
      <c r="E25" s="545"/>
      <c r="F25" s="545"/>
      <c r="G25" s="545"/>
      <c r="H25" s="546"/>
      <c r="I25" s="547"/>
      <c r="J25" s="548"/>
      <c r="K25" s="548"/>
      <c r="L25" s="548"/>
      <c r="M25" s="548"/>
      <c r="N25" s="548"/>
      <c r="O25" s="548"/>
      <c r="P25" s="548"/>
      <c r="Q25" s="548"/>
      <c r="R25" s="548"/>
      <c r="S25" s="548"/>
      <c r="T25" s="548"/>
      <c r="U25" s="548"/>
      <c r="V25" s="548"/>
      <c r="W25" s="548"/>
      <c r="X25" s="548"/>
      <c r="Y25" s="548"/>
      <c r="Z25" s="548"/>
      <c r="AA25" s="548"/>
      <c r="AB25" s="548"/>
      <c r="AC25" s="548"/>
      <c r="AD25" s="548"/>
      <c r="AE25" s="548"/>
      <c r="AF25" s="548"/>
      <c r="AG25" s="548"/>
      <c r="AH25" s="548"/>
      <c r="AI25" s="548"/>
      <c r="AJ25" s="548"/>
      <c r="AK25" s="548"/>
      <c r="AL25" s="549"/>
      <c r="AM25" s="550"/>
      <c r="AN25" s="551"/>
      <c r="AO25" s="552"/>
      <c r="AP25" s="541"/>
      <c r="AQ25" s="542"/>
      <c r="AR25" s="543"/>
      <c r="AS25" s="553"/>
      <c r="AT25" s="554"/>
      <c r="AU25" s="555"/>
      <c r="AV25" s="556"/>
      <c r="AW25" s="557"/>
      <c r="AX25" s="557"/>
      <c r="AY25" s="557"/>
      <c r="AZ25" s="557"/>
      <c r="BA25" s="557"/>
      <c r="BB25" s="557"/>
      <c r="BC25" s="557"/>
      <c r="BD25" s="557"/>
      <c r="BE25" s="557"/>
      <c r="BF25" s="557"/>
      <c r="BG25" s="558"/>
      <c r="BH25" s="541"/>
      <c r="BI25" s="542"/>
      <c r="BJ25" s="542"/>
      <c r="BK25" s="542"/>
      <c r="BL25" s="543"/>
    </row>
    <row r="26" spans="1:64" ht="19.05" customHeight="1">
      <c r="A26" s="544"/>
      <c r="B26" s="545"/>
      <c r="C26" s="545"/>
      <c r="D26" s="545"/>
      <c r="E26" s="545"/>
      <c r="F26" s="545"/>
      <c r="G26" s="545"/>
      <c r="H26" s="546"/>
      <c r="I26" s="547"/>
      <c r="J26" s="548"/>
      <c r="K26" s="548"/>
      <c r="L26" s="548"/>
      <c r="M26" s="548"/>
      <c r="N26" s="548"/>
      <c r="O26" s="548"/>
      <c r="P26" s="548"/>
      <c r="Q26" s="548"/>
      <c r="R26" s="548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8"/>
      <c r="AH26" s="548"/>
      <c r="AI26" s="548"/>
      <c r="AJ26" s="548"/>
      <c r="AK26" s="548"/>
      <c r="AL26" s="549"/>
      <c r="AM26" s="550"/>
      <c r="AN26" s="551"/>
      <c r="AO26" s="552"/>
      <c r="AP26" s="541"/>
      <c r="AQ26" s="542"/>
      <c r="AR26" s="543"/>
      <c r="AS26" s="553"/>
      <c r="AT26" s="554"/>
      <c r="AU26" s="555"/>
      <c r="AV26" s="556"/>
      <c r="AW26" s="557"/>
      <c r="AX26" s="557"/>
      <c r="AY26" s="557"/>
      <c r="AZ26" s="557"/>
      <c r="BA26" s="557"/>
      <c r="BB26" s="557"/>
      <c r="BC26" s="557"/>
      <c r="BD26" s="557"/>
      <c r="BE26" s="557"/>
      <c r="BF26" s="557"/>
      <c r="BG26" s="558"/>
      <c r="BH26" s="541"/>
      <c r="BI26" s="542"/>
      <c r="BJ26" s="542"/>
      <c r="BK26" s="542"/>
      <c r="BL26" s="543"/>
    </row>
    <row r="27" spans="1:64" ht="19.05" customHeight="1">
      <c r="A27" s="544"/>
      <c r="B27" s="545"/>
      <c r="C27" s="545"/>
      <c r="D27" s="545"/>
      <c r="E27" s="545"/>
      <c r="F27" s="545"/>
      <c r="G27" s="545"/>
      <c r="H27" s="546"/>
      <c r="I27" s="547"/>
      <c r="J27" s="548"/>
      <c r="K27" s="548"/>
      <c r="L27" s="548"/>
      <c r="M27" s="548"/>
      <c r="N27" s="548"/>
      <c r="O27" s="548"/>
      <c r="P27" s="548"/>
      <c r="Q27" s="548"/>
      <c r="R27" s="548"/>
      <c r="S27" s="548"/>
      <c r="T27" s="548"/>
      <c r="U27" s="548"/>
      <c r="V27" s="548"/>
      <c r="W27" s="548"/>
      <c r="X27" s="548"/>
      <c r="Y27" s="548"/>
      <c r="Z27" s="548"/>
      <c r="AA27" s="548"/>
      <c r="AB27" s="548"/>
      <c r="AC27" s="548"/>
      <c r="AD27" s="548"/>
      <c r="AE27" s="548"/>
      <c r="AF27" s="548"/>
      <c r="AG27" s="548"/>
      <c r="AH27" s="548"/>
      <c r="AI27" s="548"/>
      <c r="AJ27" s="548"/>
      <c r="AK27" s="548"/>
      <c r="AL27" s="549"/>
      <c r="AM27" s="550"/>
      <c r="AN27" s="551"/>
      <c r="AO27" s="552"/>
      <c r="AP27" s="541"/>
      <c r="AQ27" s="542"/>
      <c r="AR27" s="543"/>
      <c r="AS27" s="553"/>
      <c r="AT27" s="554"/>
      <c r="AU27" s="555"/>
      <c r="AV27" s="556"/>
      <c r="AW27" s="557"/>
      <c r="AX27" s="557"/>
      <c r="AY27" s="557"/>
      <c r="AZ27" s="557"/>
      <c r="BA27" s="557"/>
      <c r="BB27" s="557"/>
      <c r="BC27" s="557"/>
      <c r="BD27" s="557"/>
      <c r="BE27" s="557"/>
      <c r="BF27" s="557"/>
      <c r="BG27" s="558"/>
      <c r="BH27" s="541"/>
      <c r="BI27" s="542"/>
      <c r="BJ27" s="542"/>
      <c r="BK27" s="542"/>
      <c r="BL27" s="543"/>
    </row>
    <row r="28" spans="1:64" ht="19.05" customHeight="1">
      <c r="A28" s="544"/>
      <c r="B28" s="545"/>
      <c r="C28" s="545"/>
      <c r="D28" s="545"/>
      <c r="E28" s="545"/>
      <c r="F28" s="545"/>
      <c r="G28" s="545"/>
      <c r="H28" s="546"/>
      <c r="I28" s="547"/>
      <c r="J28" s="548"/>
      <c r="K28" s="548"/>
      <c r="L28" s="548"/>
      <c r="M28" s="548"/>
      <c r="N28" s="548"/>
      <c r="O28" s="548"/>
      <c r="P28" s="548"/>
      <c r="Q28" s="548"/>
      <c r="R28" s="548"/>
      <c r="S28" s="548"/>
      <c r="T28" s="548"/>
      <c r="U28" s="548"/>
      <c r="V28" s="548"/>
      <c r="W28" s="548"/>
      <c r="X28" s="548"/>
      <c r="Y28" s="548"/>
      <c r="Z28" s="548"/>
      <c r="AA28" s="548"/>
      <c r="AB28" s="548"/>
      <c r="AC28" s="548"/>
      <c r="AD28" s="548"/>
      <c r="AE28" s="548"/>
      <c r="AF28" s="548"/>
      <c r="AG28" s="548"/>
      <c r="AH28" s="548"/>
      <c r="AI28" s="548"/>
      <c r="AJ28" s="548"/>
      <c r="AK28" s="548"/>
      <c r="AL28" s="549"/>
      <c r="AM28" s="550"/>
      <c r="AN28" s="551"/>
      <c r="AO28" s="552"/>
      <c r="AP28" s="541"/>
      <c r="AQ28" s="542"/>
      <c r="AR28" s="543"/>
      <c r="AS28" s="553"/>
      <c r="AT28" s="554"/>
      <c r="AU28" s="555"/>
      <c r="AV28" s="556"/>
      <c r="AW28" s="557"/>
      <c r="AX28" s="557"/>
      <c r="AY28" s="557"/>
      <c r="AZ28" s="557"/>
      <c r="BA28" s="557"/>
      <c r="BB28" s="557"/>
      <c r="BC28" s="557"/>
      <c r="BD28" s="557"/>
      <c r="BE28" s="557"/>
      <c r="BF28" s="557"/>
      <c r="BG28" s="558"/>
      <c r="BH28" s="541"/>
      <c r="BI28" s="542"/>
      <c r="BJ28" s="542"/>
      <c r="BK28" s="542"/>
      <c r="BL28" s="543"/>
    </row>
  </sheetData>
  <mergeCells count="147">
    <mergeCell ref="BH5:BL8"/>
    <mergeCell ref="AM6:AO8"/>
    <mergeCell ref="AP6:AR8"/>
    <mergeCell ref="AS6:AU8"/>
    <mergeCell ref="A9:H9"/>
    <mergeCell ref="I9:AL9"/>
    <mergeCell ref="AV9:BG9"/>
    <mergeCell ref="BH9:BL9"/>
    <mergeCell ref="A5:H8"/>
    <mergeCell ref="I5:AL8"/>
    <mergeCell ref="AM5:AO5"/>
    <mergeCell ref="AP5:AR5"/>
    <mergeCell ref="AS5:AU5"/>
    <mergeCell ref="AV5:BG8"/>
    <mergeCell ref="BH10:BL10"/>
    <mergeCell ref="A11:H11"/>
    <mergeCell ref="I11:AL11"/>
    <mergeCell ref="AM11:AO11"/>
    <mergeCell ref="AP11:AR11"/>
    <mergeCell ref="AS11:AU11"/>
    <mergeCell ref="AV11:BG11"/>
    <mergeCell ref="BH11:BL11"/>
    <mergeCell ref="A10:H10"/>
    <mergeCell ref="I10:AL10"/>
    <mergeCell ref="AM10:AO10"/>
    <mergeCell ref="AP10:AR10"/>
    <mergeCell ref="AS10:AU10"/>
    <mergeCell ref="AV10:BG10"/>
    <mergeCell ref="BH12:BL12"/>
    <mergeCell ref="A13:H13"/>
    <mergeCell ref="I13:AL13"/>
    <mergeCell ref="AM13:AO13"/>
    <mergeCell ref="AP13:AR13"/>
    <mergeCell ref="AS13:AU13"/>
    <mergeCell ref="AV13:BG13"/>
    <mergeCell ref="BH13:BL13"/>
    <mergeCell ref="A12:H12"/>
    <mergeCell ref="I12:AL12"/>
    <mergeCell ref="AM12:AO12"/>
    <mergeCell ref="AP12:AR12"/>
    <mergeCell ref="AS12:AU12"/>
    <mergeCell ref="AV12:BG12"/>
    <mergeCell ref="BH14:BL14"/>
    <mergeCell ref="A15:H15"/>
    <mergeCell ref="I15:AL15"/>
    <mergeCell ref="AM15:AO15"/>
    <mergeCell ref="AP15:AR15"/>
    <mergeCell ref="AS15:AU15"/>
    <mergeCell ref="AV15:BG15"/>
    <mergeCell ref="BH15:BL15"/>
    <mergeCell ref="A14:H14"/>
    <mergeCell ref="I14:AL14"/>
    <mergeCell ref="AM14:AO14"/>
    <mergeCell ref="AP14:AR14"/>
    <mergeCell ref="AS14:AU14"/>
    <mergeCell ref="AV14:BG14"/>
    <mergeCell ref="BH16:BL16"/>
    <mergeCell ref="A17:H17"/>
    <mergeCell ref="I17:AL17"/>
    <mergeCell ref="AM17:AO17"/>
    <mergeCell ref="AP17:AR17"/>
    <mergeCell ref="AS17:AU17"/>
    <mergeCell ref="AV17:BG17"/>
    <mergeCell ref="BH17:BL17"/>
    <mergeCell ref="A16:H16"/>
    <mergeCell ref="I16:AL16"/>
    <mergeCell ref="AM16:AO16"/>
    <mergeCell ref="AP16:AR16"/>
    <mergeCell ref="AS16:AU16"/>
    <mergeCell ref="AV16:BG16"/>
    <mergeCell ref="BH18:BL18"/>
    <mergeCell ref="A19:H19"/>
    <mergeCell ref="I19:AL19"/>
    <mergeCell ref="AM19:AO19"/>
    <mergeCell ref="AP19:AR19"/>
    <mergeCell ref="AS19:AU19"/>
    <mergeCell ref="AV19:BG19"/>
    <mergeCell ref="BH19:BL19"/>
    <mergeCell ref="A18:H18"/>
    <mergeCell ref="I18:AL18"/>
    <mergeCell ref="AM18:AO18"/>
    <mergeCell ref="AP18:AR18"/>
    <mergeCell ref="AS18:AU18"/>
    <mergeCell ref="AV18:BG18"/>
    <mergeCell ref="BH20:BL20"/>
    <mergeCell ref="A21:H21"/>
    <mergeCell ref="I21:AL21"/>
    <mergeCell ref="AM21:AO21"/>
    <mergeCell ref="AP21:AR21"/>
    <mergeCell ref="AS21:AU21"/>
    <mergeCell ref="AV21:BG21"/>
    <mergeCell ref="BH21:BL21"/>
    <mergeCell ref="A20:H20"/>
    <mergeCell ref="I20:AL20"/>
    <mergeCell ref="AM20:AO20"/>
    <mergeCell ref="AP20:AR20"/>
    <mergeCell ref="AS20:AU20"/>
    <mergeCell ref="AV20:BG20"/>
    <mergeCell ref="BH22:BL22"/>
    <mergeCell ref="A23:H23"/>
    <mergeCell ref="I23:AL23"/>
    <mergeCell ref="AM23:AO23"/>
    <mergeCell ref="AP23:AR23"/>
    <mergeCell ref="AS23:AU23"/>
    <mergeCell ref="AV23:BG23"/>
    <mergeCell ref="BH23:BL23"/>
    <mergeCell ref="A22:H22"/>
    <mergeCell ref="I22:AL22"/>
    <mergeCell ref="AM22:AO22"/>
    <mergeCell ref="AP22:AR22"/>
    <mergeCell ref="AS22:AU22"/>
    <mergeCell ref="AV22:BG22"/>
    <mergeCell ref="BH24:BL24"/>
    <mergeCell ref="A25:H25"/>
    <mergeCell ref="I25:AL25"/>
    <mergeCell ref="AM25:AO25"/>
    <mergeCell ref="AP25:AR25"/>
    <mergeCell ref="AS25:AU25"/>
    <mergeCell ref="AV25:BG25"/>
    <mergeCell ref="BH25:BL25"/>
    <mergeCell ref="A24:H24"/>
    <mergeCell ref="I24:AL24"/>
    <mergeCell ref="AM24:AO24"/>
    <mergeCell ref="AP24:AR24"/>
    <mergeCell ref="AS24:AU24"/>
    <mergeCell ref="AV24:BG24"/>
    <mergeCell ref="BH28:BL28"/>
    <mergeCell ref="A28:H28"/>
    <mergeCell ref="I28:AL28"/>
    <mergeCell ref="AM28:AO28"/>
    <mergeCell ref="AP28:AR28"/>
    <mergeCell ref="AS28:AU28"/>
    <mergeCell ref="AV28:BG28"/>
    <mergeCell ref="BH26:BL26"/>
    <mergeCell ref="A27:H27"/>
    <mergeCell ref="I27:AL27"/>
    <mergeCell ref="AM27:AO27"/>
    <mergeCell ref="AP27:AR27"/>
    <mergeCell ref="AS27:AU27"/>
    <mergeCell ref="AV27:BG27"/>
    <mergeCell ref="BH27:BL27"/>
    <mergeCell ref="A26:H26"/>
    <mergeCell ref="I26:AL26"/>
    <mergeCell ref="AM26:AO26"/>
    <mergeCell ref="AP26:AR26"/>
    <mergeCell ref="AS26:AU26"/>
    <mergeCell ref="AV26:BG26"/>
  </mergeCells>
  <phoneticPr fontId="2" type="noConversion"/>
  <pageMargins left="0.39" right="0.39" top="0.59" bottom="0.59" header="0.51" footer="0.51"/>
  <pageSetup paperSize="9" scale="6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B173-5F4F-45AA-9A8C-90FFC908C3AC}">
  <dimension ref="A1:AZ872"/>
  <sheetViews>
    <sheetView showGridLines="0" topLeftCell="A8" zoomScale="85" zoomScaleNormal="85" workbookViewId="0">
      <selection activeCell="BS66" sqref="BS66"/>
    </sheetView>
  </sheetViews>
  <sheetFormatPr defaultColWidth="3.20703125" defaultRowHeight="13.5" customHeight="1"/>
  <cols>
    <col min="1" max="16384" width="3.20703125" style="118"/>
  </cols>
  <sheetData>
    <row r="1" spans="1:52" s="113" customFormat="1" ht="39.75" customHeight="1" thickBot="1">
      <c r="A1" s="107"/>
      <c r="B1" s="107" t="s">
        <v>106</v>
      </c>
      <c r="C1" s="107"/>
      <c r="D1" s="107"/>
      <c r="E1" s="107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</row>
    <row r="2" spans="1:52" s="113" customFormat="1" ht="6" customHeight="1" thickTop="1" thickBo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</row>
    <row r="3" spans="1:52" s="113" customFormat="1" ht="19.95" customHeight="1" thickTop="1"/>
    <row r="4" spans="1:52" s="113" customFormat="1" ht="19.95" customHeight="1">
      <c r="B4" s="117" t="s">
        <v>11</v>
      </c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</row>
    <row r="5" spans="1:52" s="113" customFormat="1" ht="19.95" customHeight="1">
      <c r="C5" s="118"/>
      <c r="D5" s="118"/>
      <c r="E5" s="83" t="s">
        <v>12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118"/>
      <c r="AC5" s="118"/>
      <c r="AD5" s="118"/>
      <c r="AE5" s="118"/>
      <c r="AF5" s="118"/>
      <c r="AG5" s="118"/>
    </row>
    <row r="6" spans="1:52" s="113" customFormat="1" ht="19.95" customHeight="1">
      <c r="C6" s="118"/>
      <c r="D6" s="58"/>
      <c r="E6" s="119" t="s">
        <v>13</v>
      </c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8"/>
      <c r="AB6" s="118"/>
      <c r="AC6" s="118"/>
      <c r="AD6" s="118"/>
      <c r="AE6" s="118"/>
      <c r="AF6" s="118"/>
      <c r="AG6" s="118"/>
    </row>
    <row r="7" spans="1:52" s="113" customFormat="1" ht="19.95" customHeight="1">
      <c r="C7" s="118"/>
      <c r="D7" s="120"/>
      <c r="E7" s="119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19"/>
      <c r="U7" s="119"/>
      <c r="V7" s="119"/>
      <c r="W7" s="119"/>
      <c r="X7" s="118"/>
      <c r="Y7" s="118"/>
      <c r="Z7" s="118"/>
      <c r="AA7" s="118"/>
      <c r="AB7" s="118"/>
      <c r="AC7" s="118"/>
      <c r="AD7" s="118"/>
      <c r="AE7" s="118"/>
      <c r="AF7" s="118"/>
      <c r="AG7" s="118"/>
    </row>
    <row r="8" spans="1:52" s="113" customFormat="1" ht="19.95" customHeight="1">
      <c r="B8" s="117" t="s">
        <v>14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</row>
    <row r="9" spans="1:52" s="113" customFormat="1" ht="19.95" customHeight="1"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</row>
    <row r="10" spans="1:52" s="113" customFormat="1" ht="19.95" customHeight="1"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</row>
    <row r="11" spans="1:52" s="113" customFormat="1" ht="19.95" customHeight="1">
      <c r="B11" s="121"/>
      <c r="C11" s="588" t="s">
        <v>35</v>
      </c>
      <c r="D11" s="589"/>
      <c r="E11" s="590"/>
      <c r="F11" s="591" t="s">
        <v>36</v>
      </c>
      <c r="G11" s="589"/>
      <c r="H11" s="589"/>
      <c r="I11" s="590"/>
      <c r="J11" s="591" t="s">
        <v>37</v>
      </c>
      <c r="K11" s="589"/>
      <c r="L11" s="589"/>
      <c r="M11" s="589"/>
      <c r="N11" s="589"/>
      <c r="O11" s="589"/>
      <c r="P11" s="589"/>
      <c r="Q11" s="589"/>
      <c r="R11" s="589"/>
      <c r="S11" s="589"/>
      <c r="T11" s="589"/>
      <c r="U11" s="589"/>
      <c r="V11" s="589"/>
      <c r="W11" s="589"/>
      <c r="X11" s="589"/>
      <c r="Y11" s="589"/>
      <c r="Z11" s="589"/>
      <c r="AA11" s="589"/>
      <c r="AB11" s="589"/>
      <c r="AC11" s="589"/>
      <c r="AD11" s="589"/>
      <c r="AE11" s="589"/>
      <c r="AF11" s="589"/>
      <c r="AG11" s="589"/>
      <c r="AH11" s="589"/>
      <c r="AI11" s="589"/>
      <c r="AJ11" s="589"/>
      <c r="AK11" s="589"/>
      <c r="AL11" s="589"/>
      <c r="AM11" s="590"/>
      <c r="AN11" s="591" t="s">
        <v>38</v>
      </c>
      <c r="AO11" s="589"/>
      <c r="AP11" s="589"/>
      <c r="AQ11" s="590"/>
      <c r="AR11" s="591" t="s">
        <v>39</v>
      </c>
      <c r="AS11" s="589"/>
      <c r="AT11" s="589"/>
      <c r="AU11" s="590"/>
    </row>
    <row r="12" spans="1:52" s="113" customFormat="1" ht="19.95" customHeight="1">
      <c r="B12" s="121"/>
      <c r="C12" s="588">
        <v>1</v>
      </c>
      <c r="D12" s="589"/>
      <c r="E12" s="590"/>
      <c r="F12" s="591" t="s">
        <v>15</v>
      </c>
      <c r="G12" s="589"/>
      <c r="H12" s="589"/>
      <c r="I12" s="590"/>
      <c r="J12" s="592" t="s">
        <v>16</v>
      </c>
      <c r="K12" s="593"/>
      <c r="L12" s="593"/>
      <c r="M12" s="593"/>
      <c r="N12" s="593"/>
      <c r="O12" s="593"/>
      <c r="P12" s="593"/>
      <c r="Q12" s="593"/>
      <c r="R12" s="593"/>
      <c r="S12" s="593"/>
      <c r="T12" s="593"/>
      <c r="U12" s="593"/>
      <c r="V12" s="593"/>
      <c r="W12" s="593"/>
      <c r="X12" s="593"/>
      <c r="Y12" s="593"/>
      <c r="Z12" s="593"/>
      <c r="AA12" s="593"/>
      <c r="AB12" s="593"/>
      <c r="AC12" s="593"/>
      <c r="AD12" s="593"/>
      <c r="AE12" s="593"/>
      <c r="AF12" s="593"/>
      <c r="AG12" s="593"/>
      <c r="AH12" s="593"/>
      <c r="AI12" s="593"/>
      <c r="AJ12" s="593"/>
      <c r="AK12" s="593"/>
      <c r="AL12" s="593"/>
      <c r="AM12" s="594"/>
      <c r="AN12" s="591" t="s">
        <v>17</v>
      </c>
      <c r="AO12" s="589"/>
      <c r="AP12" s="589"/>
      <c r="AQ12" s="590"/>
      <c r="AR12" s="591" t="s">
        <v>40</v>
      </c>
      <c r="AS12" s="589"/>
      <c r="AT12" s="589"/>
      <c r="AU12" s="590"/>
    </row>
    <row r="13" spans="1:52" s="113" customFormat="1" ht="19.95" customHeight="1">
      <c r="B13" s="121"/>
      <c r="C13" s="588">
        <v>2</v>
      </c>
      <c r="D13" s="589"/>
      <c r="E13" s="590"/>
      <c r="F13" s="591"/>
      <c r="G13" s="589"/>
      <c r="H13" s="589"/>
      <c r="I13" s="590"/>
      <c r="J13" s="592"/>
      <c r="K13" s="593"/>
      <c r="L13" s="593"/>
      <c r="M13" s="593"/>
      <c r="N13" s="593"/>
      <c r="O13" s="593"/>
      <c r="P13" s="593"/>
      <c r="Q13" s="593"/>
      <c r="R13" s="593"/>
      <c r="S13" s="593"/>
      <c r="T13" s="593"/>
      <c r="U13" s="593"/>
      <c r="V13" s="593"/>
      <c r="W13" s="593"/>
      <c r="X13" s="593"/>
      <c r="Y13" s="593"/>
      <c r="Z13" s="593"/>
      <c r="AA13" s="593"/>
      <c r="AB13" s="593"/>
      <c r="AC13" s="593"/>
      <c r="AD13" s="593"/>
      <c r="AE13" s="593"/>
      <c r="AF13" s="593"/>
      <c r="AG13" s="593"/>
      <c r="AH13" s="593"/>
      <c r="AI13" s="593"/>
      <c r="AJ13" s="593"/>
      <c r="AK13" s="593"/>
      <c r="AL13" s="593"/>
      <c r="AM13" s="594"/>
      <c r="AN13" s="591"/>
      <c r="AO13" s="589"/>
      <c r="AP13" s="589"/>
      <c r="AQ13" s="590"/>
      <c r="AR13" s="591"/>
      <c r="AS13" s="589"/>
      <c r="AT13" s="589"/>
      <c r="AU13" s="590"/>
    </row>
    <row r="14" spans="1:52" s="113" customFormat="1" ht="19.95" customHeight="1">
      <c r="B14" s="121"/>
      <c r="C14" s="122"/>
      <c r="D14" s="122"/>
      <c r="E14" s="122"/>
      <c r="F14" s="122"/>
      <c r="G14" s="122"/>
      <c r="H14" s="122"/>
      <c r="I14" s="122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2"/>
      <c r="AO14" s="122"/>
      <c r="AP14" s="122"/>
      <c r="AQ14" s="122"/>
      <c r="AR14" s="122"/>
      <c r="AS14" s="122"/>
      <c r="AT14" s="122"/>
      <c r="AU14" s="122"/>
    </row>
    <row r="15" spans="1:52" s="113" customFormat="1" ht="19.95" customHeight="1">
      <c r="B15" s="121"/>
      <c r="C15" s="122"/>
      <c r="D15" s="119" t="s">
        <v>41</v>
      </c>
      <c r="E15" s="122"/>
      <c r="F15" s="122"/>
      <c r="G15" s="122"/>
      <c r="H15" s="122"/>
      <c r="I15" s="122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2"/>
      <c r="AO15" s="122"/>
      <c r="AP15" s="122"/>
      <c r="AQ15" s="122"/>
      <c r="AR15" s="122"/>
      <c r="AS15" s="122"/>
      <c r="AT15" s="122"/>
      <c r="AU15" s="122"/>
    </row>
    <row r="16" spans="1:52" s="113" customFormat="1" ht="19.95" customHeight="1">
      <c r="B16" s="121"/>
      <c r="C16" s="122"/>
      <c r="D16" s="119" t="s">
        <v>42</v>
      </c>
      <c r="E16" s="122"/>
      <c r="F16" s="122"/>
      <c r="G16" s="122"/>
      <c r="H16" s="122"/>
      <c r="I16" s="122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2"/>
      <c r="AO16" s="122"/>
      <c r="AP16" s="122"/>
      <c r="AQ16" s="122"/>
      <c r="AR16" s="122"/>
      <c r="AS16" s="122"/>
      <c r="AT16" s="122"/>
      <c r="AU16" s="122"/>
    </row>
    <row r="17" spans="2:47" s="113" customFormat="1" ht="19.95" customHeight="1">
      <c r="B17" s="121"/>
      <c r="C17" s="122"/>
      <c r="D17" s="119" t="s">
        <v>43</v>
      </c>
      <c r="E17" s="122"/>
      <c r="F17" s="122"/>
      <c r="G17" s="122"/>
      <c r="H17" s="122"/>
      <c r="I17" s="122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2"/>
      <c r="AO17" s="122"/>
      <c r="AP17" s="122"/>
      <c r="AQ17" s="122"/>
      <c r="AR17" s="122"/>
      <c r="AS17" s="122"/>
      <c r="AT17" s="122"/>
      <c r="AU17" s="122"/>
    </row>
    <row r="18" spans="2:47" s="113" customFormat="1" ht="19.95" customHeight="1">
      <c r="B18" s="121"/>
      <c r="C18" s="122"/>
      <c r="D18" s="119" t="s">
        <v>44</v>
      </c>
      <c r="E18" s="122"/>
      <c r="F18" s="122"/>
      <c r="G18" s="122"/>
      <c r="H18" s="122"/>
      <c r="I18" s="122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2"/>
      <c r="AO18" s="122"/>
      <c r="AP18" s="122"/>
      <c r="AQ18" s="122"/>
      <c r="AR18" s="122"/>
      <c r="AS18" s="122"/>
      <c r="AT18" s="122"/>
      <c r="AU18" s="122"/>
    </row>
    <row r="19" spans="2:47" s="113" customFormat="1" ht="19.95" customHeight="1">
      <c r="C19" s="118"/>
      <c r="D19" s="120"/>
      <c r="E19" s="119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19"/>
      <c r="U19" s="119"/>
      <c r="V19" s="119"/>
      <c r="W19" s="119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</row>
    <row r="20" spans="2:47" s="113" customFormat="1" ht="19.95" customHeight="1">
      <c r="B20" s="117" t="s">
        <v>45</v>
      </c>
      <c r="D20" s="120"/>
      <c r="E20" s="119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19"/>
      <c r="U20" s="119"/>
      <c r="V20" s="119"/>
      <c r="W20" s="119"/>
      <c r="X20" s="118"/>
      <c r="Y20" s="118"/>
      <c r="Z20" s="118"/>
      <c r="AA20" s="118"/>
      <c r="AB20" s="118"/>
      <c r="AC20" s="58"/>
      <c r="AD20" s="118"/>
      <c r="AE20" s="118"/>
      <c r="AF20" s="118"/>
      <c r="AG20" s="118"/>
      <c r="AH20" s="118"/>
    </row>
    <row r="21" spans="2:47" s="113" customFormat="1" ht="19.95" customHeight="1">
      <c r="C21" s="118"/>
      <c r="D21" s="119" t="s">
        <v>46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8"/>
      <c r="AC21" s="58"/>
      <c r="AD21" s="118"/>
      <c r="AE21" s="118"/>
      <c r="AF21" s="118"/>
      <c r="AG21" s="118"/>
      <c r="AH21" s="118"/>
    </row>
    <row r="22" spans="2:47" s="113" customFormat="1" ht="19.95" customHeight="1"/>
    <row r="23" spans="2:47" s="113" customFormat="1" ht="19.95" customHeight="1">
      <c r="B23" s="117" t="s">
        <v>323</v>
      </c>
    </row>
    <row r="24" spans="2:47" s="113" customFormat="1" ht="19.95" customHeight="1">
      <c r="B24" s="118"/>
      <c r="C24" s="113" t="s">
        <v>324</v>
      </c>
    </row>
    <row r="25" spans="2:47" s="113" customFormat="1" ht="19.95" customHeight="1">
      <c r="B25" s="118"/>
    </row>
    <row r="26" spans="2:47" s="113" customFormat="1" ht="19.95" customHeight="1"/>
    <row r="27" spans="2:47" ht="19.95" customHeight="1">
      <c r="C27" s="119"/>
      <c r="D27" s="119"/>
      <c r="E27" s="119"/>
    </row>
    <row r="28" spans="2:47" ht="20.100000000000001" customHeight="1">
      <c r="C28" s="119"/>
      <c r="D28" s="83"/>
      <c r="E28" s="119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19"/>
      <c r="T28" s="119"/>
      <c r="U28" s="119"/>
      <c r="V28" s="119"/>
    </row>
    <row r="29" spans="2:47" ht="20.100000000000001" customHeight="1">
      <c r="C29" s="119"/>
      <c r="D29" s="124"/>
      <c r="E29" s="119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19"/>
      <c r="T29" s="119"/>
      <c r="U29" s="119"/>
      <c r="V29" s="119"/>
    </row>
    <row r="30" spans="2:47" ht="20.100000000000001" customHeight="1">
      <c r="C30" s="119"/>
      <c r="D30" s="119"/>
      <c r="E30" s="119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19"/>
      <c r="T30" s="119"/>
      <c r="U30" s="119"/>
      <c r="V30" s="119"/>
      <c r="AB30" s="58"/>
    </row>
    <row r="31" spans="2:47" ht="20.100000000000001" customHeight="1">
      <c r="C31" s="119"/>
      <c r="D31" s="119"/>
      <c r="E31" s="119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19"/>
      <c r="T31" s="119"/>
      <c r="U31" s="119"/>
      <c r="V31" s="119"/>
      <c r="AB31" s="58"/>
    </row>
    <row r="32" spans="2:47" ht="20.100000000000001" customHeight="1">
      <c r="C32" s="119"/>
      <c r="D32" s="119"/>
      <c r="E32" s="119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19"/>
      <c r="T32" s="119"/>
      <c r="U32" s="119"/>
      <c r="V32" s="119"/>
      <c r="AB32" s="58"/>
    </row>
    <row r="33" spans="3:28" ht="20.100000000000001" customHeight="1">
      <c r="C33" s="119"/>
      <c r="D33" s="124"/>
      <c r="E33" s="119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19"/>
      <c r="T33" s="119"/>
      <c r="U33" s="119"/>
      <c r="V33" s="119"/>
      <c r="AB33" s="58"/>
    </row>
    <row r="34" spans="3:28" ht="20.100000000000001" customHeight="1">
      <c r="C34" s="119"/>
      <c r="D34" s="119"/>
      <c r="E34" s="119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19"/>
      <c r="T34" s="119"/>
      <c r="U34" s="119"/>
      <c r="V34" s="119"/>
      <c r="AB34" s="58"/>
    </row>
    <row r="35" spans="3:28" ht="20.100000000000001" customHeight="1">
      <c r="C35" s="119"/>
      <c r="D35" s="119"/>
      <c r="E35" s="119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19"/>
      <c r="T35" s="119"/>
      <c r="U35" s="119"/>
      <c r="V35" s="119"/>
    </row>
    <row r="36" spans="3:28" ht="20.100000000000001" customHeight="1">
      <c r="C36" s="119"/>
      <c r="D36" s="119"/>
      <c r="E36" s="119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19"/>
      <c r="T36" s="119"/>
      <c r="U36" s="119"/>
      <c r="V36" s="119"/>
    </row>
    <row r="37" spans="3:28" ht="20.100000000000001" customHeight="1">
      <c r="C37" s="119"/>
      <c r="D37" s="119"/>
      <c r="E37" s="119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19"/>
      <c r="T37" s="119"/>
      <c r="U37" s="119"/>
      <c r="V37" s="119"/>
      <c r="AB37" s="58"/>
    </row>
    <row r="38" spans="3:28" ht="20.100000000000001" customHeight="1">
      <c r="C38" s="119"/>
      <c r="D38" s="119"/>
      <c r="E38" s="119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19"/>
      <c r="T38" s="119"/>
      <c r="U38" s="119"/>
      <c r="V38" s="119"/>
      <c r="AB38" s="58"/>
    </row>
    <row r="39" spans="3:28" ht="20.100000000000001" customHeight="1">
      <c r="C39" s="119"/>
      <c r="D39" s="119"/>
      <c r="E39" s="119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19"/>
      <c r="T39" s="119"/>
      <c r="U39" s="119"/>
      <c r="V39" s="119"/>
      <c r="AB39" s="58"/>
    </row>
    <row r="40" spans="3:28" ht="20.100000000000001" customHeight="1">
      <c r="C40" s="119"/>
      <c r="D40" s="119"/>
      <c r="E40" s="119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19"/>
      <c r="T40" s="119"/>
      <c r="U40" s="119"/>
      <c r="V40" s="119"/>
      <c r="AB40" s="58"/>
    </row>
    <row r="41" spans="3:28" ht="20.100000000000001" customHeight="1">
      <c r="C41" s="119"/>
      <c r="D41" s="119"/>
      <c r="E41" s="119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19"/>
      <c r="T41" s="119"/>
      <c r="U41" s="119"/>
      <c r="V41" s="119"/>
      <c r="AB41" s="58"/>
    </row>
    <row r="42" spans="3:28" ht="20.100000000000001" customHeight="1">
      <c r="C42" s="119"/>
      <c r="D42" s="119"/>
      <c r="E42" s="119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19"/>
      <c r="T42" s="119"/>
      <c r="U42" s="119"/>
      <c r="V42" s="119"/>
      <c r="AB42" s="58"/>
    </row>
    <row r="43" spans="3:28" ht="20.100000000000001" customHeight="1">
      <c r="C43" s="119"/>
      <c r="D43" s="119"/>
      <c r="E43" s="119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19"/>
      <c r="T43" s="119"/>
      <c r="U43" s="119"/>
      <c r="V43" s="119"/>
    </row>
    <row r="44" spans="3:28" ht="20.100000000000001" customHeight="1">
      <c r="C44" s="119"/>
      <c r="D44" s="119"/>
      <c r="E44" s="119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19"/>
      <c r="T44" s="119"/>
      <c r="U44" s="119"/>
      <c r="V44" s="119"/>
    </row>
    <row r="45" spans="3:28" ht="20.100000000000001" customHeight="1">
      <c r="C45" s="119"/>
      <c r="D45" s="119"/>
      <c r="E45" s="119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19"/>
      <c r="T45" s="119"/>
      <c r="U45" s="119"/>
      <c r="V45" s="119"/>
    </row>
    <row r="46" spans="3:28" ht="20.100000000000001" customHeight="1">
      <c r="C46" s="119"/>
      <c r="D46" s="119" t="s">
        <v>342</v>
      </c>
      <c r="E46" s="119"/>
      <c r="F46" s="119"/>
      <c r="G46" s="119"/>
      <c r="H46" s="119"/>
      <c r="I46" s="119"/>
      <c r="J46" s="119"/>
      <c r="K46" s="119"/>
      <c r="L46" s="119"/>
      <c r="M46" s="119"/>
      <c r="N46" s="119"/>
    </row>
    <row r="47" spans="3:28" ht="20.100000000000001" customHeight="1">
      <c r="C47" s="83"/>
      <c r="D47" s="119" t="s">
        <v>47</v>
      </c>
      <c r="E47" s="119"/>
      <c r="F47" s="119"/>
      <c r="G47" s="119"/>
      <c r="H47" s="119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19"/>
      <c r="T47" s="119"/>
      <c r="U47" s="119"/>
      <c r="V47" s="119"/>
    </row>
    <row r="48" spans="3:28" ht="20.100000000000001" customHeight="1">
      <c r="C48" s="119"/>
      <c r="D48" s="119" t="s">
        <v>107</v>
      </c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20"/>
      <c r="P48" s="120"/>
      <c r="Q48" s="120"/>
      <c r="R48" s="120"/>
      <c r="S48" s="119"/>
      <c r="T48" s="119"/>
      <c r="U48" s="119"/>
      <c r="V48" s="119"/>
      <c r="AB48" s="58"/>
    </row>
    <row r="49" spans="3:28" ht="20.100000000000001" customHeight="1">
      <c r="C49" s="119"/>
      <c r="D49" s="119" t="s">
        <v>48</v>
      </c>
      <c r="E49" s="119"/>
      <c r="F49" s="119"/>
      <c r="G49" s="119"/>
      <c r="H49" s="119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19"/>
      <c r="T49" s="119"/>
      <c r="U49" s="119"/>
      <c r="V49" s="119"/>
      <c r="AB49" s="58"/>
    </row>
    <row r="50" spans="3:28" ht="20.100000000000001" customHeight="1">
      <c r="C50" s="119"/>
      <c r="D50" s="119" t="s">
        <v>108</v>
      </c>
      <c r="E50" s="119"/>
      <c r="F50" s="119"/>
      <c r="G50" s="119"/>
      <c r="H50" s="119"/>
      <c r="I50" s="119"/>
      <c r="J50" s="119"/>
      <c r="K50" s="119"/>
      <c r="L50" s="119"/>
      <c r="M50" s="120"/>
      <c r="N50" s="120"/>
      <c r="O50" s="120"/>
      <c r="P50" s="120"/>
      <c r="Q50" s="120"/>
      <c r="R50" s="120"/>
      <c r="S50" s="119"/>
      <c r="T50" s="119"/>
      <c r="U50" s="119"/>
      <c r="V50" s="119"/>
      <c r="AB50" s="58"/>
    </row>
    <row r="51" spans="3:28" ht="20.100000000000001" customHeight="1">
      <c r="C51" s="119"/>
      <c r="D51" s="119" t="s">
        <v>49</v>
      </c>
      <c r="E51" s="119"/>
      <c r="F51" s="119"/>
      <c r="G51" s="119"/>
      <c r="H51" s="119"/>
      <c r="I51" s="119"/>
      <c r="J51" s="119"/>
      <c r="K51" s="119"/>
      <c r="L51" s="120"/>
      <c r="M51" s="120"/>
      <c r="N51" s="120"/>
      <c r="O51" s="120"/>
      <c r="P51" s="120"/>
      <c r="Q51" s="120"/>
      <c r="R51" s="120"/>
      <c r="S51" s="119"/>
      <c r="T51" s="119"/>
      <c r="U51" s="119"/>
      <c r="V51" s="119"/>
      <c r="AB51" s="58"/>
    </row>
    <row r="52" spans="3:28" ht="20.100000000000001" customHeight="1">
      <c r="C52" s="119"/>
      <c r="D52" s="119" t="s">
        <v>109</v>
      </c>
      <c r="E52" s="119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19"/>
      <c r="T52" s="119"/>
      <c r="U52" s="119"/>
      <c r="V52" s="119"/>
      <c r="AB52" s="58"/>
    </row>
    <row r="53" spans="3:28" ht="20.100000000000001" customHeight="1">
      <c r="C53" s="119"/>
      <c r="D53" s="119"/>
      <c r="E53" s="119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19"/>
      <c r="T53" s="119"/>
      <c r="U53" s="119"/>
      <c r="V53" s="119"/>
      <c r="AB53" s="58"/>
    </row>
    <row r="54" spans="3:28" ht="20.100000000000001" customHeight="1">
      <c r="C54" s="125" t="s">
        <v>325</v>
      </c>
      <c r="D54" s="119"/>
      <c r="E54" s="119"/>
      <c r="F54" s="119"/>
      <c r="G54" s="119"/>
      <c r="H54" s="119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19"/>
      <c r="T54" s="119"/>
      <c r="U54" s="119"/>
      <c r="V54" s="119"/>
    </row>
    <row r="55" spans="3:28" ht="20.100000000000001" customHeight="1">
      <c r="C55" s="119"/>
      <c r="E55" s="119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19"/>
      <c r="T55" s="119"/>
      <c r="U55" s="119"/>
      <c r="V55" s="119"/>
      <c r="AB55" s="58"/>
    </row>
    <row r="56" spans="3:28" ht="20.100000000000001" customHeight="1">
      <c r="C56" s="119"/>
      <c r="D56" s="119"/>
      <c r="E56" s="119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19"/>
      <c r="T56" s="119"/>
      <c r="U56" s="119"/>
      <c r="V56" s="119"/>
      <c r="AB56" s="58"/>
    </row>
    <row r="57" spans="3:28" ht="20.100000000000001" customHeight="1">
      <c r="C57" s="119"/>
      <c r="D57" s="119"/>
      <c r="E57" s="119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19"/>
      <c r="T57" s="119"/>
      <c r="U57" s="119"/>
      <c r="V57" s="119"/>
      <c r="AB57" s="58"/>
    </row>
    <row r="58" spans="3:28" ht="20.100000000000001" customHeight="1">
      <c r="C58" s="119"/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19"/>
      <c r="T58" s="119"/>
      <c r="U58" s="119"/>
      <c r="V58" s="119"/>
      <c r="AB58" s="58"/>
    </row>
    <row r="59" spans="3:28" ht="20.100000000000001" customHeight="1"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19"/>
      <c r="T59" s="119"/>
      <c r="U59" s="119"/>
      <c r="V59" s="119"/>
      <c r="AB59" s="58"/>
    </row>
    <row r="60" spans="3:28" ht="20.100000000000001" customHeight="1">
      <c r="C60" s="119"/>
      <c r="D60" s="119"/>
      <c r="E60" s="119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19"/>
      <c r="T60" s="119"/>
      <c r="U60" s="119"/>
      <c r="V60" s="119"/>
      <c r="AB60" s="58"/>
    </row>
    <row r="61" spans="3:28" ht="20.100000000000001" customHeight="1">
      <c r="C61" s="119"/>
      <c r="D61" s="119"/>
      <c r="E61" s="119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19"/>
      <c r="T61" s="119"/>
      <c r="U61" s="119"/>
      <c r="V61" s="119"/>
    </row>
    <row r="62" spans="3:28" ht="20.100000000000001" customHeight="1">
      <c r="C62" s="119"/>
      <c r="D62" s="119"/>
      <c r="E62" s="119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19"/>
      <c r="T62" s="119"/>
      <c r="U62" s="119"/>
      <c r="V62" s="119"/>
    </row>
    <row r="63" spans="3:28" ht="20.100000000000001" customHeight="1">
      <c r="C63" s="119"/>
      <c r="D63" s="119"/>
      <c r="E63" s="119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19"/>
      <c r="T63" s="119"/>
      <c r="U63" s="119"/>
      <c r="V63" s="119"/>
      <c r="AB63" s="58"/>
    </row>
    <row r="64" spans="3:28" ht="20.100000000000001" customHeight="1">
      <c r="C64" s="119"/>
      <c r="D64" s="119"/>
      <c r="E64" s="119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19"/>
      <c r="T64" s="119"/>
      <c r="U64" s="119"/>
      <c r="V64" s="119"/>
      <c r="AB64" s="58"/>
    </row>
    <row r="65" spans="3:28" ht="20.100000000000001" customHeight="1">
      <c r="C65" s="119"/>
      <c r="D65" s="119"/>
      <c r="E65" s="119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19"/>
      <c r="T65" s="119"/>
      <c r="U65" s="119"/>
      <c r="V65" s="119"/>
      <c r="AB65" s="58"/>
    </row>
    <row r="66" spans="3:28" ht="20.100000000000001" customHeight="1">
      <c r="C66" s="119"/>
      <c r="D66" s="119"/>
      <c r="E66" s="119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19"/>
      <c r="T66" s="119"/>
      <c r="U66" s="119"/>
      <c r="V66" s="119"/>
      <c r="AB66" s="58"/>
    </row>
    <row r="67" spans="3:28" ht="20.100000000000001" customHeight="1">
      <c r="C67" s="119"/>
      <c r="D67" s="119"/>
      <c r="E67" s="119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19"/>
      <c r="T67" s="119"/>
      <c r="U67" s="119"/>
      <c r="V67" s="119"/>
      <c r="AB67" s="58"/>
    </row>
    <row r="68" spans="3:28" ht="20.100000000000001" customHeight="1">
      <c r="C68" s="119"/>
      <c r="D68" s="119"/>
      <c r="E68" s="119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19"/>
      <c r="T68" s="119"/>
      <c r="U68" s="119"/>
      <c r="V68" s="119"/>
      <c r="AB68" s="58"/>
    </row>
    <row r="69" spans="3:28" ht="20.100000000000001" customHeight="1">
      <c r="C69" s="119"/>
      <c r="D69" s="119"/>
      <c r="E69" s="119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19"/>
      <c r="T69" s="119"/>
      <c r="U69" s="119"/>
      <c r="V69" s="119"/>
    </row>
    <row r="70" spans="3:28" ht="20.100000000000001" customHeight="1">
      <c r="C70" s="83"/>
      <c r="E70" s="119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19"/>
      <c r="T70" s="119"/>
      <c r="U70" s="119"/>
      <c r="V70" s="119"/>
    </row>
    <row r="71" spans="3:28" ht="20.100000000000001" customHeight="1">
      <c r="C71" s="119"/>
      <c r="D71" s="119"/>
      <c r="E71" s="119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19"/>
      <c r="T71" s="119"/>
      <c r="U71" s="119"/>
      <c r="V71" s="119"/>
    </row>
    <row r="72" spans="3:28" ht="20.100000000000001" customHeight="1">
      <c r="C72" s="119"/>
      <c r="D72" s="119"/>
      <c r="E72" s="119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19"/>
      <c r="T72" s="119"/>
      <c r="U72" s="119"/>
      <c r="V72" s="119"/>
      <c r="AB72" s="58"/>
    </row>
    <row r="73" spans="3:28" ht="20.100000000000001" customHeight="1">
      <c r="C73" s="119"/>
      <c r="D73" s="119"/>
      <c r="E73" s="119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19"/>
      <c r="T73" s="119"/>
      <c r="U73" s="119"/>
      <c r="V73" s="119"/>
      <c r="AB73" s="58"/>
    </row>
    <row r="74" spans="3:28" ht="20.100000000000001" customHeight="1">
      <c r="C74" s="119"/>
      <c r="D74" s="119"/>
      <c r="E74" s="119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19"/>
      <c r="T74" s="119"/>
      <c r="U74" s="119"/>
      <c r="V74" s="119"/>
      <c r="AB74" s="58"/>
    </row>
    <row r="75" spans="3:28" ht="20.100000000000001" customHeight="1">
      <c r="C75" s="119"/>
      <c r="D75" s="119"/>
      <c r="E75" s="119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19"/>
      <c r="T75" s="119"/>
      <c r="U75" s="119"/>
      <c r="V75" s="119"/>
      <c r="AB75" s="58"/>
    </row>
    <row r="76" spans="3:28" ht="20.100000000000001" customHeight="1">
      <c r="C76" s="119"/>
      <c r="D76" s="119"/>
      <c r="E76" s="119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19"/>
      <c r="T76" s="119"/>
      <c r="U76" s="119"/>
      <c r="V76" s="119"/>
      <c r="AB76" s="58"/>
    </row>
    <row r="77" spans="3:28" ht="20.100000000000001" customHeight="1">
      <c r="C77" s="119"/>
      <c r="D77" s="119" t="s">
        <v>388</v>
      </c>
      <c r="E77" s="119"/>
      <c r="F77" s="119"/>
      <c r="G77" s="119"/>
      <c r="H77" s="119"/>
      <c r="I77" s="119"/>
      <c r="J77" s="119"/>
      <c r="K77" s="119"/>
      <c r="L77" s="120"/>
      <c r="M77" s="120"/>
      <c r="N77" s="120"/>
      <c r="O77" s="120"/>
      <c r="P77" s="120"/>
      <c r="Q77" s="120"/>
      <c r="R77" s="120"/>
      <c r="S77" s="119"/>
      <c r="T77" s="119"/>
      <c r="U77" s="119"/>
      <c r="V77" s="119"/>
      <c r="AB77" s="58"/>
    </row>
    <row r="78" spans="3:28" ht="20.100000000000001" customHeight="1">
      <c r="C78" s="119"/>
      <c r="D78" s="119" t="s">
        <v>389</v>
      </c>
      <c r="E78" s="119"/>
      <c r="F78" s="119"/>
      <c r="G78" s="119"/>
      <c r="H78" s="119"/>
      <c r="I78" s="119"/>
      <c r="J78" s="119"/>
      <c r="K78" s="119"/>
      <c r="L78" s="119"/>
      <c r="M78" s="119"/>
      <c r="N78" s="120"/>
      <c r="O78" s="120"/>
      <c r="P78" s="120"/>
      <c r="Q78" s="120"/>
      <c r="R78" s="120"/>
      <c r="S78" s="119"/>
      <c r="T78" s="119"/>
      <c r="U78" s="119"/>
      <c r="V78" s="119"/>
    </row>
    <row r="79" spans="3:28" ht="20.100000000000001" customHeight="1">
      <c r="C79" s="119"/>
      <c r="D79" s="119" t="s">
        <v>110</v>
      </c>
      <c r="E79" s="119"/>
      <c r="F79" s="119"/>
      <c r="G79" s="119"/>
      <c r="H79" s="119"/>
      <c r="I79" s="119"/>
      <c r="J79" s="120"/>
      <c r="K79" s="120"/>
      <c r="L79" s="120"/>
      <c r="M79" s="120"/>
      <c r="N79" s="120"/>
      <c r="O79" s="120"/>
      <c r="P79" s="120"/>
      <c r="Q79" s="120"/>
      <c r="R79" s="120"/>
      <c r="S79" s="119"/>
      <c r="T79" s="119"/>
      <c r="U79" s="119"/>
      <c r="V79" s="119"/>
      <c r="AB79" s="58"/>
    </row>
    <row r="80" spans="3:28" ht="20.100000000000001" customHeight="1">
      <c r="C80" s="119"/>
      <c r="D80" s="119" t="s">
        <v>111</v>
      </c>
      <c r="E80" s="119"/>
      <c r="F80" s="119"/>
      <c r="G80" s="119"/>
      <c r="H80" s="119"/>
      <c r="I80" s="119"/>
      <c r="J80" s="119"/>
      <c r="K80" s="119"/>
      <c r="L80" s="119"/>
      <c r="M80" s="120"/>
      <c r="N80" s="120"/>
      <c r="O80" s="120"/>
      <c r="P80" s="120"/>
      <c r="Q80" s="120"/>
      <c r="R80" s="120"/>
      <c r="S80" s="119"/>
      <c r="T80" s="119"/>
      <c r="U80" s="119"/>
      <c r="V80" s="119"/>
    </row>
    <row r="81" spans="2:28" ht="20.100000000000001" customHeight="1">
      <c r="C81" s="119"/>
      <c r="D81" s="119" t="s">
        <v>50</v>
      </c>
      <c r="E81" s="119"/>
      <c r="F81" s="119"/>
      <c r="G81" s="119"/>
      <c r="H81" s="119"/>
      <c r="I81" s="119"/>
      <c r="J81" s="119"/>
      <c r="K81" s="119"/>
      <c r="L81" s="120"/>
      <c r="M81" s="120"/>
      <c r="N81" s="120"/>
      <c r="O81" s="120"/>
      <c r="P81" s="120"/>
      <c r="Q81" s="120"/>
      <c r="R81" s="120"/>
      <c r="S81" s="119"/>
      <c r="T81" s="119"/>
      <c r="U81" s="119"/>
      <c r="V81" s="119"/>
      <c r="AB81" s="58"/>
    </row>
    <row r="82" spans="2:28" ht="20.100000000000001" customHeight="1">
      <c r="C82" s="119"/>
      <c r="D82" s="119"/>
      <c r="E82" s="119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19"/>
      <c r="T82" s="119"/>
      <c r="U82" s="119"/>
      <c r="V82" s="119"/>
    </row>
    <row r="83" spans="2:28" ht="20.100000000000001" customHeight="1">
      <c r="B83" s="125" t="s">
        <v>326</v>
      </c>
      <c r="C83" s="119"/>
      <c r="D83" s="119"/>
      <c r="E83" s="119"/>
      <c r="F83" s="119"/>
      <c r="G83" s="119"/>
      <c r="H83" s="119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19"/>
      <c r="T83" s="119"/>
      <c r="U83" s="119"/>
      <c r="V83" s="119"/>
    </row>
    <row r="84" spans="2:28" ht="20.100000000000001" customHeight="1">
      <c r="C84" s="119"/>
      <c r="D84" s="119"/>
      <c r="E84" s="119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19"/>
      <c r="T84" s="119"/>
      <c r="U84" s="119"/>
      <c r="V84" s="119"/>
      <c r="AB84" s="58"/>
    </row>
    <row r="85" spans="2:28" ht="20.100000000000001" customHeight="1">
      <c r="C85" s="119"/>
      <c r="D85" s="119"/>
      <c r="E85" s="119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19"/>
      <c r="T85" s="119"/>
      <c r="U85" s="119"/>
      <c r="V85" s="119"/>
    </row>
    <row r="86" spans="2:28" ht="20.100000000000001" customHeight="1">
      <c r="C86" s="119"/>
      <c r="D86" s="119"/>
      <c r="E86" s="119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19"/>
      <c r="T86" s="119"/>
      <c r="U86" s="119"/>
      <c r="V86" s="119"/>
      <c r="AB86" s="58"/>
    </row>
    <row r="87" spans="2:28" ht="20.100000000000001" customHeight="1">
      <c r="C87" s="119"/>
      <c r="D87" s="119"/>
      <c r="E87" s="119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19"/>
      <c r="T87" s="119"/>
      <c r="U87" s="119"/>
      <c r="V87" s="119"/>
    </row>
    <row r="88" spans="2:28" ht="20.100000000000001" customHeight="1">
      <c r="C88" s="119"/>
      <c r="D88" s="119"/>
      <c r="E88" s="119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19"/>
      <c r="T88" s="119"/>
      <c r="U88" s="119"/>
      <c r="V88" s="119"/>
      <c r="AB88" s="58"/>
    </row>
    <row r="89" spans="2:28" ht="20.100000000000001" customHeight="1">
      <c r="C89" s="119"/>
      <c r="D89" s="119"/>
      <c r="E89" s="119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19"/>
      <c r="T89" s="119"/>
      <c r="U89" s="119"/>
      <c r="V89" s="119"/>
    </row>
    <row r="90" spans="2:28" ht="20.100000000000001" customHeight="1">
      <c r="C90" s="119"/>
      <c r="D90" s="119"/>
      <c r="E90" s="119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19"/>
      <c r="T90" s="119"/>
      <c r="U90" s="119"/>
      <c r="V90" s="119"/>
      <c r="AB90" s="58"/>
    </row>
    <row r="91" spans="2:28" ht="20.100000000000001" customHeight="1">
      <c r="C91" s="119"/>
      <c r="D91" s="119"/>
      <c r="E91" s="119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19"/>
      <c r="T91" s="119"/>
      <c r="U91" s="119"/>
      <c r="V91" s="119"/>
    </row>
    <row r="92" spans="2:28" ht="20.100000000000001" customHeight="1">
      <c r="C92" s="119"/>
      <c r="D92" s="119"/>
      <c r="E92" s="119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19"/>
      <c r="T92" s="119"/>
      <c r="U92" s="119"/>
      <c r="V92" s="119"/>
      <c r="AB92" s="58"/>
    </row>
    <row r="93" spans="2:28" ht="20.100000000000001" customHeight="1">
      <c r="C93" s="119"/>
      <c r="D93" s="119"/>
      <c r="E93" s="119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19"/>
      <c r="T93" s="119"/>
      <c r="U93" s="119"/>
      <c r="V93" s="119"/>
    </row>
    <row r="94" spans="2:28" ht="20.100000000000001" customHeight="1">
      <c r="C94" s="119"/>
      <c r="D94" s="119" t="s">
        <v>51</v>
      </c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20"/>
      <c r="P94" s="120"/>
      <c r="Q94" s="120"/>
      <c r="R94" s="120"/>
      <c r="S94" s="119"/>
      <c r="T94" s="119"/>
      <c r="U94" s="119"/>
      <c r="V94" s="119"/>
      <c r="AB94" s="58"/>
    </row>
    <row r="95" spans="2:28" ht="20.100000000000001" customHeight="1">
      <c r="C95" s="119"/>
      <c r="D95" s="119" t="s">
        <v>18</v>
      </c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20"/>
      <c r="S95" s="119"/>
      <c r="T95" s="119"/>
      <c r="U95" s="119"/>
      <c r="V95" s="119"/>
    </row>
    <row r="96" spans="2:28" ht="20.100000000000001" customHeight="1">
      <c r="C96" s="119"/>
      <c r="D96" s="119" t="s">
        <v>112</v>
      </c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20"/>
      <c r="S96" s="119"/>
      <c r="T96" s="119"/>
      <c r="U96" s="119"/>
      <c r="V96" s="119"/>
    </row>
    <row r="97" spans="3:28" ht="20.100000000000001" customHeight="1">
      <c r="C97" s="119"/>
      <c r="D97" s="119"/>
      <c r="E97" s="119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19"/>
      <c r="T97" s="119"/>
      <c r="U97" s="119"/>
      <c r="V97" s="119"/>
      <c r="AB97" s="58"/>
    </row>
    <row r="98" spans="3:28" ht="20.100000000000001" customHeight="1">
      <c r="C98" s="119"/>
      <c r="D98" s="119"/>
      <c r="E98" s="119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19"/>
      <c r="T98" s="119"/>
      <c r="U98" s="119"/>
      <c r="V98" s="119"/>
    </row>
    <row r="99" spans="3:28" ht="20.100000000000001" customHeight="1">
      <c r="C99" s="119"/>
      <c r="D99" s="119"/>
      <c r="E99" s="119"/>
    </row>
    <row r="100" spans="3:28" ht="20.100000000000001" customHeight="1">
      <c r="C100" s="119"/>
      <c r="D100" s="119"/>
      <c r="E100" s="119"/>
    </row>
    <row r="101" spans="3:28" ht="20.100000000000001" customHeight="1">
      <c r="C101" s="119"/>
      <c r="D101" s="119"/>
      <c r="E101" s="119"/>
      <c r="J101" s="58"/>
    </row>
    <row r="102" spans="3:28" ht="20.100000000000001" customHeight="1">
      <c r="C102" s="83"/>
      <c r="D102" s="83"/>
      <c r="E102" s="119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19"/>
      <c r="T102" s="119"/>
      <c r="U102" s="119"/>
      <c r="V102" s="119"/>
    </row>
    <row r="103" spans="3:28" ht="20.100000000000001" customHeight="1">
      <c r="C103" s="119"/>
      <c r="D103" s="119"/>
      <c r="E103" s="119"/>
      <c r="F103" s="120"/>
      <c r="G103" s="120"/>
      <c r="H103" s="120"/>
      <c r="I103" s="120"/>
      <c r="S103" s="119"/>
      <c r="T103" s="119"/>
      <c r="U103" s="119"/>
      <c r="V103" s="119"/>
      <c r="AB103" s="58"/>
    </row>
    <row r="104" spans="3:28" ht="20.100000000000001" customHeight="1">
      <c r="C104" s="119"/>
      <c r="D104" s="119"/>
      <c r="E104" s="119"/>
      <c r="F104" s="120"/>
      <c r="G104" s="120"/>
      <c r="H104" s="120"/>
      <c r="I104" s="120"/>
      <c r="S104" s="119"/>
      <c r="T104" s="119"/>
      <c r="U104" s="119"/>
      <c r="V104" s="119"/>
      <c r="AB104" s="58"/>
    </row>
    <row r="105" spans="3:28" ht="20.100000000000001" customHeight="1">
      <c r="C105" s="119"/>
      <c r="D105" s="119"/>
      <c r="E105" s="119"/>
      <c r="F105" s="120"/>
      <c r="G105" s="120"/>
      <c r="H105" s="120"/>
      <c r="I105" s="120"/>
      <c r="S105" s="119"/>
      <c r="T105" s="119"/>
      <c r="U105" s="119"/>
      <c r="V105" s="119"/>
      <c r="AB105" s="58"/>
    </row>
    <row r="106" spans="3:28" ht="20.100000000000001" customHeight="1">
      <c r="C106" s="119"/>
      <c r="D106" s="119"/>
      <c r="E106" s="119"/>
      <c r="F106" s="120"/>
      <c r="G106" s="120"/>
      <c r="H106" s="120"/>
      <c r="I106" s="120"/>
      <c r="S106" s="119"/>
      <c r="T106" s="119"/>
      <c r="U106" s="119"/>
      <c r="V106" s="119"/>
      <c r="AB106" s="58"/>
    </row>
    <row r="107" spans="3:28" ht="20.100000000000001" customHeight="1">
      <c r="C107" s="119"/>
      <c r="D107" s="119"/>
      <c r="E107" s="119"/>
      <c r="F107" s="120"/>
      <c r="G107" s="120"/>
      <c r="H107" s="120"/>
      <c r="I107" s="120"/>
      <c r="S107" s="119"/>
      <c r="T107" s="119"/>
      <c r="U107" s="119"/>
      <c r="V107" s="119"/>
      <c r="AB107" s="58"/>
    </row>
    <row r="108" spans="3:28" ht="20.100000000000001" customHeight="1">
      <c r="C108" s="119"/>
      <c r="D108" s="119"/>
      <c r="E108" s="119"/>
      <c r="F108" s="120"/>
      <c r="G108" s="120"/>
      <c r="H108" s="120"/>
      <c r="I108" s="120"/>
      <c r="S108" s="119"/>
      <c r="T108" s="119"/>
      <c r="U108" s="119"/>
      <c r="V108" s="119"/>
      <c r="AB108" s="58"/>
    </row>
    <row r="109" spans="3:28" ht="20.100000000000001" customHeight="1">
      <c r="C109" s="119"/>
      <c r="D109" s="119"/>
      <c r="E109" s="119"/>
      <c r="F109" s="120"/>
      <c r="G109" s="120"/>
      <c r="H109" s="120"/>
      <c r="I109" s="120"/>
      <c r="S109" s="119"/>
      <c r="T109" s="119"/>
      <c r="U109" s="119"/>
      <c r="V109" s="119"/>
      <c r="AB109" s="58"/>
    </row>
    <row r="110" spans="3:28" ht="20.100000000000001" customHeight="1">
      <c r="C110" s="119"/>
      <c r="D110" s="119"/>
      <c r="E110" s="119"/>
      <c r="F110" s="120"/>
      <c r="G110" s="120"/>
      <c r="H110" s="120"/>
      <c r="I110" s="120"/>
      <c r="J110" s="58"/>
      <c r="K110" s="58"/>
      <c r="L110" s="58"/>
      <c r="M110" s="58"/>
      <c r="N110" s="58"/>
      <c r="O110" s="58"/>
      <c r="P110" s="58"/>
      <c r="Q110" s="58"/>
      <c r="R110" s="58"/>
      <c r="S110" s="119"/>
      <c r="T110" s="119"/>
      <c r="U110" s="119"/>
      <c r="V110" s="119"/>
      <c r="AB110" s="58"/>
    </row>
    <row r="111" spans="3:28" ht="20.100000000000001" customHeight="1">
      <c r="C111" s="119"/>
      <c r="D111" s="119"/>
      <c r="E111" s="119"/>
      <c r="F111" s="120"/>
      <c r="G111" s="120"/>
      <c r="H111" s="120"/>
      <c r="I111" s="120"/>
      <c r="J111" s="58"/>
      <c r="K111" s="58"/>
      <c r="L111" s="58"/>
      <c r="M111" s="58"/>
      <c r="N111" s="58"/>
      <c r="O111" s="58"/>
      <c r="P111" s="58"/>
      <c r="Q111" s="58"/>
      <c r="R111" s="58"/>
      <c r="S111" s="119"/>
      <c r="T111" s="119"/>
      <c r="U111" s="119"/>
      <c r="V111" s="119"/>
      <c r="AB111" s="58"/>
    </row>
    <row r="112" spans="3:28" ht="20.100000000000001" customHeight="1">
      <c r="C112" s="119"/>
      <c r="D112" s="119"/>
      <c r="E112" s="119"/>
      <c r="F112" s="120"/>
      <c r="G112" s="120"/>
      <c r="H112" s="120"/>
      <c r="I112" s="120"/>
      <c r="J112" s="58"/>
      <c r="K112" s="58"/>
      <c r="L112" s="58"/>
      <c r="M112" s="58"/>
      <c r="N112" s="58"/>
      <c r="O112" s="58"/>
      <c r="P112" s="58"/>
      <c r="Q112" s="58"/>
      <c r="R112" s="58"/>
      <c r="S112" s="119"/>
      <c r="T112" s="119"/>
      <c r="U112" s="119"/>
      <c r="V112" s="119"/>
      <c r="AB112" s="58"/>
    </row>
    <row r="113" spans="3:28" ht="20.100000000000001" customHeight="1">
      <c r="C113" s="119"/>
      <c r="D113" s="119"/>
      <c r="E113" s="119"/>
      <c r="F113" s="120"/>
      <c r="G113" s="120"/>
      <c r="H113" s="120"/>
      <c r="I113" s="120"/>
      <c r="J113" s="58"/>
      <c r="K113" s="58"/>
      <c r="L113" s="58"/>
      <c r="M113" s="58"/>
      <c r="N113" s="58"/>
      <c r="O113" s="58"/>
      <c r="P113" s="58"/>
      <c r="Q113" s="58"/>
      <c r="R113" s="58"/>
      <c r="S113" s="119"/>
      <c r="T113" s="119"/>
      <c r="U113" s="119"/>
      <c r="V113" s="119"/>
      <c r="AB113" s="58"/>
    </row>
    <row r="114" spans="3:28" ht="20.100000000000001" customHeight="1">
      <c r="C114" s="119"/>
      <c r="D114" s="119"/>
      <c r="E114" s="119"/>
      <c r="F114" s="120"/>
      <c r="G114" s="120"/>
      <c r="H114" s="120"/>
      <c r="I114" s="120"/>
      <c r="J114" s="58"/>
      <c r="K114" s="58"/>
      <c r="L114" s="58"/>
      <c r="M114" s="58"/>
      <c r="N114" s="58"/>
      <c r="O114" s="58"/>
      <c r="P114" s="58"/>
      <c r="Q114" s="58"/>
      <c r="R114" s="58"/>
      <c r="S114" s="119"/>
      <c r="T114" s="119"/>
      <c r="U114" s="119"/>
      <c r="V114" s="119"/>
      <c r="AB114" s="58"/>
    </row>
    <row r="115" spans="3:28" ht="20.100000000000001" customHeight="1">
      <c r="C115" s="119"/>
      <c r="D115" s="119"/>
      <c r="E115" s="119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19"/>
      <c r="T115" s="119"/>
      <c r="U115" s="119"/>
      <c r="V115" s="119"/>
      <c r="AB115" s="58"/>
    </row>
    <row r="116" spans="3:28" ht="20.100000000000001" customHeight="1">
      <c r="C116" s="119"/>
      <c r="D116" s="119"/>
      <c r="E116" s="119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19"/>
      <c r="T116" s="119"/>
      <c r="U116" s="119"/>
      <c r="V116" s="119"/>
      <c r="AB116" s="58"/>
    </row>
    <row r="117" spans="3:28" ht="20.100000000000001" customHeight="1">
      <c r="C117" s="119"/>
      <c r="D117" s="119"/>
      <c r="E117" s="119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19"/>
      <c r="T117" s="119"/>
      <c r="U117" s="119"/>
      <c r="V117" s="119"/>
      <c r="AB117" s="58"/>
    </row>
    <row r="118" spans="3:28" ht="20.100000000000001" customHeight="1">
      <c r="C118" s="119"/>
      <c r="D118" s="119"/>
      <c r="E118" s="119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19"/>
      <c r="T118" s="119"/>
      <c r="U118" s="119"/>
      <c r="V118" s="119"/>
      <c r="AB118" s="58"/>
    </row>
    <row r="119" spans="3:28" ht="20.100000000000001" customHeight="1">
      <c r="C119" s="119"/>
      <c r="D119" s="119" t="s">
        <v>19</v>
      </c>
      <c r="E119" s="119"/>
      <c r="F119" s="119"/>
      <c r="G119" s="119"/>
      <c r="H119" s="119"/>
      <c r="I119" s="119"/>
      <c r="J119" s="119"/>
      <c r="K119" s="120"/>
      <c r="L119" s="120"/>
      <c r="M119" s="120"/>
      <c r="N119" s="120"/>
      <c r="O119" s="120"/>
      <c r="P119" s="120"/>
      <c r="Q119" s="120"/>
      <c r="R119" s="120"/>
      <c r="S119" s="119"/>
      <c r="T119" s="119"/>
      <c r="U119" s="119"/>
      <c r="V119" s="119"/>
    </row>
    <row r="120" spans="3:28" ht="20.100000000000001" customHeight="1">
      <c r="C120" s="119"/>
      <c r="D120" s="119" t="s">
        <v>113</v>
      </c>
      <c r="E120" s="119"/>
      <c r="F120" s="119"/>
      <c r="G120" s="119"/>
      <c r="H120" s="119"/>
    </row>
    <row r="121" spans="3:28" ht="20.100000000000001" customHeight="1">
      <c r="C121" s="119"/>
      <c r="D121" s="119" t="s">
        <v>114</v>
      </c>
      <c r="E121" s="119"/>
      <c r="F121" s="119"/>
      <c r="G121" s="119"/>
      <c r="H121" s="119"/>
    </row>
    <row r="122" spans="3:28" ht="20.100000000000001" customHeight="1">
      <c r="C122" s="119"/>
      <c r="D122" s="119" t="s">
        <v>336</v>
      </c>
      <c r="E122" s="119"/>
      <c r="F122" s="119"/>
      <c r="G122" s="119"/>
      <c r="H122" s="119"/>
    </row>
    <row r="123" spans="3:28" ht="20.100000000000001" customHeight="1">
      <c r="C123" s="119"/>
      <c r="D123" s="119" t="s">
        <v>115</v>
      </c>
      <c r="E123" s="119"/>
      <c r="F123" s="119"/>
      <c r="G123" s="119"/>
      <c r="H123" s="119"/>
      <c r="I123" s="119"/>
    </row>
    <row r="124" spans="3:28" ht="20.100000000000001" customHeight="1">
      <c r="C124" s="119"/>
      <c r="D124" s="119" t="s">
        <v>116</v>
      </c>
      <c r="E124" s="119"/>
      <c r="F124" s="119"/>
      <c r="G124" s="119"/>
      <c r="H124" s="119"/>
      <c r="I124" s="119"/>
      <c r="J124" s="119"/>
    </row>
    <row r="125" spans="3:28" ht="20.100000000000001" customHeight="1">
      <c r="C125" s="119"/>
      <c r="D125" s="119" t="s">
        <v>117</v>
      </c>
      <c r="E125" s="119"/>
      <c r="F125" s="119"/>
      <c r="G125" s="119"/>
      <c r="H125" s="119"/>
      <c r="I125" s="119"/>
      <c r="J125" s="119"/>
    </row>
    <row r="126" spans="3:28" ht="20.100000000000001" customHeight="1">
      <c r="C126" s="119"/>
      <c r="D126" s="119" t="s">
        <v>310</v>
      </c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</row>
    <row r="127" spans="3:28" ht="20.100000000000001" customHeight="1">
      <c r="C127" s="119"/>
      <c r="D127" s="119" t="s">
        <v>311</v>
      </c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</row>
    <row r="128" spans="3:28" ht="20.100000000000001" customHeight="1">
      <c r="C128" s="119"/>
      <c r="D128" s="119" t="s">
        <v>312</v>
      </c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</row>
    <row r="129" spans="2:15" ht="20.100000000000001" customHeight="1"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</row>
    <row r="130" spans="2:15" ht="20.100000000000001" customHeight="1">
      <c r="C130" s="119"/>
      <c r="E130" s="119"/>
    </row>
    <row r="131" spans="2:15" ht="20.100000000000001" customHeight="1">
      <c r="B131" s="119" t="s">
        <v>20</v>
      </c>
      <c r="C131" s="119"/>
      <c r="D131" s="119"/>
      <c r="E131" s="119"/>
    </row>
    <row r="132" spans="2:15" ht="20.100000000000001" customHeight="1">
      <c r="C132" s="119"/>
      <c r="D132" s="119"/>
      <c r="E132" s="119"/>
    </row>
    <row r="133" spans="2:15" ht="20.100000000000001" customHeight="1">
      <c r="C133" s="119" t="s">
        <v>313</v>
      </c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</row>
    <row r="134" spans="2:15" ht="20.100000000000001" customHeight="1">
      <c r="C134" s="119"/>
      <c r="D134" s="119"/>
      <c r="E134" s="119"/>
    </row>
    <row r="135" spans="2:15" ht="20.100000000000001" customHeight="1">
      <c r="B135" s="119" t="s">
        <v>21</v>
      </c>
      <c r="C135" s="119"/>
      <c r="D135" s="119"/>
      <c r="E135" s="119"/>
      <c r="F135" s="119"/>
    </row>
    <row r="136" spans="2:15" ht="20.100000000000001" customHeight="1">
      <c r="C136" s="119"/>
      <c r="D136" s="119"/>
      <c r="E136" s="119"/>
    </row>
    <row r="137" spans="2:15" ht="20.100000000000001" customHeight="1">
      <c r="C137" s="119"/>
      <c r="D137" s="119"/>
      <c r="E137" s="119"/>
    </row>
    <row r="138" spans="2:15" ht="20.100000000000001" customHeight="1">
      <c r="C138" s="119"/>
      <c r="D138" s="119"/>
      <c r="E138" s="119"/>
    </row>
    <row r="139" spans="2:15" ht="20.100000000000001" customHeight="1">
      <c r="C139" s="119"/>
      <c r="D139" s="119"/>
      <c r="E139" s="119"/>
    </row>
    <row r="140" spans="2:15" ht="20.100000000000001" customHeight="1">
      <c r="C140" s="119"/>
      <c r="D140" s="119"/>
      <c r="E140" s="119"/>
    </row>
    <row r="141" spans="2:15" ht="20.100000000000001" customHeight="1">
      <c r="C141" s="119"/>
      <c r="D141" s="119"/>
      <c r="E141" s="119"/>
    </row>
    <row r="142" spans="2:15" ht="20.100000000000001" customHeight="1">
      <c r="C142" s="119"/>
      <c r="D142" s="119"/>
      <c r="E142" s="119"/>
    </row>
    <row r="143" spans="2:15" ht="20.100000000000001" customHeight="1">
      <c r="C143" s="119"/>
      <c r="D143" s="119"/>
      <c r="E143" s="119"/>
    </row>
    <row r="144" spans="2:15" ht="20.100000000000001" customHeight="1">
      <c r="C144" s="119"/>
      <c r="D144" s="119"/>
      <c r="E144" s="119"/>
    </row>
    <row r="145" spans="2:22" ht="20.100000000000001" customHeight="1">
      <c r="C145" s="119"/>
      <c r="D145" s="119"/>
      <c r="E145" s="119"/>
    </row>
    <row r="146" spans="2:22" ht="20.100000000000001" customHeight="1">
      <c r="C146" s="119"/>
      <c r="D146" s="119"/>
      <c r="E146" s="119"/>
    </row>
    <row r="147" spans="2:22" ht="20.100000000000001" customHeight="1">
      <c r="C147" s="119"/>
      <c r="D147" s="119"/>
      <c r="E147" s="119"/>
    </row>
    <row r="148" spans="2:22" ht="20.100000000000001" customHeight="1">
      <c r="C148" s="119"/>
      <c r="D148" s="119"/>
      <c r="E148" s="119"/>
    </row>
    <row r="149" spans="2:22" ht="20.100000000000001" customHeight="1">
      <c r="C149" s="119"/>
      <c r="D149" s="119"/>
      <c r="E149" s="119"/>
    </row>
    <row r="150" spans="2:22" ht="20.100000000000001" customHeight="1">
      <c r="C150" s="119"/>
      <c r="D150" s="119" t="s">
        <v>22</v>
      </c>
      <c r="E150" s="119"/>
      <c r="F150" s="119"/>
      <c r="G150" s="119"/>
      <c r="H150" s="119"/>
      <c r="I150" s="119"/>
      <c r="J150" s="119"/>
      <c r="K150" s="119"/>
      <c r="L150" s="119"/>
    </row>
    <row r="151" spans="2:22" ht="20.100000000000001" customHeight="1">
      <c r="C151" s="119"/>
      <c r="D151" s="119" t="s">
        <v>23</v>
      </c>
      <c r="E151" s="119"/>
      <c r="F151" s="119"/>
      <c r="G151" s="119"/>
      <c r="H151" s="119"/>
      <c r="I151" s="119"/>
      <c r="J151" s="119"/>
      <c r="K151" s="119"/>
      <c r="L151" s="119"/>
    </row>
    <row r="152" spans="2:22" ht="20.100000000000001" customHeight="1">
      <c r="C152" s="119"/>
      <c r="D152" s="119" t="s">
        <v>24</v>
      </c>
      <c r="E152" s="119"/>
      <c r="F152" s="119"/>
      <c r="G152" s="119"/>
      <c r="H152" s="119"/>
      <c r="I152" s="119"/>
      <c r="J152" s="119"/>
    </row>
    <row r="153" spans="2:22" ht="20.100000000000001" customHeight="1">
      <c r="C153" s="119"/>
      <c r="D153" s="119" t="s">
        <v>25</v>
      </c>
      <c r="E153" s="119"/>
      <c r="F153" s="119"/>
      <c r="G153" s="119"/>
      <c r="H153" s="119"/>
    </row>
    <row r="154" spans="2:22" ht="20.100000000000001" customHeight="1">
      <c r="C154" s="119"/>
      <c r="D154" s="119" t="s">
        <v>26</v>
      </c>
      <c r="E154" s="119"/>
      <c r="F154" s="119"/>
      <c r="G154" s="119"/>
      <c r="H154" s="119"/>
      <c r="I154" s="119"/>
    </row>
    <row r="155" spans="2:22" ht="20.100000000000001" customHeight="1">
      <c r="C155" s="119"/>
      <c r="D155" s="119" t="s">
        <v>27</v>
      </c>
      <c r="E155" s="119"/>
      <c r="F155" s="119"/>
      <c r="G155" s="119"/>
      <c r="H155" s="119"/>
      <c r="I155" s="119"/>
      <c r="J155" s="119"/>
      <c r="K155" s="119"/>
    </row>
    <row r="156" spans="2:22" ht="20.100000000000001" customHeight="1">
      <c r="C156" s="119"/>
      <c r="D156" s="119"/>
      <c r="E156" s="119"/>
    </row>
    <row r="157" spans="2:22" ht="20.100000000000001" customHeight="1">
      <c r="B157" s="119" t="s">
        <v>28</v>
      </c>
      <c r="C157" s="119"/>
      <c r="D157" s="119"/>
      <c r="E157" s="119"/>
      <c r="F157" s="119"/>
      <c r="G157" s="119"/>
      <c r="H157" s="119"/>
      <c r="I157" s="119"/>
    </row>
    <row r="158" spans="2:22" ht="20.100000000000001" customHeight="1">
      <c r="C158" s="119"/>
      <c r="D158" s="119"/>
      <c r="E158" s="119"/>
    </row>
    <row r="159" spans="2:22" ht="20.100000000000001" customHeight="1">
      <c r="C159" s="119"/>
      <c r="D159" s="119"/>
    </row>
    <row r="160" spans="2:22" ht="20.100000000000001" customHeight="1">
      <c r="C160" s="119" t="s">
        <v>29</v>
      </c>
      <c r="D160" s="119"/>
      <c r="E160" s="119" t="s">
        <v>350</v>
      </c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</row>
    <row r="161" spans="3:5" ht="20.100000000000001" customHeight="1">
      <c r="C161" s="119"/>
      <c r="D161" s="119"/>
    </row>
    <row r="162" spans="3:5" ht="20.100000000000001" customHeight="1">
      <c r="C162" s="119"/>
      <c r="D162" s="119"/>
      <c r="E162" s="119"/>
    </row>
    <row r="163" spans="3:5" ht="20.100000000000001" customHeight="1">
      <c r="C163" s="119"/>
      <c r="D163" s="119"/>
      <c r="E163" s="119"/>
    </row>
    <row r="164" spans="3:5" ht="20.100000000000001" customHeight="1">
      <c r="C164" s="119"/>
      <c r="D164" s="119"/>
      <c r="E164" s="119"/>
    </row>
    <row r="165" spans="3:5" ht="20.100000000000001" customHeight="1">
      <c r="C165" s="119"/>
      <c r="D165" s="119"/>
      <c r="E165" s="119"/>
    </row>
    <row r="166" spans="3:5" ht="20.100000000000001" customHeight="1">
      <c r="C166" s="119"/>
      <c r="D166" s="119"/>
      <c r="E166" s="119"/>
    </row>
    <row r="167" spans="3:5" ht="20.100000000000001" customHeight="1">
      <c r="C167" s="119"/>
      <c r="D167" s="119"/>
      <c r="E167" s="119"/>
    </row>
    <row r="168" spans="3:5" ht="20.100000000000001" customHeight="1">
      <c r="C168" s="119"/>
      <c r="D168" s="119"/>
      <c r="E168" s="119"/>
    </row>
    <row r="169" spans="3:5" ht="20.100000000000001" customHeight="1">
      <c r="C169" s="119"/>
      <c r="D169" s="119"/>
      <c r="E169" s="119"/>
    </row>
    <row r="170" spans="3:5" ht="20.100000000000001" customHeight="1">
      <c r="C170" s="119"/>
      <c r="D170" s="119"/>
      <c r="E170" s="119"/>
    </row>
    <row r="171" spans="3:5" ht="20.100000000000001" customHeight="1">
      <c r="C171" s="119"/>
      <c r="D171" s="119"/>
      <c r="E171" s="119"/>
    </row>
    <row r="172" spans="3:5" ht="20.100000000000001" customHeight="1">
      <c r="C172" s="119"/>
      <c r="D172" s="119"/>
      <c r="E172" s="119"/>
    </row>
    <row r="173" spans="3:5" ht="20.100000000000001" customHeight="1">
      <c r="C173" s="119"/>
      <c r="D173" s="119"/>
      <c r="E173" s="119"/>
    </row>
    <row r="174" spans="3:5" ht="20.100000000000001" customHeight="1">
      <c r="C174" s="119"/>
      <c r="D174" s="119"/>
      <c r="E174" s="119"/>
    </row>
    <row r="175" spans="3:5" ht="20.100000000000001" customHeight="1">
      <c r="C175" s="119"/>
      <c r="D175" s="119"/>
      <c r="E175" s="119"/>
    </row>
    <row r="176" spans="3:5" ht="20.100000000000001" customHeight="1">
      <c r="C176" s="119"/>
      <c r="D176" s="119"/>
      <c r="E176" s="119"/>
    </row>
    <row r="177" spans="3:5" ht="20.100000000000001" customHeight="1">
      <c r="C177" s="119"/>
      <c r="D177" s="119"/>
      <c r="E177" s="119"/>
    </row>
    <row r="178" spans="3:5" ht="20.100000000000001" customHeight="1">
      <c r="C178" s="119"/>
      <c r="D178" s="119"/>
      <c r="E178" s="119"/>
    </row>
    <row r="179" spans="3:5" ht="20.100000000000001" customHeight="1">
      <c r="C179" s="119"/>
      <c r="D179" s="119"/>
      <c r="E179" s="119"/>
    </row>
    <row r="180" spans="3:5" ht="20.100000000000001" customHeight="1">
      <c r="C180" s="119"/>
      <c r="D180" s="119"/>
      <c r="E180" s="119"/>
    </row>
    <row r="181" spans="3:5" ht="20.100000000000001" customHeight="1">
      <c r="C181" s="119"/>
      <c r="D181" s="119"/>
      <c r="E181" s="119"/>
    </row>
    <row r="182" spans="3:5" ht="20.100000000000001" customHeight="1">
      <c r="C182" s="119"/>
      <c r="D182" s="119"/>
      <c r="E182" s="119"/>
    </row>
    <row r="183" spans="3:5" ht="20.100000000000001" customHeight="1">
      <c r="C183" s="119"/>
      <c r="D183" s="119"/>
      <c r="E183" s="119"/>
    </row>
    <row r="184" spans="3:5" ht="20.100000000000001" customHeight="1">
      <c r="C184" s="119"/>
      <c r="D184" s="119"/>
      <c r="E184" s="119"/>
    </row>
    <row r="185" spans="3:5" ht="20.100000000000001" customHeight="1">
      <c r="C185" s="119"/>
      <c r="D185" s="119"/>
      <c r="E185" s="119"/>
    </row>
    <row r="186" spans="3:5" ht="20.100000000000001" customHeight="1">
      <c r="C186" s="119"/>
      <c r="D186" s="119"/>
      <c r="E186" s="119"/>
    </row>
    <row r="187" spans="3:5" ht="20.100000000000001" customHeight="1">
      <c r="C187" s="119"/>
      <c r="D187" s="119"/>
      <c r="E187" s="119"/>
    </row>
    <row r="188" spans="3:5" ht="20.100000000000001" customHeight="1">
      <c r="C188" s="119"/>
      <c r="D188" s="119"/>
      <c r="E188" s="119"/>
    </row>
    <row r="189" spans="3:5" ht="20.100000000000001" customHeight="1">
      <c r="C189" s="119"/>
      <c r="D189" s="119"/>
      <c r="E189" s="119"/>
    </row>
    <row r="190" spans="3:5" ht="20.100000000000001" customHeight="1">
      <c r="C190" s="119"/>
      <c r="D190" s="119"/>
      <c r="E190" s="119"/>
    </row>
    <row r="191" spans="3:5" ht="20.100000000000001" customHeight="1">
      <c r="C191" s="119"/>
      <c r="D191" s="119"/>
      <c r="E191" s="119"/>
    </row>
    <row r="192" spans="3:5" ht="20.100000000000001" customHeight="1">
      <c r="C192" s="119"/>
      <c r="D192" s="119"/>
      <c r="E192" s="119"/>
    </row>
    <row r="193" spans="3:5" ht="20.100000000000001" customHeight="1">
      <c r="C193" s="119"/>
      <c r="D193" s="119"/>
      <c r="E193" s="119"/>
    </row>
    <row r="194" spans="3:5" ht="20.100000000000001" customHeight="1">
      <c r="C194" s="119"/>
      <c r="D194" s="119"/>
      <c r="E194" s="119"/>
    </row>
    <row r="195" spans="3:5" ht="20.100000000000001" customHeight="1">
      <c r="C195" s="119"/>
      <c r="D195" s="119"/>
      <c r="E195" s="119"/>
    </row>
    <row r="196" spans="3:5" ht="20.100000000000001" customHeight="1">
      <c r="C196" s="119"/>
      <c r="D196" s="119"/>
      <c r="E196" s="119"/>
    </row>
    <row r="197" spans="3:5" ht="20.100000000000001" customHeight="1">
      <c r="C197" s="119"/>
      <c r="D197" s="119"/>
      <c r="E197" s="119"/>
    </row>
    <row r="198" spans="3:5" ht="20.100000000000001" customHeight="1">
      <c r="C198" s="119"/>
      <c r="D198" s="119"/>
      <c r="E198" s="119"/>
    </row>
    <row r="199" spans="3:5" ht="20.100000000000001" customHeight="1">
      <c r="C199" s="119"/>
      <c r="D199" s="119"/>
      <c r="E199" s="119"/>
    </row>
    <row r="200" spans="3:5" ht="20.100000000000001" customHeight="1">
      <c r="C200" s="119"/>
      <c r="D200" s="119"/>
      <c r="E200" s="119"/>
    </row>
    <row r="201" spans="3:5" ht="20.100000000000001" customHeight="1">
      <c r="C201" s="119"/>
      <c r="D201" s="119"/>
      <c r="E201" s="119"/>
    </row>
    <row r="202" spans="3:5" ht="20.100000000000001" customHeight="1">
      <c r="C202" s="119"/>
      <c r="D202" s="119"/>
      <c r="E202" s="119"/>
    </row>
    <row r="203" spans="3:5" ht="20.100000000000001" customHeight="1">
      <c r="C203" s="119"/>
      <c r="D203" s="119"/>
      <c r="E203" s="119"/>
    </row>
    <row r="204" spans="3:5" ht="20.100000000000001" customHeight="1">
      <c r="C204" s="119"/>
      <c r="D204" s="119"/>
      <c r="E204" s="119"/>
    </row>
    <row r="205" spans="3:5" ht="20.100000000000001" customHeight="1">
      <c r="C205" s="119"/>
      <c r="D205" s="119"/>
      <c r="E205" s="119"/>
    </row>
    <row r="206" spans="3:5" ht="20.100000000000001" customHeight="1">
      <c r="C206" s="119"/>
      <c r="D206" s="119"/>
      <c r="E206" s="119"/>
    </row>
    <row r="207" spans="3:5" ht="20.100000000000001" customHeight="1">
      <c r="C207" s="119"/>
      <c r="D207" s="119"/>
      <c r="E207" s="119"/>
    </row>
    <row r="208" spans="3:5" ht="20.100000000000001" customHeight="1">
      <c r="C208" s="119"/>
      <c r="D208" s="119"/>
      <c r="E208" s="119"/>
    </row>
    <row r="209" spans="3:5" ht="20.100000000000001" customHeight="1">
      <c r="C209" s="119"/>
      <c r="D209" s="119"/>
      <c r="E209" s="119"/>
    </row>
    <row r="210" spans="3:5" ht="20.100000000000001" customHeight="1">
      <c r="C210" s="119"/>
      <c r="D210" s="119"/>
      <c r="E210" s="119"/>
    </row>
    <row r="211" spans="3:5" ht="20.100000000000001" customHeight="1">
      <c r="C211" s="119"/>
      <c r="D211" s="119"/>
      <c r="E211" s="119"/>
    </row>
    <row r="212" spans="3:5" ht="20.100000000000001" customHeight="1">
      <c r="C212" s="119"/>
      <c r="D212" s="119"/>
      <c r="E212" s="119"/>
    </row>
    <row r="213" spans="3:5" ht="20.100000000000001" customHeight="1">
      <c r="C213" s="119"/>
      <c r="D213" s="119"/>
      <c r="E213" s="119"/>
    </row>
    <row r="214" spans="3:5" ht="20.100000000000001" customHeight="1">
      <c r="C214" s="119"/>
      <c r="D214" s="119"/>
      <c r="E214" s="119"/>
    </row>
    <row r="215" spans="3:5" ht="20.100000000000001" customHeight="1">
      <c r="C215" s="119"/>
      <c r="D215" s="119"/>
      <c r="E215" s="119"/>
    </row>
    <row r="216" spans="3:5" ht="20.100000000000001" customHeight="1">
      <c r="C216" s="119"/>
      <c r="D216" s="119"/>
      <c r="E216" s="119"/>
    </row>
    <row r="217" spans="3:5" ht="20.100000000000001" customHeight="1">
      <c r="C217" s="119"/>
      <c r="D217" s="119"/>
      <c r="E217" s="119"/>
    </row>
    <row r="218" spans="3:5" ht="20.100000000000001" customHeight="1">
      <c r="C218" s="119"/>
      <c r="D218" s="119"/>
      <c r="E218" s="119"/>
    </row>
    <row r="219" spans="3:5" ht="20.100000000000001" customHeight="1">
      <c r="C219" s="119"/>
      <c r="D219" s="119"/>
      <c r="E219" s="119"/>
    </row>
    <row r="220" spans="3:5" ht="20.100000000000001" customHeight="1">
      <c r="C220" s="119"/>
      <c r="D220" s="119"/>
      <c r="E220" s="119"/>
    </row>
    <row r="221" spans="3:5" ht="20.100000000000001" customHeight="1">
      <c r="C221" s="119"/>
      <c r="D221" s="119"/>
      <c r="E221" s="119"/>
    </row>
    <row r="222" spans="3:5" ht="20.100000000000001" customHeight="1">
      <c r="C222" s="119"/>
      <c r="D222" s="119"/>
      <c r="E222" s="119"/>
    </row>
    <row r="223" spans="3:5" ht="20.100000000000001" customHeight="1">
      <c r="C223" s="119"/>
      <c r="D223" s="119"/>
      <c r="E223" s="119"/>
    </row>
    <row r="224" spans="3:5" ht="20.100000000000001" customHeight="1">
      <c r="C224" s="119"/>
      <c r="D224" s="119"/>
      <c r="E224" s="119"/>
    </row>
    <row r="225" spans="3:5" ht="20.100000000000001" customHeight="1">
      <c r="C225" s="119"/>
      <c r="D225" s="119"/>
      <c r="E225" s="119"/>
    </row>
    <row r="226" spans="3:5" ht="20.100000000000001" customHeight="1">
      <c r="C226" s="119"/>
      <c r="D226" s="119"/>
      <c r="E226" s="119"/>
    </row>
    <row r="227" spans="3:5" ht="20.100000000000001" customHeight="1">
      <c r="C227" s="119"/>
      <c r="D227" s="119"/>
      <c r="E227" s="119"/>
    </row>
    <row r="228" spans="3:5" ht="20.100000000000001" customHeight="1">
      <c r="C228" s="119"/>
      <c r="D228" s="119"/>
      <c r="E228" s="119"/>
    </row>
    <row r="229" spans="3:5" ht="20.100000000000001" customHeight="1">
      <c r="C229" s="119"/>
      <c r="D229" s="119"/>
      <c r="E229" s="119"/>
    </row>
    <row r="230" spans="3:5" ht="20.100000000000001" customHeight="1">
      <c r="C230" s="119"/>
      <c r="D230" s="119"/>
      <c r="E230" s="119"/>
    </row>
    <row r="231" spans="3:5" ht="20.100000000000001" customHeight="1">
      <c r="C231" s="119"/>
      <c r="D231" s="119"/>
      <c r="E231" s="119"/>
    </row>
    <row r="232" spans="3:5" ht="20.100000000000001" customHeight="1">
      <c r="C232" s="119"/>
      <c r="D232" s="119"/>
      <c r="E232" s="119"/>
    </row>
    <row r="233" spans="3:5" ht="20.100000000000001" customHeight="1">
      <c r="C233" s="119"/>
      <c r="D233" s="119"/>
      <c r="E233" s="119"/>
    </row>
    <row r="234" spans="3:5" ht="20.100000000000001" customHeight="1">
      <c r="C234" s="119"/>
      <c r="D234" s="119"/>
      <c r="E234" s="119"/>
    </row>
    <row r="235" spans="3:5" ht="20.100000000000001" customHeight="1">
      <c r="C235" s="119"/>
      <c r="D235" s="119"/>
      <c r="E235" s="119"/>
    </row>
    <row r="236" spans="3:5" ht="20.100000000000001" customHeight="1">
      <c r="C236" s="119"/>
      <c r="D236" s="119"/>
      <c r="E236" s="119"/>
    </row>
    <row r="237" spans="3:5" ht="20.100000000000001" customHeight="1">
      <c r="C237" s="119"/>
      <c r="D237" s="119"/>
      <c r="E237" s="119"/>
    </row>
    <row r="238" spans="3:5" ht="20.100000000000001" customHeight="1">
      <c r="C238" s="119"/>
      <c r="D238" s="119"/>
      <c r="E238" s="119"/>
    </row>
    <row r="239" spans="3:5" ht="20.100000000000001" customHeight="1">
      <c r="C239" s="119"/>
      <c r="D239" s="119"/>
      <c r="E239" s="119"/>
    </row>
    <row r="240" spans="3:5" ht="20.100000000000001" customHeight="1">
      <c r="C240" s="119"/>
      <c r="D240" s="119"/>
      <c r="E240" s="119"/>
    </row>
    <row r="241" spans="3:5" ht="20.100000000000001" customHeight="1">
      <c r="C241" s="119"/>
      <c r="D241" s="119"/>
      <c r="E241" s="119"/>
    </row>
    <row r="242" spans="3:5" ht="20.100000000000001" customHeight="1">
      <c r="C242" s="119"/>
      <c r="D242" s="119"/>
      <c r="E242" s="119"/>
    </row>
    <row r="243" spans="3:5" ht="20.100000000000001" customHeight="1">
      <c r="C243" s="119"/>
      <c r="D243" s="119"/>
      <c r="E243" s="119"/>
    </row>
    <row r="244" spans="3:5" ht="20.100000000000001" customHeight="1">
      <c r="C244" s="119"/>
      <c r="D244" s="119"/>
      <c r="E244" s="119"/>
    </row>
    <row r="245" spans="3:5" ht="20.100000000000001" customHeight="1">
      <c r="C245" s="119"/>
      <c r="D245" s="119"/>
      <c r="E245" s="119"/>
    </row>
    <row r="246" spans="3:5" ht="20.100000000000001" customHeight="1">
      <c r="C246" s="119"/>
      <c r="D246" s="119"/>
      <c r="E246" s="119"/>
    </row>
    <row r="247" spans="3:5" ht="20.100000000000001" customHeight="1">
      <c r="C247" s="119"/>
      <c r="D247" s="119"/>
      <c r="E247" s="119"/>
    </row>
    <row r="248" spans="3:5" ht="20.100000000000001" customHeight="1">
      <c r="C248" s="119"/>
      <c r="D248" s="119"/>
      <c r="E248" s="119"/>
    </row>
    <row r="249" spans="3:5" ht="20.100000000000001" customHeight="1">
      <c r="C249" s="119"/>
      <c r="D249" s="119"/>
      <c r="E249" s="119"/>
    </row>
    <row r="250" spans="3:5" ht="20.100000000000001" customHeight="1">
      <c r="C250" s="119"/>
      <c r="D250" s="119"/>
      <c r="E250" s="119"/>
    </row>
    <row r="251" spans="3:5" ht="20.100000000000001" customHeight="1">
      <c r="C251" s="119"/>
      <c r="D251" s="119"/>
      <c r="E251" s="119"/>
    </row>
    <row r="252" spans="3:5" ht="20.100000000000001" customHeight="1">
      <c r="C252" s="119"/>
      <c r="D252" s="119"/>
      <c r="E252" s="119"/>
    </row>
    <row r="253" spans="3:5" ht="20.100000000000001" customHeight="1">
      <c r="C253" s="119"/>
      <c r="D253" s="119"/>
      <c r="E253" s="119"/>
    </row>
    <row r="254" spans="3:5" ht="20.100000000000001" customHeight="1">
      <c r="C254" s="119"/>
      <c r="D254" s="119"/>
      <c r="E254" s="119"/>
    </row>
    <row r="255" spans="3:5" ht="20.100000000000001" customHeight="1">
      <c r="C255" s="119"/>
      <c r="D255" s="119"/>
      <c r="E255" s="119"/>
    </row>
    <row r="256" spans="3:5" ht="20.100000000000001" customHeight="1">
      <c r="C256" s="119"/>
      <c r="D256" s="119"/>
      <c r="E256" s="119"/>
    </row>
    <row r="257" spans="3:5" ht="20.100000000000001" customHeight="1">
      <c r="C257" s="119"/>
      <c r="D257" s="119"/>
      <c r="E257" s="119"/>
    </row>
    <row r="258" spans="3:5" ht="20.100000000000001" customHeight="1">
      <c r="C258" s="119"/>
      <c r="D258" s="119"/>
      <c r="E258" s="119"/>
    </row>
    <row r="259" spans="3:5" ht="20.100000000000001" customHeight="1">
      <c r="C259" s="119"/>
      <c r="D259" s="119"/>
      <c r="E259" s="119"/>
    </row>
    <row r="260" spans="3:5" ht="20.100000000000001" customHeight="1">
      <c r="C260" s="119"/>
      <c r="D260" s="119"/>
      <c r="E260" s="119"/>
    </row>
    <row r="261" spans="3:5" ht="20.100000000000001" customHeight="1">
      <c r="C261" s="119"/>
      <c r="D261" s="119"/>
      <c r="E261" s="119"/>
    </row>
    <row r="262" spans="3:5" ht="20.100000000000001" customHeight="1">
      <c r="C262" s="119"/>
      <c r="D262" s="119"/>
      <c r="E262" s="119"/>
    </row>
    <row r="263" spans="3:5" ht="20.100000000000001" customHeight="1">
      <c r="C263" s="119"/>
      <c r="D263" s="119"/>
      <c r="E263" s="119"/>
    </row>
    <row r="264" spans="3:5" ht="20.100000000000001" customHeight="1">
      <c r="C264" s="119"/>
      <c r="D264" s="119"/>
      <c r="E264" s="119"/>
    </row>
    <row r="265" spans="3:5" ht="20.100000000000001" customHeight="1">
      <c r="C265" s="119"/>
      <c r="D265" s="119"/>
      <c r="E265" s="119"/>
    </row>
    <row r="266" spans="3:5" ht="20.100000000000001" customHeight="1">
      <c r="C266" s="119"/>
      <c r="D266" s="119"/>
      <c r="E266" s="119"/>
    </row>
    <row r="267" spans="3:5" ht="20.100000000000001" customHeight="1">
      <c r="C267" s="119"/>
      <c r="D267" s="119"/>
      <c r="E267" s="119"/>
    </row>
    <row r="268" spans="3:5" ht="20.100000000000001" customHeight="1">
      <c r="C268" s="119"/>
      <c r="D268" s="119"/>
      <c r="E268" s="119"/>
    </row>
    <row r="269" spans="3:5" ht="20.100000000000001" customHeight="1">
      <c r="C269" s="119"/>
      <c r="D269" s="119"/>
      <c r="E269" s="119"/>
    </row>
    <row r="270" spans="3:5" ht="20.100000000000001" customHeight="1">
      <c r="C270" s="119"/>
      <c r="D270" s="119"/>
      <c r="E270" s="119"/>
    </row>
    <row r="271" spans="3:5" ht="20.100000000000001" customHeight="1">
      <c r="C271" s="119"/>
      <c r="D271" s="119"/>
      <c r="E271" s="119"/>
    </row>
    <row r="272" spans="3:5" ht="20.100000000000001" customHeight="1">
      <c r="C272" s="119"/>
      <c r="D272" s="119"/>
      <c r="E272" s="119"/>
    </row>
    <row r="273" spans="3:5" ht="20.100000000000001" customHeight="1">
      <c r="C273" s="119"/>
      <c r="D273" s="119"/>
      <c r="E273" s="119"/>
    </row>
    <row r="274" spans="3:5" ht="20.100000000000001" customHeight="1">
      <c r="C274" s="119"/>
      <c r="D274" s="119"/>
      <c r="E274" s="119"/>
    </row>
    <row r="275" spans="3:5" ht="20.100000000000001" customHeight="1">
      <c r="C275" s="119"/>
      <c r="D275" s="119"/>
      <c r="E275" s="119"/>
    </row>
    <row r="276" spans="3:5" ht="20.100000000000001" customHeight="1">
      <c r="C276" s="119"/>
      <c r="D276" s="119"/>
      <c r="E276" s="119"/>
    </row>
    <row r="277" spans="3:5" ht="20.100000000000001" customHeight="1">
      <c r="C277" s="119"/>
      <c r="D277" s="119"/>
      <c r="E277" s="119"/>
    </row>
    <row r="278" spans="3:5" ht="20.100000000000001" customHeight="1">
      <c r="C278" s="119"/>
      <c r="D278" s="119"/>
      <c r="E278" s="119"/>
    </row>
    <row r="279" spans="3:5" ht="20.100000000000001" customHeight="1">
      <c r="C279" s="119"/>
      <c r="D279" s="119"/>
      <c r="E279" s="119"/>
    </row>
    <row r="280" spans="3:5" ht="20.100000000000001" customHeight="1">
      <c r="C280" s="119"/>
      <c r="D280" s="119"/>
      <c r="E280" s="119"/>
    </row>
    <row r="281" spans="3:5" ht="20.100000000000001" customHeight="1">
      <c r="C281" s="119"/>
      <c r="D281" s="119"/>
      <c r="E281" s="119"/>
    </row>
    <row r="282" spans="3:5" ht="20.100000000000001" customHeight="1">
      <c r="C282" s="119"/>
      <c r="D282" s="119"/>
      <c r="E282" s="119"/>
    </row>
    <row r="283" spans="3:5" ht="20.100000000000001" customHeight="1">
      <c r="C283" s="119"/>
      <c r="D283" s="119"/>
      <c r="E283" s="119"/>
    </row>
    <row r="284" spans="3:5" ht="20.100000000000001" customHeight="1">
      <c r="C284" s="119"/>
      <c r="D284" s="119"/>
      <c r="E284" s="119"/>
    </row>
    <row r="285" spans="3:5" ht="20.100000000000001" customHeight="1">
      <c r="C285" s="119"/>
      <c r="D285" s="119"/>
      <c r="E285" s="119"/>
    </row>
    <row r="286" spans="3:5" ht="20.100000000000001" customHeight="1">
      <c r="C286" s="119"/>
      <c r="D286" s="119"/>
      <c r="E286" s="119"/>
    </row>
    <row r="287" spans="3:5" ht="20.100000000000001" customHeight="1">
      <c r="C287" s="119"/>
      <c r="D287" s="119"/>
      <c r="E287" s="119"/>
    </row>
    <row r="288" spans="3:5" ht="20.100000000000001" customHeight="1">
      <c r="C288" s="119"/>
      <c r="D288" s="119"/>
      <c r="E288" s="119"/>
    </row>
    <row r="289" spans="3:5" ht="20.100000000000001" customHeight="1">
      <c r="C289" s="119"/>
      <c r="D289" s="119"/>
      <c r="E289" s="119"/>
    </row>
    <row r="290" spans="3:5" ht="20.100000000000001" customHeight="1">
      <c r="C290" s="119"/>
      <c r="D290" s="119"/>
      <c r="E290" s="119"/>
    </row>
    <row r="291" spans="3:5" ht="20.100000000000001" customHeight="1">
      <c r="C291" s="119"/>
      <c r="D291" s="119"/>
      <c r="E291" s="119"/>
    </row>
    <row r="292" spans="3:5" ht="20.100000000000001" customHeight="1">
      <c r="C292" s="119"/>
      <c r="D292" s="119"/>
      <c r="E292" s="119"/>
    </row>
    <row r="293" spans="3:5" ht="20.100000000000001" customHeight="1">
      <c r="C293" s="119"/>
      <c r="D293" s="119"/>
      <c r="E293" s="119"/>
    </row>
    <row r="294" spans="3:5" ht="20.100000000000001" customHeight="1">
      <c r="C294" s="119"/>
      <c r="D294" s="119"/>
      <c r="E294" s="119"/>
    </row>
    <row r="295" spans="3:5" ht="20.100000000000001" customHeight="1">
      <c r="C295" s="119"/>
      <c r="D295" s="119"/>
      <c r="E295" s="119"/>
    </row>
    <row r="296" spans="3:5" ht="20.100000000000001" customHeight="1">
      <c r="C296" s="119"/>
      <c r="D296" s="119"/>
      <c r="E296" s="119"/>
    </row>
    <row r="297" spans="3:5" ht="20.100000000000001" customHeight="1">
      <c r="C297" s="119"/>
      <c r="D297" s="119"/>
      <c r="E297" s="119"/>
    </row>
    <row r="298" spans="3:5" ht="20.100000000000001" customHeight="1">
      <c r="C298" s="119"/>
      <c r="D298" s="119"/>
      <c r="E298" s="119"/>
    </row>
    <row r="299" spans="3:5" ht="20.100000000000001" customHeight="1"/>
    <row r="300" spans="3:5" ht="20.100000000000001" customHeight="1"/>
    <row r="301" spans="3:5" ht="20.100000000000001" customHeight="1"/>
    <row r="302" spans="3:5" ht="20.100000000000001" customHeight="1"/>
    <row r="303" spans="3:5" ht="20.100000000000001" customHeight="1"/>
    <row r="304" spans="3:5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</sheetData>
  <mergeCells count="15">
    <mergeCell ref="C12:E12"/>
    <mergeCell ref="F12:I12"/>
    <mergeCell ref="J12:AM12"/>
    <mergeCell ref="AN12:AQ12"/>
    <mergeCell ref="AR12:AU12"/>
    <mergeCell ref="C11:E11"/>
    <mergeCell ref="F11:I11"/>
    <mergeCell ref="J11:AM11"/>
    <mergeCell ref="AN11:AQ11"/>
    <mergeCell ref="AR11:AU11"/>
    <mergeCell ref="C13:E13"/>
    <mergeCell ref="F13:I13"/>
    <mergeCell ref="J13:AM13"/>
    <mergeCell ref="AN13:AQ13"/>
    <mergeCell ref="AR13:AU13"/>
  </mergeCells>
  <phoneticPr fontId="2" type="noConversion"/>
  <pageMargins left="0.39" right="0.39" top="0.59" bottom="0.59" header="0.12" footer="0.31"/>
  <pageSetup paperSize="9" scale="70" orientation="portrait" horizontalDpi="300" verticalDpi="300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7</vt:i4>
      </vt:variant>
    </vt:vector>
  </HeadingPairs>
  <TitlesOfParts>
    <vt:vector size="18" baseType="lpstr">
      <vt:lpstr>표지</vt:lpstr>
      <vt:lpstr>1. PC1_AXIS CHECK LIST(CIM1)</vt:lpstr>
      <vt:lpstr>2. PC2_AXIS CHECK LIST(SCT)</vt:lpstr>
      <vt:lpstr>2-1.SCT(UPS1)</vt:lpstr>
      <vt:lpstr>3. PC3_AXIS CHECK LIST(CIM2)</vt:lpstr>
      <vt:lpstr>4. PC4_AXIS CHECK LIST(LCCT)</vt:lpstr>
      <vt:lpstr>4-1.LCCT(UPS2)</vt:lpstr>
      <vt:lpstr>5. PC5_AXIS CHECK LIST(RCCT)</vt:lpstr>
      <vt:lpstr>5-1.RCCT(UPS3)</vt:lpstr>
      <vt:lpstr>20.개정 이력</vt:lpstr>
      <vt:lpstr>30.작성법</vt:lpstr>
      <vt:lpstr>'1. PC1_AXIS CHECK LIST(CIM1)'!Print_Area</vt:lpstr>
      <vt:lpstr>'2. PC2_AXIS CHECK LIST(SCT)'!Print_Area</vt:lpstr>
      <vt:lpstr>'20.개정 이력'!Print_Area</vt:lpstr>
      <vt:lpstr>'3. PC3_AXIS CHECK LIST(CIM2)'!Print_Area</vt:lpstr>
      <vt:lpstr>'4. PC4_AXIS CHECK LIST(LCCT)'!Print_Area</vt:lpstr>
      <vt:lpstr>'5. PC5_AXIS CHECK LIST(RCCT)'!Print_Area</vt:lpstr>
      <vt:lpstr>표지!Print_Area</vt:lpstr>
    </vt:vector>
  </TitlesOfParts>
  <Company>MDIK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姜 錫圭 (강석규)</cp:lastModifiedBy>
  <cp:lastPrinted>2017-03-14T05:36:17Z</cp:lastPrinted>
  <dcterms:created xsi:type="dcterms:W3CDTF">2010-10-20T04:52:39Z</dcterms:created>
  <dcterms:modified xsi:type="dcterms:W3CDTF">2024-10-22T11:41:28Z</dcterms:modified>
</cp:coreProperties>
</file>